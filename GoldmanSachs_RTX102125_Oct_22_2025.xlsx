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rinterSettings/printerSettings1.bin" ContentType="application/vnd.openxmlformats-officedocument.spreadsheetml.printerSettings"/>
  <Override PartName="/xl/drawings/drawing1.xml" ContentType="application/vnd.openxmlformats-officedocument.drawing+xml"/>
  <Override PartName="/xl/printerSettings/printerSettings2.bin" ContentType="application/vnd.openxmlformats-officedocument.spreadsheetml.printerSettings"/>
  <Override PartName="/xl/comments2.xml" ContentType="application/vnd.openxmlformats-officedocument.spreadsheetml.comments+xml"/>
  <Override PartName="/xl/printerSettings/printerSettings3.bin" ContentType="application/vnd.openxmlformats-officedocument.spreadsheetml.printerSettings"/>
  <Override PartName="/xl/comments3.xml" ContentType="application/vnd.openxmlformats-officedocument.spreadsheetml.comments+xml"/>
  <Override PartName="/xl/printerSettings/printerSettings4.bin" ContentType="application/vnd.openxmlformats-officedocument.spreadsheetml.printerSettings"/>
  <Override PartName="/xl/comments4.xml" ContentType="application/vnd.openxmlformats-officedocument.spreadsheetml.comments+xml"/>
  <Override PartName="/xl/printerSettings/printerSettings5.bin" ContentType="application/vnd.openxmlformats-officedocument.spreadsheetml.printerSettings"/>
  <Override PartName="/xl/comments5.xml" ContentType="application/vnd.openxmlformats-officedocument.spreadsheetml.comments+xml"/>
  <Override PartName="/xl/printerSettings/printerSettings6.bin" ContentType="application/vnd.openxmlformats-officedocument.spreadsheetml.printerSettings"/>
  <Override PartName="/xl/comments6.xml" ContentType="application/vnd.openxmlformats-officedocument.spreadsheetml.comments+xml"/>
  <Override PartName="/xl/printerSettings/printerSettings7.bin" ContentType="application/vnd.openxmlformats-officedocument.spreadsheetml.printerSettings"/>
  <Override PartName="/xl/comments7.xml" ContentType="application/vnd.openxmlformats-officedocument.spreadsheetml.comments+xml"/>
  <Override PartName="/xl/printerSettings/printerSettings8.bin" ContentType="application/vnd.openxmlformats-officedocument.spreadsheetml.printerSettings"/>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M:\ADmodels\CLEARED models\In process\"/>
    </mc:Choice>
  </mc:AlternateContent>
  <xr:revisionPtr revIDLastSave="0" documentId="13_ncr:1_{6ECD8062-E554-48CD-A038-43F9D08C84C9}" xr6:coauthVersionLast="47" xr6:coauthVersionMax="47" xr10:uidLastSave="{00000000-0000-0000-0000-000000000000}"/>
  <bookViews>
    <workbookView xWindow="-120" yWindow="-120" windowWidth="57840" windowHeight="23640" tabRatio="850" firstSheet="1" activeTab="1" xr2:uid="{00000000-000D-0000-FFFF-FFFF00000000}"/>
  </bookViews>
  <sheets>
    <sheet name="__FDSCACHE__" sheetId="61" state="veryHidden" r:id="rId1"/>
    <sheet name="Cover" sheetId="55" r:id="rId2"/>
    <sheet name="Data" sheetId="1" r:id="rId3"/>
    <sheet name="SEG" sheetId="2" r:id="rId4"/>
    <sheet name="IS" sheetId="12" r:id="rId5"/>
    <sheet name="BS" sheetId="13" r:id="rId6"/>
    <sheet name="CFLO" sheetId="14" r:id="rId7"/>
    <sheet name="GTF Analysis" sheetId="47" r:id="rId8"/>
    <sheet name="Metrics tracker" sheetId="27" r:id="rId9"/>
  </sheets>
  <definedNames>
    <definedName name="__FDS_HYPERLINK_TOGGLE_STATE__" hidden="1">"ON"</definedName>
    <definedName name="A_ALL_KEYWORDS_TYPE_ScalarContributed_EQTY_200001648">#REF!,#REF!,#REF!,#REF!,#REF!</definedName>
    <definedName name="A_ALL_KEYWORDS_TYPE_ScalarContributed_ISSR_208000604">#REF!,#REF!</definedName>
    <definedName name="A_ALL_KEYWORDS_TYPE_ScalarReference_EQTY_200001648">#REF!</definedName>
    <definedName name="A_ALL_KEYWORDS_TYPE_ScalarReference_ISSR_208000604">#REF!</definedName>
    <definedName name="A_ALL_KEYWORDS_TYPE_Vector_EQTY_200001648">#REF!,#REF!,#REF!,#REF!,#REF!,#REF!,#REF!</definedName>
    <definedName name="A_ALL_KEYWORDS_TYPE_Vector_ISSR_208000604">#REF!,#REF!,#REF!,#REF!,#REF!,#REF!,#REF!,#REF!,#REF!</definedName>
    <definedName name="A_ALL_RTX">#REF!</definedName>
    <definedName name="A_ALL_SECTION_KEYWORDS_EQTY_200001648_1314">#REF!</definedName>
    <definedName name="A_ALL_SECTION_KEYWORDS_EQTY_200001648_1319">#REF!</definedName>
    <definedName name="A_ALL_SECTION_KEYWORDS_EQTY_200001648_131E">#REF!</definedName>
    <definedName name="A_ALL_SECTION_KEYWORDS_EQTY_200001648_131O">#REF!</definedName>
    <definedName name="A_ALL_SECTION_KEYWORDS_EQTY_200001648_13A">#REF!</definedName>
    <definedName name="A_ALL_SECTION_KEYWORDS_EQTY_200001648_13K">#REF!</definedName>
    <definedName name="A_ALL_SECTION_KEYWORDS_EQTY_200001648_13U">#REF!</definedName>
    <definedName name="A_ALL_SECTION_KEYWORDS_EQTY_200001648_13V">#REF!</definedName>
    <definedName name="A_ALL_SECTION_KEYWORDS_EQTY_200001648_13W">#REF!</definedName>
    <definedName name="A_ALL_SECTION_KEYWORDS_EQTY_200001648_Reference_Data">#REF!</definedName>
    <definedName name="A_ALL_SECTION_KEYWORDS_ISSR_208000604_1314">#REF!</definedName>
    <definedName name="A_ALL_SECTION_KEYWORDS_ISSR_208000604_13168">#REF!</definedName>
    <definedName name="A_ALL_SECTION_KEYWORDS_ISSR_208000604_1316S">#REF!</definedName>
    <definedName name="A_ALL_SECTION_KEYWORDS_ISSR_208000604_1316T">#REF!</definedName>
    <definedName name="A_ALL_SECTION_KEYWORDS_ISSR_208000604_1316U">#REF!</definedName>
    <definedName name="A_ALL_SECTION_KEYWORDS_ISSR_208000604_1319">#REF!</definedName>
    <definedName name="A_ALL_SECTION_KEYWORDS_ISSR_208000604_131E">#REF!</definedName>
    <definedName name="A_ALL_SECTION_KEYWORDS_ISSR_208000604_131J">#REF!</definedName>
    <definedName name="A_ALL_SECTION_KEYWORDS_ISSR_208000604_131O">#REF!</definedName>
    <definedName name="A_ALL_SECTION_KEYWORDS_ISSR_208000604_136E">#REF!,#REF!</definedName>
    <definedName name="A_ALL_SECTION_KEYWORDS_ISSR_208000604_13A">#REF!</definedName>
    <definedName name="A_ALL_SECTION_KEYWORDS_ISSR_208000604_13U">#REF!</definedName>
    <definedName name="A_ALL_SECTION_KEYWORDS_ISSR_208000604_13V">#REF!</definedName>
    <definedName name="A_ALL_SECTION_KEYWORDS_ISSR_208000604_Reference_Data">#REF!</definedName>
    <definedName name="A_ALL_SECTIONS_EQTY_200001648">#REF!,#REF!,#REF!,#REF!,#REF!,#REF!,#REF!,#REF!,#REF!,#REF!</definedName>
    <definedName name="A_ALL_UTX_">#REF!</definedName>
    <definedName name="A_CURRENCY_EQTY_200001648_PRI">#REF!</definedName>
    <definedName name="A_CURRENCY_EQTY_200001648_PUB">#REF!</definedName>
    <definedName name="A_CURRENCY_EQTY_200001648_REP">#REF!</definedName>
    <definedName name="A_CURRENCY_ISSR_208000604_REP">#REF!</definedName>
    <definedName name="A_KEYWORD_EQTY_200001648_AMER_LIST">#REF!</definedName>
    <definedName name="A_KEYWORD_EQTY_200001648_BETA_ANALYST">#REF!</definedName>
    <definedName name="A_KEYWORD_EQTY_200001648_BVPS">#REF!</definedName>
    <definedName name="A_KEYWORD_EQTY_200001648_BVPS_PUB">#REF!</definedName>
    <definedName name="A_KEYWORD_EQTY_200001648_CEEE_EPS">#REF!</definedName>
    <definedName name="A_KEYWORD_EQTY_200001648_CF_NI_PRE_PREF">#REF!</definedName>
    <definedName name="A_KEYWORD_EQTY_200001648_COMMON_DIV_PAID">#REF!</definedName>
    <definedName name="A_KEYWORD_EQTY_200001648_CURRENCY_ISO">#REF!</definedName>
    <definedName name="A_KEYWORD_EQTY_200001648_DILUTE_SHARES">#REF!</definedName>
    <definedName name="A_KEYWORD_EQTY_200001648_DPS">#REF!</definedName>
    <definedName name="A_KEYWORD_EQTY_200001648_DPS_PUB">#REF!</definedName>
    <definedName name="A_KEYWORD_EQTY_200001648_EBIT_PUB">#REF!</definedName>
    <definedName name="A_KEYWORD_EQTY_200001648_EBITDA_PUB">#REF!</definedName>
    <definedName name="A_KEYWORD_EQTY_200001648_EPS">#REF!</definedName>
    <definedName name="A_KEYWORD_EQTY_200001648_EPS_EX_ESO_B">#REF!</definedName>
    <definedName name="A_KEYWORD_EQTY_200001648_EPS_EX_ESO_D">#REF!</definedName>
    <definedName name="A_KEYWORD_EQTY_200001648_EPS_FUL_DIL">#REF!</definedName>
    <definedName name="A_KEYWORD_EQTY_200001648_EPS_POST_BASIC">#REF!</definedName>
    <definedName name="A_KEYWORD_EQTY_200001648_EPS_PUB">#REF!</definedName>
    <definedName name="A_KEYWORD_EQTY_200001648_EPS_PUB_EX_ESO">#REF!</definedName>
    <definedName name="A_KEYWORD_EQTY_200001648_EQ_PUB">#REF!</definedName>
    <definedName name="A_KEYWORD_EQTY_200001648_ESO_POST_TAX">#REF!</definedName>
    <definedName name="A_KEYWORD_EQTY_200001648_ESO_YEAR">#REF!</definedName>
    <definedName name="A_KEYWORD_EQTY_200001648_EV_ADJ_PUB">#REF!</definedName>
    <definedName name="A_KEYWORD_EQTY_200001648_FREE_FLOAT">#REF!</definedName>
    <definedName name="A_KEYWORD_EQTY_200001648_FULLY_DIL_EPS">#REF!</definedName>
    <definedName name="A_KEYWORD_EQTY_200001648_FV_GRANT">#REF!</definedName>
    <definedName name="A_KEYWORD_EQTY_200001648_INC_MINORITY">#REF!</definedName>
    <definedName name="A_KEYWORD_EQTY_200001648_Interim_Type">#REF!</definedName>
    <definedName name="A_KEYWORD_EQTY_200001648_LEGAL_RATING">#REF!</definedName>
    <definedName name="A_KEYWORD_EQTY_200001648_MARGIN_TAX_RATE">#REF!</definedName>
    <definedName name="A_KEYWORD_EQTY_200001648_MKT_EQ_RISK_PREM">#REF!</definedName>
    <definedName name="A_KEYWORD_EQTY_200001648_NET_DEBT_PUB">#REF!</definedName>
    <definedName name="A_KEYWORD_EQTY_200001648_NET_EARNING">#REF!</definedName>
    <definedName name="A_KEYWORD_EQTY_200001648_NET_INC">#REF!</definedName>
    <definedName name="A_KEYWORD_EQTY_200001648_NI_PRE_PREF">#REF!</definedName>
    <definedName name="A_KEYWORD_EQTY_200001648_NI_PUB">#REF!</definedName>
    <definedName name="A_KEYWORD_EQTY_200001648_NON_OP_ADD">#REF!</definedName>
    <definedName name="A_KEYWORD_EQTY_200001648_NUM_SH">#REF!</definedName>
    <definedName name="A_KEYWORD_EQTY_200001648_PREF_DIV">#REF!</definedName>
    <definedName name="A_KEYWORD_EQTY_200001648_PRICE_CURRENCY_ISO">#REF!</definedName>
    <definedName name="A_KEYWORD_EQTY_200001648_PROV_INC_TAX">#REF!</definedName>
    <definedName name="A_KEYWORD_EQTY_200001648_PTP_PUB">#REF!</definedName>
    <definedName name="A_KEYWORD_EQTY_200001648_PUB_CURRENCY_ISO">#REF!</definedName>
    <definedName name="A_KEYWORD_EQTY_200001648_REPUR_ACTUAL">#REF!</definedName>
    <definedName name="A_KEYWORD_EQTY_200001648_REPUR_REMAINING">#REF!</definedName>
    <definedName name="A_KEYWORD_EQTY_200001648_REPUR_SUSPENDED">#REF!</definedName>
    <definedName name="A_KEYWORD_EQTY_200001648_REPUR_TOT_AUTH">#REF!</definedName>
    <definedName name="A_KEYWORD_EQTY_200001648_REVS_PUB">#REF!</definedName>
    <definedName name="A_KEYWORD_EQTY_200001648_RISK_FR_RATE">#REF!</definedName>
    <definedName name="A_KEYWORD_EQTY_200001648_Security_Name">#REF!</definedName>
    <definedName name="A_KEYWORD_EQTY_200001648_SH">#REF!</definedName>
    <definedName name="A_KEYWORD_EQTY_200001648_TARGET_PRICE">#REF!</definedName>
    <definedName name="A_KEYWORD_EQTY_200001648_TAX_EXC">#REF!</definedName>
    <definedName name="A_KEYWORD_EQTY_200001648_Ticker">#REF!</definedName>
    <definedName name="A_KEYWORD_EQTY_200001648_TP_PERIOD">#REF!</definedName>
    <definedName name="A_KEYWORD_ISSR_208000604_ACC_AMORT">#REF!</definedName>
    <definedName name="A_KEYWORD_ISSR_208000604_ACC_DDA">#REF!</definedName>
    <definedName name="A_KEYWORD_ISSR_208000604_ACC_END_DATE">#REF!</definedName>
    <definedName name="A_KEYWORD_ISSR_208000604_ACC_PAY_GQ">#REF!</definedName>
    <definedName name="A_KEYWORD_ISSR_208000604_ACQ">#REF!</definedName>
    <definedName name="A_KEYWORD_ISSR_208000604_ADJ_UNF_PENS_GOOD">#REF!</definedName>
    <definedName name="A_KEYWORD_ISSR_208000604_ASSOC_JV_ADDBK">#REF!</definedName>
    <definedName name="A_KEYWORD_ISSR_208000604_ASSOCIATE">#REF!</definedName>
    <definedName name="A_KEYWORD_ISSR_208000604_ASSOCIATE_OP">#REF!</definedName>
    <definedName name="A_KEYWORD_ISSR_208000604_BAL_MINO_INT">#REF!</definedName>
    <definedName name="A_KEYWORD_ISSR_208000604_CAP_LEASES">#REF!</definedName>
    <definedName name="A_KEYWORD_ISSR_208000604_CAPEX">#REF!</definedName>
    <definedName name="A_KEYWORD_ISSR_208000604_CAPEX_EXPANSION">#REF!</definedName>
    <definedName name="A_KEYWORD_ISSR_208000604_CAPEX_MAINTENANCE">#REF!</definedName>
    <definedName name="A_KEYWORD_ISSR_208000604_CASH_EQ">#REF!</definedName>
    <definedName name="A_KEYWORD_ISSR_208000604_CASH_INT_EXP">#REF!</definedName>
    <definedName name="A_KEYWORD_ISSR_208000604_CASH_PCT_OS_US">#REF!</definedName>
    <definedName name="A_KEYWORD_ISSR_208000604_CASH_TAX_EXP">#REF!</definedName>
    <definedName name="A_KEYWORD_ISSR_208000604_CF_FIN">#REF!</definedName>
    <definedName name="A_KEYWORD_ISSR_208000604_CF_INC_MINORITY">#REF!</definedName>
    <definedName name="A_KEYWORD_ISSR_208000604_CF_INV">#REF!</definedName>
    <definedName name="A_KEYWORD_ISSR_208000604_CF_OPS">#REF!</definedName>
    <definedName name="A_KEYWORD_ISSR_208000604_CHG_LT_DEBT">#REF!</definedName>
    <definedName name="A_KEYWORD_ISSR_208000604_CO_BOR_MARGIN">#REF!</definedName>
    <definedName name="A_KEYWORD_ISSR_208000604_COST_GD_SD">#REF!</definedName>
    <definedName name="A_KEYWORD_ISSR_208000604_CUR_ASS">#REF!</definedName>
    <definedName name="A_KEYWORD_ISSR_208000604_CURRENCY_ISO">#REF!</definedName>
    <definedName name="A_KEYWORD_ISSR_208000604_DEBTORS">#REF!</definedName>
    <definedName name="A_KEYWORD_ISSR_208000604_DEF_INC_TAX">#REF!</definedName>
    <definedName name="A_KEYWORD_ISSR_208000604_DEPR_AMORT">#REF!</definedName>
    <definedName name="A_KEYWORD_ISSR_208000604_DEPREC">#REF!</definedName>
    <definedName name="A_KEYWORD_ISSR_208000604_DIV_PAID">#REF!</definedName>
    <definedName name="A_KEYWORD_ISSR_208000604_DIVDS_ASSOC_JV">#REF!</definedName>
    <definedName name="A_KEYWORD_ISSR_208000604_DIVDS_PD_MINORITIES">#REF!</definedName>
    <definedName name="A_KEYWORD_ISSR_208000604_DIVEST">#REF!</definedName>
    <definedName name="A_KEYWORD_ISSR_208000604_EBIT">#REF!</definedName>
    <definedName name="A_KEYWORD_ISSR_208000604_EBIT_FIN_SEGMENT">#REF!</definedName>
    <definedName name="A_KEYWORD_ISSR_208000604_EBITDA_CALC">#REF!</definedName>
    <definedName name="A_KEYWORD_ISSR_208000604_EMPLOYEES">#REF!</definedName>
    <definedName name="A_KEYWORD_ISSR_208000604_EQ">#REF!</definedName>
    <definedName name="A_KEYWORD_ISSR_208000604_ESO_PRE_TAX">#REF!</definedName>
    <definedName name="A_KEYWORD_ISSR_208000604_EXP_ALUMINIUM">#REF!</definedName>
    <definedName name="A_KEYWORD_ISSR_208000604_EXP_COPPER">#REF!</definedName>
    <definedName name="A_KEYWORD_ISSR_208000604_EXP_GLASS">#REF!</definedName>
    <definedName name="A_KEYWORD_ISSR_208000604_EXP_GOLD">#REF!</definedName>
    <definedName name="A_KEYWORD_ISSR_208000604_EXP_NAT_GAS">#REF!</definedName>
    <definedName name="A_KEYWORD_ISSR_208000604_EXP_NICKEL">#REF!</definedName>
    <definedName name="A_KEYWORD_ISSR_208000604_EXP_OIL_DERIV_NGLS_PLASTICS">#REF!</definedName>
    <definedName name="A_KEYWORD_ISSR_208000604_EXP_OIL_PETRO_FUEL">#REF!</definedName>
    <definedName name="A_KEYWORD_ISSR_208000604_EXP_OTH_COMMODITY">#REF!</definedName>
    <definedName name="A_KEYWORD_ISSR_208000604_EXP_OTH_COST">#REF!</definedName>
    <definedName name="A_KEYWORD_ISSR_208000604_EXP_PALLADIUM">#REF!</definedName>
    <definedName name="A_KEYWORD_ISSR_208000604_EXP_PLATINUM">#REF!</definedName>
    <definedName name="A_KEYWORD_ISSR_208000604_EXP_RUBBER">#REF!</definedName>
    <definedName name="A_KEYWORD_ISSR_208000604_EXP_SILVER">#REF!</definedName>
    <definedName name="A_KEYWORD_ISSR_208000604_EXP_STEEL">#REF!</definedName>
    <definedName name="A_KEYWORD_ISSR_208000604_EXP_WATER">#REF!</definedName>
    <definedName name="A_KEYWORD_ISSR_208000604_EXP_ZINC">#REF!</definedName>
    <definedName name="A_KEYWORD_ISSR_208000604_FIX_ASS_INV">#REF!</definedName>
    <definedName name="A_KEYWORD_ISSR_208000604_GCI_INFL">#REF!</definedName>
    <definedName name="A_KEYWORD_ISSR_208000604_GOODWILL_AMORT">#REF!</definedName>
    <definedName name="A_KEYWORD_ISSR_208000604_GR_FIX_ASS">#REF!</definedName>
    <definedName name="A_KEYWORD_ISSR_208000604_GR_INTANG">#REF!</definedName>
    <definedName name="A_KEYWORD_ISSR_208000604_INT_EXP_IND">#REF!</definedName>
    <definedName name="A_KEYWORD_ISSR_208000604_INT_INC_IND">#REF!</definedName>
    <definedName name="A_KEYWORD_ISSR_208000604_INV_SECUR">#REF!</definedName>
    <definedName name="A_KEYWORD_ISSR_208000604_Issuer_Name">#REF!</definedName>
    <definedName name="A_KEYWORD_ISSR_208000604_LEASE_DEEM_DEPR">#REF!</definedName>
    <definedName name="A_KEYWORD_ISSR_208000604_LEASE_DEEM_INT">#REF!</definedName>
    <definedName name="A_KEYWORD_ISSR_208000604_LEASE_PAY">#REF!</definedName>
    <definedName name="A_KEYWORD_ISSR_208000604_LT_DEBT">#REF!</definedName>
    <definedName name="A_KEYWORD_ISSR_208000604_MA_PROB">#REF!</definedName>
    <definedName name="A_KEYWORD_ISSR_208000604_MINORITIES">#REF!</definedName>
    <definedName name="A_KEYWORD_ISSR_208000604_MV_ASSOCIATES">#REF!</definedName>
    <definedName name="A_KEYWORD_ISSR_208000604_NET_DEBT">#REF!</definedName>
    <definedName name="A_KEYWORD_ISSR_208000604_NET_DEBT_ADJ">#REF!</definedName>
    <definedName name="A_KEYWORD_ISSR_208000604_NET_FIX_ASS">#REF!</definedName>
    <definedName name="A_KEYWORD_ISSR_208000604_NET_INT_CH">#REF!</definedName>
    <definedName name="A_KEYWORD_ISSR_208000604_NET_INT_EXP">#REF!</definedName>
    <definedName name="A_KEYWORD_ISSR_208000604_NET_INTANG">#REF!</definedName>
    <definedName name="A_KEYWORD_ISSR_208000604_NONPPE_CAPEX">#REF!</definedName>
    <definedName name="A_KEYWORD_ISSR_208000604_OP_COST">#REF!</definedName>
    <definedName name="A_KEYWORD_ISSR_208000604_ORD_SH_FUND">#REF!</definedName>
    <definedName name="A_KEYWORD_ISSR_208000604_OTH_COST_INC">#REF!</definedName>
    <definedName name="A_KEYWORD_ISSR_208000604_OTH_CUR_ASS">#REF!</definedName>
    <definedName name="A_KEYWORD_ISSR_208000604_OTH_CUR_LIABS">#REF!</definedName>
    <definedName name="A_KEYWORD_ISSR_208000604_OTH_DACF_ADJ">#REF!</definedName>
    <definedName name="A_KEYWORD_ISSR_208000604_OTH_FIN_CF">#REF!</definedName>
    <definedName name="A_KEYWORD_ISSR_208000604_OTH_GCI_ADJ">#REF!</definedName>
    <definedName name="A_KEYWORD_ISSR_208000604_OTH_INV_CF">#REF!</definedName>
    <definedName name="A_KEYWORD_ISSR_208000604_OTH_LT_ASS">#REF!</definedName>
    <definedName name="A_KEYWORD_ISSR_208000604_OTH_LT_CRED_GQ">#REF!</definedName>
    <definedName name="A_KEYWORD_ISSR_208000604_OTH_NONCASH_ADJ">#REF!</definedName>
    <definedName name="A_KEYWORD_ISSR_208000604_OTH_OP_CF">#REF!</definedName>
    <definedName name="A_KEYWORD_ISSR_208000604_OTH_OP_INC_EXP">#REF!</definedName>
    <definedName name="A_KEYWORD_ISSR_208000604_PERIOD_MILESTONE">#REF!</definedName>
    <definedName name="A_KEYWORD_ISSR_208000604_PL_SALE_ASSETS">#REF!</definedName>
    <definedName name="A_KEYWORD_ISSR_208000604_PREF_SH">#REF!</definedName>
    <definedName name="A_KEYWORD_ISSR_208000604_PROFIT_ON_DISP">#REF!</definedName>
    <definedName name="A_KEYWORD_ISSR_208000604_PT_PROF">#REF!</definedName>
    <definedName name="A_KEYWORD_ISSR_208000604_RD_EXP">#REF!</definedName>
    <definedName name="A_KEYWORD_ISSR_208000604_REV_FIN_SEGMENT">#REF!</definedName>
    <definedName name="A_KEYWORD_ISSR_208000604_SALES">#REF!</definedName>
    <definedName name="A_KEYWORD_ISSR_208000604_SALES_ARGENTINA">#REF!</definedName>
    <definedName name="A_KEYWORD_ISSR_208000604_SALES_BRAZIL">#REF!</definedName>
    <definedName name="A_KEYWORD_ISSR_208000604_SALES_CANADA">#REF!</definedName>
    <definedName name="A_KEYWORD_ISSR_208000604_SALES_CEE">#REF!</definedName>
    <definedName name="A_KEYWORD_ISSR_208000604_SALES_CHILE">#REF!</definedName>
    <definedName name="A_KEYWORD_ISSR_208000604_SALES_CHINA">#REF!</definedName>
    <definedName name="A_KEYWORD_ISSR_208000604_SALES_COLOMBIA">#REF!</definedName>
    <definedName name="A_KEYWORD_ISSR_208000604_SALES_CONS">#REF!</definedName>
    <definedName name="A_KEYWORD_ISSR_208000604_SALES_EU_EX_UK">#REF!</definedName>
    <definedName name="A_KEYWORD_ISSR_208000604_SALES_FINAN">#REF!</definedName>
    <definedName name="A_KEYWORD_ISSR_208000604_SALES_FX_ARS">#REF!</definedName>
    <definedName name="A_KEYWORD_ISSR_208000604_SALES_FX_BRL">#REF!</definedName>
    <definedName name="A_KEYWORD_ISSR_208000604_SALES_FX_CAD">#REF!</definedName>
    <definedName name="A_KEYWORD_ISSR_208000604_SALES_FX_CLP">#REF!</definedName>
    <definedName name="A_KEYWORD_ISSR_208000604_SALES_FX_CNY">#REF!</definedName>
    <definedName name="A_KEYWORD_ISSR_208000604_SALES_FX_COP">#REF!</definedName>
    <definedName name="A_KEYWORD_ISSR_208000604_SALES_FX_EUR">#REF!</definedName>
    <definedName name="A_KEYWORD_ISSR_208000604_SALES_FX_GPB">#REF!</definedName>
    <definedName name="A_KEYWORD_ISSR_208000604_SALES_FX_INR">#REF!</definedName>
    <definedName name="A_KEYWORD_ISSR_208000604_SALES_FX_MXN">#REF!</definedName>
    <definedName name="A_KEYWORD_ISSR_208000604_SALES_FX_OTH">#REF!</definedName>
    <definedName name="A_KEYWORD_ISSR_208000604_SALES_FX_RUB">#REF!</definedName>
    <definedName name="A_KEYWORD_ISSR_208000604_SALES_FX_USD">#REF!</definedName>
    <definedName name="A_KEYWORD_ISSR_208000604_SALES_FX_VEF">#REF!</definedName>
    <definedName name="A_KEYWORD_ISSR_208000604_SALES_FX_YEN">#REF!</definedName>
    <definedName name="A_KEYWORD_ISSR_208000604_SALES_GOV">#REF!</definedName>
    <definedName name="A_KEYWORD_ISSR_208000604_SALES_IND">#REF!</definedName>
    <definedName name="A_KEYWORD_ISSR_208000604_SALES_INDIA">#REF!</definedName>
    <definedName name="A_KEYWORD_ISSR_208000604_SALES_JAPAN">#REF!</definedName>
    <definedName name="A_KEYWORD_ISSR_208000604_SALES_ME">#REF!</definedName>
    <definedName name="A_KEYWORD_ISSR_208000604_SALES_MEXICO">#REF!</definedName>
    <definedName name="A_KEYWORD_ISSR_208000604_SALES_OTH_AEJ">#REF!</definedName>
    <definedName name="A_KEYWORD_ISSR_208000604_SALES_OTH_AM">#REF!</definedName>
    <definedName name="A_KEYWORD_ISSR_208000604_SALES_OTH_COMMODITY">#REF!</definedName>
    <definedName name="A_KEYWORD_ISSR_208000604_SALES_OTH_EMEA">#REF!</definedName>
    <definedName name="A_KEYWORD_ISSR_208000604_SALES_OTH_SALES_SOURCES">#REF!</definedName>
    <definedName name="A_KEYWORD_ISSR_208000604_SALES_OTHER">#REF!</definedName>
    <definedName name="A_KEYWORD_ISSR_208000604_SALES_RUSSIA">#REF!</definedName>
    <definedName name="A_KEYWORD_ISSR_208000604_SALES_SMB">#REF!</definedName>
    <definedName name="A_KEYWORD_ISSR_208000604_SALES_TOT_AFRICA">#REF!</definedName>
    <definedName name="A_KEYWORD_ISSR_208000604_SALES_TOT_AM">#REF!</definedName>
    <definedName name="A_KEYWORD_ISSR_208000604_SALES_TOT_ASIA">#REF!</definedName>
    <definedName name="A_KEYWORD_ISSR_208000604_SALES_TOT_EMEA">#REF!</definedName>
    <definedName name="A_KEYWORD_ISSR_208000604_SALES_UK">#REF!</definedName>
    <definedName name="A_KEYWORD_ISSR_208000604_SALES_US">#REF!</definedName>
    <definedName name="A_KEYWORD_ISSR_208000604_SALES_VENEZUELA">#REF!</definedName>
    <definedName name="A_KEYWORD_ISSR_208000604_SEL_GL_AD">#REF!</definedName>
    <definedName name="A_KEYWORD_ISSR_208000604_SH_REPUR">#REF!</definedName>
    <definedName name="A_KEYWORD_ISSR_208000604_SHORT_T_DEBT">#REF!</definedName>
    <definedName name="A_KEYWORD_ISSR_208000604_SHORT_TERM_LIABS">#REF!</definedName>
    <definedName name="A_KEYWORD_ISSR_208000604_STOCKS">#REF!</definedName>
    <definedName name="A_KEYWORD_ISSR_208000604_TOT_ASSET">#REF!</definedName>
    <definedName name="A_KEYWORD_ISSR_208000604_TOT_CF">#REF!</definedName>
    <definedName name="A_KEYWORD_ISSR_208000604_TOT_LIAB">#REF!</definedName>
    <definedName name="A_KEYWORD_ISSR_208000604_TOT_LIAB_EQ">#REF!</definedName>
    <definedName name="A_KEYWORD_ISSR_208000604_TOT_LT_LIAB">#REF!</definedName>
    <definedName name="A_KEYWORD_ISSR_208000604_TOT_OPS_EXP">#REF!</definedName>
    <definedName name="A_KEYWORD_ISSR_208000604_TOT_OPS_EXP_DDA">#REF!</definedName>
    <definedName name="A_KEYWORD_ISSR_208000604_UNF_PENS">#REF!</definedName>
    <definedName name="A_KEYWORD_ISSR_208000604_UNF_PENS_LIAB_OTH">#REF!</definedName>
    <definedName name="A_KEYWORD_ISSR_208000604_UNF_PENS_OFF">#REF!</definedName>
    <definedName name="A_KEYWORD_ISSR_208000604_WORK_CAP">#REF!</definedName>
    <definedName name="A_LIVEDATA_EQTY_200001648">#REF!</definedName>
    <definedName name="A_LIVEDATA_ISSR_208000604">#REF!</definedName>
    <definedName name="A_PERIOD_1994">#REF!</definedName>
    <definedName name="A_PERIOD_1995">#REF!</definedName>
    <definedName name="A_PERIOD_1996">#REF!</definedName>
    <definedName name="A_PERIOD_1997">#REF!</definedName>
    <definedName name="A_PERIOD_1998">#REF!</definedName>
    <definedName name="A_PERIOD_1999">#REF!</definedName>
    <definedName name="A_PERIOD_2000">#REF!</definedName>
    <definedName name="A_PERIOD_2001">#REF!</definedName>
    <definedName name="A_PERIOD_2002">#REF!</definedName>
    <definedName name="A_PERIOD_2003">#REF!</definedName>
    <definedName name="A_PERIOD_2003_Q1">#REF!</definedName>
    <definedName name="A_PERIOD_2003_Q2">#REF!</definedName>
    <definedName name="A_PERIOD_2003_Q3">#REF!</definedName>
    <definedName name="A_PERIOD_2003_Q4">#REF!</definedName>
    <definedName name="A_PERIOD_2004">#REF!</definedName>
    <definedName name="A_PERIOD_2004_Q1">#REF!</definedName>
    <definedName name="A_PERIOD_2004_Q2">#REF!</definedName>
    <definedName name="A_PERIOD_2004_Q3">#REF!</definedName>
    <definedName name="A_PERIOD_2004_Q4">#REF!</definedName>
    <definedName name="A_PERIOD_2005">#REF!</definedName>
    <definedName name="A_PERIOD_2005_Q1">#REF!</definedName>
    <definedName name="A_PERIOD_2005_Q2">#REF!</definedName>
    <definedName name="A_PERIOD_2005_Q3">#REF!</definedName>
    <definedName name="A_PERIOD_2005_Q4">#REF!</definedName>
    <definedName name="A_PERIOD_2006">#REF!</definedName>
    <definedName name="A_PERIOD_2006_Q1">#REF!</definedName>
    <definedName name="A_PERIOD_2006_Q2">#REF!</definedName>
    <definedName name="A_PERIOD_2006_Q3">#REF!</definedName>
    <definedName name="A_PERIOD_2006_Q4">#REF!</definedName>
    <definedName name="A_PERIOD_2007">#REF!</definedName>
    <definedName name="A_PERIOD_2007_Q1">#REF!</definedName>
    <definedName name="A_PERIOD_2007_Q2">#REF!</definedName>
    <definedName name="A_PERIOD_2007_Q3">#REF!</definedName>
    <definedName name="A_PERIOD_2007_Q4">#REF!</definedName>
    <definedName name="A_PERIOD_2008">#REF!</definedName>
    <definedName name="A_PERIOD_2008_Q1">#REF!</definedName>
    <definedName name="A_PERIOD_2008_Q2">#REF!</definedName>
    <definedName name="A_PERIOD_2008_Q3">#REF!</definedName>
    <definedName name="A_PERIOD_2008_Q4">#REF!</definedName>
    <definedName name="A_PERIOD_2009">#REF!</definedName>
    <definedName name="A_PERIOD_2009_Q1">#REF!</definedName>
    <definedName name="A_PERIOD_2009_Q2">#REF!</definedName>
    <definedName name="A_PERIOD_2009_Q3">#REF!</definedName>
    <definedName name="A_PERIOD_2009_Q4">#REF!</definedName>
    <definedName name="A_PERIOD_2010">#REF!</definedName>
    <definedName name="A_PERIOD_2010_Q1">#REF!</definedName>
    <definedName name="A_PERIOD_2010_Q2">#REF!</definedName>
    <definedName name="A_PERIOD_2010_Q3">#REF!</definedName>
    <definedName name="A_PERIOD_2010_Q4">#REF!</definedName>
    <definedName name="A_PERIOD_2011">#REF!</definedName>
    <definedName name="A_PERIOD_2011_Q1">#REF!</definedName>
    <definedName name="A_PERIOD_2011_Q2">#REF!</definedName>
    <definedName name="A_PERIOD_2011_Q3">#REF!</definedName>
    <definedName name="A_PERIOD_2011_Q4">#REF!</definedName>
    <definedName name="A_PERIOD_2012">#REF!</definedName>
    <definedName name="A_PERIOD_2012_Q1">#REF!</definedName>
    <definedName name="A_PERIOD_2012_Q2">#REF!</definedName>
    <definedName name="A_PERIOD_2012_Q3">#REF!</definedName>
    <definedName name="A_PERIOD_2012_Q4">#REF!</definedName>
    <definedName name="A_PERIOD_2013">#REF!</definedName>
    <definedName name="A_PERIOD_2013_Q1">#REF!</definedName>
    <definedName name="A_PERIOD_2013_Q2">#REF!</definedName>
    <definedName name="A_PERIOD_2013_Q3">#REF!</definedName>
    <definedName name="A_PERIOD_2013_Q4">#REF!</definedName>
    <definedName name="A_PERIOD_2014">#REF!</definedName>
    <definedName name="A_PERIOD_2014_Q1">#REF!</definedName>
    <definedName name="A_PERIOD_2014_Q2">#REF!</definedName>
    <definedName name="A_PERIOD_2014_Q3">#REF!</definedName>
    <definedName name="A_PERIOD_2014_Q4">#REF!</definedName>
    <definedName name="A_PERIOD_2015">#REF!</definedName>
    <definedName name="A_PERIOD_2016">#REF!</definedName>
    <definedName name="A_SECTION_EQTY_200001648_1314">#REF!</definedName>
    <definedName name="A_SECTION_EQTY_200001648_1319">#REF!</definedName>
    <definedName name="A_SECTION_EQTY_200001648_131E">#REF!</definedName>
    <definedName name="A_SECTION_EQTY_200001648_131O">#REF!</definedName>
    <definedName name="A_SECTION_EQTY_200001648_13A">#REF!</definedName>
    <definedName name="A_SECTION_EQTY_200001648_13K">#REF!</definedName>
    <definedName name="A_SECTION_EQTY_200001648_13U">#REF!</definedName>
    <definedName name="A_SECTION_EQTY_200001648_13V">#REF!</definedName>
    <definedName name="A_SECTION_EQTY_200001648_13W">#REF!</definedName>
    <definedName name="A_SECTION_EQTY_200001648_Reference_Data">#REF!</definedName>
    <definedName name="A_SECTION_ISSR_208000604_1314">#REF!</definedName>
    <definedName name="A_SECTION_ISSR_208000604_13168">#REF!</definedName>
    <definedName name="A_SECTION_ISSR_208000604_1316S">#REF!</definedName>
    <definedName name="A_SECTION_ISSR_208000604_1316T">#REF!</definedName>
    <definedName name="A_SECTION_ISSR_208000604_1316U">#REF!</definedName>
    <definedName name="A_SECTION_ISSR_208000604_1319">#REF!</definedName>
    <definedName name="A_SECTION_ISSR_208000604_131E">#REF!</definedName>
    <definedName name="A_SECTION_ISSR_208000604_131J">#REF!</definedName>
    <definedName name="A_SECTION_ISSR_208000604_131O">#REF!</definedName>
    <definedName name="A_SECTION_ISSR_208000604_13A">#REF!</definedName>
    <definedName name="A_SECTION_ISSR_208000604_13U">#REF!</definedName>
    <definedName name="A_SECTION_ISSR_208000604_13V">#REF!</definedName>
    <definedName name="A_SECTION_ISSR_208000604_Reference_Data">#REF!</definedName>
    <definedName name="accumotherinc">BS!$42:$42</definedName>
    <definedName name="acq">CFLO!$24:$24</definedName>
    <definedName name="adjnetinc">IS!$28:$28</definedName>
    <definedName name="ap">BS!$26:$26</definedName>
    <definedName name="ar">BS!$8:$8</definedName>
    <definedName name="book">BS!$43:$43</definedName>
    <definedName name="by.00">BS!$F:$F</definedName>
    <definedName name="by.01">BS!$G:$G</definedName>
    <definedName name="by.02">BS!$H:$H</definedName>
    <definedName name="by.03">BS!$I:$I</definedName>
    <definedName name="by.04">BS!$N:$N</definedName>
    <definedName name="by.05">BS!$S:$S</definedName>
    <definedName name="by.06">BS!$X:$X</definedName>
    <definedName name="by.07">BS!$AC:$AC</definedName>
    <definedName name="by.08">BS!$AH:$AH</definedName>
    <definedName name="by.09">BS!$AM:$AM</definedName>
    <definedName name="by.10">BS!$AR:$AR</definedName>
    <definedName name="by.11">BS!$AW:$AW</definedName>
    <definedName name="by.12">BS!$BB:$BB</definedName>
    <definedName name="by.13">BS!$BG:$BG</definedName>
    <definedName name="by.14">BS!$BL:$BL</definedName>
    <definedName name="by.15">BS!$BQ:$BQ</definedName>
    <definedName name="by.16">BS!$BV:$BV</definedName>
    <definedName name="by.17">BS!$CA:$CA</definedName>
    <definedName name="by.18">BS!$CF:$CF</definedName>
    <definedName name="by.19">BS!$CK:$CK</definedName>
    <definedName name="by.1q04">BS!$J:$J</definedName>
    <definedName name="by.1q05">BS!$O:$O</definedName>
    <definedName name="by.1q06">BS!$T:$T</definedName>
    <definedName name="by.1q07">BS!$Y:$Y</definedName>
    <definedName name="by.1q08">BS!$AD:$AD</definedName>
    <definedName name="by.1q09">BS!$AI:$AI</definedName>
    <definedName name="by.1q10">BS!$AN:$AN</definedName>
    <definedName name="by.1q11">BS!$AS:$AS</definedName>
    <definedName name="by.1q12">BS!$AX:$AX</definedName>
    <definedName name="by.20">BS!$CP:$CP</definedName>
    <definedName name="by.21">BS!$CU:$CU</definedName>
    <definedName name="by.22">BS!$CZ:$CZ</definedName>
    <definedName name="by.23">BS!$DE:$DE</definedName>
    <definedName name="by.24">BS!$DJ:$DJ</definedName>
    <definedName name="by.25">BS!$DO:$DO</definedName>
    <definedName name="by.26">BS!$DT:$DT</definedName>
    <definedName name="by.27">BS!$DU:$DU</definedName>
    <definedName name="by.28">BS!$DV:$DV</definedName>
    <definedName name="by.2q04">BS!$K:$K</definedName>
    <definedName name="by.2q05">BS!$P:$P</definedName>
    <definedName name="by.2q06">BS!$U:$U</definedName>
    <definedName name="by.2q07">BS!$Z:$Z</definedName>
    <definedName name="by.2q08">BS!$AE:$AE</definedName>
    <definedName name="by.2q09">BS!$AJ:$AJ</definedName>
    <definedName name="by.2q10">BS!$AO:$AO</definedName>
    <definedName name="by.2q11">BS!$AT:$AT</definedName>
    <definedName name="by.2q12">BS!$AY:$AY</definedName>
    <definedName name="by.3q04">BS!$L:$L</definedName>
    <definedName name="by.3q05">BS!$Q:$Q</definedName>
    <definedName name="by.3q06">BS!$V:$V</definedName>
    <definedName name="by.3q07">BS!$AA:$AA</definedName>
    <definedName name="by.3q08">BS!$AF:$AF</definedName>
    <definedName name="by.3q09">BS!$AK:$AK</definedName>
    <definedName name="by.3q10">BS!$AP:$AP</definedName>
    <definedName name="by.3q11">BS!$AU:$AU</definedName>
    <definedName name="by.3q12">BS!$AZ:$AZ</definedName>
    <definedName name="by.4q04">BS!$M:$M</definedName>
    <definedName name="by.4q05">BS!$R:$R</definedName>
    <definedName name="by.4q06">BS!$W:$W</definedName>
    <definedName name="by.4q07">BS!$AB:$AB</definedName>
    <definedName name="by.4q08">BS!$AG:$AG</definedName>
    <definedName name="by.4q09">BS!$AL:$AL</definedName>
    <definedName name="by.4q10">BS!$AQ:$AQ</definedName>
    <definedName name="by.4q11">BS!$AV:$AV</definedName>
    <definedName name="by.4q12">BS!$BA:$BA</definedName>
    <definedName name="by.97">BS!$C:$C</definedName>
    <definedName name="by.98">BS!$D:$D</definedName>
    <definedName name="by.99">BS!$E:$E</definedName>
    <definedName name="ca">BS!$13:$13</definedName>
    <definedName name="capex">CFLO!$46:$46</definedName>
    <definedName name="cash">BS!$53:$53</definedName>
    <definedName name="cf.07">CFLO!$AC:$AC</definedName>
    <definedName name="cf.08">CFLO!$AH:$AH</definedName>
    <definedName name="cf.09">CFLO!$AM:$AM</definedName>
    <definedName name="cf.10">CFLO!$AR:$AR</definedName>
    <definedName name="cf.11">CFLO!$AW:$AW</definedName>
    <definedName name="cf.12">CFLO!$BB:$BB</definedName>
    <definedName name="cf.13">CFLO!$BG:$BG</definedName>
    <definedName name="cf.14">CFLO!$BL:$BL</definedName>
    <definedName name="cf.15">CFLO!$BQ:$BQ</definedName>
    <definedName name="cff">CFLO!$37:$37</definedName>
    <definedName name="cfi">CFLO!$30:$30</definedName>
    <definedName name="cfo">CFLO!$23:$23</definedName>
    <definedName name="cl">BS!$30:$30</definedName>
    <definedName name="cogs">IS!$7:$7</definedName>
    <definedName name="common">BS!$39:$39</definedName>
    <definedName name="cy.00">CFLO!$F:$F</definedName>
    <definedName name="cy.01">CFLO!$G:$G</definedName>
    <definedName name="cy.02">CFLO!$H:$H</definedName>
    <definedName name="cy.03">CFLO!$I:$I</definedName>
    <definedName name="cy.04">CFLO!$N:$N</definedName>
    <definedName name="cy.05">CFLO!$S:$S</definedName>
    <definedName name="cy.06">CFLO!$X:$X</definedName>
    <definedName name="cy.07">CFLO!$AC:$AC</definedName>
    <definedName name="cy.08">CFLO!$AH:$AH</definedName>
    <definedName name="cy.09">CFLO!$AM:$AM</definedName>
    <definedName name="cy.11">CFLO!$AW:$AW</definedName>
    <definedName name="cy.15">CFLO!$BQ:$BQ</definedName>
    <definedName name="cy.16">CFLO!$BV:$BV</definedName>
    <definedName name="cy.17">CFLO!$CA:$CA</definedName>
    <definedName name="cy.18">CFLO!$CF:$CF</definedName>
    <definedName name="cy.19">CFLO!$CK:$CK</definedName>
    <definedName name="cy.1q04">CFLO!$J:$J</definedName>
    <definedName name="cy.1q05">CFLO!$O:$O</definedName>
    <definedName name="cy.1q06">CFLO!$T:$T</definedName>
    <definedName name="cy.1q07">CFLO!$Y:$Y</definedName>
    <definedName name="cy.1q08">CFLO!$AD:$AD</definedName>
    <definedName name="cy.1q09">CFLO!$AI:$AI</definedName>
    <definedName name="cy.1q10">CFLO!$AN:$AN</definedName>
    <definedName name="cy.1q11">CFLO!$AS:$AS</definedName>
    <definedName name="cy.1q12">CFLO!$AX:$AX</definedName>
    <definedName name="cy.20">CFLO!$CP:$CP</definedName>
    <definedName name="cy.21">CFLO!$CU:$CU</definedName>
    <definedName name="cy.22">CFLO!$CZ:$CZ</definedName>
    <definedName name="cy.23">CFLO!$DE:$DE</definedName>
    <definedName name="cy.24">CFLO!$DJ:$DJ</definedName>
    <definedName name="cy.25">CFLO!$DO:$DO</definedName>
    <definedName name="cy.26">CFLO!$DT:$DT</definedName>
    <definedName name="cy.27">CFLO!$DU:$DU</definedName>
    <definedName name="cy.28">CFLO!$DV:$DV</definedName>
    <definedName name="cy.2q04">CFLO!$K:$K</definedName>
    <definedName name="cy.2q05">CFLO!$P:$P</definedName>
    <definedName name="cy.2q06">CFLO!$U:$U</definedName>
    <definedName name="cy.2q07">CFLO!$Z:$Z</definedName>
    <definedName name="cy.2q08">CFLO!$AE:$AE</definedName>
    <definedName name="cy.2q09">CFLO!$AJ:$AJ</definedName>
    <definedName name="cy.2q10">CFLO!$AO:$AO</definedName>
    <definedName name="cy.2q11">CFLO!$AT:$AT</definedName>
    <definedName name="cy.2q12">CFLO!$AY:$AY</definedName>
    <definedName name="cy.3q04">CFLO!$L:$L</definedName>
    <definedName name="cy.3q05">CFLO!$Q:$Q</definedName>
    <definedName name="cy.3q06">CFLO!$V:$V</definedName>
    <definedName name="cy.3q07">CFLO!$AA:$AA</definedName>
    <definedName name="cy.3q08">CFLO!$AF:$AF</definedName>
    <definedName name="cy.3q09">CFLO!$AK:$AK</definedName>
    <definedName name="cy.3q10">CFLO!$AP:$AP</definedName>
    <definedName name="cy.3q11">CFLO!$AU:$AU</definedName>
    <definedName name="cy.3q12">CFLO!$AZ:$AZ</definedName>
    <definedName name="cy.4q04">CFLO!$M:$M</definedName>
    <definedName name="cy.4q05">CFLO!$R:$R</definedName>
    <definedName name="cy.4q06">CFLO!$W:$W</definedName>
    <definedName name="cy.4q07">CFLO!$AB:$AB</definedName>
    <definedName name="cy.4q08">CFLO!$AG:$AG</definedName>
    <definedName name="cy.4q09">CFLO!$AL:$AL</definedName>
    <definedName name="cy.4q10">CFLO!$AQ:$AQ</definedName>
    <definedName name="cy.4q11">CFLO!$AV:$AV</definedName>
    <definedName name="cy.4q12">CFLO!$BA:$BA</definedName>
    <definedName name="cy.97">CFLO!$C:$C</definedName>
    <definedName name="cy.98">CFLO!$D:$D</definedName>
    <definedName name="cy.99">CFLO!$E:$E</definedName>
    <definedName name="da">IS!$44:$44</definedName>
    <definedName name="date">IS!$4:$4</definedName>
    <definedName name="debt">BS!$56:$56</definedName>
    <definedName name="debtocap">BS!$58:$58</definedName>
    <definedName name="div">IS!$35:$35</definedName>
    <definedName name="divcf">CFLO!$36:$36</definedName>
    <definedName name="E_ALL_KEYWORDS_TYPE_ScalarContributed_EQTY_200001648">#REF!,#REF!,#REF!,#REF!,#REF!</definedName>
    <definedName name="E_ALL_KEYWORDS_TYPE_ScalarContributed_ISSR_208000604">#REF!,#REF!</definedName>
    <definedName name="E_ALL_KEYWORDS_TYPE_ScalarReference_EQTY_200001648">#REF!</definedName>
    <definedName name="E_ALL_KEYWORDS_TYPE_ScalarReference_ISSR_208000604">#REF!</definedName>
    <definedName name="E_ALL_KEYWORDS_TYPE_Vector_EQTY_200001648">#REF!,#REF!,#REF!,#REF!,#REF!,#REF!,#REF!</definedName>
    <definedName name="E_ALL_KEYWORDS_TYPE_Vector_ISSR_208000604">#REF!,#REF!,#REF!,#REF!,#REF!,#REF!,#REF!,#REF!,#REF!</definedName>
    <definedName name="E_ALL_RTX">#REF!</definedName>
    <definedName name="E_ALL_SECTION_KEYWORDS_EQTY_200001648_1314">#REF!</definedName>
    <definedName name="E_ALL_SECTION_KEYWORDS_EQTY_200001648_1319">#REF!</definedName>
    <definedName name="E_ALL_SECTION_KEYWORDS_EQTY_200001648_131E">#REF!</definedName>
    <definedName name="E_ALL_SECTION_KEYWORDS_EQTY_200001648_131O">#REF!</definedName>
    <definedName name="E_ALL_SECTION_KEYWORDS_EQTY_200001648_13A">#REF!</definedName>
    <definedName name="E_ALL_SECTION_KEYWORDS_EQTY_200001648_13K">#REF!</definedName>
    <definedName name="E_ALL_SECTION_KEYWORDS_EQTY_200001648_13U">#REF!</definedName>
    <definedName name="E_ALL_SECTION_KEYWORDS_EQTY_200001648_13V">#REF!</definedName>
    <definedName name="E_ALL_SECTION_KEYWORDS_EQTY_200001648_13W">#REF!</definedName>
    <definedName name="E_ALL_SECTION_KEYWORDS_EQTY_200001648_Reference_Data">#REF!</definedName>
    <definedName name="E_ALL_SECTION_KEYWORDS_ISSR_208000604_1314">#REF!</definedName>
    <definedName name="E_ALL_SECTION_KEYWORDS_ISSR_208000604_13168">#REF!</definedName>
    <definedName name="E_ALL_SECTION_KEYWORDS_ISSR_208000604_1316S">#REF!</definedName>
    <definedName name="E_ALL_SECTION_KEYWORDS_ISSR_208000604_1316T">#REF!</definedName>
    <definedName name="E_ALL_SECTION_KEYWORDS_ISSR_208000604_1316U">#REF!</definedName>
    <definedName name="E_ALL_SECTION_KEYWORDS_ISSR_208000604_1319">#REF!</definedName>
    <definedName name="E_ALL_SECTION_KEYWORDS_ISSR_208000604_131E">#REF!</definedName>
    <definedName name="E_ALL_SECTION_KEYWORDS_ISSR_208000604_131J">#REF!</definedName>
    <definedName name="E_ALL_SECTION_KEYWORDS_ISSR_208000604_131O">#REF!</definedName>
    <definedName name="E_ALL_SECTION_KEYWORDS_ISSR_208000604_136E">#REF!,#REF!</definedName>
    <definedName name="E_ALL_SECTION_KEYWORDS_ISSR_208000604_13A">#REF!</definedName>
    <definedName name="E_ALL_SECTION_KEYWORDS_ISSR_208000604_13U">#REF!</definedName>
    <definedName name="E_ALL_SECTION_KEYWORDS_ISSR_208000604_13V">#REF!</definedName>
    <definedName name="E_ALL_SECTION_KEYWORDS_ISSR_208000604_Reference_Data">#REF!</definedName>
    <definedName name="E_ALL_SECTIONS_EQTY_200001648">#REF!,#REF!,#REF!,#REF!,#REF!,#REF!,#REF!,#REF!,#REF!,#REF!</definedName>
    <definedName name="E_CURRENCY_EQTY_200001648_PRI">#REF!</definedName>
    <definedName name="E_CURRENCY_EQTY_200001648_PUB">#REF!</definedName>
    <definedName name="E_CURRENCY_EQTY_200001648_REP">#REF!</definedName>
    <definedName name="E_CURRENCY_ISSR_208000604_REP">#REF!</definedName>
    <definedName name="E_KEYWORD_EQTY_200001648_AMER_LIST">#REF!</definedName>
    <definedName name="E_KEYWORD_EQTY_200001648_BETA_ANALYST">#REF!</definedName>
    <definedName name="E_KEYWORD_EQTY_200001648_BVPS">#REF!</definedName>
    <definedName name="E_KEYWORD_EQTY_200001648_BVPS_PUB">#REF!</definedName>
    <definedName name="E_KEYWORD_EQTY_200001648_CEEE_EPS">#REF!</definedName>
    <definedName name="E_KEYWORD_EQTY_200001648_CF_NI_PRE_PREF">#REF!</definedName>
    <definedName name="E_KEYWORD_EQTY_200001648_COMMON_DIV_PAID">#REF!</definedName>
    <definedName name="E_KEYWORD_EQTY_200001648_CURRENCY_ISO">#REF!</definedName>
    <definedName name="E_KEYWORD_EQTY_200001648_DILUTE_SHARES">#REF!</definedName>
    <definedName name="E_KEYWORD_EQTY_200001648_DPS">#REF!</definedName>
    <definedName name="E_KEYWORD_EQTY_200001648_DPS_PUB">#REF!</definedName>
    <definedName name="E_KEYWORD_EQTY_200001648_EBIT_PUB">#REF!</definedName>
    <definedName name="E_KEYWORD_EQTY_200001648_EBITDA_PUB">#REF!</definedName>
    <definedName name="E_KEYWORD_EQTY_200001648_EPS">#REF!</definedName>
    <definedName name="E_KEYWORD_EQTY_200001648_EPS_EX_ESO_B">#REF!</definedName>
    <definedName name="E_KEYWORD_EQTY_200001648_EPS_EX_ESO_D">#REF!</definedName>
    <definedName name="E_KEYWORD_EQTY_200001648_EPS_FUL_DIL">#REF!</definedName>
    <definedName name="E_KEYWORD_EQTY_200001648_EPS_POST_BASIC">#REF!</definedName>
    <definedName name="E_KEYWORD_EQTY_200001648_EPS_PUB">#REF!</definedName>
    <definedName name="E_KEYWORD_EQTY_200001648_EPS_PUB_EX_ESO">#REF!</definedName>
    <definedName name="E_KEYWORD_EQTY_200001648_EQ_PUB">#REF!</definedName>
    <definedName name="E_KEYWORD_EQTY_200001648_ESO_POST_TAX">#REF!</definedName>
    <definedName name="E_KEYWORD_EQTY_200001648_ESO_YEAR">#REF!</definedName>
    <definedName name="E_KEYWORD_EQTY_200001648_EV_ADJ_PUB">#REF!</definedName>
    <definedName name="E_KEYWORD_EQTY_200001648_FREE_FLOAT">#REF!</definedName>
    <definedName name="E_KEYWORD_EQTY_200001648_FULLY_DIL_EPS">#REF!</definedName>
    <definedName name="E_KEYWORD_EQTY_200001648_FV_GRANT">#REF!</definedName>
    <definedName name="E_KEYWORD_EQTY_200001648_INC_MINORITY">#REF!</definedName>
    <definedName name="E_KEYWORD_EQTY_200001648_Interim_Type">#REF!</definedName>
    <definedName name="E_KEYWORD_EQTY_200001648_LEGAL_RATING">#REF!</definedName>
    <definedName name="E_KEYWORD_EQTY_200001648_MARGIN_TAX_RATE">#REF!</definedName>
    <definedName name="E_KEYWORD_EQTY_200001648_MKT_EQ_RISK_PREM">#REF!</definedName>
    <definedName name="E_KEYWORD_EQTY_200001648_NET_DEBT_PUB">#REF!</definedName>
    <definedName name="E_KEYWORD_EQTY_200001648_NET_EARNING">#REF!</definedName>
    <definedName name="E_KEYWORD_EQTY_200001648_NET_INC">#REF!</definedName>
    <definedName name="E_KEYWORD_EQTY_200001648_NI_PRE_PREF">#REF!</definedName>
    <definedName name="E_KEYWORD_EQTY_200001648_NI_PUB">#REF!</definedName>
    <definedName name="E_KEYWORD_EQTY_200001648_NON_OP_ADD">#REF!</definedName>
    <definedName name="E_KEYWORD_EQTY_200001648_NUM_SH">#REF!</definedName>
    <definedName name="E_KEYWORD_EQTY_200001648_PREF_DIV">#REF!</definedName>
    <definedName name="E_KEYWORD_EQTY_200001648_PRICE_CURRENCY_ISO">#REF!</definedName>
    <definedName name="E_KEYWORD_EQTY_200001648_PROV_INC_TAX">#REF!</definedName>
    <definedName name="E_KEYWORD_EQTY_200001648_PTP_PUB">#REF!</definedName>
    <definedName name="E_KEYWORD_EQTY_200001648_PUB_CURRENCY_ISO">#REF!</definedName>
    <definedName name="E_KEYWORD_EQTY_200001648_REPUR_ACTUAL">#REF!</definedName>
    <definedName name="E_KEYWORD_EQTY_200001648_REPUR_REMAINING">#REF!</definedName>
    <definedName name="E_KEYWORD_EQTY_200001648_REPUR_SUSPENDED">#REF!</definedName>
    <definedName name="E_KEYWORD_EQTY_200001648_REPUR_TOT_AUTH">#REF!</definedName>
    <definedName name="E_KEYWORD_EQTY_200001648_REVS_PUB">#REF!</definedName>
    <definedName name="E_KEYWORD_EQTY_200001648_RISK_FR_RATE">#REF!</definedName>
    <definedName name="E_KEYWORD_EQTY_200001648_Security_Name">#REF!</definedName>
    <definedName name="E_KEYWORD_EQTY_200001648_SH">#REF!</definedName>
    <definedName name="E_KEYWORD_EQTY_200001648_TARGET_PRICE">#REF!</definedName>
    <definedName name="E_KEYWORD_EQTY_200001648_TAX_EXC">#REF!</definedName>
    <definedName name="E_KEYWORD_EQTY_200001648_Ticker">#REF!</definedName>
    <definedName name="E_KEYWORD_EQTY_200001648_TP_PERIOD">#REF!</definedName>
    <definedName name="E_KEYWORD_ISSR_208000604_ACC_AMORT">#REF!</definedName>
    <definedName name="E_KEYWORD_ISSR_208000604_ACC_DDA">#REF!</definedName>
    <definedName name="E_KEYWORD_ISSR_208000604_ACC_END_DATE">#REF!</definedName>
    <definedName name="E_KEYWORD_ISSR_208000604_ACC_PAY_GQ">#REF!</definedName>
    <definedName name="E_KEYWORD_ISSR_208000604_ACQ">#REF!</definedName>
    <definedName name="E_KEYWORD_ISSR_208000604_ADJ_UNF_PENS_GOOD">#REF!</definedName>
    <definedName name="E_KEYWORD_ISSR_208000604_ASSOC_JV_ADDBK">#REF!</definedName>
    <definedName name="E_KEYWORD_ISSR_208000604_ASSOCIATE">#REF!</definedName>
    <definedName name="E_KEYWORD_ISSR_208000604_ASSOCIATE_OP">#REF!</definedName>
    <definedName name="E_KEYWORD_ISSR_208000604_BAL_MINO_INT">#REF!</definedName>
    <definedName name="E_KEYWORD_ISSR_208000604_CAP_LEASES">#REF!</definedName>
    <definedName name="E_KEYWORD_ISSR_208000604_CAPEX">#REF!</definedName>
    <definedName name="E_KEYWORD_ISSR_208000604_CAPEX_EXPANSION">#REF!</definedName>
    <definedName name="E_KEYWORD_ISSR_208000604_CAPEX_MAINTENANCE">#REF!</definedName>
    <definedName name="E_KEYWORD_ISSR_208000604_CASH_EQ">#REF!</definedName>
    <definedName name="E_KEYWORD_ISSR_208000604_CASH_INT_EXP">#REF!</definedName>
    <definedName name="E_KEYWORD_ISSR_208000604_CASH_PCT_OS_US">#REF!</definedName>
    <definedName name="E_KEYWORD_ISSR_208000604_CASH_TAX_EXP">#REF!</definedName>
    <definedName name="E_KEYWORD_ISSR_208000604_CF_FIN">#REF!</definedName>
    <definedName name="E_KEYWORD_ISSR_208000604_CF_INC_MINORITY">#REF!</definedName>
    <definedName name="E_KEYWORD_ISSR_208000604_CF_INV">#REF!</definedName>
    <definedName name="E_KEYWORD_ISSR_208000604_CF_OPS">#REF!</definedName>
    <definedName name="E_KEYWORD_ISSR_208000604_CHG_LT_DEBT">#REF!</definedName>
    <definedName name="E_KEYWORD_ISSR_208000604_CO_BOR_MARGIN">#REF!</definedName>
    <definedName name="E_KEYWORD_ISSR_208000604_COST_GD_SD">#REF!</definedName>
    <definedName name="E_KEYWORD_ISSR_208000604_CUR_ASS">#REF!</definedName>
    <definedName name="E_KEYWORD_ISSR_208000604_CURRENCY_ISO">#REF!</definedName>
    <definedName name="E_KEYWORD_ISSR_208000604_DEBTORS">#REF!</definedName>
    <definedName name="E_KEYWORD_ISSR_208000604_DEF_INC_TAX">#REF!</definedName>
    <definedName name="E_KEYWORD_ISSR_208000604_DEPR_AMORT">#REF!</definedName>
    <definedName name="E_KEYWORD_ISSR_208000604_DEPREC">#REF!</definedName>
    <definedName name="E_KEYWORD_ISSR_208000604_DIV_PAID">#REF!</definedName>
    <definedName name="E_KEYWORD_ISSR_208000604_DIVDS_ASSOC_JV">#REF!</definedName>
    <definedName name="E_KEYWORD_ISSR_208000604_DIVDS_PD_MINORITIES">#REF!</definedName>
    <definedName name="E_KEYWORD_ISSR_208000604_DIVEST">#REF!</definedName>
    <definedName name="E_KEYWORD_ISSR_208000604_EBIT">#REF!</definedName>
    <definedName name="E_KEYWORD_ISSR_208000604_EBIT_FIN_SEGMENT">#REF!</definedName>
    <definedName name="E_KEYWORD_ISSR_208000604_EBITDA_CALC">#REF!</definedName>
    <definedName name="E_KEYWORD_ISSR_208000604_EMPLOYEES">#REF!</definedName>
    <definedName name="E_KEYWORD_ISSR_208000604_EQ">#REF!</definedName>
    <definedName name="E_KEYWORD_ISSR_208000604_ESO_PRE_TAX">#REF!</definedName>
    <definedName name="E_KEYWORD_ISSR_208000604_EXP_ALUMINIUM">#REF!</definedName>
    <definedName name="E_KEYWORD_ISSR_208000604_EXP_COPPER">#REF!</definedName>
    <definedName name="E_KEYWORD_ISSR_208000604_EXP_GLASS">#REF!</definedName>
    <definedName name="E_KEYWORD_ISSR_208000604_EXP_GOLD">#REF!</definedName>
    <definedName name="E_KEYWORD_ISSR_208000604_EXP_NAT_GAS">#REF!</definedName>
    <definedName name="E_KEYWORD_ISSR_208000604_EXP_NICKEL">#REF!</definedName>
    <definedName name="E_KEYWORD_ISSR_208000604_EXP_OIL_DERIV_NGLS_PLASTICS">#REF!</definedName>
    <definedName name="E_KEYWORD_ISSR_208000604_EXP_OIL_PETRO_FUEL">#REF!</definedName>
    <definedName name="E_KEYWORD_ISSR_208000604_EXP_OTH_COMMODITY">#REF!</definedName>
    <definedName name="E_KEYWORD_ISSR_208000604_EXP_OTH_COST">#REF!</definedName>
    <definedName name="E_KEYWORD_ISSR_208000604_EXP_PALLADIUM">#REF!</definedName>
    <definedName name="E_KEYWORD_ISSR_208000604_EXP_PLATINUM">#REF!</definedName>
    <definedName name="E_KEYWORD_ISSR_208000604_EXP_RUBBER">#REF!</definedName>
    <definedName name="E_KEYWORD_ISSR_208000604_EXP_SILVER">#REF!</definedName>
    <definedName name="E_KEYWORD_ISSR_208000604_EXP_STEEL">#REF!</definedName>
    <definedName name="E_KEYWORD_ISSR_208000604_EXP_WATER">#REF!</definedName>
    <definedName name="E_KEYWORD_ISSR_208000604_EXP_ZINC">#REF!</definedName>
    <definedName name="E_KEYWORD_ISSR_208000604_FIX_ASS_INV">#REF!</definedName>
    <definedName name="E_KEYWORD_ISSR_208000604_GCI_INFL">#REF!</definedName>
    <definedName name="E_KEYWORD_ISSR_208000604_GOODWILL_AMORT">#REF!</definedName>
    <definedName name="E_KEYWORD_ISSR_208000604_GR_FIX_ASS">#REF!</definedName>
    <definedName name="E_KEYWORD_ISSR_208000604_GR_INTANG">#REF!</definedName>
    <definedName name="E_KEYWORD_ISSR_208000604_INT_EXP_IND">#REF!</definedName>
    <definedName name="E_KEYWORD_ISSR_208000604_INT_INC_IND">#REF!</definedName>
    <definedName name="E_KEYWORD_ISSR_208000604_INV_SECUR">#REF!</definedName>
    <definedName name="E_KEYWORD_ISSR_208000604_Issuer_Name">#REF!</definedName>
    <definedName name="E_KEYWORD_ISSR_208000604_LEASE_DEEM_DEPR">#REF!</definedName>
    <definedName name="E_KEYWORD_ISSR_208000604_LEASE_DEEM_INT">#REF!</definedName>
    <definedName name="E_KEYWORD_ISSR_208000604_LEASE_PAY">#REF!</definedName>
    <definedName name="E_KEYWORD_ISSR_208000604_LT_DEBT">#REF!</definedName>
    <definedName name="E_KEYWORD_ISSR_208000604_MA_PROB">#REF!</definedName>
    <definedName name="E_KEYWORD_ISSR_208000604_MINORITIES">#REF!</definedName>
    <definedName name="E_KEYWORD_ISSR_208000604_MV_ASSOCIATES">#REF!</definedName>
    <definedName name="E_KEYWORD_ISSR_208000604_NET_DEBT">#REF!</definedName>
    <definedName name="E_KEYWORD_ISSR_208000604_NET_DEBT_ADJ">#REF!</definedName>
    <definedName name="E_KEYWORD_ISSR_208000604_NET_FIX_ASS">#REF!</definedName>
    <definedName name="E_KEYWORD_ISSR_208000604_NET_INT_CH">#REF!</definedName>
    <definedName name="E_KEYWORD_ISSR_208000604_NET_INT_EXP">#REF!</definedName>
    <definedName name="E_KEYWORD_ISSR_208000604_NET_INTANG">#REF!</definedName>
    <definedName name="E_KEYWORD_ISSR_208000604_NONPPE_CAPEX">#REF!</definedName>
    <definedName name="E_KEYWORD_ISSR_208000604_OP_COST">#REF!</definedName>
    <definedName name="E_KEYWORD_ISSR_208000604_ORD_SH_FUND">#REF!</definedName>
    <definedName name="E_KEYWORD_ISSR_208000604_OTH_COST_INC">#REF!</definedName>
    <definedName name="E_KEYWORD_ISSR_208000604_OTH_CUR_ASS">#REF!</definedName>
    <definedName name="E_KEYWORD_ISSR_208000604_OTH_CUR_LIABS">#REF!</definedName>
    <definedName name="E_KEYWORD_ISSR_208000604_OTH_DACF_ADJ">#REF!</definedName>
    <definedName name="E_KEYWORD_ISSR_208000604_OTH_FIN_CF">#REF!</definedName>
    <definedName name="E_KEYWORD_ISSR_208000604_OTH_GCI_ADJ">#REF!</definedName>
    <definedName name="E_KEYWORD_ISSR_208000604_OTH_INV_CF">#REF!</definedName>
    <definedName name="E_KEYWORD_ISSR_208000604_OTH_LT_ASS">#REF!</definedName>
    <definedName name="E_KEYWORD_ISSR_208000604_OTH_LT_CRED_GQ">#REF!</definedName>
    <definedName name="E_KEYWORD_ISSR_208000604_OTH_NONCASH_ADJ">#REF!</definedName>
    <definedName name="E_KEYWORD_ISSR_208000604_OTH_OP_CF">#REF!</definedName>
    <definedName name="E_KEYWORD_ISSR_208000604_OTH_OP_INC_EXP">#REF!</definedName>
    <definedName name="E_KEYWORD_ISSR_208000604_PERIOD_MILESTONE">#REF!</definedName>
    <definedName name="E_KEYWORD_ISSR_208000604_PL_SALE_ASSETS">#REF!</definedName>
    <definedName name="E_KEYWORD_ISSR_208000604_PREF_SH">#REF!</definedName>
    <definedName name="E_KEYWORD_ISSR_208000604_PROFIT_ON_DISP">#REF!</definedName>
    <definedName name="E_KEYWORD_ISSR_208000604_PT_PROF">#REF!</definedName>
    <definedName name="E_KEYWORD_ISSR_208000604_RD_EXP">#REF!</definedName>
    <definedName name="E_KEYWORD_ISSR_208000604_REV_FIN_SEGMENT">#REF!</definedName>
    <definedName name="E_KEYWORD_ISSR_208000604_SALES">#REF!</definedName>
    <definedName name="E_KEYWORD_ISSR_208000604_SALES_ARGENTINA">#REF!</definedName>
    <definedName name="E_KEYWORD_ISSR_208000604_SALES_BRAZIL">#REF!</definedName>
    <definedName name="E_KEYWORD_ISSR_208000604_SALES_CANADA">#REF!</definedName>
    <definedName name="E_KEYWORD_ISSR_208000604_SALES_CEE">#REF!</definedName>
    <definedName name="E_KEYWORD_ISSR_208000604_SALES_CHILE">#REF!</definedName>
    <definedName name="E_KEYWORD_ISSR_208000604_SALES_CHINA">#REF!</definedName>
    <definedName name="E_KEYWORD_ISSR_208000604_SALES_COLOMBIA">#REF!</definedName>
    <definedName name="E_KEYWORD_ISSR_208000604_SALES_CONS">#REF!</definedName>
    <definedName name="E_KEYWORD_ISSR_208000604_SALES_EU_EX_UK">#REF!</definedName>
    <definedName name="E_KEYWORD_ISSR_208000604_SALES_FINAN">#REF!</definedName>
    <definedName name="E_KEYWORD_ISSR_208000604_SALES_FX_ARS">#REF!</definedName>
    <definedName name="E_KEYWORD_ISSR_208000604_SALES_FX_BRL">#REF!</definedName>
    <definedName name="E_KEYWORD_ISSR_208000604_SALES_FX_CAD">#REF!</definedName>
    <definedName name="E_KEYWORD_ISSR_208000604_SALES_FX_CLP">#REF!</definedName>
    <definedName name="E_KEYWORD_ISSR_208000604_SALES_FX_CNY">#REF!</definedName>
    <definedName name="E_KEYWORD_ISSR_208000604_SALES_FX_COP">#REF!</definedName>
    <definedName name="E_KEYWORD_ISSR_208000604_SALES_FX_EUR">#REF!</definedName>
    <definedName name="E_KEYWORD_ISSR_208000604_SALES_FX_GPB">#REF!</definedName>
    <definedName name="E_KEYWORD_ISSR_208000604_SALES_FX_INR">#REF!</definedName>
    <definedName name="E_KEYWORD_ISSR_208000604_SALES_FX_MXN">#REF!</definedName>
    <definedName name="E_KEYWORD_ISSR_208000604_SALES_FX_OTH">#REF!</definedName>
    <definedName name="E_KEYWORD_ISSR_208000604_SALES_FX_RUB">#REF!</definedName>
    <definedName name="E_KEYWORD_ISSR_208000604_SALES_FX_USD">#REF!</definedName>
    <definedName name="E_KEYWORD_ISSR_208000604_SALES_FX_VEF">#REF!</definedName>
    <definedName name="E_KEYWORD_ISSR_208000604_SALES_FX_YEN">#REF!</definedName>
    <definedName name="E_KEYWORD_ISSR_208000604_SALES_GOV">#REF!</definedName>
    <definedName name="E_KEYWORD_ISSR_208000604_SALES_IND">#REF!</definedName>
    <definedName name="E_KEYWORD_ISSR_208000604_SALES_INDIA">#REF!</definedName>
    <definedName name="E_KEYWORD_ISSR_208000604_SALES_JAPAN">#REF!</definedName>
    <definedName name="E_KEYWORD_ISSR_208000604_SALES_ME">#REF!</definedName>
    <definedName name="E_KEYWORD_ISSR_208000604_SALES_MEXICO">#REF!</definedName>
    <definedName name="E_KEYWORD_ISSR_208000604_SALES_OTH_AEJ">#REF!</definedName>
    <definedName name="E_KEYWORD_ISSR_208000604_SALES_OTH_AM">#REF!</definedName>
    <definedName name="E_KEYWORD_ISSR_208000604_SALES_OTH_COMMODITY">#REF!</definedName>
    <definedName name="E_KEYWORD_ISSR_208000604_SALES_OTH_EMEA">#REF!</definedName>
    <definedName name="E_KEYWORD_ISSR_208000604_SALES_OTH_SALES_SOURCES">#REF!</definedName>
    <definedName name="E_KEYWORD_ISSR_208000604_SALES_OTHER">#REF!</definedName>
    <definedName name="E_KEYWORD_ISSR_208000604_SALES_RUSSIA">#REF!</definedName>
    <definedName name="E_KEYWORD_ISSR_208000604_SALES_SMB">#REF!</definedName>
    <definedName name="E_KEYWORD_ISSR_208000604_SALES_TOT_AFRICA">#REF!</definedName>
    <definedName name="E_KEYWORD_ISSR_208000604_SALES_TOT_AM">#REF!</definedName>
    <definedName name="E_KEYWORD_ISSR_208000604_SALES_TOT_ASIA">#REF!</definedName>
    <definedName name="E_KEYWORD_ISSR_208000604_SALES_TOT_EMEA">#REF!</definedName>
    <definedName name="E_KEYWORD_ISSR_208000604_SALES_UK">#REF!</definedName>
    <definedName name="E_KEYWORD_ISSR_208000604_SALES_US">#REF!</definedName>
    <definedName name="E_KEYWORD_ISSR_208000604_SALES_VENEZUELA">#REF!</definedName>
    <definedName name="E_KEYWORD_ISSR_208000604_SEL_GL_AD">#REF!</definedName>
    <definedName name="E_KEYWORD_ISSR_208000604_SH_REPUR">#REF!</definedName>
    <definedName name="E_KEYWORD_ISSR_208000604_SHORT_T_DEBT">#REF!</definedName>
    <definedName name="E_KEYWORD_ISSR_208000604_SHORT_TERM_LIABS">#REF!</definedName>
    <definedName name="E_KEYWORD_ISSR_208000604_STOCKS">#REF!</definedName>
    <definedName name="E_KEYWORD_ISSR_208000604_TOT_ASSET">#REF!</definedName>
    <definedName name="E_KEYWORD_ISSR_208000604_TOT_CF">#REF!</definedName>
    <definedName name="E_KEYWORD_ISSR_208000604_TOT_LIAB">#REF!</definedName>
    <definedName name="E_KEYWORD_ISSR_208000604_TOT_LIAB_EQ">#REF!</definedName>
    <definedName name="E_KEYWORD_ISSR_208000604_TOT_LT_LIAB">#REF!</definedName>
    <definedName name="E_KEYWORD_ISSR_208000604_TOT_OPS_EXP">#REF!</definedName>
    <definedName name="E_KEYWORD_ISSR_208000604_TOT_OPS_EXP_DDA">#REF!</definedName>
    <definedName name="E_KEYWORD_ISSR_208000604_UNF_PENS">#REF!</definedName>
    <definedName name="E_KEYWORD_ISSR_208000604_UNF_PENS_LIAB_OTH">#REF!</definedName>
    <definedName name="E_KEYWORD_ISSR_208000604_UNF_PENS_OFF">#REF!</definedName>
    <definedName name="E_KEYWORD_ISSR_208000604_WORK_CAP">#REF!</definedName>
    <definedName name="E_LIVEDATA_EQTY_200001648">#REF!</definedName>
    <definedName name="E_LIVEDATA_ISSR_208000604">#REF!</definedName>
    <definedName name="E_PERIOD_1994">#REF!</definedName>
    <definedName name="E_PERIOD_1995">#REF!</definedName>
    <definedName name="E_PERIOD_1996">#REF!</definedName>
    <definedName name="E_PERIOD_1997">#REF!</definedName>
    <definedName name="E_PERIOD_1998">#REF!</definedName>
    <definedName name="E_PERIOD_1999">#REF!</definedName>
    <definedName name="E_PERIOD_2000">#REF!</definedName>
    <definedName name="E_PERIOD_2001">#REF!</definedName>
    <definedName name="E_PERIOD_2002">#REF!</definedName>
    <definedName name="E_PERIOD_2003">#REF!</definedName>
    <definedName name="E_PERIOD_2003_Q1">#REF!</definedName>
    <definedName name="E_PERIOD_2003_Q2">#REF!</definedName>
    <definedName name="E_PERIOD_2003_Q3">#REF!</definedName>
    <definedName name="E_PERIOD_2003_Q4">#REF!</definedName>
    <definedName name="E_PERIOD_2004">#REF!</definedName>
    <definedName name="E_PERIOD_2004_Q1">#REF!</definedName>
    <definedName name="E_PERIOD_2004_Q2">#REF!</definedName>
    <definedName name="E_PERIOD_2004_Q3">#REF!</definedName>
    <definedName name="E_PERIOD_2004_Q4">#REF!</definedName>
    <definedName name="E_PERIOD_2005">#REF!</definedName>
    <definedName name="E_PERIOD_2005_Q1">#REF!</definedName>
    <definedName name="E_PERIOD_2005_Q2">#REF!</definedName>
    <definedName name="E_PERIOD_2005_Q3">#REF!</definedName>
    <definedName name="E_PERIOD_2005_Q4">#REF!</definedName>
    <definedName name="E_PERIOD_2006">#REF!</definedName>
    <definedName name="E_PERIOD_2006_Q1">#REF!</definedName>
    <definedName name="E_PERIOD_2006_Q2">#REF!</definedName>
    <definedName name="E_PERIOD_2006_Q3">#REF!</definedName>
    <definedName name="E_PERIOD_2006_Q4">#REF!</definedName>
    <definedName name="E_PERIOD_2007">#REF!</definedName>
    <definedName name="E_PERIOD_2007_Q1">#REF!</definedName>
    <definedName name="E_PERIOD_2007_Q2">#REF!</definedName>
    <definedName name="E_PERIOD_2007_Q3">#REF!</definedName>
    <definedName name="E_PERIOD_2007_Q4">#REF!</definedName>
    <definedName name="E_PERIOD_2008">#REF!</definedName>
    <definedName name="E_PERIOD_2008_Q1">#REF!</definedName>
    <definedName name="E_PERIOD_2008_Q2">#REF!</definedName>
    <definedName name="E_PERIOD_2008_Q3">#REF!</definedName>
    <definedName name="E_PERIOD_2008_Q4">#REF!</definedName>
    <definedName name="E_PERIOD_2009">#REF!</definedName>
    <definedName name="E_PERIOD_2009_Q1">#REF!</definedName>
    <definedName name="E_PERIOD_2009_Q2">#REF!</definedName>
    <definedName name="E_PERIOD_2009_Q3">#REF!</definedName>
    <definedName name="E_PERIOD_2009_Q4">#REF!</definedName>
    <definedName name="E_PERIOD_2010">#REF!</definedName>
    <definedName name="E_PERIOD_2010_Q1">#REF!</definedName>
    <definedName name="E_PERIOD_2010_Q2">#REF!</definedName>
    <definedName name="E_PERIOD_2010_Q3">#REF!</definedName>
    <definedName name="E_PERIOD_2010_Q4">#REF!</definedName>
    <definedName name="E_PERIOD_2011">#REF!</definedName>
    <definedName name="E_PERIOD_2011_Q1">#REF!</definedName>
    <definedName name="E_PERIOD_2011_Q2">#REF!</definedName>
    <definedName name="E_PERIOD_2011_Q3">#REF!</definedName>
    <definedName name="E_PERIOD_2011_Q4">#REF!</definedName>
    <definedName name="E_PERIOD_2012">#REF!</definedName>
    <definedName name="E_PERIOD_2012_Q1">#REF!</definedName>
    <definedName name="E_PERIOD_2012_Q2">#REF!</definedName>
    <definedName name="E_PERIOD_2012_Q3">#REF!</definedName>
    <definedName name="E_PERIOD_2012_Q4">#REF!</definedName>
    <definedName name="E_PERIOD_2013">#REF!</definedName>
    <definedName name="E_PERIOD_2013_Q1">#REF!</definedName>
    <definedName name="E_PERIOD_2013_Q2">#REF!</definedName>
    <definedName name="E_PERIOD_2013_Q3">#REF!</definedName>
    <definedName name="E_PERIOD_2013_Q4">#REF!</definedName>
    <definedName name="E_PERIOD_2014">#REF!</definedName>
    <definedName name="E_PERIOD_2014_Q1">#REF!</definedName>
    <definedName name="E_PERIOD_2014_Q2">#REF!</definedName>
    <definedName name="E_PERIOD_2014_Q3">#REF!</definedName>
    <definedName name="E_PERIOD_2014_Q4">#REF!</definedName>
    <definedName name="E_PERIOD_2015">#REF!</definedName>
    <definedName name="E_PERIOD_2016">#REF!</definedName>
    <definedName name="E_SECTION_EQTY_200001648_1314">#REF!</definedName>
    <definedName name="E_SECTION_EQTY_200001648_1319">#REF!</definedName>
    <definedName name="E_SECTION_EQTY_200001648_131E">#REF!</definedName>
    <definedName name="E_SECTION_EQTY_200001648_131O">#REF!</definedName>
    <definedName name="E_SECTION_EQTY_200001648_13A">#REF!</definedName>
    <definedName name="E_SECTION_EQTY_200001648_13K">#REF!</definedName>
    <definedName name="E_SECTION_EQTY_200001648_13U">#REF!</definedName>
    <definedName name="E_SECTION_EQTY_200001648_13V">#REF!</definedName>
    <definedName name="E_SECTION_EQTY_200001648_13W">#REF!</definedName>
    <definedName name="E_SECTION_EQTY_200001648_Reference_Data">#REF!</definedName>
    <definedName name="E_SECTION_ISSR_208000604_1314">#REF!</definedName>
    <definedName name="E_SECTION_ISSR_208000604_13168">#REF!</definedName>
    <definedName name="E_SECTION_ISSR_208000604_1316S">#REF!</definedName>
    <definedName name="E_SECTION_ISSR_208000604_1316T">#REF!</definedName>
    <definedName name="E_SECTION_ISSR_208000604_1316U">#REF!</definedName>
    <definedName name="E_SECTION_ISSR_208000604_1319">#REF!</definedName>
    <definedName name="E_SECTION_ISSR_208000604_131E">#REF!</definedName>
    <definedName name="E_SECTION_ISSR_208000604_131J">#REF!</definedName>
    <definedName name="E_SECTION_ISSR_208000604_131O">#REF!</definedName>
    <definedName name="E_SECTION_ISSR_208000604_13A">#REF!</definedName>
    <definedName name="E_SECTION_ISSR_208000604_13U">#REF!</definedName>
    <definedName name="E_SECTION_ISSR_208000604_13V">#REF!</definedName>
    <definedName name="E_SECTION_ISSR_208000604_Reference_Data">#REF!</definedName>
    <definedName name="ebitda">IS!$45:$45</definedName>
    <definedName name="eps">IS!#REF!</definedName>
    <definedName name="epsadj">IS!$29:$29</definedName>
    <definedName name="epsbas">IS!#REF!</definedName>
    <definedName name="epsbasop">IS!$21:$21</definedName>
    <definedName name="epsop">IS!$22:$22</definedName>
    <definedName name="fcf">CFLO!$47:$47</definedName>
    <definedName name="fcfni">CFLO!$48:$48</definedName>
    <definedName name="fcfsh">CFLO!$51:$51</definedName>
    <definedName name="fy.00">IS!$F:$F</definedName>
    <definedName name="fy.01">IS!$G:$G</definedName>
    <definedName name="fy.02">IS!$H:$H</definedName>
    <definedName name="fy.03">IS!$I:$I</definedName>
    <definedName name="fy.04">IS!$N:$N</definedName>
    <definedName name="fy.05">IS!$S:$S</definedName>
    <definedName name="fy.06">IS!$X:$X</definedName>
    <definedName name="fy.07">IS!$AC:$AC</definedName>
    <definedName name="fy.08">IS!$AH:$AH</definedName>
    <definedName name="fy.09">IS!$AM:$AM</definedName>
    <definedName name="fy.10">IS!$AR:$AR</definedName>
    <definedName name="fy.11">IS!$AW:$AW</definedName>
    <definedName name="fy.12">IS!$BB:$BB</definedName>
    <definedName name="fy.13">IS!$BG:$BG</definedName>
    <definedName name="fy.14">IS!$BL:$BL</definedName>
    <definedName name="fy.15">IS!$BQ:$BQ</definedName>
    <definedName name="fy.16">IS!$BV:$BV</definedName>
    <definedName name="fy.17">IS!$CA:$CA</definedName>
    <definedName name="fy.18">IS!$CF:$CF</definedName>
    <definedName name="fy.19">IS!$CK:$CK</definedName>
    <definedName name="fy.20">IS!$CP:$CP</definedName>
    <definedName name="fy.21">IS!$CU:$CU</definedName>
    <definedName name="fy.22">IS!$CZ:$CZ</definedName>
    <definedName name="fy.23">IS!$DE:$DE</definedName>
    <definedName name="fy.24">IS!$DJ:$DJ</definedName>
    <definedName name="fy.25">IS!$DO:$DO</definedName>
    <definedName name="fy.26">IS!$DT:$DT</definedName>
    <definedName name="fy.27">IS!$DU:$DU</definedName>
    <definedName name="fy.28">IS!$DV:$DV</definedName>
    <definedName name="fy.97">IS!$C:$C</definedName>
    <definedName name="fy.98">IS!$D:$D</definedName>
    <definedName name="fy.99">IS!$E:$E</definedName>
    <definedName name="goodwill">BS!$15:$15</definedName>
    <definedName name="grossprofit">IS!$8:$8</definedName>
    <definedName name="intangibles">BS!$16:$16</definedName>
    <definedName name="intexp">IS!$15:$15</definedName>
    <definedName name="inv">BS!$10:$10</definedName>
    <definedName name="L_ALL_KEYWORDS_TYPE_ScalarContributed_EQTY_200001648">#REF!,#REF!,#REF!,#REF!,#REF!</definedName>
    <definedName name="L_ALL_KEYWORDS_TYPE_ScalarContributed_ISSR_208000604">#REF!,#REF!</definedName>
    <definedName name="L_ALL_KEYWORDS_TYPE_ScalarReference_EQTY_200001648">#REF!</definedName>
    <definedName name="L_ALL_KEYWORDS_TYPE_ScalarReference_ISSR_208000604">#REF!</definedName>
    <definedName name="L_ALL_KEYWORDS_TYPE_Vector_EQTY_200001648">#REF!,#REF!,#REF!,#REF!,#REF!,#REF!,#REF!</definedName>
    <definedName name="L_ALL_KEYWORDS_TYPE_Vector_ISSR_208000604">#REF!,#REF!,#REF!,#REF!,#REF!,#REF!,#REF!,#REF!,#REF!</definedName>
    <definedName name="L_ALL_RTX">#REF!</definedName>
    <definedName name="L_ALL_SECTION_KEYWORDS_EQTY_200001648_1314">#REF!</definedName>
    <definedName name="L_ALL_SECTION_KEYWORDS_EQTY_200001648_1319">#REF!</definedName>
    <definedName name="L_ALL_SECTION_KEYWORDS_EQTY_200001648_131E">#REF!</definedName>
    <definedName name="L_ALL_SECTION_KEYWORDS_EQTY_200001648_131O">#REF!</definedName>
    <definedName name="L_ALL_SECTION_KEYWORDS_EQTY_200001648_13A">#REF!</definedName>
    <definedName name="L_ALL_SECTION_KEYWORDS_EQTY_200001648_13K">#REF!</definedName>
    <definedName name="L_ALL_SECTION_KEYWORDS_EQTY_200001648_13U">#REF!</definedName>
    <definedName name="L_ALL_SECTION_KEYWORDS_EQTY_200001648_13V">#REF!</definedName>
    <definedName name="L_ALL_SECTION_KEYWORDS_EQTY_200001648_13W">#REF!</definedName>
    <definedName name="L_ALL_SECTION_KEYWORDS_EQTY_200001648_Reference_Data">#REF!</definedName>
    <definedName name="L_ALL_SECTION_KEYWORDS_ISSR_208000604_1314">#REF!</definedName>
    <definedName name="L_ALL_SECTION_KEYWORDS_ISSR_208000604_13168">#REF!</definedName>
    <definedName name="L_ALL_SECTION_KEYWORDS_ISSR_208000604_1316S">#REF!</definedName>
    <definedName name="L_ALL_SECTION_KEYWORDS_ISSR_208000604_1316T">#REF!</definedName>
    <definedName name="L_ALL_SECTION_KEYWORDS_ISSR_208000604_1316U">#REF!</definedName>
    <definedName name="L_ALL_SECTION_KEYWORDS_ISSR_208000604_1319">#REF!</definedName>
    <definedName name="L_ALL_SECTION_KEYWORDS_ISSR_208000604_131E">#REF!</definedName>
    <definedName name="L_ALL_SECTION_KEYWORDS_ISSR_208000604_131J">#REF!</definedName>
    <definedName name="L_ALL_SECTION_KEYWORDS_ISSR_208000604_131O">#REF!</definedName>
    <definedName name="L_ALL_SECTION_KEYWORDS_ISSR_208000604_136E">#REF!,#REF!</definedName>
    <definedName name="L_ALL_SECTION_KEYWORDS_ISSR_208000604_13A">#REF!</definedName>
    <definedName name="L_ALL_SECTION_KEYWORDS_ISSR_208000604_13U">#REF!</definedName>
    <definedName name="L_ALL_SECTION_KEYWORDS_ISSR_208000604_13V">#REF!</definedName>
    <definedName name="L_ALL_SECTION_KEYWORDS_ISSR_208000604_Reference_Data">#REF!</definedName>
    <definedName name="L_ALL_SECTIONS_EQTY_200001648">#REF!,#REF!,#REF!,#REF!,#REF!,#REF!,#REF!,#REF!,#REF!,#REF!</definedName>
    <definedName name="L_ALL_UTX_">#REF!</definedName>
    <definedName name="L_CURRENCY_EQTY_200001648_PRI">#REF!</definedName>
    <definedName name="L_CURRENCY_EQTY_200001648_PUB">#REF!</definedName>
    <definedName name="L_CURRENCY_EQTY_200001648_REP">#REF!</definedName>
    <definedName name="L_CURRENCY_ISSR_208000604_REP">#REF!</definedName>
    <definedName name="L_KEYWORD_EQTY_200001648_AMER_LIST">#REF!</definedName>
    <definedName name="L_KEYWORD_EQTY_200001648_BETA_ANALYST">#REF!</definedName>
    <definedName name="L_KEYWORD_EQTY_200001648_BVPS">#REF!</definedName>
    <definedName name="L_KEYWORD_EQTY_200001648_BVPS_PUB">#REF!</definedName>
    <definedName name="L_KEYWORD_EQTY_200001648_CEEE_EPS">#REF!</definedName>
    <definedName name="L_KEYWORD_EQTY_200001648_CF_NI_PRE_PREF">#REF!</definedName>
    <definedName name="L_KEYWORD_EQTY_200001648_COMMON_DIV_PAID">#REF!</definedName>
    <definedName name="L_KEYWORD_EQTY_200001648_CURRENCY_ISO">#REF!</definedName>
    <definedName name="L_KEYWORD_EQTY_200001648_DILUTE_SHARES">#REF!</definedName>
    <definedName name="L_KEYWORD_EQTY_200001648_DPS">#REF!</definedName>
    <definedName name="L_KEYWORD_EQTY_200001648_DPS_PUB">#REF!</definedName>
    <definedName name="L_KEYWORD_EQTY_200001648_EBIT_PUB">#REF!</definedName>
    <definedName name="L_KEYWORD_EQTY_200001648_EBITDA_PUB">#REF!</definedName>
    <definedName name="L_KEYWORD_EQTY_200001648_EPS">#REF!</definedName>
    <definedName name="L_KEYWORD_EQTY_200001648_EPS_EX_ESO_B">#REF!</definedName>
    <definedName name="L_KEYWORD_EQTY_200001648_EPS_EX_ESO_D">#REF!</definedName>
    <definedName name="L_KEYWORD_EQTY_200001648_EPS_FUL_DIL">#REF!</definedName>
    <definedName name="L_KEYWORD_EQTY_200001648_EPS_POST_BASIC">#REF!</definedName>
    <definedName name="L_KEYWORD_EQTY_200001648_EPS_PUB">#REF!</definedName>
    <definedName name="L_KEYWORD_EQTY_200001648_EPS_PUB_EX_ESO">#REF!</definedName>
    <definedName name="L_KEYWORD_EQTY_200001648_EQ_PUB">#REF!</definedName>
    <definedName name="L_KEYWORD_EQTY_200001648_ESO_POST_TAX">#REF!</definedName>
    <definedName name="L_KEYWORD_EQTY_200001648_ESO_YEAR">#REF!</definedName>
    <definedName name="L_KEYWORD_EQTY_200001648_EV_ADJ_PUB">#REF!</definedName>
    <definedName name="L_KEYWORD_EQTY_200001648_FREE_FLOAT">#REF!</definedName>
    <definedName name="L_KEYWORD_EQTY_200001648_FULLY_DIL_EPS">#REF!</definedName>
    <definedName name="L_KEYWORD_EQTY_200001648_FV_GRANT">#REF!</definedName>
    <definedName name="L_KEYWORD_EQTY_200001648_INC_MINORITY">#REF!</definedName>
    <definedName name="L_KEYWORD_EQTY_200001648_Interim_Type">#REF!</definedName>
    <definedName name="L_KEYWORD_EQTY_200001648_LEGAL_RATING">#REF!</definedName>
    <definedName name="L_KEYWORD_EQTY_200001648_MARGIN_TAX_RATE">#REF!</definedName>
    <definedName name="L_KEYWORD_EQTY_200001648_MKT_EQ_RISK_PREM">#REF!</definedName>
    <definedName name="L_KEYWORD_EQTY_200001648_NET_DEBT_PUB">#REF!</definedName>
    <definedName name="L_KEYWORD_EQTY_200001648_NET_EARNING">#REF!</definedName>
    <definedName name="L_KEYWORD_EQTY_200001648_NET_INC">#REF!</definedName>
    <definedName name="L_KEYWORD_EQTY_200001648_NI_PRE_PREF">#REF!</definedName>
    <definedName name="L_KEYWORD_EQTY_200001648_NI_PUB">#REF!</definedName>
    <definedName name="L_KEYWORD_EQTY_200001648_NON_OP_ADD">#REF!</definedName>
    <definedName name="L_KEYWORD_EQTY_200001648_NUM_SH">#REF!</definedName>
    <definedName name="L_KEYWORD_EQTY_200001648_PREF_DIV">#REF!</definedName>
    <definedName name="L_KEYWORD_EQTY_200001648_PRICE_CURRENCY_ISO">#REF!</definedName>
    <definedName name="L_KEYWORD_EQTY_200001648_PROV_INC_TAX">#REF!</definedName>
    <definedName name="L_KEYWORD_EQTY_200001648_PTP_PUB">#REF!</definedName>
    <definedName name="L_KEYWORD_EQTY_200001648_PUB_CURRENCY_ISO">#REF!</definedName>
    <definedName name="L_KEYWORD_EQTY_200001648_REPUR_ACTUAL">#REF!</definedName>
    <definedName name="L_KEYWORD_EQTY_200001648_REPUR_REMAINING">#REF!</definedName>
    <definedName name="L_KEYWORD_EQTY_200001648_REPUR_SUSPENDED">#REF!</definedName>
    <definedName name="L_KEYWORD_EQTY_200001648_REPUR_TOT_AUTH">#REF!</definedName>
    <definedName name="L_KEYWORD_EQTY_200001648_REVS_PUB">#REF!</definedName>
    <definedName name="L_KEYWORD_EQTY_200001648_RISK_FR_RATE">#REF!</definedName>
    <definedName name="L_KEYWORD_EQTY_200001648_Security_Name">#REF!</definedName>
    <definedName name="L_KEYWORD_EQTY_200001648_SH">#REF!</definedName>
    <definedName name="L_KEYWORD_EQTY_200001648_TARGET_PRICE">#REF!</definedName>
    <definedName name="L_KEYWORD_EQTY_200001648_TAX_EXC">#REF!</definedName>
    <definedName name="L_KEYWORD_EQTY_200001648_Ticker">#REF!</definedName>
    <definedName name="L_KEYWORD_EQTY_200001648_TP_PERIOD">#REF!</definedName>
    <definedName name="L_KEYWORD_ISSR_208000604_ACC_AMORT">#REF!</definedName>
    <definedName name="L_KEYWORD_ISSR_208000604_ACC_DDA">#REF!</definedName>
    <definedName name="L_KEYWORD_ISSR_208000604_ACC_END_DATE">#REF!</definedName>
    <definedName name="L_KEYWORD_ISSR_208000604_ACC_PAY_GQ">#REF!</definedName>
    <definedName name="L_KEYWORD_ISSR_208000604_ACQ">#REF!</definedName>
    <definedName name="L_KEYWORD_ISSR_208000604_ADJ_UNF_PENS_GOOD">#REF!</definedName>
    <definedName name="L_KEYWORD_ISSR_208000604_ASSOC_JV_ADDBK">#REF!</definedName>
    <definedName name="L_KEYWORD_ISSR_208000604_ASSOCIATE">#REF!</definedName>
    <definedName name="L_KEYWORD_ISSR_208000604_ASSOCIATE_OP">#REF!</definedName>
    <definedName name="L_KEYWORD_ISSR_208000604_BAL_MINO_INT">#REF!</definedName>
    <definedName name="L_KEYWORD_ISSR_208000604_CAP_LEASES">#REF!</definedName>
    <definedName name="L_KEYWORD_ISSR_208000604_CAPEX">#REF!</definedName>
    <definedName name="L_KEYWORD_ISSR_208000604_CAPEX_EXPANSION">#REF!</definedName>
    <definedName name="L_KEYWORD_ISSR_208000604_CAPEX_MAINTENANCE">#REF!</definedName>
    <definedName name="L_KEYWORD_ISSR_208000604_CASH_EQ">#REF!</definedName>
    <definedName name="L_KEYWORD_ISSR_208000604_CASH_INT_EXP">#REF!</definedName>
    <definedName name="L_KEYWORD_ISSR_208000604_CASH_PCT_OS_US">#REF!</definedName>
    <definedName name="L_KEYWORD_ISSR_208000604_CASH_TAX_EXP">#REF!</definedName>
    <definedName name="L_KEYWORD_ISSR_208000604_CF_FIN">#REF!</definedName>
    <definedName name="L_KEYWORD_ISSR_208000604_CF_INC_MINORITY">#REF!</definedName>
    <definedName name="L_KEYWORD_ISSR_208000604_CF_INV">#REF!</definedName>
    <definedName name="L_KEYWORD_ISSR_208000604_CF_OPS">#REF!</definedName>
    <definedName name="L_KEYWORD_ISSR_208000604_CHG_LT_DEBT">#REF!</definedName>
    <definedName name="L_KEYWORD_ISSR_208000604_CO_BOR_MARGIN">#REF!</definedName>
    <definedName name="L_KEYWORD_ISSR_208000604_COST_GD_SD">#REF!</definedName>
    <definedName name="L_KEYWORD_ISSR_208000604_CUR_ASS">#REF!</definedName>
    <definedName name="L_KEYWORD_ISSR_208000604_CURRENCY_ISO">#REF!</definedName>
    <definedName name="L_KEYWORD_ISSR_208000604_DEBTORS">#REF!</definedName>
    <definedName name="L_KEYWORD_ISSR_208000604_DEF_INC_TAX">#REF!</definedName>
    <definedName name="L_KEYWORD_ISSR_208000604_DEPR_AMORT">#REF!</definedName>
    <definedName name="L_KEYWORD_ISSR_208000604_DEPREC">#REF!</definedName>
    <definedName name="L_KEYWORD_ISSR_208000604_DIV_PAID">#REF!</definedName>
    <definedName name="L_KEYWORD_ISSR_208000604_DIVDS_ASSOC_JV">#REF!</definedName>
    <definedName name="L_KEYWORD_ISSR_208000604_DIVDS_PD_MINORITIES">#REF!</definedName>
    <definedName name="L_KEYWORD_ISSR_208000604_DIVEST">#REF!</definedName>
    <definedName name="L_KEYWORD_ISSR_208000604_EBIT">#REF!</definedName>
    <definedName name="L_KEYWORD_ISSR_208000604_EBIT_FIN_SEGMENT">#REF!</definedName>
    <definedName name="L_KEYWORD_ISSR_208000604_EBITDA_CALC">#REF!</definedName>
    <definedName name="L_KEYWORD_ISSR_208000604_EMPLOYEES">#REF!</definedName>
    <definedName name="L_KEYWORD_ISSR_208000604_EQ">#REF!</definedName>
    <definedName name="L_KEYWORD_ISSR_208000604_ESO_PRE_TAX">#REF!</definedName>
    <definedName name="L_KEYWORD_ISSR_208000604_EXP_ALUMINIUM">#REF!</definedName>
    <definedName name="L_KEYWORD_ISSR_208000604_EXP_COPPER">#REF!</definedName>
    <definedName name="L_KEYWORD_ISSR_208000604_EXP_GLASS">#REF!</definedName>
    <definedName name="L_KEYWORD_ISSR_208000604_EXP_GOLD">#REF!</definedName>
    <definedName name="L_KEYWORD_ISSR_208000604_EXP_NAT_GAS">#REF!</definedName>
    <definedName name="L_KEYWORD_ISSR_208000604_EXP_NICKEL">#REF!</definedName>
    <definedName name="L_KEYWORD_ISSR_208000604_EXP_OIL_DERIV_NGLS_PLASTICS">#REF!</definedName>
    <definedName name="L_KEYWORD_ISSR_208000604_EXP_OIL_PETRO_FUEL">#REF!</definedName>
    <definedName name="L_KEYWORD_ISSR_208000604_EXP_OTH_COMMODITY">#REF!</definedName>
    <definedName name="L_KEYWORD_ISSR_208000604_EXP_OTH_COST">#REF!</definedName>
    <definedName name="L_KEYWORD_ISSR_208000604_EXP_PALLADIUM">#REF!</definedName>
    <definedName name="L_KEYWORD_ISSR_208000604_EXP_PLATINUM">#REF!</definedName>
    <definedName name="L_KEYWORD_ISSR_208000604_EXP_RUBBER">#REF!</definedName>
    <definedName name="L_KEYWORD_ISSR_208000604_EXP_SILVER">#REF!</definedName>
    <definedName name="L_KEYWORD_ISSR_208000604_EXP_STEEL">#REF!</definedName>
    <definedName name="L_KEYWORD_ISSR_208000604_EXP_WATER">#REF!</definedName>
    <definedName name="L_KEYWORD_ISSR_208000604_EXP_ZINC">#REF!</definedName>
    <definedName name="L_KEYWORD_ISSR_208000604_FIX_ASS_INV">#REF!</definedName>
    <definedName name="L_KEYWORD_ISSR_208000604_GCI_INFL">#REF!</definedName>
    <definedName name="L_KEYWORD_ISSR_208000604_GOODWILL_AMORT">#REF!</definedName>
    <definedName name="L_KEYWORD_ISSR_208000604_GR_FIX_ASS">#REF!</definedName>
    <definedName name="L_KEYWORD_ISSR_208000604_GR_INTANG">#REF!</definedName>
    <definedName name="L_KEYWORD_ISSR_208000604_INT_EXP_IND">#REF!</definedName>
    <definedName name="L_KEYWORD_ISSR_208000604_INT_INC_IND">#REF!</definedName>
    <definedName name="L_KEYWORD_ISSR_208000604_INV_SECUR">#REF!</definedName>
    <definedName name="L_KEYWORD_ISSR_208000604_Issuer_Name">#REF!</definedName>
    <definedName name="L_KEYWORD_ISSR_208000604_LEASE_DEEM_DEPR">#REF!</definedName>
    <definedName name="L_KEYWORD_ISSR_208000604_LEASE_DEEM_INT">#REF!</definedName>
    <definedName name="L_KEYWORD_ISSR_208000604_LEASE_PAY">#REF!</definedName>
    <definedName name="L_KEYWORD_ISSR_208000604_LT_DEBT">#REF!</definedName>
    <definedName name="L_KEYWORD_ISSR_208000604_MA_PROB">#REF!</definedName>
    <definedName name="L_KEYWORD_ISSR_208000604_MINORITIES">#REF!</definedName>
    <definedName name="L_KEYWORD_ISSR_208000604_MV_ASSOCIATES">#REF!</definedName>
    <definedName name="L_KEYWORD_ISSR_208000604_NET_DEBT">#REF!</definedName>
    <definedName name="L_KEYWORD_ISSR_208000604_NET_DEBT_ADJ">#REF!</definedName>
    <definedName name="L_KEYWORD_ISSR_208000604_NET_FIX_ASS">#REF!</definedName>
    <definedName name="L_KEYWORD_ISSR_208000604_NET_INT_CH">#REF!</definedName>
    <definedName name="L_KEYWORD_ISSR_208000604_NET_INT_EXP">#REF!</definedName>
    <definedName name="L_KEYWORD_ISSR_208000604_NET_INTANG">#REF!</definedName>
    <definedName name="L_KEYWORD_ISSR_208000604_NONPPE_CAPEX">#REF!</definedName>
    <definedName name="L_KEYWORD_ISSR_208000604_OP_COST">#REF!</definedName>
    <definedName name="L_KEYWORD_ISSR_208000604_ORD_SH_FUND">#REF!</definedName>
    <definedName name="L_KEYWORD_ISSR_208000604_OTH_COST_INC">#REF!</definedName>
    <definedName name="L_KEYWORD_ISSR_208000604_OTH_CUR_ASS">#REF!</definedName>
    <definedName name="L_KEYWORD_ISSR_208000604_OTH_CUR_LIABS">#REF!</definedName>
    <definedName name="L_KEYWORD_ISSR_208000604_OTH_DACF_ADJ">#REF!</definedName>
    <definedName name="L_KEYWORD_ISSR_208000604_OTH_FIN_CF">#REF!</definedName>
    <definedName name="L_KEYWORD_ISSR_208000604_OTH_GCI_ADJ">#REF!</definedName>
    <definedName name="L_KEYWORD_ISSR_208000604_OTH_INV_CF">#REF!</definedName>
    <definedName name="L_KEYWORD_ISSR_208000604_OTH_LT_ASS">#REF!</definedName>
    <definedName name="L_KEYWORD_ISSR_208000604_OTH_LT_CRED_GQ">#REF!</definedName>
    <definedName name="L_KEYWORD_ISSR_208000604_OTH_NONCASH_ADJ">#REF!</definedName>
    <definedName name="L_KEYWORD_ISSR_208000604_OTH_OP_CF">#REF!</definedName>
    <definedName name="L_KEYWORD_ISSR_208000604_OTH_OP_INC_EXP">#REF!</definedName>
    <definedName name="L_KEYWORD_ISSR_208000604_PERIOD_MILESTONE">#REF!</definedName>
    <definedName name="L_KEYWORD_ISSR_208000604_PL_SALE_ASSETS">#REF!</definedName>
    <definedName name="L_KEYWORD_ISSR_208000604_PREF_SH">#REF!</definedName>
    <definedName name="L_KEYWORD_ISSR_208000604_PROFIT_ON_DISP">#REF!</definedName>
    <definedName name="L_KEYWORD_ISSR_208000604_PT_PROF">#REF!</definedName>
    <definedName name="L_KEYWORD_ISSR_208000604_RD_EXP">#REF!</definedName>
    <definedName name="L_KEYWORD_ISSR_208000604_REV_FIN_SEGMENT">#REF!</definedName>
    <definedName name="L_KEYWORD_ISSR_208000604_SALES">#REF!</definedName>
    <definedName name="L_KEYWORD_ISSR_208000604_SALES_ARGENTINA">#REF!</definedName>
    <definedName name="L_KEYWORD_ISSR_208000604_SALES_BRAZIL">#REF!</definedName>
    <definedName name="L_KEYWORD_ISSR_208000604_SALES_CANADA">#REF!</definedName>
    <definedName name="L_KEYWORD_ISSR_208000604_SALES_CEE">#REF!</definedName>
    <definedName name="L_KEYWORD_ISSR_208000604_SALES_CHILE">#REF!</definedName>
    <definedName name="L_KEYWORD_ISSR_208000604_SALES_CHINA">#REF!</definedName>
    <definedName name="L_KEYWORD_ISSR_208000604_SALES_COLOMBIA">#REF!</definedName>
    <definedName name="L_KEYWORD_ISSR_208000604_SALES_CONS">#REF!</definedName>
    <definedName name="L_KEYWORD_ISSR_208000604_SALES_EU_EX_UK">#REF!</definedName>
    <definedName name="L_KEYWORD_ISSR_208000604_SALES_FINAN">#REF!</definedName>
    <definedName name="L_KEYWORD_ISSR_208000604_SALES_FX_ARS">#REF!</definedName>
    <definedName name="L_KEYWORD_ISSR_208000604_SALES_FX_BRL">#REF!</definedName>
    <definedName name="L_KEYWORD_ISSR_208000604_SALES_FX_CAD">#REF!</definedName>
    <definedName name="L_KEYWORD_ISSR_208000604_SALES_FX_CLP">#REF!</definedName>
    <definedName name="L_KEYWORD_ISSR_208000604_SALES_FX_CNY">#REF!</definedName>
    <definedName name="L_KEYWORD_ISSR_208000604_SALES_FX_COP">#REF!</definedName>
    <definedName name="L_KEYWORD_ISSR_208000604_SALES_FX_EUR">#REF!</definedName>
    <definedName name="L_KEYWORD_ISSR_208000604_SALES_FX_GPB">#REF!</definedName>
    <definedName name="L_KEYWORD_ISSR_208000604_SALES_FX_INR">#REF!</definedName>
    <definedName name="L_KEYWORD_ISSR_208000604_SALES_FX_MXN">#REF!</definedName>
    <definedName name="L_KEYWORD_ISSR_208000604_SALES_FX_OTH">#REF!</definedName>
    <definedName name="L_KEYWORD_ISSR_208000604_SALES_FX_RUB">#REF!</definedName>
    <definedName name="L_KEYWORD_ISSR_208000604_SALES_FX_USD">#REF!</definedName>
    <definedName name="L_KEYWORD_ISSR_208000604_SALES_FX_VEF">#REF!</definedName>
    <definedName name="L_KEYWORD_ISSR_208000604_SALES_FX_YEN">#REF!</definedName>
    <definedName name="L_KEYWORD_ISSR_208000604_SALES_GOV">#REF!</definedName>
    <definedName name="L_KEYWORD_ISSR_208000604_SALES_IND">#REF!</definedName>
    <definedName name="L_KEYWORD_ISSR_208000604_SALES_INDIA">#REF!</definedName>
    <definedName name="L_KEYWORD_ISSR_208000604_SALES_JAPAN">#REF!</definedName>
    <definedName name="L_KEYWORD_ISSR_208000604_SALES_ME">#REF!</definedName>
    <definedName name="L_KEYWORD_ISSR_208000604_SALES_MEXICO">#REF!</definedName>
    <definedName name="L_KEYWORD_ISSR_208000604_SALES_OTH_AEJ">#REF!</definedName>
    <definedName name="L_KEYWORD_ISSR_208000604_SALES_OTH_AM">#REF!</definedName>
    <definedName name="L_KEYWORD_ISSR_208000604_SALES_OTH_COMMODITY">#REF!</definedName>
    <definedName name="L_KEYWORD_ISSR_208000604_SALES_OTH_EMEA">#REF!</definedName>
    <definedName name="L_KEYWORD_ISSR_208000604_SALES_OTH_SALES_SOURCES">#REF!</definedName>
    <definedName name="L_KEYWORD_ISSR_208000604_SALES_OTHER">#REF!</definedName>
    <definedName name="L_KEYWORD_ISSR_208000604_SALES_RUSSIA">#REF!</definedName>
    <definedName name="L_KEYWORD_ISSR_208000604_SALES_SMB">#REF!</definedName>
    <definedName name="L_KEYWORD_ISSR_208000604_SALES_TOT_AFRICA">#REF!</definedName>
    <definedName name="L_KEYWORD_ISSR_208000604_SALES_TOT_AM">#REF!</definedName>
    <definedName name="L_KEYWORD_ISSR_208000604_SALES_TOT_ASIA">#REF!</definedName>
    <definedName name="L_KEYWORD_ISSR_208000604_SALES_TOT_EMEA">#REF!</definedName>
    <definedName name="L_KEYWORD_ISSR_208000604_SALES_UK">#REF!</definedName>
    <definedName name="L_KEYWORD_ISSR_208000604_SALES_US">#REF!</definedName>
    <definedName name="L_KEYWORD_ISSR_208000604_SALES_VENEZUELA">#REF!</definedName>
    <definedName name="L_KEYWORD_ISSR_208000604_SEL_GL_AD">#REF!</definedName>
    <definedName name="L_KEYWORD_ISSR_208000604_SH_REPUR">#REF!</definedName>
    <definedName name="L_KEYWORD_ISSR_208000604_SHORT_T_DEBT">#REF!</definedName>
    <definedName name="L_KEYWORD_ISSR_208000604_SHORT_TERM_LIABS">#REF!</definedName>
    <definedName name="L_KEYWORD_ISSR_208000604_STOCKS">#REF!</definedName>
    <definedName name="L_KEYWORD_ISSR_208000604_TOT_ASSET">#REF!</definedName>
    <definedName name="L_KEYWORD_ISSR_208000604_TOT_CF">#REF!</definedName>
    <definedName name="L_KEYWORD_ISSR_208000604_TOT_LIAB">#REF!</definedName>
    <definedName name="L_KEYWORD_ISSR_208000604_TOT_LIAB_EQ">#REF!</definedName>
    <definedName name="L_KEYWORD_ISSR_208000604_TOT_LT_LIAB">#REF!</definedName>
    <definedName name="L_KEYWORD_ISSR_208000604_TOT_OPS_EXP">#REF!</definedName>
    <definedName name="L_KEYWORD_ISSR_208000604_TOT_OPS_EXP_DDA">#REF!</definedName>
    <definedName name="L_KEYWORD_ISSR_208000604_UNF_PENS">#REF!</definedName>
    <definedName name="L_KEYWORD_ISSR_208000604_UNF_PENS_LIAB_OTH">#REF!</definedName>
    <definedName name="L_KEYWORD_ISSR_208000604_UNF_PENS_OFF">#REF!</definedName>
    <definedName name="L_KEYWORD_ISSR_208000604_WORK_CAP">#REF!</definedName>
    <definedName name="L_LIVEDATA_EQTY_200001648">#REF!</definedName>
    <definedName name="L_LIVEDATA_ISSR_208000604">#REF!</definedName>
    <definedName name="L_PERIOD_1994">#REF!</definedName>
    <definedName name="L_PERIOD_1995">#REF!</definedName>
    <definedName name="L_PERIOD_1996">#REF!</definedName>
    <definedName name="L_PERIOD_1997">#REF!</definedName>
    <definedName name="L_PERIOD_1998">#REF!</definedName>
    <definedName name="L_PERIOD_1999">#REF!</definedName>
    <definedName name="L_PERIOD_2000">#REF!</definedName>
    <definedName name="L_PERIOD_2001">#REF!</definedName>
    <definedName name="L_PERIOD_2002">#REF!</definedName>
    <definedName name="L_PERIOD_2003">#REF!</definedName>
    <definedName name="L_PERIOD_2003_Q1">#REF!</definedName>
    <definedName name="L_PERIOD_2003_Q2">#REF!</definedName>
    <definedName name="L_PERIOD_2003_Q3">#REF!</definedName>
    <definedName name="L_PERIOD_2003_Q4">#REF!</definedName>
    <definedName name="L_PERIOD_2004">#REF!</definedName>
    <definedName name="L_PERIOD_2004_Q1">#REF!</definedName>
    <definedName name="L_PERIOD_2004_Q2">#REF!</definedName>
    <definedName name="L_PERIOD_2004_Q3">#REF!</definedName>
    <definedName name="L_PERIOD_2004_Q4">#REF!</definedName>
    <definedName name="L_PERIOD_2005">#REF!</definedName>
    <definedName name="L_PERIOD_2005_Q1">#REF!</definedName>
    <definedName name="L_PERIOD_2005_Q2">#REF!</definedName>
    <definedName name="L_PERIOD_2005_Q3">#REF!</definedName>
    <definedName name="L_PERIOD_2005_Q4">#REF!</definedName>
    <definedName name="L_PERIOD_2006">#REF!</definedName>
    <definedName name="L_PERIOD_2006_Q1">#REF!</definedName>
    <definedName name="L_PERIOD_2006_Q2">#REF!</definedName>
    <definedName name="L_PERIOD_2006_Q3">#REF!</definedName>
    <definedName name="L_PERIOD_2006_Q4">#REF!</definedName>
    <definedName name="L_PERIOD_2007">#REF!</definedName>
    <definedName name="L_PERIOD_2007_Q1">#REF!</definedName>
    <definedName name="L_PERIOD_2007_Q2">#REF!</definedName>
    <definedName name="L_PERIOD_2007_Q3">#REF!</definedName>
    <definedName name="L_PERIOD_2007_Q4">#REF!</definedName>
    <definedName name="L_PERIOD_2008">#REF!</definedName>
    <definedName name="L_PERIOD_2008_Q1">#REF!</definedName>
    <definedName name="L_PERIOD_2008_Q2">#REF!</definedName>
    <definedName name="L_PERIOD_2008_Q3">#REF!</definedName>
    <definedName name="L_PERIOD_2008_Q4">#REF!</definedName>
    <definedName name="L_PERIOD_2009">#REF!</definedName>
    <definedName name="L_PERIOD_2009_Q1">#REF!</definedName>
    <definedName name="L_PERIOD_2009_Q2">#REF!</definedName>
    <definedName name="L_PERIOD_2009_Q3">#REF!</definedName>
    <definedName name="L_PERIOD_2009_Q4">#REF!</definedName>
    <definedName name="L_PERIOD_2010">#REF!</definedName>
    <definedName name="L_PERIOD_2010_Q1">#REF!</definedName>
    <definedName name="L_PERIOD_2010_Q2">#REF!</definedName>
    <definedName name="L_PERIOD_2010_Q3">#REF!</definedName>
    <definedName name="L_PERIOD_2010_Q4">#REF!</definedName>
    <definedName name="L_PERIOD_2011">#REF!</definedName>
    <definedName name="L_PERIOD_2011_Q1">#REF!</definedName>
    <definedName name="L_PERIOD_2011_Q2">#REF!</definedName>
    <definedName name="L_PERIOD_2011_Q3">#REF!</definedName>
    <definedName name="L_PERIOD_2011_Q4">#REF!</definedName>
    <definedName name="L_PERIOD_2012">#REF!</definedName>
    <definedName name="L_PERIOD_2012_Q1">#REF!</definedName>
    <definedName name="L_PERIOD_2012_Q2">#REF!</definedName>
    <definedName name="L_PERIOD_2012_Q3">#REF!</definedName>
    <definedName name="L_PERIOD_2012_Q4">#REF!</definedName>
    <definedName name="L_PERIOD_2013">#REF!</definedName>
    <definedName name="L_PERIOD_2013_Q1">#REF!</definedName>
    <definedName name="L_PERIOD_2013_Q2">#REF!</definedName>
    <definedName name="L_PERIOD_2013_Q3">#REF!</definedName>
    <definedName name="L_PERIOD_2013_Q4">#REF!</definedName>
    <definedName name="L_PERIOD_2014">#REF!</definedName>
    <definedName name="L_PERIOD_2014_Q1">#REF!</definedName>
    <definedName name="L_PERIOD_2014_Q2">#REF!</definedName>
    <definedName name="L_PERIOD_2014_Q3">#REF!</definedName>
    <definedName name="L_PERIOD_2014_Q4">#REF!</definedName>
    <definedName name="L_PERIOD_2015">#REF!</definedName>
    <definedName name="L_PERIOD_2016">#REF!</definedName>
    <definedName name="L_SECTION_EQTY_200001648_1314">#REF!</definedName>
    <definedName name="L_SECTION_EQTY_200001648_1319">#REF!</definedName>
    <definedName name="L_SECTION_EQTY_200001648_131E">#REF!</definedName>
    <definedName name="L_SECTION_EQTY_200001648_131O">#REF!</definedName>
    <definedName name="L_SECTION_EQTY_200001648_13A">#REF!</definedName>
    <definedName name="L_SECTION_EQTY_200001648_13K">#REF!</definedName>
    <definedName name="L_SECTION_EQTY_200001648_13U">#REF!</definedName>
    <definedName name="L_SECTION_EQTY_200001648_13V">#REF!</definedName>
    <definedName name="L_SECTION_EQTY_200001648_13W">#REF!</definedName>
    <definedName name="L_SECTION_EQTY_200001648_Reference_Data">#REF!</definedName>
    <definedName name="L_SECTION_ISSR_208000604_1314">#REF!</definedName>
    <definedName name="L_SECTION_ISSR_208000604_13168">#REF!</definedName>
    <definedName name="L_SECTION_ISSR_208000604_1316S">#REF!</definedName>
    <definedName name="L_SECTION_ISSR_208000604_1316T">#REF!</definedName>
    <definedName name="L_SECTION_ISSR_208000604_1316U">#REF!</definedName>
    <definedName name="L_SECTION_ISSR_208000604_1319">#REF!</definedName>
    <definedName name="L_SECTION_ISSR_208000604_131E">#REF!</definedName>
    <definedName name="L_SECTION_ISSR_208000604_131J">#REF!</definedName>
    <definedName name="L_SECTION_ISSR_208000604_131O">#REF!</definedName>
    <definedName name="L_SECTION_ISSR_208000604_13A">#REF!</definedName>
    <definedName name="L_SECTION_ISSR_208000604_13U">#REF!</definedName>
    <definedName name="L_SECTION_ISSR_208000604_13V">#REF!</definedName>
    <definedName name="L_SECTION_ISSR_208000604_Reference_Data">#REF!</definedName>
    <definedName name="lands">BS!$44:$44</definedName>
    <definedName name="ltdebt">BS!$31:$31</definedName>
    <definedName name="netdebt">BS!$57:$57</definedName>
    <definedName name="netdebttocap">BS!$59:$59</definedName>
    <definedName name="netinc">IS!$19:$19</definedName>
    <definedName name="opinc">IS!$13:$13</definedName>
    <definedName name="pension">BS!$33:$33</definedName>
    <definedName name="pensionadj">BS!$50:$50</definedName>
    <definedName name="pensiondebttocap">BS!$64:$64</definedName>
    <definedName name="pensionequity">BS!$61:$61</definedName>
    <definedName name="pensionexpense">IS!$38:$38</definedName>
    <definedName name="pensionnetdebttocap">BS!$65:$65</definedName>
    <definedName name="pensionshare">IS!$39:$39</definedName>
    <definedName name="pensionstatus">BS!$49:$49</definedName>
    <definedName name="pic">BS!$40:$40</definedName>
    <definedName name="ppe">BS!$14:$14</definedName>
    <definedName name="pretax">IS!$16:$16</definedName>
    <definedName name="_xlnm.Print_Area" localSheetId="5">BS!$B$2:$CF$87</definedName>
    <definedName name="_xlnm.Print_Area" localSheetId="6">CFLO!$B$2:$CF$52</definedName>
    <definedName name="_xlnm.Print_Area" localSheetId="1">#REF!</definedName>
    <definedName name="_xlnm.Print_Area" localSheetId="2">Data!$B$2:$CA$383</definedName>
    <definedName name="_xlnm.Print_Area" localSheetId="4">IS!$B$2:$CF$71</definedName>
    <definedName name="_xlnm.Print_Area" localSheetId="3">SEG!$B$2:$CF$245</definedName>
    <definedName name="q1.04">IS!$J:$J</definedName>
    <definedName name="q1.05">IS!$O:$O</definedName>
    <definedName name="q1.06">IS!$T:$T</definedName>
    <definedName name="q1.07">IS!$Y:$Y</definedName>
    <definedName name="q1.08">IS!$AD:$AD</definedName>
    <definedName name="q1.09">IS!$AI:$AI</definedName>
    <definedName name="q1.10">IS!$AN:$AN</definedName>
    <definedName name="q1.11">IS!$AS:$AS</definedName>
    <definedName name="q1.12">IS!$AX:$AX</definedName>
    <definedName name="q1.13">IS!$BC:$BC</definedName>
    <definedName name="q1.14">IS!$BH:$BH</definedName>
    <definedName name="q1.15">IS!$BM:$BM</definedName>
    <definedName name="q1.16">IS!$BR:$BR</definedName>
    <definedName name="q1.17">IS!$BW:$BW</definedName>
    <definedName name="q1.18">IS!$CB:$CB</definedName>
    <definedName name="q1.19">IS!$CG:$CG</definedName>
    <definedName name="q1.20">IS!$CL:$CL</definedName>
    <definedName name="q1.21">IS!$CQ:$CQ</definedName>
    <definedName name="q1.22">IS!$CV:$CV</definedName>
    <definedName name="q1.23">IS!$DA:$DA</definedName>
    <definedName name="q1.24">IS!$DF:$DF</definedName>
    <definedName name="q1.25">IS!$DK:$DK</definedName>
    <definedName name="q2.04">IS!$K:$K</definedName>
    <definedName name="q2.05">IS!$P:$P</definedName>
    <definedName name="q2.06">IS!$U:$U</definedName>
    <definedName name="q2.07">IS!$Z:$Z</definedName>
    <definedName name="q2.08">IS!$AE:$AE</definedName>
    <definedName name="q2.09">IS!$AJ:$AJ</definedName>
    <definedName name="q2.10">IS!$AO:$AO</definedName>
    <definedName name="q2.11">IS!$AT:$AT</definedName>
    <definedName name="q2.12">IS!$AY:$AY</definedName>
    <definedName name="q2.13">IS!$BD:$BD</definedName>
    <definedName name="q2.14">IS!$BI:$BI</definedName>
    <definedName name="q2.15">IS!$BN:$BN</definedName>
    <definedName name="q2.16">IS!$BS:$BS</definedName>
    <definedName name="q2.17">IS!$BX:$BX</definedName>
    <definedName name="q2.18">IS!$CC:$CC</definedName>
    <definedName name="q2.19">IS!$CH:$CH</definedName>
    <definedName name="q2.20">IS!$CM:$CM</definedName>
    <definedName name="q2.21">IS!$CR:$CR</definedName>
    <definedName name="q2.22">IS!$CW:$CW</definedName>
    <definedName name="q2.23">IS!$DB:$DB</definedName>
    <definedName name="q2.24">IS!$DG:$DG</definedName>
    <definedName name="q2.25">IS!$DL:$DL</definedName>
    <definedName name="q3.04">IS!$L:$L</definedName>
    <definedName name="q3.05">IS!$Q:$Q</definedName>
    <definedName name="q3.06">IS!$V:$V</definedName>
    <definedName name="q3.07">IS!$AA:$AA</definedName>
    <definedName name="q3.08">IS!$AF:$AF</definedName>
    <definedName name="q3.09">IS!$AK:$AK</definedName>
    <definedName name="q3.10">IS!$AP:$AP</definedName>
    <definedName name="q3.11">IS!$AU:$AU</definedName>
    <definedName name="q3.12">IS!$AZ:$AZ</definedName>
    <definedName name="q3.13">IS!$BE:$BE</definedName>
    <definedName name="q3.14">IS!$BJ:$BJ</definedName>
    <definedName name="q3.15">IS!$BO:$BO</definedName>
    <definedName name="q3.16">IS!$BT:$BT</definedName>
    <definedName name="q3.17">IS!$BY:$BY</definedName>
    <definedName name="q3.18">IS!$CD:$CD</definedName>
    <definedName name="q3.19">IS!$CI:$CI</definedName>
    <definedName name="q3.20">IS!$CN:$CN</definedName>
    <definedName name="q3.21">IS!$CS:$CS</definedName>
    <definedName name="q3.22">IS!$CX:$CX</definedName>
    <definedName name="q3.23">IS!$DC:$DC</definedName>
    <definedName name="q3.24">IS!$DH:$DH</definedName>
    <definedName name="q3.25">IS!$DM:$DM</definedName>
    <definedName name="q4.04">IS!$M:$M</definedName>
    <definedName name="q4.05">IS!$R:$R</definedName>
    <definedName name="q4.06">IS!$W:$W</definedName>
    <definedName name="q4.07">IS!$AB:$AB</definedName>
    <definedName name="q4.08">IS!$AG:$AG</definedName>
    <definedName name="q4.09">IS!$AL:$AL</definedName>
    <definedName name="q4.10">IS!$AQ:$AQ</definedName>
    <definedName name="q4.11">IS!$AV:$AV</definedName>
    <definedName name="q4.12">IS!$BA:$BA</definedName>
    <definedName name="q4.13">IS!$BF:$BF</definedName>
    <definedName name="q4.14">IS!$BK:$BK</definedName>
    <definedName name="q4.15">IS!$BP:$BP</definedName>
    <definedName name="q4.16">IS!$BU:$BU</definedName>
    <definedName name="q4.17">IS!$BZ:$BZ</definedName>
    <definedName name="q4.18">IS!$CE:$CE</definedName>
    <definedName name="q4.19">IS!$CJ:$CJ</definedName>
    <definedName name="q4.20">IS!$CO:$CO</definedName>
    <definedName name="q4.21">IS!$CT:$CT</definedName>
    <definedName name="q4.22">IS!$CY:$CY</definedName>
    <definedName name="q4.23">IS!$DD:$DD</definedName>
    <definedName name="q4.24">IS!$DI:$DI</definedName>
    <definedName name="q4.25">IS!$DN:$DN</definedName>
    <definedName name="re">BS!$41:$41</definedName>
    <definedName name="ROIC">BS!$85:$85</definedName>
    <definedName name="sales">IS!$6:$6</definedName>
    <definedName name="sga">IS!$10:$10</definedName>
    <definedName name="shares">IS!$32:$32</definedName>
    <definedName name="sharesfd">IS!$33:$33</definedName>
    <definedName name="stdebt">BS!$24:$24</definedName>
    <definedName name="taxes">IS!$17:$17</definedName>
    <definedName name="taxrate">IS!$54:$54</definedName>
    <definedName name="Tigr_Exhibit7a325def_2cbf_46f0_9b74_15b24b524e03" hidden="1">IS!$B$2:$BL$71</definedName>
    <definedName name="totalassets">BS!$20:$20</definedName>
    <definedName name="V_ALL_KEYWORDS_TYPE_ScalarContributed_EQTY_200001648">#REF!,#REF!,#REF!,#REF!,#REF!</definedName>
    <definedName name="V_ALL_KEYWORDS_TYPE_ScalarContributed_ISSR_208000604">#REF!,#REF!</definedName>
    <definedName name="V_ALL_KEYWORDS_TYPE_ScalarReference_EQTY_200001648">#REF!</definedName>
    <definedName name="V_ALL_KEYWORDS_TYPE_ScalarReference_ISSR_208000604">#REF!</definedName>
    <definedName name="V_ALL_KEYWORDS_TYPE_Vector_EQTY_200001648">#REF!,#REF!,#REF!,#REF!,#REF!,#REF!,#REF!</definedName>
    <definedName name="V_ALL_KEYWORDS_TYPE_Vector_ISSR_208000604">#REF!,#REF!,#REF!,#REF!,#REF!,#REF!,#REF!,#REF!,#REF!</definedName>
    <definedName name="V_ALL_RTX">#REF!</definedName>
    <definedName name="V_ALL_SECTION_KEYWORDS_EQTY_200001648_1314">#REF!</definedName>
    <definedName name="V_ALL_SECTION_KEYWORDS_EQTY_200001648_1319">#REF!</definedName>
    <definedName name="V_ALL_SECTION_KEYWORDS_EQTY_200001648_131E">#REF!</definedName>
    <definedName name="V_ALL_SECTION_KEYWORDS_EQTY_200001648_131O">#REF!</definedName>
    <definedName name="V_ALL_SECTION_KEYWORDS_EQTY_200001648_13A">#REF!</definedName>
    <definedName name="V_ALL_SECTION_KEYWORDS_EQTY_200001648_13K">#REF!</definedName>
    <definedName name="V_ALL_SECTION_KEYWORDS_EQTY_200001648_13U">#REF!</definedName>
    <definedName name="V_ALL_SECTION_KEYWORDS_EQTY_200001648_13V">#REF!</definedName>
    <definedName name="V_ALL_SECTION_KEYWORDS_EQTY_200001648_13W">#REF!</definedName>
    <definedName name="V_ALL_SECTION_KEYWORDS_EQTY_200001648_Reference_Data">#REF!</definedName>
    <definedName name="V_ALL_SECTION_KEYWORDS_ISSR_208000604_1314">#REF!</definedName>
    <definedName name="V_ALL_SECTION_KEYWORDS_ISSR_208000604_13168">#REF!</definedName>
    <definedName name="V_ALL_SECTION_KEYWORDS_ISSR_208000604_1316S">#REF!</definedName>
    <definedName name="V_ALL_SECTION_KEYWORDS_ISSR_208000604_1316T">#REF!</definedName>
    <definedName name="V_ALL_SECTION_KEYWORDS_ISSR_208000604_1316U">#REF!</definedName>
    <definedName name="V_ALL_SECTION_KEYWORDS_ISSR_208000604_1319">#REF!</definedName>
    <definedName name="V_ALL_SECTION_KEYWORDS_ISSR_208000604_131E">#REF!</definedName>
    <definedName name="V_ALL_SECTION_KEYWORDS_ISSR_208000604_131J">#REF!</definedName>
    <definedName name="V_ALL_SECTION_KEYWORDS_ISSR_208000604_131O">#REF!</definedName>
    <definedName name="V_ALL_SECTION_KEYWORDS_ISSR_208000604_136E">#REF!,#REF!</definedName>
    <definedName name="V_ALL_SECTION_KEYWORDS_ISSR_208000604_13A">#REF!</definedName>
    <definedName name="V_ALL_SECTION_KEYWORDS_ISSR_208000604_13U">#REF!</definedName>
    <definedName name="V_ALL_SECTION_KEYWORDS_ISSR_208000604_13V">#REF!</definedName>
    <definedName name="V_ALL_SECTION_KEYWORDS_ISSR_208000604_Reference_Data">#REF!</definedName>
    <definedName name="V_ALL_SECTIONS_EQTY_200001648">#REF!,#REF!,#REF!,#REF!,#REF!,#REF!,#REF!,#REF!,#REF!,#REF!</definedName>
    <definedName name="V_ALL_UTX_">#REF!</definedName>
    <definedName name="V_CURRENCY_EQTY_200001648_PRI">#REF!</definedName>
    <definedName name="V_CURRENCY_EQTY_200001648_PUB">#REF!</definedName>
    <definedName name="V_CURRENCY_EQTY_200001648_REP">#REF!</definedName>
    <definedName name="V_CURRENCY_ISSR_208000604_REP">#REF!</definedName>
    <definedName name="V_KEYWORD_EQTY_200001648_AMER_LIST">#REF!</definedName>
    <definedName name="V_KEYWORD_EQTY_200001648_BETA_ANALYST">#REF!</definedName>
    <definedName name="V_KEYWORD_EQTY_200001648_BVPS">#REF!</definedName>
    <definedName name="V_KEYWORD_EQTY_200001648_BVPS_PUB">#REF!</definedName>
    <definedName name="V_KEYWORD_EQTY_200001648_CEEE_EPS">#REF!</definedName>
    <definedName name="V_KEYWORD_EQTY_200001648_CF_NI_PRE_PREF">#REF!</definedName>
    <definedName name="V_KEYWORD_EQTY_200001648_COMMON_DIV_PAID">#REF!</definedName>
    <definedName name="V_KEYWORD_EQTY_200001648_CURRENCY_ISO">#REF!</definedName>
    <definedName name="V_KEYWORD_EQTY_200001648_DILUTE_SHARES">#REF!</definedName>
    <definedName name="V_KEYWORD_EQTY_200001648_DPS">#REF!</definedName>
    <definedName name="V_KEYWORD_EQTY_200001648_DPS_PUB">#REF!</definedName>
    <definedName name="V_KEYWORD_EQTY_200001648_EBIT_PUB">#REF!</definedName>
    <definedName name="V_KEYWORD_EQTY_200001648_EBITDA_PUB">#REF!</definedName>
    <definedName name="V_KEYWORD_EQTY_200001648_EPS">#REF!</definedName>
    <definedName name="V_KEYWORD_EQTY_200001648_EPS_EX_ESO_B">#REF!</definedName>
    <definedName name="V_KEYWORD_EQTY_200001648_EPS_EX_ESO_D">#REF!</definedName>
    <definedName name="V_KEYWORD_EQTY_200001648_EPS_FUL_DIL">#REF!</definedName>
    <definedName name="V_KEYWORD_EQTY_200001648_EPS_POST_BASIC">#REF!</definedName>
    <definedName name="V_KEYWORD_EQTY_200001648_EPS_PUB">#REF!</definedName>
    <definedName name="V_KEYWORD_EQTY_200001648_EPS_PUB_EX_ESO">#REF!</definedName>
    <definedName name="V_KEYWORD_EQTY_200001648_EQ_PUB">#REF!</definedName>
    <definedName name="V_KEYWORD_EQTY_200001648_ESO_POST_TAX">#REF!</definedName>
    <definedName name="V_KEYWORD_EQTY_200001648_ESO_YEAR">#REF!</definedName>
    <definedName name="V_KEYWORD_EQTY_200001648_EV_ADJ_PUB">#REF!</definedName>
    <definedName name="V_KEYWORD_EQTY_200001648_FREE_FLOAT">#REF!</definedName>
    <definedName name="V_KEYWORD_EQTY_200001648_FULLY_DIL_EPS">#REF!</definedName>
    <definedName name="V_KEYWORD_EQTY_200001648_FV_GRANT">#REF!</definedName>
    <definedName name="V_KEYWORD_EQTY_200001648_INC_MINORITY">#REF!</definedName>
    <definedName name="V_KEYWORD_EQTY_200001648_Interim_Type">#REF!</definedName>
    <definedName name="V_KEYWORD_EQTY_200001648_LEGAL_RATING">#REF!</definedName>
    <definedName name="V_KEYWORD_EQTY_200001648_MARGIN_TAX_RATE">#REF!</definedName>
    <definedName name="V_KEYWORD_EQTY_200001648_MKT_EQ_RISK_PREM">#REF!</definedName>
    <definedName name="V_KEYWORD_EQTY_200001648_NET_DEBT_PUB">#REF!</definedName>
    <definedName name="V_KEYWORD_EQTY_200001648_NET_EARNING">#REF!</definedName>
    <definedName name="V_KEYWORD_EQTY_200001648_NET_INC">#REF!</definedName>
    <definedName name="V_KEYWORD_EQTY_200001648_NI_PRE_PREF">#REF!</definedName>
    <definedName name="V_KEYWORD_EQTY_200001648_NI_PUB">#REF!</definedName>
    <definedName name="V_KEYWORD_EQTY_200001648_NON_OP_ADD">#REF!</definedName>
    <definedName name="V_KEYWORD_EQTY_200001648_NUM_SH">#REF!</definedName>
    <definedName name="V_KEYWORD_EQTY_200001648_PREF_DIV">#REF!</definedName>
    <definedName name="V_KEYWORD_EQTY_200001648_PRICE_CURRENCY_ISO">#REF!</definedName>
    <definedName name="V_KEYWORD_EQTY_200001648_PROV_INC_TAX">#REF!</definedName>
    <definedName name="V_KEYWORD_EQTY_200001648_PTP_PUB">#REF!</definedName>
    <definedName name="V_KEYWORD_EQTY_200001648_PUB_CURRENCY_ISO">#REF!</definedName>
    <definedName name="V_KEYWORD_EQTY_200001648_REPUR_ACTUAL">#REF!</definedName>
    <definedName name="V_KEYWORD_EQTY_200001648_REPUR_REMAINING">#REF!</definedName>
    <definedName name="V_KEYWORD_EQTY_200001648_REPUR_SUSPENDED">#REF!</definedName>
    <definedName name="V_KEYWORD_EQTY_200001648_REPUR_TOT_AUTH">#REF!</definedName>
    <definedName name="V_KEYWORD_EQTY_200001648_REVS_PUB">#REF!</definedName>
    <definedName name="V_KEYWORD_EQTY_200001648_RISK_FR_RATE">#REF!</definedName>
    <definedName name="V_KEYWORD_EQTY_200001648_Security_Name">#REF!</definedName>
    <definedName name="V_KEYWORD_EQTY_200001648_SH">#REF!</definedName>
    <definedName name="V_KEYWORD_EQTY_200001648_TARGET_PRICE">#REF!</definedName>
    <definedName name="V_KEYWORD_EQTY_200001648_TAX_EXC">#REF!</definedName>
    <definedName name="V_KEYWORD_EQTY_200001648_Ticker">#REF!</definedName>
    <definedName name="V_KEYWORD_EQTY_200001648_TP_PERIOD">#REF!</definedName>
    <definedName name="V_KEYWORD_ISSR_208000604_ACC_AMORT">#REF!</definedName>
    <definedName name="V_KEYWORD_ISSR_208000604_ACC_DDA">#REF!</definedName>
    <definedName name="V_KEYWORD_ISSR_208000604_ACC_END_DATE">#REF!</definedName>
    <definedName name="V_KEYWORD_ISSR_208000604_ACC_PAY_GQ">#REF!</definedName>
    <definedName name="V_KEYWORD_ISSR_208000604_ACQ">#REF!</definedName>
    <definedName name="V_KEYWORD_ISSR_208000604_ADJ_UNF_PENS_GOOD">#REF!</definedName>
    <definedName name="V_KEYWORD_ISSR_208000604_ASSOC_JV_ADDBK">#REF!</definedName>
    <definedName name="V_KEYWORD_ISSR_208000604_ASSOCIATE">#REF!</definedName>
    <definedName name="V_KEYWORD_ISSR_208000604_ASSOCIATE_OP">#REF!</definedName>
    <definedName name="V_KEYWORD_ISSR_208000604_BAL_MINO_INT">#REF!</definedName>
    <definedName name="V_KEYWORD_ISSR_208000604_CAP_LEASES">#REF!</definedName>
    <definedName name="V_KEYWORD_ISSR_208000604_CAPEX">#REF!</definedName>
    <definedName name="V_KEYWORD_ISSR_208000604_CAPEX_EXPANSION">#REF!</definedName>
    <definedName name="V_KEYWORD_ISSR_208000604_CAPEX_MAINTENANCE">#REF!</definedName>
    <definedName name="V_KEYWORD_ISSR_208000604_CASH_EQ">#REF!</definedName>
    <definedName name="V_KEYWORD_ISSR_208000604_CASH_INT_EXP">#REF!</definedName>
    <definedName name="V_KEYWORD_ISSR_208000604_CASH_PCT_OS_US">#REF!</definedName>
    <definedName name="V_KEYWORD_ISSR_208000604_CASH_TAX_EXP">#REF!</definedName>
    <definedName name="V_KEYWORD_ISSR_208000604_CF_FIN">#REF!</definedName>
    <definedName name="V_KEYWORD_ISSR_208000604_CF_INC_MINORITY">#REF!</definedName>
    <definedName name="V_KEYWORD_ISSR_208000604_CF_INV">#REF!</definedName>
    <definedName name="V_KEYWORD_ISSR_208000604_CF_OPS">#REF!</definedName>
    <definedName name="V_KEYWORD_ISSR_208000604_CHG_LT_DEBT">#REF!</definedName>
    <definedName name="V_KEYWORD_ISSR_208000604_CO_BOR_MARGIN">#REF!</definedName>
    <definedName name="V_KEYWORD_ISSR_208000604_COST_GD_SD">#REF!</definedName>
    <definedName name="V_KEYWORD_ISSR_208000604_CUR_ASS">#REF!</definedName>
    <definedName name="V_KEYWORD_ISSR_208000604_CURRENCY_ISO">#REF!</definedName>
    <definedName name="V_KEYWORD_ISSR_208000604_DEBTORS">#REF!</definedName>
    <definedName name="V_KEYWORD_ISSR_208000604_DEF_INC_TAX">#REF!</definedName>
    <definedName name="V_KEYWORD_ISSR_208000604_DEPR_AMORT">#REF!</definedName>
    <definedName name="V_KEYWORD_ISSR_208000604_DEPREC">#REF!</definedName>
    <definedName name="V_KEYWORD_ISSR_208000604_DIV_PAID">#REF!</definedName>
    <definedName name="V_KEYWORD_ISSR_208000604_DIVDS_ASSOC_JV">#REF!</definedName>
    <definedName name="V_KEYWORD_ISSR_208000604_DIVDS_PD_MINORITIES">#REF!</definedName>
    <definedName name="V_KEYWORD_ISSR_208000604_DIVEST">#REF!</definedName>
    <definedName name="V_KEYWORD_ISSR_208000604_EBIT">#REF!</definedName>
    <definedName name="V_KEYWORD_ISSR_208000604_EBIT_FIN_SEGMENT">#REF!</definedName>
    <definedName name="V_KEYWORD_ISSR_208000604_EBITDA_CALC">#REF!</definedName>
    <definedName name="V_KEYWORD_ISSR_208000604_EMPLOYEES">#REF!</definedName>
    <definedName name="V_KEYWORD_ISSR_208000604_EQ">#REF!</definedName>
    <definedName name="V_KEYWORD_ISSR_208000604_ESO_PRE_TAX">#REF!</definedName>
    <definedName name="V_KEYWORD_ISSR_208000604_EXP_ALUMINIUM">#REF!</definedName>
    <definedName name="V_KEYWORD_ISSR_208000604_EXP_COPPER">#REF!</definedName>
    <definedName name="V_KEYWORD_ISSR_208000604_EXP_GLASS">#REF!</definedName>
    <definedName name="V_KEYWORD_ISSR_208000604_EXP_GOLD">#REF!</definedName>
    <definedName name="V_KEYWORD_ISSR_208000604_EXP_NAT_GAS">#REF!</definedName>
    <definedName name="V_KEYWORD_ISSR_208000604_EXP_NICKEL">#REF!</definedName>
    <definedName name="V_KEYWORD_ISSR_208000604_EXP_OIL_DERIV_NGLS_PLASTICS">#REF!</definedName>
    <definedName name="V_KEYWORD_ISSR_208000604_EXP_OIL_PETRO_FUEL">#REF!</definedName>
    <definedName name="V_KEYWORD_ISSR_208000604_EXP_OTH_COMMODITY">#REF!</definedName>
    <definedName name="V_KEYWORD_ISSR_208000604_EXP_OTH_COST">#REF!</definedName>
    <definedName name="V_KEYWORD_ISSR_208000604_EXP_PALLADIUM">#REF!</definedName>
    <definedName name="V_KEYWORD_ISSR_208000604_EXP_PLATINUM">#REF!</definedName>
    <definedName name="V_KEYWORD_ISSR_208000604_EXP_RUBBER">#REF!</definedName>
    <definedName name="V_KEYWORD_ISSR_208000604_EXP_SILVER">#REF!</definedName>
    <definedName name="V_KEYWORD_ISSR_208000604_EXP_STEEL">#REF!</definedName>
    <definedName name="V_KEYWORD_ISSR_208000604_EXP_WATER">#REF!</definedName>
    <definedName name="V_KEYWORD_ISSR_208000604_EXP_ZINC">#REF!</definedName>
    <definedName name="V_KEYWORD_ISSR_208000604_FIX_ASS_INV">#REF!</definedName>
    <definedName name="V_KEYWORD_ISSR_208000604_GCI_INFL">#REF!</definedName>
    <definedName name="V_KEYWORD_ISSR_208000604_GOODWILL_AMORT">#REF!</definedName>
    <definedName name="V_KEYWORD_ISSR_208000604_GR_FIX_ASS">#REF!</definedName>
    <definedName name="V_KEYWORD_ISSR_208000604_GR_INTANG">#REF!</definedName>
    <definedName name="V_KEYWORD_ISSR_208000604_INT_EXP_IND">#REF!</definedName>
    <definedName name="V_KEYWORD_ISSR_208000604_INT_INC_IND">#REF!</definedName>
    <definedName name="V_KEYWORD_ISSR_208000604_INV_SECUR">#REF!</definedName>
    <definedName name="V_KEYWORD_ISSR_208000604_Issuer_Name">#REF!</definedName>
    <definedName name="V_KEYWORD_ISSR_208000604_LEASE_DEEM_DEPR">#REF!</definedName>
    <definedName name="V_KEYWORD_ISSR_208000604_LEASE_DEEM_INT">#REF!</definedName>
    <definedName name="V_KEYWORD_ISSR_208000604_LEASE_PAY">#REF!</definedName>
    <definedName name="V_KEYWORD_ISSR_208000604_LT_DEBT">#REF!</definedName>
    <definedName name="V_KEYWORD_ISSR_208000604_MA_PROB">#REF!</definedName>
    <definedName name="V_KEYWORD_ISSR_208000604_MINORITIES">#REF!</definedName>
    <definedName name="V_KEYWORD_ISSR_208000604_MV_ASSOCIATES">#REF!</definedName>
    <definedName name="V_KEYWORD_ISSR_208000604_NET_DEBT">#REF!</definedName>
    <definedName name="V_KEYWORD_ISSR_208000604_NET_DEBT_ADJ">#REF!</definedName>
    <definedName name="V_KEYWORD_ISSR_208000604_NET_FIX_ASS">#REF!</definedName>
    <definedName name="V_KEYWORD_ISSR_208000604_NET_INT_CH">#REF!</definedName>
    <definedName name="V_KEYWORD_ISSR_208000604_NET_INT_EXP">#REF!</definedName>
    <definedName name="V_KEYWORD_ISSR_208000604_NET_INTANG">#REF!</definedName>
    <definedName name="V_KEYWORD_ISSR_208000604_NONPPE_CAPEX">#REF!</definedName>
    <definedName name="V_KEYWORD_ISSR_208000604_OP_COST">#REF!</definedName>
    <definedName name="V_KEYWORD_ISSR_208000604_ORD_SH_FUND">#REF!</definedName>
    <definedName name="V_KEYWORD_ISSR_208000604_OTH_COST_INC">#REF!</definedName>
    <definedName name="V_KEYWORD_ISSR_208000604_OTH_CUR_ASS">#REF!</definedName>
    <definedName name="V_KEYWORD_ISSR_208000604_OTH_CUR_LIABS">#REF!</definedName>
    <definedName name="V_KEYWORD_ISSR_208000604_OTH_DACF_ADJ">#REF!</definedName>
    <definedName name="V_KEYWORD_ISSR_208000604_OTH_FIN_CF">#REF!</definedName>
    <definedName name="V_KEYWORD_ISSR_208000604_OTH_GCI_ADJ">#REF!</definedName>
    <definedName name="V_KEYWORD_ISSR_208000604_OTH_INV_CF">#REF!</definedName>
    <definedName name="V_KEYWORD_ISSR_208000604_OTH_LT_ASS">#REF!</definedName>
    <definedName name="V_KEYWORD_ISSR_208000604_OTH_LT_CRED_GQ">#REF!</definedName>
    <definedName name="V_KEYWORD_ISSR_208000604_OTH_NONCASH_ADJ">#REF!</definedName>
    <definedName name="V_KEYWORD_ISSR_208000604_OTH_OP_CF">#REF!</definedName>
    <definedName name="V_KEYWORD_ISSR_208000604_OTH_OP_INC_EXP">#REF!</definedName>
    <definedName name="V_KEYWORD_ISSR_208000604_PERIOD_MILESTONE">#REF!</definedName>
    <definedName name="V_KEYWORD_ISSR_208000604_PL_SALE_ASSETS">#REF!</definedName>
    <definedName name="V_KEYWORD_ISSR_208000604_PREF_SH">#REF!</definedName>
    <definedName name="V_KEYWORD_ISSR_208000604_PROFIT_ON_DISP">#REF!</definedName>
    <definedName name="V_KEYWORD_ISSR_208000604_PT_PROF">#REF!</definedName>
    <definedName name="V_KEYWORD_ISSR_208000604_RD_EXP">#REF!</definedName>
    <definedName name="V_KEYWORD_ISSR_208000604_REV_FIN_SEGMENT">#REF!</definedName>
    <definedName name="V_KEYWORD_ISSR_208000604_SALES">#REF!</definedName>
    <definedName name="V_KEYWORD_ISSR_208000604_SALES_ARGENTINA">#REF!</definedName>
    <definedName name="V_KEYWORD_ISSR_208000604_SALES_BRAZIL">#REF!</definedName>
    <definedName name="V_KEYWORD_ISSR_208000604_SALES_CANADA">#REF!</definedName>
    <definedName name="V_KEYWORD_ISSR_208000604_SALES_CEE">#REF!</definedName>
    <definedName name="V_KEYWORD_ISSR_208000604_SALES_CHILE">#REF!</definedName>
    <definedName name="V_KEYWORD_ISSR_208000604_SALES_CHINA">#REF!</definedName>
    <definedName name="V_KEYWORD_ISSR_208000604_SALES_COLOMBIA">#REF!</definedName>
    <definedName name="V_KEYWORD_ISSR_208000604_SALES_CONS">#REF!</definedName>
    <definedName name="V_KEYWORD_ISSR_208000604_SALES_EU_EX_UK">#REF!</definedName>
    <definedName name="V_KEYWORD_ISSR_208000604_SALES_FINAN">#REF!</definedName>
    <definedName name="V_KEYWORD_ISSR_208000604_SALES_FX_ARS">#REF!</definedName>
    <definedName name="V_KEYWORD_ISSR_208000604_SALES_FX_BRL">#REF!</definedName>
    <definedName name="V_KEYWORD_ISSR_208000604_SALES_FX_CAD">#REF!</definedName>
    <definedName name="V_KEYWORD_ISSR_208000604_SALES_FX_CLP">#REF!</definedName>
    <definedName name="V_KEYWORD_ISSR_208000604_SALES_FX_CNY">#REF!</definedName>
    <definedName name="V_KEYWORD_ISSR_208000604_SALES_FX_COP">#REF!</definedName>
    <definedName name="V_KEYWORD_ISSR_208000604_SALES_FX_EUR">#REF!</definedName>
    <definedName name="V_KEYWORD_ISSR_208000604_SALES_FX_GPB">#REF!</definedName>
    <definedName name="V_KEYWORD_ISSR_208000604_SALES_FX_INR">#REF!</definedName>
    <definedName name="V_KEYWORD_ISSR_208000604_SALES_FX_MXN">#REF!</definedName>
    <definedName name="V_KEYWORD_ISSR_208000604_SALES_FX_OTH">#REF!</definedName>
    <definedName name="V_KEYWORD_ISSR_208000604_SALES_FX_RUB">#REF!</definedName>
    <definedName name="V_KEYWORD_ISSR_208000604_SALES_FX_USD">#REF!</definedName>
    <definedName name="V_KEYWORD_ISSR_208000604_SALES_FX_VEF">#REF!</definedName>
    <definedName name="V_KEYWORD_ISSR_208000604_SALES_FX_YEN">#REF!</definedName>
    <definedName name="V_KEYWORD_ISSR_208000604_SALES_GOV">#REF!</definedName>
    <definedName name="V_KEYWORD_ISSR_208000604_SALES_IND">#REF!</definedName>
    <definedName name="V_KEYWORD_ISSR_208000604_SALES_INDIA">#REF!</definedName>
    <definedName name="V_KEYWORD_ISSR_208000604_SALES_JAPAN">#REF!</definedName>
    <definedName name="V_KEYWORD_ISSR_208000604_SALES_ME">#REF!</definedName>
    <definedName name="V_KEYWORD_ISSR_208000604_SALES_MEXICO">#REF!</definedName>
    <definedName name="V_KEYWORD_ISSR_208000604_SALES_OTH_AEJ">#REF!</definedName>
    <definedName name="V_KEYWORD_ISSR_208000604_SALES_OTH_AM">#REF!</definedName>
    <definedName name="V_KEYWORD_ISSR_208000604_SALES_OTH_COMMODITY">#REF!</definedName>
    <definedName name="V_KEYWORD_ISSR_208000604_SALES_OTH_EMEA">#REF!</definedName>
    <definedName name="V_KEYWORD_ISSR_208000604_SALES_OTH_SALES_SOURCES">#REF!</definedName>
    <definedName name="V_KEYWORD_ISSR_208000604_SALES_OTHER">#REF!</definedName>
    <definedName name="V_KEYWORD_ISSR_208000604_SALES_RUSSIA">#REF!</definedName>
    <definedName name="V_KEYWORD_ISSR_208000604_SALES_SMB">#REF!</definedName>
    <definedName name="V_KEYWORD_ISSR_208000604_SALES_TOT_AFRICA">#REF!</definedName>
    <definedName name="V_KEYWORD_ISSR_208000604_SALES_TOT_AM">#REF!</definedName>
    <definedName name="V_KEYWORD_ISSR_208000604_SALES_TOT_ASIA">#REF!</definedName>
    <definedName name="V_KEYWORD_ISSR_208000604_SALES_TOT_EMEA">#REF!</definedName>
    <definedName name="V_KEYWORD_ISSR_208000604_SALES_UK">#REF!</definedName>
    <definedName name="V_KEYWORD_ISSR_208000604_SALES_US">#REF!</definedName>
    <definedName name="V_KEYWORD_ISSR_208000604_SALES_VENEZUELA">#REF!</definedName>
    <definedName name="V_KEYWORD_ISSR_208000604_SEL_GL_AD">#REF!</definedName>
    <definedName name="V_KEYWORD_ISSR_208000604_SH_REPUR">#REF!</definedName>
    <definedName name="V_KEYWORD_ISSR_208000604_SHORT_T_DEBT">#REF!</definedName>
    <definedName name="V_KEYWORD_ISSR_208000604_SHORT_TERM_LIABS">#REF!</definedName>
    <definedName name="V_KEYWORD_ISSR_208000604_STOCKS">#REF!</definedName>
    <definedName name="V_KEYWORD_ISSR_208000604_TOT_ASSET">#REF!</definedName>
    <definedName name="V_KEYWORD_ISSR_208000604_TOT_CF">#REF!</definedName>
    <definedName name="V_KEYWORD_ISSR_208000604_TOT_LIAB">#REF!</definedName>
    <definedName name="V_KEYWORD_ISSR_208000604_TOT_LIAB_EQ">#REF!</definedName>
    <definedName name="V_KEYWORD_ISSR_208000604_TOT_LT_LIAB">#REF!</definedName>
    <definedName name="V_KEYWORD_ISSR_208000604_TOT_OPS_EXP">#REF!</definedName>
    <definedName name="V_KEYWORD_ISSR_208000604_TOT_OPS_EXP_DDA">#REF!</definedName>
    <definedName name="V_KEYWORD_ISSR_208000604_UNF_PENS">#REF!</definedName>
    <definedName name="V_KEYWORD_ISSR_208000604_UNF_PENS_LIAB_OTH">#REF!</definedName>
    <definedName name="V_KEYWORD_ISSR_208000604_UNF_PENS_OFF">#REF!</definedName>
    <definedName name="V_KEYWORD_ISSR_208000604_WORK_CAP">#REF!</definedName>
    <definedName name="V_LIVEDATA_EQTY_200001648">#REF!</definedName>
    <definedName name="V_LIVEDATA_ISSR_208000604">#REF!</definedName>
    <definedName name="V_PERIOD_1994">#REF!</definedName>
    <definedName name="V_PERIOD_1995">#REF!</definedName>
    <definedName name="V_PERIOD_1996">#REF!</definedName>
    <definedName name="V_PERIOD_1997">#REF!</definedName>
    <definedName name="V_PERIOD_1998">#REF!</definedName>
    <definedName name="V_PERIOD_1999">#REF!</definedName>
    <definedName name="V_PERIOD_2000">#REF!</definedName>
    <definedName name="V_PERIOD_2001">#REF!</definedName>
    <definedName name="V_PERIOD_2002">#REF!</definedName>
    <definedName name="V_PERIOD_2003">#REF!</definedName>
    <definedName name="V_PERIOD_2003_Q1">#REF!</definedName>
    <definedName name="V_PERIOD_2003_Q2">#REF!</definedName>
    <definedName name="V_PERIOD_2003_Q3">#REF!</definedName>
    <definedName name="V_PERIOD_2003_Q4">#REF!</definedName>
    <definedName name="V_PERIOD_2004">#REF!</definedName>
    <definedName name="V_PERIOD_2004_Q1">#REF!</definedName>
    <definedName name="V_PERIOD_2004_Q2">#REF!</definedName>
    <definedName name="V_PERIOD_2004_Q3">#REF!</definedName>
    <definedName name="V_PERIOD_2004_Q4">#REF!</definedName>
    <definedName name="V_PERIOD_2005">#REF!</definedName>
    <definedName name="V_PERIOD_2005_Q1">#REF!</definedName>
    <definedName name="V_PERIOD_2005_Q2">#REF!</definedName>
    <definedName name="V_PERIOD_2005_Q3">#REF!</definedName>
    <definedName name="V_PERIOD_2005_Q4">#REF!</definedName>
    <definedName name="V_PERIOD_2006">#REF!</definedName>
    <definedName name="V_PERIOD_2006_Q1">#REF!</definedName>
    <definedName name="V_PERIOD_2006_Q2">#REF!</definedName>
    <definedName name="V_PERIOD_2006_Q3">#REF!</definedName>
    <definedName name="V_PERIOD_2006_Q4">#REF!</definedName>
    <definedName name="V_PERIOD_2007">#REF!</definedName>
    <definedName name="V_PERIOD_2007_Q1">#REF!</definedName>
    <definedName name="V_PERIOD_2007_Q2">#REF!</definedName>
    <definedName name="V_PERIOD_2007_Q3">#REF!</definedName>
    <definedName name="V_PERIOD_2007_Q4">#REF!</definedName>
    <definedName name="V_PERIOD_2008">#REF!</definedName>
    <definedName name="V_PERIOD_2008_Q1">#REF!</definedName>
    <definedName name="V_PERIOD_2008_Q2">#REF!</definedName>
    <definedName name="V_PERIOD_2008_Q3">#REF!</definedName>
    <definedName name="V_PERIOD_2008_Q4">#REF!</definedName>
    <definedName name="V_PERIOD_2009">#REF!</definedName>
    <definedName name="V_PERIOD_2009_Q1">#REF!</definedName>
    <definedName name="V_PERIOD_2009_Q2">#REF!</definedName>
    <definedName name="V_PERIOD_2009_Q3">#REF!</definedName>
    <definedName name="V_PERIOD_2009_Q4">#REF!</definedName>
    <definedName name="V_PERIOD_2010">#REF!</definedName>
    <definedName name="V_PERIOD_2010_Q1">#REF!</definedName>
    <definedName name="V_PERIOD_2010_Q2">#REF!</definedName>
    <definedName name="V_PERIOD_2010_Q3">#REF!</definedName>
    <definedName name="V_PERIOD_2010_Q4">#REF!</definedName>
    <definedName name="V_PERIOD_2011">#REF!</definedName>
    <definedName name="V_PERIOD_2011_Q1">#REF!</definedName>
    <definedName name="V_PERIOD_2011_Q2">#REF!</definedName>
    <definedName name="V_PERIOD_2011_Q3">#REF!</definedName>
    <definedName name="V_PERIOD_2011_Q4">#REF!</definedName>
    <definedName name="V_PERIOD_2012">#REF!</definedName>
    <definedName name="V_PERIOD_2012_Q1">#REF!</definedName>
    <definedName name="V_PERIOD_2012_Q2">#REF!</definedName>
    <definedName name="V_PERIOD_2012_Q3">#REF!</definedName>
    <definedName name="V_PERIOD_2012_Q4">#REF!</definedName>
    <definedName name="V_PERIOD_2013">#REF!</definedName>
    <definedName name="V_PERIOD_2013_Q1">#REF!</definedName>
    <definedName name="V_PERIOD_2013_Q2">#REF!</definedName>
    <definedName name="V_PERIOD_2013_Q3">#REF!</definedName>
    <definedName name="V_PERIOD_2013_Q4">#REF!</definedName>
    <definedName name="V_PERIOD_2014">#REF!</definedName>
    <definedName name="V_PERIOD_2014_Q1">#REF!</definedName>
    <definedName name="V_PERIOD_2014_Q2">#REF!</definedName>
    <definedName name="V_PERIOD_2014_Q3">#REF!</definedName>
    <definedName name="V_PERIOD_2014_Q4">#REF!</definedName>
    <definedName name="V_PERIOD_2015">#REF!</definedName>
    <definedName name="V_PERIOD_2016">#REF!</definedName>
    <definedName name="V_SECTION_EQTY_200001648_1314">#REF!</definedName>
    <definedName name="V_SECTION_EQTY_200001648_1319">#REF!</definedName>
    <definedName name="V_SECTION_EQTY_200001648_131E">#REF!</definedName>
    <definedName name="V_SECTION_EQTY_200001648_131O">#REF!</definedName>
    <definedName name="V_SECTION_EQTY_200001648_13A">#REF!</definedName>
    <definedName name="V_SECTION_EQTY_200001648_13K">#REF!</definedName>
    <definedName name="V_SECTION_EQTY_200001648_13U">#REF!</definedName>
    <definedName name="V_SECTION_EQTY_200001648_13V">#REF!</definedName>
    <definedName name="V_SECTION_EQTY_200001648_13W">#REF!</definedName>
    <definedName name="V_SECTION_EQTY_200001648_Reference_Data">#REF!</definedName>
    <definedName name="V_SECTION_ISSR_208000604_1314">#REF!</definedName>
    <definedName name="V_SECTION_ISSR_208000604_13168">#REF!</definedName>
    <definedName name="V_SECTION_ISSR_208000604_1316S">#REF!</definedName>
    <definedName name="V_SECTION_ISSR_208000604_1316T">#REF!</definedName>
    <definedName name="V_SECTION_ISSR_208000604_1316U">#REF!</definedName>
    <definedName name="V_SECTION_ISSR_208000604_1319">#REF!</definedName>
    <definedName name="V_SECTION_ISSR_208000604_131E">#REF!</definedName>
    <definedName name="V_SECTION_ISSR_208000604_131J">#REF!</definedName>
    <definedName name="V_SECTION_ISSR_208000604_131O">#REF!</definedName>
    <definedName name="V_SECTION_ISSR_208000604_13A">#REF!</definedName>
    <definedName name="V_SECTION_ISSR_208000604_13U">#REF!</definedName>
    <definedName name="V_SECTION_ISSR_208000604_13V">#REF!</definedName>
    <definedName name="V_SECTION_ISSR_208000604_Reference_Data">#REF!</definedName>
    <definedName name="wc">CFLO!#REF!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25" i="12" l="1"/>
  <c r="DM40" i="14" l="1"/>
  <c r="DM38" i="14"/>
  <c r="DM36" i="14"/>
  <c r="DM35" i="14"/>
  <c r="DM34" i="14"/>
  <c r="DM33" i="14"/>
  <c r="DM31" i="14"/>
  <c r="DM29" i="14"/>
  <c r="DM28" i="14"/>
  <c r="DM27" i="14"/>
  <c r="DM26" i="14"/>
  <c r="DM25" i="14"/>
  <c r="DM24" i="14"/>
  <c r="DM22" i="14"/>
  <c r="DM21" i="14"/>
  <c r="DM20" i="14"/>
  <c r="DM19" i="14"/>
  <c r="DM18" i="14"/>
  <c r="DM17" i="14"/>
  <c r="DM16" i="14"/>
  <c r="DM15" i="14"/>
  <c r="DM13" i="14"/>
  <c r="DM12" i="14"/>
  <c r="DM11" i="14"/>
  <c r="DM10" i="14"/>
  <c r="DM7" i="14"/>
  <c r="DM117" i="1"/>
  <c r="DM32" i="14" s="1"/>
  <c r="DM43" i="13"/>
  <c r="DM41" i="13"/>
  <c r="DM40" i="13"/>
  <c r="DM39" i="13"/>
  <c r="DM38" i="13"/>
  <c r="DM37" i="13"/>
  <c r="DM36" i="13"/>
  <c r="DM34" i="13"/>
  <c r="DM33" i="13"/>
  <c r="DM32" i="13"/>
  <c r="DM31" i="13"/>
  <c r="DM29" i="13"/>
  <c r="DM28" i="13"/>
  <c r="DM26" i="13"/>
  <c r="DM25" i="13"/>
  <c r="DM24" i="13"/>
  <c r="DM19" i="13"/>
  <c r="DM18" i="13"/>
  <c r="DM17" i="13"/>
  <c r="DM16" i="13"/>
  <c r="DM15" i="13"/>
  <c r="DM14" i="13"/>
  <c r="DM13" i="13"/>
  <c r="DM11" i="13"/>
  <c r="DM10" i="13"/>
  <c r="DM9" i="13"/>
  <c r="DM8" i="13"/>
  <c r="DM7" i="13"/>
  <c r="DM53" i="13" s="1"/>
  <c r="DM64" i="1"/>
  <c r="DM23" i="13" s="1"/>
  <c r="DM68" i="1"/>
  <c r="DM27" i="13" s="1"/>
  <c r="DM35" i="12"/>
  <c r="DM32" i="12"/>
  <c r="DM33" i="12"/>
  <c r="DN33" i="12" s="1"/>
  <c r="DM18" i="12"/>
  <c r="DM17" i="12"/>
  <c r="DM15" i="12"/>
  <c r="DM14" i="12"/>
  <c r="DM12" i="12"/>
  <c r="DM11" i="12"/>
  <c r="DM10" i="12"/>
  <c r="DM9" i="12"/>
  <c r="DM7" i="12"/>
  <c r="DM6" i="12"/>
  <c r="DM229" i="2"/>
  <c r="DM142" i="2"/>
  <c r="DM141" i="2"/>
  <c r="DM9" i="14" s="1"/>
  <c r="DM8" i="14" s="1"/>
  <c r="DM140" i="2"/>
  <c r="DM139" i="2"/>
  <c r="DM138" i="2"/>
  <c r="DM136" i="2"/>
  <c r="DM135" i="2"/>
  <c r="DM134" i="2"/>
  <c r="DM133" i="2"/>
  <c r="DM132" i="2"/>
  <c r="DM61" i="2"/>
  <c r="DM50" i="2"/>
  <c r="DM26" i="2"/>
  <c r="DM190" i="2" s="1"/>
  <c r="DM14" i="2"/>
  <c r="DM189" i="2" s="1"/>
  <c r="DM211" i="1"/>
  <c r="DM230" i="2" s="1"/>
  <c r="DM174" i="1"/>
  <c r="DM139" i="1"/>
  <c r="DM122" i="1"/>
  <c r="DM115" i="1"/>
  <c r="DM108" i="1"/>
  <c r="DM83" i="1"/>
  <c r="DM54" i="1"/>
  <c r="DM62" i="1" s="1"/>
  <c r="DM17" i="1"/>
  <c r="DM20" i="1" s="1"/>
  <c r="DM24" i="1" s="1"/>
  <c r="DM26" i="1" s="1"/>
  <c r="DM56" i="13" l="1"/>
  <c r="DM51" i="12"/>
  <c r="DM50" i="12"/>
  <c r="DM70" i="13"/>
  <c r="DM72" i="13"/>
  <c r="DM73" i="13" s="1"/>
  <c r="DM71" i="1"/>
  <c r="DM76" i="1" s="1"/>
  <c r="DM42" i="13"/>
  <c r="DM55" i="13" s="1"/>
  <c r="DM137" i="2"/>
  <c r="DM144" i="2" s="1"/>
  <c r="DM8" i="12"/>
  <c r="DM54" i="13"/>
  <c r="DM109" i="2"/>
  <c r="DM30" i="14"/>
  <c r="DM37" i="14"/>
  <c r="DM12" i="13"/>
  <c r="DM20" i="13" s="1"/>
  <c r="DM14" i="14"/>
  <c r="DM46" i="14"/>
  <c r="DM108" i="2"/>
  <c r="DM193" i="2"/>
  <c r="DM112" i="2"/>
  <c r="DM71" i="13"/>
  <c r="DM23" i="14"/>
  <c r="DM126" i="1"/>
  <c r="DM61" i="13"/>
  <c r="DM57" i="13"/>
  <c r="DM58" i="13"/>
  <c r="DM62" i="13"/>
  <c r="DM69" i="13"/>
  <c r="DM30" i="13"/>
  <c r="DM35" i="13" s="1"/>
  <c r="DM85" i="1"/>
  <c r="DM36" i="1"/>
  <c r="DM32" i="1"/>
  <c r="DM74" i="13" l="1"/>
  <c r="DM44" i="13"/>
  <c r="DM13" i="12"/>
  <c r="DM49" i="12"/>
  <c r="DM41" i="14"/>
  <c r="DM45" i="14"/>
  <c r="DM47" i="14" s="1"/>
  <c r="DM59" i="13"/>
  <c r="DM63" i="13"/>
  <c r="DM65" i="13" s="1"/>
  <c r="DM64" i="13"/>
  <c r="DM78" i="13"/>
  <c r="DM68" i="13"/>
  <c r="DR21" i="2"/>
  <c r="DQ21" i="2"/>
  <c r="DP21" i="2"/>
  <c r="DN21" i="2"/>
  <c r="DO21" i="2" s="1"/>
  <c r="DT21" i="2" l="1"/>
  <c r="DM16" i="12"/>
  <c r="DM53" i="12"/>
  <c r="DM51" i="14"/>
  <c r="DM19" i="12" l="1"/>
  <c r="DM54" i="12"/>
  <c r="DM164" i="2"/>
  <c r="DG50" i="2"/>
  <c r="DO57" i="2"/>
  <c r="DJ57" i="2"/>
  <c r="DM56" i="12" l="1"/>
  <c r="DM21" i="12"/>
  <c r="DM22" i="12"/>
  <c r="DM48" i="14"/>
  <c r="DL141" i="2"/>
  <c r="DL142" i="2"/>
  <c r="DL164" i="2" s="1"/>
  <c r="DM36" i="12" l="1"/>
  <c r="DT22" i="2"/>
  <c r="DO22" i="2"/>
  <c r="DL43" i="13"/>
  <c r="DL41" i="13"/>
  <c r="DL40" i="13"/>
  <c r="DL39" i="13"/>
  <c r="DL38" i="13"/>
  <c r="DL37" i="13"/>
  <c r="DL36" i="13"/>
  <c r="DL34" i="13"/>
  <c r="DL33" i="13"/>
  <c r="DL32" i="13"/>
  <c r="DL31" i="13"/>
  <c r="DL29" i="13"/>
  <c r="DL28" i="13"/>
  <c r="DL27" i="13"/>
  <c r="DL26" i="13"/>
  <c r="DL25" i="13"/>
  <c r="DL24" i="13"/>
  <c r="DL23" i="13"/>
  <c r="DL56" i="13" s="1"/>
  <c r="DL19" i="13"/>
  <c r="DL18" i="13"/>
  <c r="DL17" i="13"/>
  <c r="DL16" i="13"/>
  <c r="DL15" i="13"/>
  <c r="DL14" i="13"/>
  <c r="DL13" i="13"/>
  <c r="DL11" i="13"/>
  <c r="DL10" i="13"/>
  <c r="DL9" i="13"/>
  <c r="DL8" i="13"/>
  <c r="DL7" i="13"/>
  <c r="DL53" i="13" s="1"/>
  <c r="DL42" i="13" l="1"/>
  <c r="DL55" i="13" s="1"/>
  <c r="DM85" i="13" s="1"/>
  <c r="DL12" i="13"/>
  <c r="DL20" i="13" s="1"/>
  <c r="DL61" i="13"/>
  <c r="DM86" i="13" s="1"/>
  <c r="DL62" i="13"/>
  <c r="DL57" i="13"/>
  <c r="DL30" i="13"/>
  <c r="DL35" i="13" s="1"/>
  <c r="DM75" i="13" l="1"/>
  <c r="DM83" i="13"/>
  <c r="DL58" i="13"/>
  <c r="DL44" i="13"/>
  <c r="DL59" i="13"/>
  <c r="DL78" i="13"/>
  <c r="DL63" i="13"/>
  <c r="DL65" i="13" s="1"/>
  <c r="DL64" i="13"/>
  <c r="DL68" i="13"/>
  <c r="DL40" i="14" l="1"/>
  <c r="DL39" i="14"/>
  <c r="DL38" i="14"/>
  <c r="DL35" i="14"/>
  <c r="DL34" i="14"/>
  <c r="DL33" i="14"/>
  <c r="DL32" i="14"/>
  <c r="DL31" i="14"/>
  <c r="DL29" i="14"/>
  <c r="DL28" i="14"/>
  <c r="DL27" i="14"/>
  <c r="DL26" i="14"/>
  <c r="DL25" i="14"/>
  <c r="DL24" i="14"/>
  <c r="DL22" i="14"/>
  <c r="DL21" i="14"/>
  <c r="DL20" i="14"/>
  <c r="DL19" i="14"/>
  <c r="DL18" i="14"/>
  <c r="DL17" i="14"/>
  <c r="DL16" i="14"/>
  <c r="DL15" i="14"/>
  <c r="DL13" i="14"/>
  <c r="DL12" i="14"/>
  <c r="DL11" i="14"/>
  <c r="DL10" i="14"/>
  <c r="DL7" i="14"/>
  <c r="DL35" i="12"/>
  <c r="DK35" i="12"/>
  <c r="DI35" i="12"/>
  <c r="DL33" i="12"/>
  <c r="DL32" i="12"/>
  <c r="DL18" i="12"/>
  <c r="DL17" i="12"/>
  <c r="DL15" i="12"/>
  <c r="DL14" i="12"/>
  <c r="DL12" i="12"/>
  <c r="DL11" i="12"/>
  <c r="DL10" i="12"/>
  <c r="DL9" i="12"/>
  <c r="DL7" i="12"/>
  <c r="DL6" i="12"/>
  <c r="DL229" i="2"/>
  <c r="DL9" i="14"/>
  <c r="DL8" i="14" s="1"/>
  <c r="DL140" i="2"/>
  <c r="DL139" i="2"/>
  <c r="DL163" i="2" s="1"/>
  <c r="DL138" i="2"/>
  <c r="DL162" i="2" s="1"/>
  <c r="DL136" i="2"/>
  <c r="DL160" i="2" s="1"/>
  <c r="DL133" i="2"/>
  <c r="DL157" i="2" s="1"/>
  <c r="DL132" i="2"/>
  <c r="DL156" i="2" s="1"/>
  <c r="DL61" i="2"/>
  <c r="DL50" i="2"/>
  <c r="DL26" i="2"/>
  <c r="DL14" i="2"/>
  <c r="DL121" i="1"/>
  <c r="DL36" i="14" s="1"/>
  <c r="DL211" i="1"/>
  <c r="DL230" i="2" s="1"/>
  <c r="DL174" i="1"/>
  <c r="DL139" i="1"/>
  <c r="DL122" i="1"/>
  <c r="DL115" i="1"/>
  <c r="DL108" i="1"/>
  <c r="DL83" i="1"/>
  <c r="DL71" i="1"/>
  <c r="DL76" i="1" s="1"/>
  <c r="DL54" i="1"/>
  <c r="DL62" i="1" s="1"/>
  <c r="DL17" i="1"/>
  <c r="DL20" i="1" s="1"/>
  <c r="DL24" i="1" s="1"/>
  <c r="DL26" i="1" s="1"/>
  <c r="DL51" i="12" l="1"/>
  <c r="DL50" i="12"/>
  <c r="DL14" i="14"/>
  <c r="DL23" i="14" s="1"/>
  <c r="DL45" i="14" s="1"/>
  <c r="DM66" i="12"/>
  <c r="DL69" i="13"/>
  <c r="DL8" i="12"/>
  <c r="DL70" i="13"/>
  <c r="DL71" i="13"/>
  <c r="DL72" i="13"/>
  <c r="DL73" i="13" s="1"/>
  <c r="DL30" i="14"/>
  <c r="DL37" i="14"/>
  <c r="DL54" i="13"/>
  <c r="DL46" i="14"/>
  <c r="DL189" i="2"/>
  <c r="DL190" i="2"/>
  <c r="DL193" i="2"/>
  <c r="DL126" i="1"/>
  <c r="DL85" i="1"/>
  <c r="DL36" i="1"/>
  <c r="DL32" i="1"/>
  <c r="S64" i="47"/>
  <c r="S82" i="47" s="1"/>
  <c r="S103" i="47" s="1"/>
  <c r="DP143" i="2"/>
  <c r="DP141" i="2"/>
  <c r="DP140" i="2"/>
  <c r="DP139" i="2"/>
  <c r="DP138" i="2"/>
  <c r="DS171" i="2"/>
  <c r="DR171" i="2"/>
  <c r="DQ171" i="2"/>
  <c r="DP171" i="2"/>
  <c r="DS170" i="2"/>
  <c r="DR170" i="2"/>
  <c r="DQ170" i="2"/>
  <c r="DP170" i="2"/>
  <c r="DS164" i="2"/>
  <c r="DR164" i="2"/>
  <c r="DQ164" i="2"/>
  <c r="DT163" i="2"/>
  <c r="DS161" i="2"/>
  <c r="DR161" i="2"/>
  <c r="DQ161" i="2"/>
  <c r="DP161" i="2"/>
  <c r="DT160" i="2"/>
  <c r="DT159" i="2"/>
  <c r="DT158" i="2"/>
  <c r="DT157" i="2"/>
  <c r="DT156" i="2"/>
  <c r="DS143" i="2"/>
  <c r="DR143" i="2"/>
  <c r="DQ143" i="2"/>
  <c r="DP164" i="2"/>
  <c r="DS141" i="2"/>
  <c r="DR141" i="2"/>
  <c r="DQ141" i="2"/>
  <c r="DS140" i="2"/>
  <c r="DR140" i="2"/>
  <c r="DQ140" i="2"/>
  <c r="DS139" i="2"/>
  <c r="DR139" i="2"/>
  <c r="DQ139" i="2"/>
  <c r="DS138" i="2"/>
  <c r="DR138" i="2"/>
  <c r="DQ138" i="2"/>
  <c r="DT135" i="2"/>
  <c r="DT134" i="2"/>
  <c r="DL47" i="14" l="1"/>
  <c r="DL74" i="13"/>
  <c r="DL13" i="12"/>
  <c r="DL49" i="12"/>
  <c r="DS165" i="2"/>
  <c r="DL41" i="14"/>
  <c r="DR165" i="2"/>
  <c r="DP165" i="2"/>
  <c r="DT143" i="2"/>
  <c r="DL51" i="14"/>
  <c r="DT140" i="2"/>
  <c r="DT141" i="2"/>
  <c r="DQ165" i="2"/>
  <c r="DR221" i="2"/>
  <c r="DS221" i="2"/>
  <c r="DT171" i="2"/>
  <c r="DQ221" i="2"/>
  <c r="DT170" i="2"/>
  <c r="DT138" i="2"/>
  <c r="DT161" i="2"/>
  <c r="DT165" i="2" s="1"/>
  <c r="DT139" i="2"/>
  <c r="DT142" i="2"/>
  <c r="DL16" i="12" l="1"/>
  <c r="DL53" i="12"/>
  <c r="DS44" i="12"/>
  <c r="DR44" i="12"/>
  <c r="DQ44" i="12"/>
  <c r="DP44" i="12"/>
  <c r="DP46" i="14"/>
  <c r="DP45" i="14"/>
  <c r="DP47" i="14" s="1"/>
  <c r="DP40" i="14"/>
  <c r="DP38" i="14"/>
  <c r="DP30" i="14"/>
  <c r="DS46" i="14"/>
  <c r="DR46" i="14"/>
  <c r="DQ46" i="14"/>
  <c r="DS45" i="14"/>
  <c r="DR45" i="14"/>
  <c r="DQ45" i="14"/>
  <c r="DS40" i="14"/>
  <c r="DR40" i="14"/>
  <c r="DQ40" i="14"/>
  <c r="DT39" i="14"/>
  <c r="DS38" i="14"/>
  <c r="DR38" i="14"/>
  <c r="DQ38" i="14"/>
  <c r="DT36" i="14"/>
  <c r="DT35" i="14"/>
  <c r="DT33" i="14"/>
  <c r="DT31" i="14"/>
  <c r="DS30" i="14"/>
  <c r="DR30" i="14"/>
  <c r="DQ30" i="14"/>
  <c r="DT29" i="14"/>
  <c r="DT28" i="14"/>
  <c r="DT27" i="14"/>
  <c r="DT26" i="14"/>
  <c r="DT25" i="14"/>
  <c r="DT24" i="14"/>
  <c r="DT21" i="14"/>
  <c r="DT13" i="14"/>
  <c r="DT11" i="14"/>
  <c r="DT10" i="14"/>
  <c r="DP73" i="13"/>
  <c r="DP74" i="13" s="1"/>
  <c r="DS73" i="13"/>
  <c r="DS74" i="13" s="1"/>
  <c r="DR73" i="13"/>
  <c r="DR74" i="13" s="1"/>
  <c r="DQ73" i="13"/>
  <c r="DQ74" i="13" s="1"/>
  <c r="DQ35" i="12"/>
  <c r="DS26" i="12"/>
  <c r="DR26" i="12"/>
  <c r="DQ26" i="12"/>
  <c r="DT14" i="12"/>
  <c r="DT25" i="12"/>
  <c r="DT18" i="12"/>
  <c r="DT12" i="12"/>
  <c r="DT11" i="12"/>
  <c r="DR24" i="12"/>
  <c r="DQ24" i="12"/>
  <c r="DT176" i="2"/>
  <c r="DT175" i="2"/>
  <c r="DT174" i="2"/>
  <c r="DS77" i="2"/>
  <c r="DR77" i="2"/>
  <c r="DQ77" i="2"/>
  <c r="DP77" i="2"/>
  <c r="DT76" i="2"/>
  <c r="DS76" i="2"/>
  <c r="DR76" i="2"/>
  <c r="DQ76" i="2"/>
  <c r="DP76" i="2"/>
  <c r="DT75" i="2"/>
  <c r="DS75" i="2"/>
  <c r="DR75" i="2"/>
  <c r="DQ75" i="2"/>
  <c r="DP75" i="2"/>
  <c r="DT74" i="2"/>
  <c r="DS74" i="2"/>
  <c r="DR74" i="2"/>
  <c r="DQ74" i="2"/>
  <c r="DP74" i="2"/>
  <c r="DT73" i="2"/>
  <c r="DS73" i="2"/>
  <c r="DR73" i="2"/>
  <c r="DQ73" i="2"/>
  <c r="DP73" i="2"/>
  <c r="DT69" i="2"/>
  <c r="DS69" i="2"/>
  <c r="DR69" i="2"/>
  <c r="DQ69" i="2"/>
  <c r="DP69" i="2"/>
  <c r="DT68" i="2"/>
  <c r="DS68" i="2"/>
  <c r="DR68" i="2"/>
  <c r="DQ68" i="2"/>
  <c r="DP68" i="2"/>
  <c r="DT67" i="2"/>
  <c r="DS67" i="2"/>
  <c r="DR67" i="2"/>
  <c r="DQ67" i="2"/>
  <c r="DP67" i="2"/>
  <c r="DT66" i="2"/>
  <c r="DS66" i="2"/>
  <c r="DR66" i="2"/>
  <c r="DQ66" i="2"/>
  <c r="DP66" i="2"/>
  <c r="DT65" i="2"/>
  <c r="DS65" i="2"/>
  <c r="DR65" i="2"/>
  <c r="DQ65" i="2"/>
  <c r="DP65" i="2"/>
  <c r="DT61" i="2"/>
  <c r="DL19" i="12" l="1"/>
  <c r="DL54" i="12"/>
  <c r="DQ47" i="14"/>
  <c r="DQ27" i="12"/>
  <c r="DT40" i="14"/>
  <c r="DR35" i="12"/>
  <c r="DT38" i="14"/>
  <c r="DR27" i="12"/>
  <c r="DQ78" i="2"/>
  <c r="DS47" i="14"/>
  <c r="DT38" i="12"/>
  <c r="DT12" i="14"/>
  <c r="DR47" i="14"/>
  <c r="DT46" i="14"/>
  <c r="DT30" i="14"/>
  <c r="DT32" i="14"/>
  <c r="DP24" i="12"/>
  <c r="DS70" i="2"/>
  <c r="DT70" i="2"/>
  <c r="DS78" i="2"/>
  <c r="DP70" i="2"/>
  <c r="DR70" i="2"/>
  <c r="DR78" i="2"/>
  <c r="DQ70" i="2"/>
  <c r="DS24" i="12"/>
  <c r="DS27" i="12" s="1"/>
  <c r="DT77" i="2"/>
  <c r="DT78" i="2" s="1"/>
  <c r="DP78" i="2"/>
  <c r="DT367" i="1"/>
  <c r="DT343" i="1"/>
  <c r="DT344" i="1" s="1"/>
  <c r="DT341" i="1"/>
  <c r="DT342" i="1" s="1"/>
  <c r="DT338" i="1"/>
  <c r="DT220" i="1"/>
  <c r="DU55" i="14"/>
  <c r="DV55" i="14"/>
  <c r="DV46" i="14"/>
  <c r="DV45" i="14"/>
  <c r="DV40" i="14"/>
  <c r="DV38" i="14"/>
  <c r="DV30" i="14"/>
  <c r="DV12" i="14"/>
  <c r="DV73" i="13"/>
  <c r="DV44" i="12"/>
  <c r="DV38" i="12"/>
  <c r="DV4" i="12"/>
  <c r="DV4" i="13" s="1"/>
  <c r="DV4" i="14" s="1"/>
  <c r="DV161" i="2"/>
  <c r="DV165" i="2" s="1"/>
  <c r="DV24" i="12" s="1"/>
  <c r="DV143" i="2"/>
  <c r="DV141" i="2"/>
  <c r="DV140" i="2"/>
  <c r="DV139" i="2"/>
  <c r="DV138" i="2"/>
  <c r="DV77" i="2"/>
  <c r="DV76" i="2"/>
  <c r="DV75" i="2"/>
  <c r="DV74" i="2"/>
  <c r="DV73" i="2"/>
  <c r="DV69" i="2"/>
  <c r="DV68" i="2"/>
  <c r="DV67" i="2"/>
  <c r="DV66" i="2"/>
  <c r="DV65" i="2"/>
  <c r="DM69" i="12" l="1"/>
  <c r="DL56" i="12"/>
  <c r="DL28" i="12"/>
  <c r="DL22" i="12"/>
  <c r="DM70" i="12" s="1"/>
  <c r="DL21" i="12"/>
  <c r="DL48" i="14"/>
  <c r="DS35" i="12"/>
  <c r="DT24" i="12"/>
  <c r="DV78" i="2"/>
  <c r="DV70" i="2"/>
  <c r="DV47" i="14"/>
  <c r="DV59" i="14"/>
  <c r="DV26" i="12"/>
  <c r="DV74" i="13"/>
  <c r="DV367" i="1"/>
  <c r="DV343" i="1"/>
  <c r="DV341" i="1"/>
  <c r="DV338" i="1"/>
  <c r="DV220" i="1"/>
  <c r="DL29" i="12" l="1"/>
  <c r="DL49" i="14"/>
  <c r="DL55" i="12"/>
  <c r="DV342" i="1"/>
  <c r="DV344" i="1"/>
  <c r="DT35" i="12"/>
  <c r="DV27" i="12"/>
  <c r="DK40" i="14" l="1"/>
  <c r="DK38" i="14"/>
  <c r="DK36" i="14"/>
  <c r="DK35" i="14"/>
  <c r="DK34" i="14"/>
  <c r="DK33" i="14"/>
  <c r="DK32" i="14"/>
  <c r="DK31" i="14"/>
  <c r="DK29" i="14"/>
  <c r="DK28" i="14"/>
  <c r="DK27" i="14"/>
  <c r="DK26" i="14"/>
  <c r="DK25" i="14"/>
  <c r="DK24" i="14"/>
  <c r="DK21" i="14"/>
  <c r="DK20" i="14"/>
  <c r="DK19" i="14"/>
  <c r="DK18" i="14"/>
  <c r="DK17" i="14"/>
  <c r="DK16" i="14"/>
  <c r="DK15" i="14"/>
  <c r="DK13" i="14"/>
  <c r="DK12" i="14"/>
  <c r="DK11" i="14"/>
  <c r="DK10" i="14"/>
  <c r="DK7" i="14"/>
  <c r="DK43" i="13"/>
  <c r="DK41" i="13"/>
  <c r="DK40" i="13"/>
  <c r="DK39" i="13"/>
  <c r="DK38" i="13"/>
  <c r="DK37" i="13"/>
  <c r="DK36" i="13"/>
  <c r="DK34" i="13"/>
  <c r="DK33" i="13"/>
  <c r="DK32" i="13"/>
  <c r="DK31" i="13"/>
  <c r="DK29" i="13"/>
  <c r="DK28" i="13"/>
  <c r="DK27" i="13"/>
  <c r="DK26" i="13"/>
  <c r="DK25" i="13"/>
  <c r="DK24" i="13"/>
  <c r="DK23" i="13"/>
  <c r="DK19" i="13"/>
  <c r="DK18" i="13"/>
  <c r="DK17" i="13"/>
  <c r="DK16" i="13"/>
  <c r="DK15" i="13"/>
  <c r="DK14" i="13"/>
  <c r="DK13" i="13"/>
  <c r="DK11" i="13"/>
  <c r="DK10" i="13"/>
  <c r="DK9" i="13"/>
  <c r="DK8" i="13"/>
  <c r="DK7" i="13"/>
  <c r="DK53" i="13" s="1"/>
  <c r="DK25" i="12"/>
  <c r="DK33" i="12"/>
  <c r="DK32" i="12"/>
  <c r="DK18" i="12"/>
  <c r="DK17" i="12"/>
  <c r="DK15" i="12"/>
  <c r="DK14" i="12"/>
  <c r="DK12" i="12"/>
  <c r="DK10" i="12"/>
  <c r="DK9" i="12"/>
  <c r="DK7" i="12"/>
  <c r="DK6" i="12"/>
  <c r="DK229" i="2"/>
  <c r="DI229" i="2"/>
  <c r="DK173" i="2"/>
  <c r="DK178" i="2" s="1"/>
  <c r="DK142" i="2"/>
  <c r="DK164" i="2" s="1"/>
  <c r="DK141" i="2"/>
  <c r="DK9" i="14" s="1"/>
  <c r="DK8" i="14" s="1"/>
  <c r="DK44" i="12" s="1"/>
  <c r="DK140" i="2"/>
  <c r="DK139" i="2"/>
  <c r="DK138" i="2"/>
  <c r="DK162" i="2" s="1"/>
  <c r="DK136" i="2"/>
  <c r="DK160" i="2" s="1"/>
  <c r="DK135" i="2"/>
  <c r="DK134" i="2"/>
  <c r="DK133" i="2"/>
  <c r="DK157" i="2" s="1"/>
  <c r="DK132" i="2"/>
  <c r="DK156" i="2" s="1"/>
  <c r="DK61" i="2"/>
  <c r="DK50" i="2"/>
  <c r="DK193" i="2" s="1"/>
  <c r="DK26" i="2"/>
  <c r="DK14" i="2"/>
  <c r="DK107" i="1"/>
  <c r="DK22" i="14" s="1"/>
  <c r="DK83" i="1"/>
  <c r="DK71" i="1"/>
  <c r="DK76" i="1" s="1"/>
  <c r="DK54" i="1"/>
  <c r="DK62" i="1" s="1"/>
  <c r="DK211" i="1"/>
  <c r="DK230" i="2" s="1"/>
  <c r="DK174" i="1"/>
  <c r="DK139" i="1"/>
  <c r="DK122" i="1"/>
  <c r="DK115" i="1"/>
  <c r="DK17" i="1"/>
  <c r="DK20" i="1" s="1"/>
  <c r="DK24" i="1" s="1"/>
  <c r="DK26" i="1" s="1"/>
  <c r="DP212" i="2" l="1"/>
  <c r="DK163" i="2"/>
  <c r="DK70" i="13"/>
  <c r="DK8" i="12"/>
  <c r="DK49" i="12" s="1"/>
  <c r="DK30" i="14"/>
  <c r="DK37" i="14"/>
  <c r="DK50" i="12"/>
  <c r="DK108" i="1"/>
  <c r="DK126" i="1" s="1"/>
  <c r="DK43" i="12"/>
  <c r="DK45" i="12" s="1"/>
  <c r="DK42" i="13"/>
  <c r="DK55" i="13" s="1"/>
  <c r="DK61" i="13" s="1"/>
  <c r="DL86" i="13" s="1"/>
  <c r="DK51" i="12"/>
  <c r="DK54" i="13"/>
  <c r="DK56" i="13"/>
  <c r="DK14" i="14"/>
  <c r="DK23" i="14" s="1"/>
  <c r="DK189" i="2"/>
  <c r="DK69" i="13"/>
  <c r="DK46" i="14"/>
  <c r="DK190" i="2"/>
  <c r="DK71" i="13"/>
  <c r="DK72" i="13"/>
  <c r="DK73" i="13" s="1"/>
  <c r="DK30" i="13"/>
  <c r="DK35" i="13" s="1"/>
  <c r="DK12" i="13"/>
  <c r="DK85" i="1"/>
  <c r="DK36" i="1"/>
  <c r="DK32" i="1"/>
  <c r="DK57" i="13" l="1"/>
  <c r="DL85" i="13"/>
  <c r="DK13" i="12"/>
  <c r="DK16" i="12" s="1"/>
  <c r="DK19" i="12" s="1"/>
  <c r="DK56" i="12" s="1"/>
  <c r="DK52" i="12"/>
  <c r="DK44" i="13"/>
  <c r="DK62" i="13"/>
  <c r="DK63" i="13" s="1"/>
  <c r="DK65" i="13" s="1"/>
  <c r="DK58" i="13"/>
  <c r="DK74" i="13"/>
  <c r="DK41" i="14"/>
  <c r="DK45" i="14"/>
  <c r="DK47" i="14" s="1"/>
  <c r="DK59" i="13"/>
  <c r="DK68" i="13"/>
  <c r="DK20" i="13"/>
  <c r="DK78" i="13"/>
  <c r="DI40" i="14"/>
  <c r="DI38" i="14"/>
  <c r="DI36" i="14"/>
  <c r="DI35" i="14"/>
  <c r="DI34" i="14"/>
  <c r="DI33" i="14"/>
  <c r="DI32" i="14"/>
  <c r="DI31" i="14"/>
  <c r="DI29" i="14"/>
  <c r="DI28" i="14"/>
  <c r="DI27" i="14"/>
  <c r="DI26" i="14"/>
  <c r="DI25" i="14"/>
  <c r="DI24" i="14"/>
  <c r="DI22" i="14"/>
  <c r="DI21" i="14"/>
  <c r="DI20" i="14"/>
  <c r="DI19" i="14"/>
  <c r="DI18" i="14"/>
  <c r="DI17" i="14"/>
  <c r="DI16" i="14"/>
  <c r="DI15" i="14"/>
  <c r="DI13" i="14"/>
  <c r="DI12" i="14"/>
  <c r="DI11" i="14"/>
  <c r="DI10" i="14"/>
  <c r="DI7" i="14"/>
  <c r="DI43" i="13"/>
  <c r="DI41" i="13"/>
  <c r="DI40" i="13"/>
  <c r="DI39" i="13"/>
  <c r="DI38" i="13"/>
  <c r="DI37" i="13"/>
  <c r="DI36" i="13"/>
  <c r="DI34" i="13"/>
  <c r="DI33" i="13"/>
  <c r="DI32" i="13"/>
  <c r="DI31" i="13"/>
  <c r="DI29" i="13"/>
  <c r="DI28" i="13"/>
  <c r="DI27" i="13"/>
  <c r="DI26" i="13"/>
  <c r="DI25" i="13"/>
  <c r="DI24" i="13"/>
  <c r="DI23" i="13"/>
  <c r="DI19" i="13"/>
  <c r="DI18" i="13"/>
  <c r="DI17" i="13"/>
  <c r="DI16" i="13"/>
  <c r="DI15" i="13"/>
  <c r="DI14" i="13"/>
  <c r="DI13" i="13"/>
  <c r="DI11" i="13"/>
  <c r="DI10" i="13"/>
  <c r="DI9" i="13"/>
  <c r="DI8" i="13"/>
  <c r="DI7" i="13"/>
  <c r="DI53" i="13" s="1"/>
  <c r="DI25" i="12"/>
  <c r="DI32" i="12"/>
  <c r="DI33" i="12"/>
  <c r="DI18" i="12"/>
  <c r="DI17" i="12"/>
  <c r="DI15" i="12"/>
  <c r="DI14" i="12"/>
  <c r="DI12" i="12"/>
  <c r="DI11" i="12"/>
  <c r="DI10" i="12"/>
  <c r="DI9" i="12"/>
  <c r="DI7" i="12"/>
  <c r="DI6" i="12"/>
  <c r="DJ209" i="1"/>
  <c r="DI142" i="2"/>
  <c r="DI164" i="2" s="1"/>
  <c r="DI141" i="2"/>
  <c r="DI9" i="14" s="1"/>
  <c r="DI8" i="14" s="1"/>
  <c r="DI140" i="2"/>
  <c r="DI139" i="2"/>
  <c r="DI163" i="2" s="1"/>
  <c r="DI138" i="2"/>
  <c r="DI162" i="2" s="1"/>
  <c r="DI136" i="2"/>
  <c r="DI160" i="2" s="1"/>
  <c r="DI133" i="2"/>
  <c r="DI157" i="2" s="1"/>
  <c r="DI132" i="2"/>
  <c r="DI156" i="2" s="1"/>
  <c r="DI61" i="2"/>
  <c r="DI50" i="2"/>
  <c r="DI193" i="2" s="1"/>
  <c r="DI26" i="2"/>
  <c r="DI190" i="2" s="1"/>
  <c r="DI14" i="2"/>
  <c r="DI189" i="2" s="1"/>
  <c r="DI211" i="1"/>
  <c r="DI230" i="2" s="1"/>
  <c r="DJ210" i="1"/>
  <c r="DJ208" i="1"/>
  <c r="DJ207" i="1"/>
  <c r="DI174" i="1"/>
  <c r="DJ173" i="1"/>
  <c r="DJ172" i="1"/>
  <c r="DJ171" i="1"/>
  <c r="DJ170" i="1"/>
  <c r="DJ169" i="1"/>
  <c r="DJ168" i="1"/>
  <c r="DJ167" i="1"/>
  <c r="DJ166" i="1"/>
  <c r="DJ165" i="1"/>
  <c r="DJ164" i="1"/>
  <c r="DI139" i="1"/>
  <c r="DJ138" i="1"/>
  <c r="DJ137" i="1"/>
  <c r="DJ136" i="1"/>
  <c r="DJ135" i="1"/>
  <c r="DJ134" i="1"/>
  <c r="DJ133" i="1"/>
  <c r="DK21" i="12" l="1"/>
  <c r="DK28" i="12"/>
  <c r="DK29" i="12" s="1"/>
  <c r="DK22" i="12"/>
  <c r="DK54" i="12"/>
  <c r="DK53" i="12"/>
  <c r="DL75" i="13"/>
  <c r="DL83" i="13"/>
  <c r="DK64" i="13"/>
  <c r="DI50" i="12"/>
  <c r="DI69" i="13"/>
  <c r="DK55" i="12"/>
  <c r="DI70" i="13"/>
  <c r="DI51" i="12"/>
  <c r="DI54" i="13"/>
  <c r="DI30" i="13"/>
  <c r="DI35" i="13" s="1"/>
  <c r="DI71" i="13"/>
  <c r="DI30" i="14"/>
  <c r="DI37" i="14"/>
  <c r="DJ211" i="1"/>
  <c r="DJ230" i="2" s="1"/>
  <c r="DJ229" i="2"/>
  <c r="DI8" i="12"/>
  <c r="DI49" i="12" s="1"/>
  <c r="DK66" i="12"/>
  <c r="DI42" i="13"/>
  <c r="DI55" i="13" s="1"/>
  <c r="DI61" i="13" s="1"/>
  <c r="DI14" i="14"/>
  <c r="DI23" i="14" s="1"/>
  <c r="DI46" i="14"/>
  <c r="DK51" i="14"/>
  <c r="DK49" i="14"/>
  <c r="DK48" i="14"/>
  <c r="DI13" i="12"/>
  <c r="DI72" i="13"/>
  <c r="DI73" i="13" s="1"/>
  <c r="DI56" i="13"/>
  <c r="DI12" i="13"/>
  <c r="DJ124" i="1"/>
  <c r="DJ121" i="1"/>
  <c r="DJ120" i="1"/>
  <c r="DJ119" i="1"/>
  <c r="DJ118" i="1"/>
  <c r="DJ117" i="1"/>
  <c r="DJ116" i="1"/>
  <c r="DJ114" i="1"/>
  <c r="DJ113" i="1"/>
  <c r="DJ112" i="1"/>
  <c r="DJ111" i="1"/>
  <c r="DJ110" i="1"/>
  <c r="DJ109" i="1"/>
  <c r="DI108" i="1"/>
  <c r="DJ107" i="1"/>
  <c r="DJ106" i="1"/>
  <c r="DJ105" i="1"/>
  <c r="DJ104" i="1"/>
  <c r="DJ103" i="1"/>
  <c r="DJ102" i="1"/>
  <c r="DJ101" i="1"/>
  <c r="DJ100" i="1"/>
  <c r="DJ97" i="1"/>
  <c r="DJ96" i="1"/>
  <c r="DJ95" i="1"/>
  <c r="DJ94" i="1"/>
  <c r="DJ93" i="1"/>
  <c r="DJ92" i="1"/>
  <c r="DJ84" i="1"/>
  <c r="DI83" i="1"/>
  <c r="DJ82" i="1"/>
  <c r="DJ81" i="1"/>
  <c r="DJ80" i="1"/>
  <c r="DJ79" i="1"/>
  <c r="DJ78" i="1"/>
  <c r="DJ77" i="1"/>
  <c r="DJ75" i="1"/>
  <c r="DJ74" i="1"/>
  <c r="DJ73" i="1"/>
  <c r="DJ72" i="1"/>
  <c r="DI71" i="1"/>
  <c r="DI76" i="1" s="1"/>
  <c r="DJ76" i="1" s="1"/>
  <c r="DJ70" i="1"/>
  <c r="DJ68" i="1"/>
  <c r="DJ67" i="1"/>
  <c r="DJ66" i="1"/>
  <c r="DJ65" i="1"/>
  <c r="DJ64" i="1"/>
  <c r="DJ61" i="1"/>
  <c r="DJ60" i="1"/>
  <c r="DJ59" i="1"/>
  <c r="DJ58" i="1"/>
  <c r="DJ57" i="1"/>
  <c r="DJ56" i="1"/>
  <c r="DJ55" i="1"/>
  <c r="DI54" i="1"/>
  <c r="DI62" i="1" s="1"/>
  <c r="DJ62" i="1" s="1"/>
  <c r="DJ53" i="1"/>
  <c r="DJ52" i="1"/>
  <c r="DJ51" i="1"/>
  <c r="DJ50" i="1"/>
  <c r="DJ49" i="1"/>
  <c r="DI17" i="1"/>
  <c r="DI20" i="1" s="1"/>
  <c r="DI24" i="1" s="1"/>
  <c r="DI26" i="1" s="1"/>
  <c r="DI74" i="13" l="1"/>
  <c r="DI44" i="13"/>
  <c r="DI16" i="12"/>
  <c r="DI53" i="12"/>
  <c r="DI41" i="14"/>
  <c r="DI45" i="14"/>
  <c r="DI47" i="14" s="1"/>
  <c r="DI68" i="13"/>
  <c r="DI20" i="13"/>
  <c r="DI78" i="13"/>
  <c r="DI58" i="13"/>
  <c r="DI62" i="13"/>
  <c r="DI57" i="13"/>
  <c r="DI122" i="1"/>
  <c r="DI115" i="1"/>
  <c r="DJ71" i="1"/>
  <c r="DI85" i="1"/>
  <c r="DJ85" i="1" s="1"/>
  <c r="DJ54" i="1"/>
  <c r="DJ83" i="1"/>
  <c r="DI36" i="1"/>
  <c r="DI32" i="1"/>
  <c r="DI19" i="12" l="1"/>
  <c r="DK69" i="12" s="1"/>
  <c r="DI54" i="12"/>
  <c r="DI51" i="14"/>
  <c r="DI59" i="13"/>
  <c r="DI64" i="13"/>
  <c r="DI63" i="13"/>
  <c r="DI65" i="13" s="1"/>
  <c r="DI126" i="1"/>
  <c r="DI48" i="14" l="1"/>
  <c r="DI56" i="12"/>
  <c r="DI28" i="12"/>
  <c r="DI21" i="12"/>
  <c r="DI22" i="12"/>
  <c r="DK70" i="12" s="1"/>
  <c r="DI29" i="12" l="1"/>
  <c r="DI55" i="12"/>
  <c r="DI49" i="14"/>
  <c r="DP33" i="12" l="1"/>
  <c r="DQ33" i="12" s="1"/>
  <c r="DR33" i="12" s="1"/>
  <c r="DS33" i="12" s="1"/>
  <c r="DH133" i="2"/>
  <c r="DP34" i="14" l="1"/>
  <c r="DP51" i="14"/>
  <c r="DH228" i="2"/>
  <c r="DH229" i="2"/>
  <c r="DH40" i="14"/>
  <c r="DH38" i="14"/>
  <c r="DH36" i="14"/>
  <c r="DH35" i="14"/>
  <c r="DH34" i="14"/>
  <c r="DH33" i="14"/>
  <c r="DH32" i="14"/>
  <c r="DH31" i="14"/>
  <c r="DH29" i="14"/>
  <c r="DH28" i="14"/>
  <c r="DH27" i="14"/>
  <c r="DH26" i="14"/>
  <c r="DH25" i="14"/>
  <c r="DH24" i="14"/>
  <c r="DH22" i="14"/>
  <c r="DH21" i="14"/>
  <c r="DH20" i="14"/>
  <c r="DH19" i="14"/>
  <c r="DH18" i="14"/>
  <c r="DH17" i="14"/>
  <c r="DH16" i="14"/>
  <c r="DH15" i="14"/>
  <c r="DH13" i="14"/>
  <c r="DH12" i="14"/>
  <c r="DH11" i="14"/>
  <c r="DH10" i="14"/>
  <c r="DH7" i="14"/>
  <c r="DH43" i="13"/>
  <c r="DH41" i="13"/>
  <c r="DH40" i="13"/>
  <c r="DH39" i="13"/>
  <c r="DH38" i="13"/>
  <c r="DH37" i="13"/>
  <c r="DH36" i="13"/>
  <c r="DH34" i="13"/>
  <c r="DH33" i="13"/>
  <c r="DH32" i="13"/>
  <c r="DH31" i="13"/>
  <c r="DH29" i="13"/>
  <c r="DH28" i="13"/>
  <c r="DH27" i="13"/>
  <c r="DH26" i="13"/>
  <c r="DH25" i="13"/>
  <c r="DH24" i="13"/>
  <c r="DH23" i="13"/>
  <c r="DH19" i="13"/>
  <c r="DH18" i="13"/>
  <c r="DH17" i="13"/>
  <c r="DH16" i="13"/>
  <c r="DH15" i="13"/>
  <c r="DH14" i="13"/>
  <c r="DH13" i="13"/>
  <c r="DH11" i="13"/>
  <c r="DH10" i="13"/>
  <c r="DH9" i="13"/>
  <c r="DH8" i="13"/>
  <c r="DH7" i="13"/>
  <c r="DH53" i="13" s="1"/>
  <c r="DH27" i="12"/>
  <c r="DH25" i="12"/>
  <c r="DH35" i="12"/>
  <c r="DH33" i="12"/>
  <c r="DH32" i="12"/>
  <c r="DH18" i="12"/>
  <c r="DH17" i="12"/>
  <c r="DH15" i="12"/>
  <c r="DH14" i="12"/>
  <c r="DH12" i="12"/>
  <c r="DH11" i="12"/>
  <c r="DH10" i="12"/>
  <c r="DH9" i="12"/>
  <c r="DH7" i="12"/>
  <c r="DH6" i="12"/>
  <c r="DM59" i="12" s="1"/>
  <c r="DH142" i="2"/>
  <c r="DH164" i="2" s="1"/>
  <c r="DH141" i="2"/>
  <c r="DH9" i="14" s="1"/>
  <c r="DH8" i="14" s="1"/>
  <c r="DH44" i="12" s="1"/>
  <c r="DH140" i="2"/>
  <c r="DH139" i="2"/>
  <c r="DH163" i="2" s="1"/>
  <c r="DH138" i="2"/>
  <c r="DH162" i="2" s="1"/>
  <c r="DH136" i="2"/>
  <c r="DH135" i="2"/>
  <c r="DH134" i="2"/>
  <c r="DH157" i="2"/>
  <c r="DH132" i="2"/>
  <c r="DH156" i="2" s="1"/>
  <c r="DH61" i="2"/>
  <c r="DH50" i="2"/>
  <c r="DH26" i="2"/>
  <c r="DH14" i="2"/>
  <c r="DH211" i="1"/>
  <c r="DH230" i="2" s="1"/>
  <c r="DH174" i="1"/>
  <c r="DH139" i="1"/>
  <c r="DH122" i="1"/>
  <c r="DH115" i="1"/>
  <c r="DH108" i="1"/>
  <c r="DH83" i="1"/>
  <c r="DH71" i="1"/>
  <c r="DH76" i="1" s="1"/>
  <c r="DH54" i="1"/>
  <c r="DH62" i="1" s="1"/>
  <c r="DH17" i="1"/>
  <c r="DH20" i="1" s="1"/>
  <c r="DH24" i="1" s="1"/>
  <c r="DH26" i="1" s="1"/>
  <c r="DH193" i="2" l="1"/>
  <c r="DH190" i="2"/>
  <c r="DH189" i="2"/>
  <c r="DP37" i="14"/>
  <c r="DP41" i="14" s="1"/>
  <c r="DQ34" i="14"/>
  <c r="DQ51" i="14"/>
  <c r="DH8" i="12"/>
  <c r="DH13" i="12" s="1"/>
  <c r="DH71" i="13"/>
  <c r="DH72" i="13"/>
  <c r="DH73" i="13" s="1"/>
  <c r="DH50" i="12"/>
  <c r="DH12" i="13"/>
  <c r="DH20" i="13" s="1"/>
  <c r="DH30" i="14"/>
  <c r="DH37" i="14"/>
  <c r="DH70" i="13"/>
  <c r="DH14" i="14"/>
  <c r="DH23" i="14" s="1"/>
  <c r="DH46" i="14"/>
  <c r="DH51" i="12"/>
  <c r="DH42" i="13"/>
  <c r="DH55" i="13" s="1"/>
  <c r="DH61" i="13" s="1"/>
  <c r="DH160" i="2"/>
  <c r="DH161" i="2" s="1"/>
  <c r="DH165" i="2" s="1"/>
  <c r="DH56" i="13"/>
  <c r="DH54" i="13"/>
  <c r="DH137" i="2"/>
  <c r="DH144" i="2" s="1"/>
  <c r="DH69" i="13"/>
  <c r="DH30" i="13"/>
  <c r="DH35" i="13" s="1"/>
  <c r="DH126" i="1"/>
  <c r="DH85" i="1"/>
  <c r="DH36" i="1"/>
  <c r="DH32" i="1"/>
  <c r="DQ37" i="14" l="1"/>
  <c r="DQ41" i="14" s="1"/>
  <c r="DR51" i="14"/>
  <c r="DR34" i="14"/>
  <c r="DH16" i="12"/>
  <c r="DH19" i="12" s="1"/>
  <c r="DH21" i="12" s="1"/>
  <c r="DH53" i="12"/>
  <c r="DH49" i="12"/>
  <c r="DH44" i="13"/>
  <c r="DI85" i="13"/>
  <c r="DH74" i="13"/>
  <c r="DI86" i="13"/>
  <c r="DI83" i="13"/>
  <c r="DI75" i="13"/>
  <c r="DH62" i="13"/>
  <c r="DH64" i="13" s="1"/>
  <c r="DH58" i="13"/>
  <c r="DH57" i="13"/>
  <c r="DH59" i="13" s="1"/>
  <c r="DH45" i="14"/>
  <c r="DH47" i="14" s="1"/>
  <c r="DH41" i="14"/>
  <c r="DH78" i="13"/>
  <c r="DH68" i="13"/>
  <c r="DH54" i="12" l="1"/>
  <c r="DH56" i="12"/>
  <c r="DM62" i="12"/>
  <c r="DH28" i="12"/>
  <c r="DH29" i="12" s="1"/>
  <c r="DR37" i="14"/>
  <c r="DR41" i="14" s="1"/>
  <c r="DS51" i="14"/>
  <c r="DS34" i="14"/>
  <c r="DH22" i="12"/>
  <c r="DT33" i="12"/>
  <c r="DH63" i="13"/>
  <c r="DH65" i="13" s="1"/>
  <c r="DH51" i="14"/>
  <c r="DH48" i="14"/>
  <c r="DH55" i="12" l="1"/>
  <c r="DH49" i="14"/>
  <c r="DH36" i="12"/>
  <c r="DM63" i="12"/>
  <c r="DS37" i="14"/>
  <c r="DS41" i="14" s="1"/>
  <c r="DU33" i="12"/>
  <c r="DT39" i="12"/>
  <c r="DT34" i="14"/>
  <c r="DT37" i="14" s="1"/>
  <c r="DJ65" i="14"/>
  <c r="DG228" i="2"/>
  <c r="DF228" i="2"/>
  <c r="DD228" i="2"/>
  <c r="DC228" i="2"/>
  <c r="DG211" i="1"/>
  <c r="DG230" i="2" s="1"/>
  <c r="DF211" i="1"/>
  <c r="DD211" i="1"/>
  <c r="DC211" i="1"/>
  <c r="DG39" i="14" l="1"/>
  <c r="DG40" i="14"/>
  <c r="DG38" i="14"/>
  <c r="DG36" i="14"/>
  <c r="DG35" i="14"/>
  <c r="DG34" i="14"/>
  <c r="DG33" i="14"/>
  <c r="DG32" i="14"/>
  <c r="DG31" i="14"/>
  <c r="DG29" i="14"/>
  <c r="DG28" i="14"/>
  <c r="DG27" i="14"/>
  <c r="DG26" i="14"/>
  <c r="DG25" i="14"/>
  <c r="DG24" i="14"/>
  <c r="DG22" i="14"/>
  <c r="DG21" i="14"/>
  <c r="DG20" i="14"/>
  <c r="DG19" i="14"/>
  <c r="DG18" i="14"/>
  <c r="DG17" i="14"/>
  <c r="DG16" i="14"/>
  <c r="DG15" i="14"/>
  <c r="DG13" i="14"/>
  <c r="DG12" i="14"/>
  <c r="DG11" i="14"/>
  <c r="DG10" i="14"/>
  <c r="DG7" i="14"/>
  <c r="DG43" i="13"/>
  <c r="DG41" i="13"/>
  <c r="DG40" i="13"/>
  <c r="DG39" i="13"/>
  <c r="DG38" i="13"/>
  <c r="DG37" i="13"/>
  <c r="DG36" i="13"/>
  <c r="DG34" i="13"/>
  <c r="DG33" i="13"/>
  <c r="DG32" i="13"/>
  <c r="DG31" i="13"/>
  <c r="DG29" i="13"/>
  <c r="DG28" i="13"/>
  <c r="DG27" i="13"/>
  <c r="DG26" i="13"/>
  <c r="DG25" i="13"/>
  <c r="DG24" i="13"/>
  <c r="DG23" i="13"/>
  <c r="DG19" i="13"/>
  <c r="DG18" i="13"/>
  <c r="DG17" i="13"/>
  <c r="DG16" i="13"/>
  <c r="DG15" i="13"/>
  <c r="DG14" i="13"/>
  <c r="DG13" i="13"/>
  <c r="DG11" i="13"/>
  <c r="DG10" i="13"/>
  <c r="DG9" i="13"/>
  <c r="DG8" i="13"/>
  <c r="DG7" i="13"/>
  <c r="DG53" i="13" s="1"/>
  <c r="DG229" i="2"/>
  <c r="DG25" i="12"/>
  <c r="DG35" i="12"/>
  <c r="DG33" i="12"/>
  <c r="DG32" i="12"/>
  <c r="DG18" i="12"/>
  <c r="DG17" i="12"/>
  <c r="DG15" i="12"/>
  <c r="DG14" i="12"/>
  <c r="DG12" i="12"/>
  <c r="DG11" i="12"/>
  <c r="DG10" i="12"/>
  <c r="DG9" i="12"/>
  <c r="DG7" i="12"/>
  <c r="DG6" i="12"/>
  <c r="DH66" i="12" s="1"/>
  <c r="DG138" i="2"/>
  <c r="DG162" i="2" s="1"/>
  <c r="DG139" i="2"/>
  <c r="DG163" i="2" s="1"/>
  <c r="DG140" i="2"/>
  <c r="DG141" i="2"/>
  <c r="DG9" i="14" s="1"/>
  <c r="DG8" i="14" s="1"/>
  <c r="DG44" i="12" s="1"/>
  <c r="DG142" i="2"/>
  <c r="DG164" i="2" s="1"/>
  <c r="DG132" i="2"/>
  <c r="DG156" i="2" s="1"/>
  <c r="DG133" i="2"/>
  <c r="DG157" i="2" s="1"/>
  <c r="DG134" i="2"/>
  <c r="DG135" i="2"/>
  <c r="DG136" i="2"/>
  <c r="DG61" i="2"/>
  <c r="DG26" i="2"/>
  <c r="DG14" i="2"/>
  <c r="DG189" i="2" l="1"/>
  <c r="DG190" i="2"/>
  <c r="DG56" i="13"/>
  <c r="DG57" i="13" s="1"/>
  <c r="DG14" i="14"/>
  <c r="DG23" i="14" s="1"/>
  <c r="DG137" i="2"/>
  <c r="DG144" i="2" s="1"/>
  <c r="DG30" i="14"/>
  <c r="DG37" i="14"/>
  <c r="DG160" i="2"/>
  <c r="DG161" i="2" s="1"/>
  <c r="DG165" i="2" s="1"/>
  <c r="DG42" i="13"/>
  <c r="DG55" i="13" s="1"/>
  <c r="DG62" i="2"/>
  <c r="DG193" i="2"/>
  <c r="DG70" i="13"/>
  <c r="DG50" i="12"/>
  <c r="DG51" i="12"/>
  <c r="DG69" i="13"/>
  <c r="DG8" i="12"/>
  <c r="DG71" i="13"/>
  <c r="DG54" i="13"/>
  <c r="DG72" i="13"/>
  <c r="DG73" i="13" s="1"/>
  <c r="DG46" i="14"/>
  <c r="DG30" i="13"/>
  <c r="DG35" i="13" s="1"/>
  <c r="DG12" i="13"/>
  <c r="DG174" i="1"/>
  <c r="DG139" i="1"/>
  <c r="DG122" i="1"/>
  <c r="DG115" i="1"/>
  <c r="DG108" i="1"/>
  <c r="DG83" i="1"/>
  <c r="DG71" i="1"/>
  <c r="DG76" i="1" s="1"/>
  <c r="DG54" i="1"/>
  <c r="DG62" i="1" s="1"/>
  <c r="DG17" i="1"/>
  <c r="DG20" i="1" s="1"/>
  <c r="DG24" i="1" s="1"/>
  <c r="DG26" i="1" s="1"/>
  <c r="DG62" i="13" l="1"/>
  <c r="DG41" i="14"/>
  <c r="DG58" i="13"/>
  <c r="DG61" i="13"/>
  <c r="DH86" i="13" s="1"/>
  <c r="DH85" i="13"/>
  <c r="DG44" i="13"/>
  <c r="DG13" i="12"/>
  <c r="DG49" i="12"/>
  <c r="DG74" i="13"/>
  <c r="DG45" i="14"/>
  <c r="DG47" i="14" s="1"/>
  <c r="DG59" i="13"/>
  <c r="DG63" i="13"/>
  <c r="DG65" i="13" s="1"/>
  <c r="DG68" i="13"/>
  <c r="DG78" i="13"/>
  <c r="DG20" i="13"/>
  <c r="DG85" i="1"/>
  <c r="DG126" i="1"/>
  <c r="DG36" i="1"/>
  <c r="DG32" i="1"/>
  <c r="DG64" i="13" l="1"/>
  <c r="DH75" i="13"/>
  <c r="DH83" i="13"/>
  <c r="DG16" i="12"/>
  <c r="DG53" i="12"/>
  <c r="DG51" i="14"/>
  <c r="DG19" i="12" l="1"/>
  <c r="DG54" i="12"/>
  <c r="DO18" i="12"/>
  <c r="DN73" i="13"/>
  <c r="DN74" i="13" s="1"/>
  <c r="DO55" i="14"/>
  <c r="DO39" i="14"/>
  <c r="DO36" i="14"/>
  <c r="DO35" i="14"/>
  <c r="DO33" i="14"/>
  <c r="DO32" i="14"/>
  <c r="DO31" i="14"/>
  <c r="DO29" i="14"/>
  <c r="DO28" i="14"/>
  <c r="DO27" i="14"/>
  <c r="DO26" i="14"/>
  <c r="DO25" i="14"/>
  <c r="DO24" i="14"/>
  <c r="DO21" i="14"/>
  <c r="DO13" i="14"/>
  <c r="DO11" i="14"/>
  <c r="DO10" i="14"/>
  <c r="DO9" i="14"/>
  <c r="DO8" i="14"/>
  <c r="DN46" i="14"/>
  <c r="DN45" i="14"/>
  <c r="DN40" i="14"/>
  <c r="DN38" i="14"/>
  <c r="DN30" i="14"/>
  <c r="DN12" i="14"/>
  <c r="DN141" i="2"/>
  <c r="DN26" i="12" s="1"/>
  <c r="DO25" i="12"/>
  <c r="DO14" i="12"/>
  <c r="DO12" i="12"/>
  <c r="DO11" i="12"/>
  <c r="DN44" i="12"/>
  <c r="DM44" i="12"/>
  <c r="DL44" i="12"/>
  <c r="DN164" i="2"/>
  <c r="DO176" i="2"/>
  <c r="DO175" i="2"/>
  <c r="DO174" i="2"/>
  <c r="DN171" i="2"/>
  <c r="DS201" i="2" s="1"/>
  <c r="DM171" i="2"/>
  <c r="DR201" i="2" s="1"/>
  <c r="DL171" i="2"/>
  <c r="DQ201" i="2" s="1"/>
  <c r="DN170" i="2"/>
  <c r="DS200" i="2" s="1"/>
  <c r="DM170" i="2"/>
  <c r="DR200" i="2" s="1"/>
  <c r="DL170" i="2"/>
  <c r="DQ200" i="2" s="1"/>
  <c r="DN161" i="2"/>
  <c r="DL161" i="2"/>
  <c r="DO159" i="2"/>
  <c r="DO158" i="2"/>
  <c r="DN143" i="2"/>
  <c r="DN140" i="2"/>
  <c r="DN139" i="2"/>
  <c r="DQ212" i="2"/>
  <c r="DN138" i="2"/>
  <c r="DN77" i="2"/>
  <c r="DM77" i="2"/>
  <c r="DK77" i="2"/>
  <c r="DO76" i="2"/>
  <c r="DN76" i="2"/>
  <c r="DM76" i="2"/>
  <c r="DL76" i="2"/>
  <c r="DK76" i="2"/>
  <c r="DO75" i="2"/>
  <c r="DN75" i="2"/>
  <c r="DM75" i="2"/>
  <c r="DL75" i="2"/>
  <c r="DK75" i="2"/>
  <c r="DN74" i="2"/>
  <c r="DM74" i="2"/>
  <c r="DL74" i="2"/>
  <c r="DK74" i="2"/>
  <c r="DN73" i="2"/>
  <c r="DM73" i="2"/>
  <c r="DL73" i="2"/>
  <c r="DK73" i="2"/>
  <c r="DO69" i="2"/>
  <c r="DN69" i="2"/>
  <c r="DM69" i="2"/>
  <c r="DM86" i="2" s="1"/>
  <c r="DL69" i="2"/>
  <c r="DK69" i="2"/>
  <c r="DO68" i="2"/>
  <c r="DN68" i="2"/>
  <c r="DM68" i="2"/>
  <c r="DL68" i="2"/>
  <c r="DK68" i="2"/>
  <c r="DO67" i="2"/>
  <c r="DN67" i="2"/>
  <c r="DM67" i="2"/>
  <c r="DL67" i="2"/>
  <c r="DK67" i="2"/>
  <c r="DO66" i="2"/>
  <c r="DN66" i="2"/>
  <c r="DM66" i="2"/>
  <c r="DL66" i="2"/>
  <c r="DK66" i="2"/>
  <c r="DO65" i="2"/>
  <c r="DN65" i="2"/>
  <c r="DM65" i="2"/>
  <c r="DL65" i="2"/>
  <c r="DK65" i="2"/>
  <c r="DO61" i="2"/>
  <c r="DL77" i="2"/>
  <c r="DK48" i="2"/>
  <c r="DK41" i="2"/>
  <c r="DO24" i="2"/>
  <c r="DO23" i="2"/>
  <c r="DO12" i="2"/>
  <c r="DO73" i="2" s="1"/>
  <c r="DG77" i="2"/>
  <c r="DU77" i="2"/>
  <c r="DF77" i="2"/>
  <c r="DU69" i="2"/>
  <c r="DJ69" i="2"/>
  <c r="DG69" i="2"/>
  <c r="DH69" i="2"/>
  <c r="DI69" i="2"/>
  <c r="DF69" i="2"/>
  <c r="DD75" i="2"/>
  <c r="DM82" i="2" l="1"/>
  <c r="DM83" i="2"/>
  <c r="DL83" i="2"/>
  <c r="DL86" i="2"/>
  <c r="DL82" i="2"/>
  <c r="DP221" i="2"/>
  <c r="DS212" i="2"/>
  <c r="DO38" i="14"/>
  <c r="DO40" i="14"/>
  <c r="DO30" i="14"/>
  <c r="DH69" i="12"/>
  <c r="DG56" i="12"/>
  <c r="DG28" i="12"/>
  <c r="DG22" i="12"/>
  <c r="DG21" i="12"/>
  <c r="DG48" i="14"/>
  <c r="DN165" i="2"/>
  <c r="DN24" i="12" s="1"/>
  <c r="DO38" i="12"/>
  <c r="DL165" i="2"/>
  <c r="DN47" i="14"/>
  <c r="DO44" i="12"/>
  <c r="DO12" i="14"/>
  <c r="DO46" i="14"/>
  <c r="DO77" i="2"/>
  <c r="DO141" i="2"/>
  <c r="DO135" i="2"/>
  <c r="DO143" i="2"/>
  <c r="DO134" i="2"/>
  <c r="DM78" i="2"/>
  <c r="DN70" i="2"/>
  <c r="DL221" i="2"/>
  <c r="DO70" i="2"/>
  <c r="DO140" i="2"/>
  <c r="DL78" i="2"/>
  <c r="DO41" i="2"/>
  <c r="DL70" i="2"/>
  <c r="DK70" i="2"/>
  <c r="DO74" i="2"/>
  <c r="DM70" i="2"/>
  <c r="DK78" i="2"/>
  <c r="DN78" i="2"/>
  <c r="DO142" i="2"/>
  <c r="DO48" i="2"/>
  <c r="DI77" i="2"/>
  <c r="DH77" i="2"/>
  <c r="DN27" i="12" l="1"/>
  <c r="DG29" i="12"/>
  <c r="DG55" i="12"/>
  <c r="DG49" i="14"/>
  <c r="DG36" i="12"/>
  <c r="DH70" i="12"/>
  <c r="DN35" i="12"/>
  <c r="DO78" i="2"/>
  <c r="DO59" i="14"/>
  <c r="DO26" i="12"/>
  <c r="DJ77" i="2"/>
  <c r="O9" i="47" l="1"/>
  <c r="DF35" i="12"/>
  <c r="DF33" i="12"/>
  <c r="DF32" i="12"/>
  <c r="DF46" i="14"/>
  <c r="DF40" i="14"/>
  <c r="DF38" i="14"/>
  <c r="DF36" i="14"/>
  <c r="DF35" i="14"/>
  <c r="DF34" i="14"/>
  <c r="DF33" i="14"/>
  <c r="DF32" i="14"/>
  <c r="DF31" i="14"/>
  <c r="DF29" i="14"/>
  <c r="DF28" i="14"/>
  <c r="DF27" i="14"/>
  <c r="DF26" i="14"/>
  <c r="DF25" i="14"/>
  <c r="DF24" i="14"/>
  <c r="DF22" i="14"/>
  <c r="DF21" i="14"/>
  <c r="DF20" i="14"/>
  <c r="DF19" i="14"/>
  <c r="DF18" i="14"/>
  <c r="DF17" i="14"/>
  <c r="DF16" i="14"/>
  <c r="DF15" i="14"/>
  <c r="DF13" i="14"/>
  <c r="DF12" i="14"/>
  <c r="DF11" i="14"/>
  <c r="DF10" i="14"/>
  <c r="DF7" i="14"/>
  <c r="DF43" i="13"/>
  <c r="DF41" i="13"/>
  <c r="DF40" i="13"/>
  <c r="DF39" i="13"/>
  <c r="DF38" i="13"/>
  <c r="DF37" i="13"/>
  <c r="DF36" i="13"/>
  <c r="DF34" i="13"/>
  <c r="DF33" i="13"/>
  <c r="DF32" i="13"/>
  <c r="DF31" i="13"/>
  <c r="DF29" i="13"/>
  <c r="DF28" i="13"/>
  <c r="DF27" i="13"/>
  <c r="DF26" i="13"/>
  <c r="DF25" i="13"/>
  <c r="DF24" i="13"/>
  <c r="DF23" i="13"/>
  <c r="DF19" i="13"/>
  <c r="DF18" i="13"/>
  <c r="DF17" i="13"/>
  <c r="DF16" i="13"/>
  <c r="DF15" i="13"/>
  <c r="DF14" i="13"/>
  <c r="DF13" i="13"/>
  <c r="DF11" i="13"/>
  <c r="DF10" i="13"/>
  <c r="DF9" i="13"/>
  <c r="DF8" i="13"/>
  <c r="DF7" i="13"/>
  <c r="DF25" i="12"/>
  <c r="DF18" i="12"/>
  <c r="DF17" i="12"/>
  <c r="DF15" i="12"/>
  <c r="DF14" i="12"/>
  <c r="DF12" i="12"/>
  <c r="DF10" i="12"/>
  <c r="DF9" i="12"/>
  <c r="DF7" i="12"/>
  <c r="DF6" i="12"/>
  <c r="DF230" i="2"/>
  <c r="DG237" i="2" s="1"/>
  <c r="DG244" i="2" s="1"/>
  <c r="DF229" i="2"/>
  <c r="DF173" i="2"/>
  <c r="DF142" i="2"/>
  <c r="DF164" i="2" s="1"/>
  <c r="DF141" i="2"/>
  <c r="DF9" i="14" s="1"/>
  <c r="DF8" i="14" s="1"/>
  <c r="DF140" i="2"/>
  <c r="DF139" i="2"/>
  <c r="DF138" i="2"/>
  <c r="DF162" i="2" s="1"/>
  <c r="DF136" i="2"/>
  <c r="DF135" i="2"/>
  <c r="DF134" i="2"/>
  <c r="DF133" i="2"/>
  <c r="DF132" i="2"/>
  <c r="DG216" i="2" s="1"/>
  <c r="DF61" i="2"/>
  <c r="DF50" i="2"/>
  <c r="DF48" i="2"/>
  <c r="DF41" i="2"/>
  <c r="DF26" i="2"/>
  <c r="DF14" i="2"/>
  <c r="DF122" i="1"/>
  <c r="DJ122" i="1" s="1"/>
  <c r="DK83" i="2" l="1"/>
  <c r="DF69" i="13"/>
  <c r="DK59" i="12"/>
  <c r="DF53" i="13"/>
  <c r="DF54" i="13" s="1"/>
  <c r="DK86" i="2"/>
  <c r="DK82" i="2"/>
  <c r="DF157" i="2"/>
  <c r="DF190" i="2"/>
  <c r="DF193" i="2"/>
  <c r="DF160" i="2"/>
  <c r="DJ160" i="2" s="1"/>
  <c r="DF189" i="2"/>
  <c r="DF163" i="2"/>
  <c r="DK212" i="2"/>
  <c r="DF56" i="13"/>
  <c r="DF62" i="13" s="1"/>
  <c r="DF50" i="12"/>
  <c r="DF51" i="12"/>
  <c r="DF137" i="2"/>
  <c r="DF144" i="2" s="1"/>
  <c r="DF111" i="2"/>
  <c r="DF62" i="2"/>
  <c r="DF108" i="2"/>
  <c r="DF156" i="2"/>
  <c r="DF112" i="2"/>
  <c r="DF109" i="2"/>
  <c r="DF110" i="2"/>
  <c r="DF70" i="13"/>
  <c r="DF8" i="12"/>
  <c r="DF13" i="12" s="1"/>
  <c r="DF16" i="12" s="1"/>
  <c r="DF19" i="12" s="1"/>
  <c r="DF72" i="13"/>
  <c r="DF73" i="13" s="1"/>
  <c r="DF42" i="13"/>
  <c r="DF55" i="13" s="1"/>
  <c r="DF30" i="13"/>
  <c r="DF35" i="13" s="1"/>
  <c r="DF12" i="13"/>
  <c r="DF71" i="13"/>
  <c r="DF14" i="14"/>
  <c r="DF23" i="14" s="1"/>
  <c r="DF45" i="14" s="1"/>
  <c r="DF47" i="14" s="1"/>
  <c r="DF30" i="14"/>
  <c r="DF37" i="14"/>
  <c r="DF44" i="12"/>
  <c r="DF174" i="1"/>
  <c r="DJ174" i="1" s="1"/>
  <c r="DF139" i="1"/>
  <c r="DJ139" i="1" s="1"/>
  <c r="DF115" i="1"/>
  <c r="DJ115" i="1" s="1"/>
  <c r="DF108" i="1"/>
  <c r="DJ108" i="1" s="1"/>
  <c r="DF83" i="1"/>
  <c r="DF71" i="1"/>
  <c r="DF76" i="1" s="1"/>
  <c r="DF54" i="1"/>
  <c r="DF62" i="1" s="1"/>
  <c r="DF17" i="1"/>
  <c r="DF20" i="1" s="1"/>
  <c r="DF24" i="1" s="1"/>
  <c r="DF26" i="1" s="1"/>
  <c r="DF44" i="13" l="1"/>
  <c r="DF57" i="13"/>
  <c r="DF49" i="12"/>
  <c r="DF63" i="13"/>
  <c r="DF53" i="12"/>
  <c r="DF56" i="12"/>
  <c r="DK62" i="12"/>
  <c r="DF61" i="13"/>
  <c r="DG85" i="13"/>
  <c r="DK101" i="2"/>
  <c r="DK104" i="2"/>
  <c r="DF22" i="12"/>
  <c r="DF74" i="13"/>
  <c r="DF113" i="2"/>
  <c r="DF194" i="2"/>
  <c r="DF54" i="12"/>
  <c r="DF20" i="13"/>
  <c r="DF78" i="13"/>
  <c r="DF68" i="13"/>
  <c r="DF58" i="13"/>
  <c r="DF41" i="14"/>
  <c r="DF51" i="14"/>
  <c r="DF48" i="14"/>
  <c r="DF59" i="13"/>
  <c r="DF126" i="1"/>
  <c r="DJ126" i="1" s="1"/>
  <c r="DF85" i="1"/>
  <c r="DF36" i="1"/>
  <c r="DF32" i="1"/>
  <c r="DF65" i="13" l="1"/>
  <c r="DG75" i="13"/>
  <c r="DG83" i="13"/>
  <c r="DF36" i="12"/>
  <c r="DK63" i="12"/>
  <c r="DK202" i="2"/>
  <c r="DK199" i="2"/>
  <c r="DF64" i="13"/>
  <c r="DG86" i="13"/>
  <c r="DK182" i="2" l="1"/>
  <c r="DK181" i="2"/>
  <c r="DK185" i="2"/>
  <c r="DK186" i="2" l="1"/>
  <c r="DD77" i="2"/>
  <c r="DD66" i="2"/>
  <c r="DD74" i="2"/>
  <c r="DD36" i="14"/>
  <c r="DD35" i="14"/>
  <c r="DD34" i="14"/>
  <c r="DD33" i="14"/>
  <c r="DD28" i="14"/>
  <c r="DD27" i="14"/>
  <c r="DD26" i="14"/>
  <c r="DD25" i="14"/>
  <c r="DD24" i="14"/>
  <c r="DD22" i="14"/>
  <c r="DD21" i="14"/>
  <c r="DD20" i="14"/>
  <c r="DD19" i="14"/>
  <c r="DD18" i="14"/>
  <c r="DD17" i="14"/>
  <c r="DD16" i="14"/>
  <c r="DD15" i="14"/>
  <c r="DD13" i="14"/>
  <c r="DD12" i="14"/>
  <c r="DD11" i="14"/>
  <c r="DD10" i="14"/>
  <c r="DD7" i="14"/>
  <c r="DD43" i="13"/>
  <c r="DD41" i="13"/>
  <c r="DD40" i="13"/>
  <c r="DD39" i="13"/>
  <c r="DD38" i="13"/>
  <c r="DD37" i="13"/>
  <c r="DD36" i="13"/>
  <c r="DD34" i="13"/>
  <c r="DD33" i="13"/>
  <c r="DD32" i="13"/>
  <c r="DD31" i="13"/>
  <c r="DD29" i="13"/>
  <c r="DD28" i="13"/>
  <c r="DD27" i="13"/>
  <c r="DD26" i="13"/>
  <c r="DD25" i="13"/>
  <c r="DD24" i="13"/>
  <c r="DD23" i="13"/>
  <c r="DD19" i="13"/>
  <c r="DD18" i="13"/>
  <c r="DD17" i="13"/>
  <c r="DD16" i="13"/>
  <c r="DD15" i="13"/>
  <c r="DD14" i="13"/>
  <c r="DD13" i="13"/>
  <c r="DD11" i="13"/>
  <c r="DD10" i="13"/>
  <c r="DD9" i="13"/>
  <c r="DD8" i="13"/>
  <c r="DD7" i="13"/>
  <c r="DD116" i="1"/>
  <c r="DD31" i="14" s="1"/>
  <c r="DD117" i="1"/>
  <c r="DD32" i="14" s="1"/>
  <c r="DD114" i="1"/>
  <c r="DD29" i="14" s="1"/>
  <c r="DD35" i="12"/>
  <c r="DD25" i="12"/>
  <c r="DD26" i="12"/>
  <c r="DD33" i="12"/>
  <c r="DD32" i="12"/>
  <c r="DD18" i="12"/>
  <c r="DD17" i="12"/>
  <c r="DD15" i="12"/>
  <c r="DD14" i="12"/>
  <c r="DD12" i="12"/>
  <c r="DD11" i="12"/>
  <c r="DD10" i="12"/>
  <c r="DD9" i="12"/>
  <c r="DD7" i="12"/>
  <c r="DD6" i="12"/>
  <c r="DF66" i="12" s="1"/>
  <c r="DD230" i="2"/>
  <c r="DD229" i="2"/>
  <c r="DD142" i="2"/>
  <c r="DD164" i="2" s="1"/>
  <c r="DD141" i="2"/>
  <c r="DD9" i="14" s="1"/>
  <c r="DD8" i="14" s="1"/>
  <c r="DD140" i="2"/>
  <c r="DD139" i="2"/>
  <c r="DD138" i="2"/>
  <c r="DD162" i="2" s="1"/>
  <c r="DD136" i="2"/>
  <c r="DD135" i="2"/>
  <c r="DD134" i="2"/>
  <c r="DD133" i="2"/>
  <c r="DD132" i="2"/>
  <c r="DD61" i="2"/>
  <c r="DD50" i="2"/>
  <c r="DD48" i="2"/>
  <c r="DD41" i="2"/>
  <c r="DD26" i="2"/>
  <c r="DF117" i="2" s="1"/>
  <c r="DD14" i="2"/>
  <c r="DF116" i="2" s="1"/>
  <c r="DD193" i="2" l="1"/>
  <c r="DI86" i="2"/>
  <c r="DF120" i="2"/>
  <c r="DD14" i="14"/>
  <c r="DD12" i="13"/>
  <c r="DD190" i="2"/>
  <c r="DD160" i="2"/>
  <c r="DF220" i="2"/>
  <c r="DD189" i="2"/>
  <c r="DD163" i="2"/>
  <c r="DF221" i="2"/>
  <c r="DD156" i="2"/>
  <c r="DF216" i="2"/>
  <c r="DF217" i="2"/>
  <c r="DD157" i="2"/>
  <c r="DD51" i="12"/>
  <c r="DD50" i="12"/>
  <c r="DD69" i="13"/>
  <c r="DD42" i="13"/>
  <c r="DD70" i="13"/>
  <c r="DD30" i="13"/>
  <c r="DD35" i="13" s="1"/>
  <c r="DD23" i="14"/>
  <c r="DD30" i="14"/>
  <c r="DD37" i="14"/>
  <c r="DD71" i="13"/>
  <c r="DD72" i="13"/>
  <c r="DD8" i="12"/>
  <c r="DE210" i="1"/>
  <c r="DE209" i="1"/>
  <c r="DE228" i="2" s="1"/>
  <c r="DE208" i="1"/>
  <c r="DE207" i="1"/>
  <c r="DD174" i="1"/>
  <c r="DE173" i="1"/>
  <c r="DE172" i="1"/>
  <c r="DE170" i="1"/>
  <c r="DE168" i="1"/>
  <c r="DE167" i="1"/>
  <c r="DE166" i="1"/>
  <c r="DE164" i="1"/>
  <c r="DE137" i="1"/>
  <c r="DE136" i="1"/>
  <c r="DE135" i="1"/>
  <c r="DD139" i="1"/>
  <c r="DD122" i="1"/>
  <c r="DD115" i="1"/>
  <c r="DD108" i="1"/>
  <c r="DE124" i="1"/>
  <c r="DE120" i="1"/>
  <c r="DE119" i="1"/>
  <c r="DE118" i="1"/>
  <c r="DE114" i="1"/>
  <c r="DE113" i="1"/>
  <c r="DE112" i="1"/>
  <c r="DE111" i="1"/>
  <c r="DE110" i="1"/>
  <c r="DE109" i="1"/>
  <c r="DE107" i="1"/>
  <c r="DE106" i="1"/>
  <c r="DE105" i="1"/>
  <c r="DE104" i="1"/>
  <c r="DE103" i="1"/>
  <c r="DE102" i="1"/>
  <c r="DE101" i="1"/>
  <c r="DE100" i="1"/>
  <c r="DE97" i="1"/>
  <c r="DE96" i="1"/>
  <c r="DE95" i="1"/>
  <c r="DE94" i="1"/>
  <c r="DE93" i="1"/>
  <c r="DE92" i="1"/>
  <c r="DD83" i="1"/>
  <c r="DE83" i="1" s="1"/>
  <c r="DD71" i="1"/>
  <c r="DD76" i="1" s="1"/>
  <c r="DD54" i="1"/>
  <c r="DD62" i="1" s="1"/>
  <c r="DE62" i="1" s="1"/>
  <c r="DE84" i="1"/>
  <c r="DE82" i="1"/>
  <c r="DE81" i="1"/>
  <c r="DE80" i="1"/>
  <c r="DE79" i="1"/>
  <c r="DE78" i="1"/>
  <c r="DE77" i="1"/>
  <c r="DE75" i="1"/>
  <c r="DE74" i="1"/>
  <c r="DE73" i="1"/>
  <c r="DE72" i="1"/>
  <c r="DE70" i="1"/>
  <c r="DE68" i="1"/>
  <c r="DE67" i="1"/>
  <c r="DE66" i="1"/>
  <c r="DE65" i="1"/>
  <c r="DE64" i="1"/>
  <c r="DE61" i="1"/>
  <c r="DE60" i="1"/>
  <c r="DE59" i="1"/>
  <c r="DE58" i="1"/>
  <c r="DE57" i="1"/>
  <c r="DE56" i="1"/>
  <c r="DE55" i="1"/>
  <c r="DE54" i="1"/>
  <c r="DE53" i="1"/>
  <c r="DE52" i="1"/>
  <c r="DE51" i="1"/>
  <c r="DE50" i="1"/>
  <c r="DE49" i="1"/>
  <c r="DD17" i="1"/>
  <c r="DD20" i="1" s="1"/>
  <c r="DD24" i="1" s="1"/>
  <c r="DD26" i="1" s="1"/>
  <c r="DE211" i="1" l="1"/>
  <c r="DE230" i="2" s="1"/>
  <c r="DF237" i="2" s="1"/>
  <c r="DF244" i="2" s="1"/>
  <c r="DE229" i="2"/>
  <c r="DD68" i="13"/>
  <c r="DD13" i="12"/>
  <c r="DD49" i="12"/>
  <c r="DD126" i="1"/>
  <c r="DD85" i="1"/>
  <c r="DE85" i="1" s="1"/>
  <c r="DE76" i="1"/>
  <c r="DE71" i="1"/>
  <c r="DD36" i="1"/>
  <c r="DD32" i="1"/>
  <c r="DD16" i="12" l="1"/>
  <c r="DD54" i="12" s="1"/>
  <c r="DD53" i="12"/>
  <c r="R64" i="47"/>
  <c r="R82" i="47" s="1"/>
  <c r="R103" i="47" s="1"/>
  <c r="Q64" i="47"/>
  <c r="Q82" i="47" s="1"/>
  <c r="Q103" i="47" s="1"/>
  <c r="DU46" i="14" l="1"/>
  <c r="DU59" i="14" s="1"/>
  <c r="DU45" i="14"/>
  <c r="DU40" i="14"/>
  <c r="DU38" i="14"/>
  <c r="DU30" i="14"/>
  <c r="DU12" i="14"/>
  <c r="DT59" i="14"/>
  <c r="DU73" i="13"/>
  <c r="DU74" i="13" s="1"/>
  <c r="DU4" i="12"/>
  <c r="DU4" i="13" s="1"/>
  <c r="DU4" i="14" s="1"/>
  <c r="DT55" i="14"/>
  <c r="DU44" i="12"/>
  <c r="DU38" i="12"/>
  <c r="DU161" i="2"/>
  <c r="DU165" i="2" s="1"/>
  <c r="DU24" i="12" s="1"/>
  <c r="DU143" i="2"/>
  <c r="DU141" i="2"/>
  <c r="DU26" i="12" s="1"/>
  <c r="DU140" i="2"/>
  <c r="DU139" i="2"/>
  <c r="DV212" i="2" s="1"/>
  <c r="DU138" i="2"/>
  <c r="DU76" i="2"/>
  <c r="DU75" i="2"/>
  <c r="DU74" i="2"/>
  <c r="DU73" i="2"/>
  <c r="DU68" i="2"/>
  <c r="DU67" i="2"/>
  <c r="DU66" i="2"/>
  <c r="DU65" i="2"/>
  <c r="DU367" i="1"/>
  <c r="DU343" i="1"/>
  <c r="DU341" i="1"/>
  <c r="DU338" i="1"/>
  <c r="DU220" i="1"/>
  <c r="DU47" i="14" l="1"/>
  <c r="DU78" i="2"/>
  <c r="DU70" i="2"/>
  <c r="DU342" i="1"/>
  <c r="DU344" i="1"/>
  <c r="DU212" i="2"/>
  <c r="DU27" i="12"/>
  <c r="DC176" i="2"/>
  <c r="DC35" i="14" l="1"/>
  <c r="DC34" i="14"/>
  <c r="DC33" i="14"/>
  <c r="DC32" i="14"/>
  <c r="DC31" i="14"/>
  <c r="DC29" i="14"/>
  <c r="DC28" i="14"/>
  <c r="DC27" i="14"/>
  <c r="DC26" i="14"/>
  <c r="DC25" i="14"/>
  <c r="DC24" i="14"/>
  <c r="DC22" i="14"/>
  <c r="DC21" i="14"/>
  <c r="DC20" i="14"/>
  <c r="DC19" i="14"/>
  <c r="DC18" i="14"/>
  <c r="DC17" i="14"/>
  <c r="DC16" i="14"/>
  <c r="DC15" i="14"/>
  <c r="DC13" i="14"/>
  <c r="DC12" i="14"/>
  <c r="DC11" i="14"/>
  <c r="DC10" i="14"/>
  <c r="DC7" i="14"/>
  <c r="DC43" i="13"/>
  <c r="DC41" i="13"/>
  <c r="DC40" i="13"/>
  <c r="DC39" i="13"/>
  <c r="DC38" i="13"/>
  <c r="DC37" i="13"/>
  <c r="DC36" i="13"/>
  <c r="DC34" i="13"/>
  <c r="DC33" i="13"/>
  <c r="DC32" i="13"/>
  <c r="DC31" i="13"/>
  <c r="DC29" i="13"/>
  <c r="DC28" i="13"/>
  <c r="DC27" i="13"/>
  <c r="DC26" i="13"/>
  <c r="DC25" i="13"/>
  <c r="DC24" i="13"/>
  <c r="DC23" i="13"/>
  <c r="DC19" i="13"/>
  <c r="DC18" i="13"/>
  <c r="DC17" i="13"/>
  <c r="DC16" i="13"/>
  <c r="DC15" i="13"/>
  <c r="DC14" i="13"/>
  <c r="DC13" i="13"/>
  <c r="DC11" i="13"/>
  <c r="DC10" i="13"/>
  <c r="DC9" i="13"/>
  <c r="DC8" i="13"/>
  <c r="DC7" i="13"/>
  <c r="DC121" i="1"/>
  <c r="DC36" i="14" s="1"/>
  <c r="DC35" i="12"/>
  <c r="DC26" i="12"/>
  <c r="DC33" i="12"/>
  <c r="DC32" i="12"/>
  <c r="DC18" i="12"/>
  <c r="DC17" i="12"/>
  <c r="DC15" i="12"/>
  <c r="DC14" i="12"/>
  <c r="DC12" i="12"/>
  <c r="DC11" i="12"/>
  <c r="DC10" i="12"/>
  <c r="DC9" i="12"/>
  <c r="DC7" i="12"/>
  <c r="DC6" i="12"/>
  <c r="DH59" i="12" s="1"/>
  <c r="DC229" i="2"/>
  <c r="DC230" i="2"/>
  <c r="DC138" i="2"/>
  <c r="DC162" i="2" s="1"/>
  <c r="DC142" i="2"/>
  <c r="DC164" i="2" s="1"/>
  <c r="DC141" i="2"/>
  <c r="DC9" i="14" s="1"/>
  <c r="DC8" i="14" s="1"/>
  <c r="DC140" i="2"/>
  <c r="DC139" i="2"/>
  <c r="DC163" i="2" s="1"/>
  <c r="DC136" i="2"/>
  <c r="DC135" i="2"/>
  <c r="DC134" i="2"/>
  <c r="DC133" i="2"/>
  <c r="DC157" i="2" s="1"/>
  <c r="DC132" i="2"/>
  <c r="DC156" i="2" s="1"/>
  <c r="DC61" i="2"/>
  <c r="DC50" i="2"/>
  <c r="DH86" i="2" s="1"/>
  <c r="DC48" i="2"/>
  <c r="DC41" i="2"/>
  <c r="DC26" i="2"/>
  <c r="DC190" i="2" s="1"/>
  <c r="DC14" i="2"/>
  <c r="DC189" i="2" s="1"/>
  <c r="DC174" i="1"/>
  <c r="DC139" i="1"/>
  <c r="DC122" i="1"/>
  <c r="DC115" i="1"/>
  <c r="DC108" i="1"/>
  <c r="DC83" i="1"/>
  <c r="DC71" i="1"/>
  <c r="DC76" i="1" s="1"/>
  <c r="DC54" i="1"/>
  <c r="DC62" i="1" s="1"/>
  <c r="DC17" i="1"/>
  <c r="DC20" i="1" s="1"/>
  <c r="DC24" i="1" s="1"/>
  <c r="DC26" i="1" s="1"/>
  <c r="CP138" i="1"/>
  <c r="DC72" i="13" l="1"/>
  <c r="DC73" i="13" s="1"/>
  <c r="DC160" i="2"/>
  <c r="DC51" i="12"/>
  <c r="DC50" i="12"/>
  <c r="DC69" i="13"/>
  <c r="DC71" i="13"/>
  <c r="DC42" i="13"/>
  <c r="DC193" i="2"/>
  <c r="DC8" i="12"/>
  <c r="DC13" i="12" s="1"/>
  <c r="DC16" i="12" s="1"/>
  <c r="DC54" i="12" s="1"/>
  <c r="DC12" i="13"/>
  <c r="DC30" i="13"/>
  <c r="DC35" i="13" s="1"/>
  <c r="DC70" i="13"/>
  <c r="DC14" i="14"/>
  <c r="DC23" i="14" s="1"/>
  <c r="DC126" i="1"/>
  <c r="DC85" i="1"/>
  <c r="DC36" i="1"/>
  <c r="DC32" i="1"/>
  <c r="DC53" i="12" l="1"/>
  <c r="DB15" i="12" l="1"/>
  <c r="CO169" i="2"/>
  <c r="CN169" i="2"/>
  <c r="CM169" i="2"/>
  <c r="CL169" i="2"/>
  <c r="CT173" i="2"/>
  <c r="CS173" i="2"/>
  <c r="CR173" i="2"/>
  <c r="CQ173" i="2"/>
  <c r="CU50" i="2"/>
  <c r="CU193" i="2" s="1"/>
  <c r="CT50" i="2"/>
  <c r="CT193" i="2" s="1"/>
  <c r="CS50" i="2"/>
  <c r="CS193" i="2" s="1"/>
  <c r="CR50" i="2"/>
  <c r="CQ50" i="2"/>
  <c r="CQ193" i="2" s="1"/>
  <c r="CP50" i="2"/>
  <c r="CP193" i="2" s="1"/>
  <c r="CO50" i="2"/>
  <c r="CO193" i="2" s="1"/>
  <c r="CN50" i="2"/>
  <c r="CN193" i="2" s="1"/>
  <c r="CM50" i="2"/>
  <c r="CM193" i="2" s="1"/>
  <c r="CL50" i="2"/>
  <c r="CL193" i="2" s="1"/>
  <c r="CU136" i="2"/>
  <c r="CT136" i="2"/>
  <c r="CS136" i="2"/>
  <c r="CR136" i="2"/>
  <c r="CQ136" i="2"/>
  <c r="CP136" i="2"/>
  <c r="CO136" i="2"/>
  <c r="CN136" i="2"/>
  <c r="CM136" i="2"/>
  <c r="CL136" i="2"/>
  <c r="CV205" i="1"/>
  <c r="CO174" i="1"/>
  <c r="CN174" i="1"/>
  <c r="CM174" i="1"/>
  <c r="CL174" i="1"/>
  <c r="DJ61" i="2"/>
  <c r="DB174" i="2"/>
  <c r="DA174" i="2"/>
  <c r="CY174" i="2"/>
  <c r="CX174" i="2"/>
  <c r="CW174" i="2"/>
  <c r="DB169" i="2"/>
  <c r="DA169" i="2"/>
  <c r="CY169" i="2"/>
  <c r="CX169" i="2"/>
  <c r="CW169" i="2"/>
  <c r="CV174" i="2"/>
  <c r="CV169" i="2"/>
  <c r="CZ172" i="2"/>
  <c r="CT167" i="2" s="1"/>
  <c r="DI161" i="2"/>
  <c r="DF161" i="2"/>
  <c r="DD161" i="2"/>
  <c r="DC161" i="2"/>
  <c r="DB136" i="2"/>
  <c r="DA136" i="2"/>
  <c r="CY136" i="2"/>
  <c r="CX136" i="2"/>
  <c r="CW136" i="2"/>
  <c r="CV136" i="2"/>
  <c r="DB50" i="2"/>
  <c r="DG86" i="2" s="1"/>
  <c r="DA50" i="2"/>
  <c r="CY50" i="2"/>
  <c r="CX50" i="2"/>
  <c r="CW50" i="2"/>
  <c r="DB171" i="1"/>
  <c r="DB176" i="2" s="1"/>
  <c r="DA171" i="1"/>
  <c r="CY171" i="1"/>
  <c r="CY176" i="2" s="1"/>
  <c r="CX171" i="1"/>
  <c r="CX176" i="2" s="1"/>
  <c r="CW171" i="1"/>
  <c r="CW176" i="2" s="1"/>
  <c r="DB169" i="1"/>
  <c r="DA169" i="1"/>
  <c r="CY169" i="1"/>
  <c r="CX169" i="1"/>
  <c r="CW169" i="1"/>
  <c r="CV171" i="1"/>
  <c r="CV176" i="2" s="1"/>
  <c r="CV169" i="1"/>
  <c r="DB165" i="1"/>
  <c r="DA165" i="1"/>
  <c r="CY165" i="1"/>
  <c r="CX165" i="1"/>
  <c r="CW165" i="1"/>
  <c r="CV165" i="1"/>
  <c r="CZ168" i="1"/>
  <c r="CZ136" i="2" s="1"/>
  <c r="DB138" i="1"/>
  <c r="DA138" i="1"/>
  <c r="CY138" i="1"/>
  <c r="CX138" i="1"/>
  <c r="CW138" i="1"/>
  <c r="DB134" i="1"/>
  <c r="DB174" i="1" l="1"/>
  <c r="CW174" i="1"/>
  <c r="CV174" i="1"/>
  <c r="DE165" i="1"/>
  <c r="CV173" i="2"/>
  <c r="CV185" i="2" s="1"/>
  <c r="CX160" i="2"/>
  <c r="DB173" i="2"/>
  <c r="DB185" i="2" s="1"/>
  <c r="CL173" i="2"/>
  <c r="DB160" i="2"/>
  <c r="CV160" i="2"/>
  <c r="CM173" i="2"/>
  <c r="CO173" i="2"/>
  <c r="CY173" i="2"/>
  <c r="CY185" i="2" s="1"/>
  <c r="CX174" i="1"/>
  <c r="CW173" i="2"/>
  <c r="CW185" i="2" s="1"/>
  <c r="CN173" i="2"/>
  <c r="DE138" i="1"/>
  <c r="DA176" i="2"/>
  <c r="DE171" i="1"/>
  <c r="CP174" i="1"/>
  <c r="DA174" i="1"/>
  <c r="DE174" i="1" s="1"/>
  <c r="DE169" i="1"/>
  <c r="DA173" i="2"/>
  <c r="DA185" i="2" s="1"/>
  <c r="CY202" i="2"/>
  <c r="DD86" i="2"/>
  <c r="DF202" i="2"/>
  <c r="DF104" i="2"/>
  <c r="DF86" i="2"/>
  <c r="DB202" i="2"/>
  <c r="DA160" i="2"/>
  <c r="DF211" i="2"/>
  <c r="CY220" i="2"/>
  <c r="DA211" i="2"/>
  <c r="CW202" i="2"/>
  <c r="CW151" i="2"/>
  <c r="CW160" i="2"/>
  <c r="DB220" i="2"/>
  <c r="CX202" i="2"/>
  <c r="CX151" i="2"/>
  <c r="CY174" i="1"/>
  <c r="DB104" i="2"/>
  <c r="DA151" i="2"/>
  <c r="DB193" i="2"/>
  <c r="DB211" i="2"/>
  <c r="DD104" i="2"/>
  <c r="CY160" i="2"/>
  <c r="CY151" i="2"/>
  <c r="DB151" i="2"/>
  <c r="CW220" i="2"/>
  <c r="CY193" i="2"/>
  <c r="CW193" i="2"/>
  <c r="CX220" i="2"/>
  <c r="DA220" i="2"/>
  <c r="DA193" i="2"/>
  <c r="DC86" i="2"/>
  <c r="CX173" i="2"/>
  <c r="CX185" i="2" s="1"/>
  <c r="CX193" i="2"/>
  <c r="CR193" i="2"/>
  <c r="CQ167" i="2"/>
  <c r="CR167" i="2"/>
  <c r="CS167" i="2"/>
  <c r="CS139" i="1"/>
  <c r="CM139" i="1"/>
  <c r="CN139" i="1"/>
  <c r="CR139" i="1"/>
  <c r="DC211" i="2"/>
  <c r="DC220" i="2"/>
  <c r="DC104" i="2"/>
  <c r="DC151" i="2"/>
  <c r="DC202" i="2"/>
  <c r="CZ174" i="1" l="1"/>
  <c r="DE160" i="2"/>
  <c r="DN34" i="14"/>
  <c r="DO34" i="14" s="1"/>
  <c r="DO37" i="14" s="1"/>
  <c r="DN51" i="14"/>
  <c r="DO33" i="12"/>
  <c r="DH120" i="2"/>
  <c r="DG120" i="2"/>
  <c r="DG104" i="2"/>
  <c r="DQ50" i="2"/>
  <c r="DF151" i="2"/>
  <c r="DE50" i="2"/>
  <c r="CS174" i="1"/>
  <c r="CT139" i="1"/>
  <c r="CQ139" i="1"/>
  <c r="CL139" i="1"/>
  <c r="DH104" i="2"/>
  <c r="DQ172" i="2" l="1"/>
  <c r="DQ104" i="2"/>
  <c r="DM104" i="2"/>
  <c r="DR50" i="2"/>
  <c r="S32" i="47"/>
  <c r="DV33" i="12"/>
  <c r="DH151" i="2"/>
  <c r="DN37" i="14"/>
  <c r="DN41" i="14" s="1"/>
  <c r="DO39" i="12"/>
  <c r="P32" i="47"/>
  <c r="DL120" i="2"/>
  <c r="DI120" i="2"/>
  <c r="DK120" i="2"/>
  <c r="DM120" i="2"/>
  <c r="DJ50" i="2"/>
  <c r="DI128" i="2" s="1"/>
  <c r="DN50" i="2"/>
  <c r="DS50" i="2" s="1"/>
  <c r="DS172" i="2" s="1"/>
  <c r="DL104" i="2"/>
  <c r="DD202" i="2"/>
  <c r="DI104" i="2"/>
  <c r="DG202" i="2"/>
  <c r="DD220" i="2"/>
  <c r="DH202" i="2"/>
  <c r="CR174" i="1"/>
  <c r="CQ174" i="1"/>
  <c r="DH211" i="2"/>
  <c r="DR172" i="2" l="1"/>
  <c r="DQ202" i="2"/>
  <c r="DQ136" i="2"/>
  <c r="DS104" i="2"/>
  <c r="DS120" i="2"/>
  <c r="DR104" i="2"/>
  <c r="DR120" i="2"/>
  <c r="DV39" i="12"/>
  <c r="DV51" i="14"/>
  <c r="DM202" i="2"/>
  <c r="DJ86" i="2"/>
  <c r="DO50" i="2"/>
  <c r="DN120" i="2"/>
  <c r="DF128" i="2"/>
  <c r="DG128" i="2"/>
  <c r="DH128" i="2"/>
  <c r="DJ104" i="2"/>
  <c r="DI151" i="2"/>
  <c r="DN172" i="2"/>
  <c r="DN104" i="2"/>
  <c r="DL202" i="2"/>
  <c r="DI220" i="2"/>
  <c r="DI202" i="2"/>
  <c r="DD151" i="2"/>
  <c r="DE136" i="2"/>
  <c r="DD211" i="2"/>
  <c r="DI211" i="2"/>
  <c r="CT174" i="1"/>
  <c r="DQ151" i="2" l="1"/>
  <c r="DQ211" i="2"/>
  <c r="DR202" i="2"/>
  <c r="DR136" i="2"/>
  <c r="DS202" i="2"/>
  <c r="DS136" i="2"/>
  <c r="DE172" i="2"/>
  <c r="DE193" i="2" s="1"/>
  <c r="DO86" i="2"/>
  <c r="DO104" i="2"/>
  <c r="DN128" i="2"/>
  <c r="DK128" i="2"/>
  <c r="DL128" i="2"/>
  <c r="DM128" i="2"/>
  <c r="DL151" i="2"/>
  <c r="DN136" i="2"/>
  <c r="DN202" i="2"/>
  <c r="DE211" i="2"/>
  <c r="DE151" i="2"/>
  <c r="DS220" i="2" l="1"/>
  <c r="DS151" i="2"/>
  <c r="DS211" i="2"/>
  <c r="DR151" i="2"/>
  <c r="DR220" i="2"/>
  <c r="DN211" i="2"/>
  <c r="DN151" i="2"/>
  <c r="DA134" i="1" l="1"/>
  <c r="DE134" i="1" s="1"/>
  <c r="CY134" i="1"/>
  <c r="CY139" i="1" s="1"/>
  <c r="CX134" i="1"/>
  <c r="CX139" i="1" s="1"/>
  <c r="CW134" i="1"/>
  <c r="CW139" i="1" s="1"/>
  <c r="DB133" i="1"/>
  <c r="DB139" i="1" s="1"/>
  <c r="DA133" i="1"/>
  <c r="CV134" i="1"/>
  <c r="CV138" i="1"/>
  <c r="CV137" i="1"/>
  <c r="CV50" i="2" s="1"/>
  <c r="DB230" i="2"/>
  <c r="DB228" i="2"/>
  <c r="DB227" i="2"/>
  <c r="DB43" i="13"/>
  <c r="DB41" i="13"/>
  <c r="DB40" i="13"/>
  <c r="DB39" i="13"/>
  <c r="DB38" i="13"/>
  <c r="DB37" i="13"/>
  <c r="DB36" i="13"/>
  <c r="DB34" i="13"/>
  <c r="DB33" i="13"/>
  <c r="DB32" i="13"/>
  <c r="DB31" i="13"/>
  <c r="DB29" i="13"/>
  <c r="DB28" i="13"/>
  <c r="DB27" i="13"/>
  <c r="DB26" i="13"/>
  <c r="DB25" i="13"/>
  <c r="DB24" i="13"/>
  <c r="DB23" i="13"/>
  <c r="DB19" i="13"/>
  <c r="DB18" i="13"/>
  <c r="DB17" i="13"/>
  <c r="DB16" i="13"/>
  <c r="DB15" i="13"/>
  <c r="DB14" i="13"/>
  <c r="DB13" i="13"/>
  <c r="DB11" i="13"/>
  <c r="DB10" i="13"/>
  <c r="DB9" i="13"/>
  <c r="DB8" i="13"/>
  <c r="DB7" i="13"/>
  <c r="DB35" i="14"/>
  <c r="DB34" i="14"/>
  <c r="DB33" i="14"/>
  <c r="DB32" i="14"/>
  <c r="DB29" i="14"/>
  <c r="DB28" i="14"/>
  <c r="DB27" i="14"/>
  <c r="DB26" i="14"/>
  <c r="DB25" i="14"/>
  <c r="DB24" i="14"/>
  <c r="DB22" i="14"/>
  <c r="DB21" i="14"/>
  <c r="DB20" i="14"/>
  <c r="DB19" i="14"/>
  <c r="DB18" i="14"/>
  <c r="DB17" i="14"/>
  <c r="DB16" i="14"/>
  <c r="DB15" i="14"/>
  <c r="DB13" i="14"/>
  <c r="DB12" i="14"/>
  <c r="DB11" i="14"/>
  <c r="DB10" i="14"/>
  <c r="DB7" i="14"/>
  <c r="DB35" i="12"/>
  <c r="DB121" i="1"/>
  <c r="DB116" i="1"/>
  <c r="DB36" i="14" l="1"/>
  <c r="DE121" i="1"/>
  <c r="DB31" i="14"/>
  <c r="DE116" i="1"/>
  <c r="DA139" i="1"/>
  <c r="DE139" i="1" s="1"/>
  <c r="DE133" i="1"/>
  <c r="CV193" i="2"/>
  <c r="CZ50" i="2"/>
  <c r="DA202" i="2"/>
  <c r="CV202" i="2"/>
  <c r="CV151" i="2"/>
  <c r="DA104" i="2"/>
  <c r="CZ137" i="1"/>
  <c r="CV139" i="1"/>
  <c r="DB42" i="13"/>
  <c r="DB30" i="13"/>
  <c r="DB35" i="13" s="1"/>
  <c r="DB14" i="14"/>
  <c r="DB12" i="13"/>
  <c r="DB25" i="12"/>
  <c r="DB33" i="12"/>
  <c r="DB32" i="12"/>
  <c r="DB18" i="12"/>
  <c r="DB17" i="12"/>
  <c r="DB14" i="12"/>
  <c r="DB12" i="12"/>
  <c r="DB11" i="12"/>
  <c r="DB10" i="12"/>
  <c r="DB9" i="12"/>
  <c r="DB7" i="12"/>
  <c r="DB6" i="12"/>
  <c r="DB142" i="2"/>
  <c r="DB141" i="2"/>
  <c r="DB9" i="14" s="1"/>
  <c r="DB8" i="14" s="1"/>
  <c r="DB140" i="2"/>
  <c r="DB139" i="2"/>
  <c r="DB138" i="2"/>
  <c r="DB135" i="2"/>
  <c r="DB134" i="2"/>
  <c r="DG209" i="2" s="1"/>
  <c r="DB133" i="2"/>
  <c r="DB157" i="2" s="1"/>
  <c r="DB132" i="2"/>
  <c r="DB61" i="2"/>
  <c r="DB48" i="2"/>
  <c r="DB41" i="2"/>
  <c r="DB26" i="2"/>
  <c r="DB190" i="2" s="1"/>
  <c r="DB14" i="2"/>
  <c r="DB69" i="13" l="1"/>
  <c r="DG59" i="12"/>
  <c r="CZ151" i="2"/>
  <c r="CZ193" i="2"/>
  <c r="CZ202" i="2"/>
  <c r="DE104" i="2"/>
  <c r="DE202" i="2"/>
  <c r="DB62" i="2"/>
  <c r="DB189" i="2"/>
  <c r="DB108" i="2"/>
  <c r="DB112" i="2"/>
  <c r="DB109" i="2"/>
  <c r="DB137" i="2"/>
  <c r="DB156" i="2"/>
  <c r="DB161" i="2" s="1"/>
  <c r="DB51" i="12"/>
  <c r="DB50" i="12"/>
  <c r="DB8" i="12"/>
  <c r="DB71" i="13"/>
  <c r="DB72" i="13"/>
  <c r="DB23" i="14"/>
  <c r="DB70" i="13"/>
  <c r="DB122" i="1"/>
  <c r="DB115" i="1"/>
  <c r="DB108" i="1"/>
  <c r="DB83" i="1"/>
  <c r="DB71" i="1"/>
  <c r="DB76" i="1" s="1"/>
  <c r="DB54" i="1"/>
  <c r="DB62" i="1" s="1"/>
  <c r="DB17" i="1"/>
  <c r="DB20" i="1" s="1"/>
  <c r="DB24" i="1" s="1"/>
  <c r="DB26" i="1" s="1"/>
  <c r="DJ55" i="14"/>
  <c r="DJ39" i="14"/>
  <c r="DJ36" i="14"/>
  <c r="DJ35" i="14"/>
  <c r="DJ33" i="14"/>
  <c r="DJ32" i="14"/>
  <c r="DJ31" i="14"/>
  <c r="DJ29" i="14"/>
  <c r="DJ28" i="14"/>
  <c r="DJ27" i="14"/>
  <c r="DJ26" i="14"/>
  <c r="DJ25" i="14"/>
  <c r="DJ24" i="14"/>
  <c r="DJ21" i="14"/>
  <c r="DJ13" i="14"/>
  <c r="DJ11" i="14"/>
  <c r="DJ10" i="14"/>
  <c r="DJ9" i="14"/>
  <c r="DJ8" i="14"/>
  <c r="DJ25" i="12"/>
  <c r="DJ18" i="12"/>
  <c r="DJ14" i="12"/>
  <c r="DJ12" i="12"/>
  <c r="DJ11" i="12"/>
  <c r="DJ176" i="2"/>
  <c r="DJ175" i="2"/>
  <c r="DJ174" i="2"/>
  <c r="DJ159" i="2"/>
  <c r="DJ158" i="2"/>
  <c r="DJ142" i="2"/>
  <c r="DJ76" i="2"/>
  <c r="DJ75" i="2"/>
  <c r="DJ68" i="2"/>
  <c r="DJ67" i="2"/>
  <c r="DJ66" i="2"/>
  <c r="DJ65" i="2"/>
  <c r="DJ24" i="2"/>
  <c r="DJ23" i="2"/>
  <c r="DJ12" i="2"/>
  <c r="DJ73" i="2" s="1"/>
  <c r="DF165" i="2"/>
  <c r="DF76" i="2"/>
  <c r="DF75" i="2"/>
  <c r="DF74" i="2"/>
  <c r="DF73" i="2"/>
  <c r="DF68" i="2"/>
  <c r="DF67" i="2"/>
  <c r="DF66" i="2"/>
  <c r="DF65" i="2"/>
  <c r="DI165" i="2"/>
  <c r="DI76" i="2"/>
  <c r="DH76" i="2"/>
  <c r="DG76" i="2"/>
  <c r="DI75" i="2"/>
  <c r="DH75" i="2"/>
  <c r="DG75" i="2"/>
  <c r="DI74" i="2"/>
  <c r="DH74" i="2"/>
  <c r="DG74" i="2"/>
  <c r="DI73" i="2"/>
  <c r="DH73" i="2"/>
  <c r="DM62" i="2" s="1"/>
  <c r="DG73" i="2"/>
  <c r="DI68" i="2"/>
  <c r="DH68" i="2"/>
  <c r="DH85" i="2" s="1"/>
  <c r="DG68" i="2"/>
  <c r="DI67" i="2"/>
  <c r="DH67" i="2"/>
  <c r="DG67" i="2"/>
  <c r="DG84" i="2" s="1"/>
  <c r="DI66" i="2"/>
  <c r="DI83" i="2" s="1"/>
  <c r="DH66" i="2"/>
  <c r="DG66" i="2"/>
  <c r="DI65" i="2"/>
  <c r="DH65" i="2"/>
  <c r="DG65" i="2"/>
  <c r="DI44" i="12"/>
  <c r="DM237" i="2" l="1"/>
  <c r="DM244" i="2" s="1"/>
  <c r="DG85" i="2"/>
  <c r="DH82" i="2"/>
  <c r="DI82" i="2"/>
  <c r="DG83" i="2"/>
  <c r="DH84" i="2"/>
  <c r="DH83" i="2"/>
  <c r="DG70" i="2"/>
  <c r="DG82" i="2"/>
  <c r="DH78" i="2"/>
  <c r="DI70" i="2"/>
  <c r="DH70" i="2"/>
  <c r="DI78" i="2"/>
  <c r="DN212" i="2"/>
  <c r="DK221" i="2"/>
  <c r="DF78" i="2"/>
  <c r="DG78" i="2"/>
  <c r="DF70" i="2"/>
  <c r="DJ70" i="2"/>
  <c r="DJ44" i="12"/>
  <c r="DJ30" i="14"/>
  <c r="DB152" i="2"/>
  <c r="DB113" i="2"/>
  <c r="DJ12" i="14"/>
  <c r="DJ40" i="14"/>
  <c r="DJ38" i="14"/>
  <c r="DB13" i="12"/>
  <c r="DB49" i="12"/>
  <c r="DJ26" i="12"/>
  <c r="DJ143" i="2"/>
  <c r="DJ140" i="2"/>
  <c r="DJ141" i="2"/>
  <c r="DJ38" i="12"/>
  <c r="DJ74" i="2"/>
  <c r="DJ78" i="2" s="1"/>
  <c r="DB126" i="1"/>
  <c r="DB85" i="1"/>
  <c r="DB36" i="1"/>
  <c r="DB32" i="1"/>
  <c r="DJ46" i="14"/>
  <c r="DI221" i="2"/>
  <c r="DB16" i="12" l="1"/>
  <c r="DB54" i="12" s="1"/>
  <c r="DB53" i="12"/>
  <c r="DJ59" i="14"/>
  <c r="CW45" i="1" l="1"/>
  <c r="DA15" i="12"/>
  <c r="DA228" i="2"/>
  <c r="DA227" i="2"/>
  <c r="DA230" i="2"/>
  <c r="DA35" i="12"/>
  <c r="CY35" i="12"/>
  <c r="DA36" i="14" l="1"/>
  <c r="DA35" i="14"/>
  <c r="DA34" i="14"/>
  <c r="DA33" i="14"/>
  <c r="DA31" i="14"/>
  <c r="DA29" i="14"/>
  <c r="DA28" i="14"/>
  <c r="DA27" i="14"/>
  <c r="DA26" i="14"/>
  <c r="DA25" i="14"/>
  <c r="DA24" i="14"/>
  <c r="DA22" i="14"/>
  <c r="DA21" i="14"/>
  <c r="DA20" i="14"/>
  <c r="DA19" i="14"/>
  <c r="DA18" i="14"/>
  <c r="DA17" i="14"/>
  <c r="DA16" i="14"/>
  <c r="DA15" i="14"/>
  <c r="DA13" i="14"/>
  <c r="DA12" i="14"/>
  <c r="DA11" i="14"/>
  <c r="DA10" i="14"/>
  <c r="DA7" i="14"/>
  <c r="DA117" i="1"/>
  <c r="DE117" i="1" s="1"/>
  <c r="DA43" i="13"/>
  <c r="DA41" i="13"/>
  <c r="DA40" i="13"/>
  <c r="DA39" i="13"/>
  <c r="DA38" i="13"/>
  <c r="DA37" i="13"/>
  <c r="DA36" i="13"/>
  <c r="DA34" i="13"/>
  <c r="DA33" i="13"/>
  <c r="DA32" i="13"/>
  <c r="DA31" i="13"/>
  <c r="DA29" i="13"/>
  <c r="DA28" i="13"/>
  <c r="DA27" i="13"/>
  <c r="DA26" i="13"/>
  <c r="DA25" i="13"/>
  <c r="DA24" i="13"/>
  <c r="DA23" i="13"/>
  <c r="DA19" i="13"/>
  <c r="DA18" i="13"/>
  <c r="DA17" i="13"/>
  <c r="DA16" i="13"/>
  <c r="DA15" i="13"/>
  <c r="DA14" i="13"/>
  <c r="DA13" i="13"/>
  <c r="DA11" i="13"/>
  <c r="DA10" i="13"/>
  <c r="DA9" i="13"/>
  <c r="DA8" i="13"/>
  <c r="DA7" i="13"/>
  <c r="DB39" i="14" s="1"/>
  <c r="DA33" i="12"/>
  <c r="DA32" i="12"/>
  <c r="DA25" i="12"/>
  <c r="DA18" i="12"/>
  <c r="DA17" i="12"/>
  <c r="DA14" i="12"/>
  <c r="DA12" i="12"/>
  <c r="DA10" i="12"/>
  <c r="DA9" i="12"/>
  <c r="DA7" i="12"/>
  <c r="DA6" i="12"/>
  <c r="DA142" i="2"/>
  <c r="DA141" i="2"/>
  <c r="DA9" i="14" s="1"/>
  <c r="DA8" i="14" s="1"/>
  <c r="DA140" i="2"/>
  <c r="DA139" i="2"/>
  <c r="DF212" i="2" s="1"/>
  <c r="DA138" i="2"/>
  <c r="DA135" i="2"/>
  <c r="DF210" i="2" s="1"/>
  <c r="DA134" i="2"/>
  <c r="DF209" i="2" s="1"/>
  <c r="DA133" i="2"/>
  <c r="DA132" i="2"/>
  <c r="DF207" i="2" s="1"/>
  <c r="DA61" i="2"/>
  <c r="DA48" i="2"/>
  <c r="DA41" i="2"/>
  <c r="DA26" i="2"/>
  <c r="DA14" i="2"/>
  <c r="DA122" i="1"/>
  <c r="DE122" i="1" s="1"/>
  <c r="DA115" i="1"/>
  <c r="DE115" i="1" s="1"/>
  <c r="DA108" i="1"/>
  <c r="DE108" i="1" s="1"/>
  <c r="DA83" i="1"/>
  <c r="DA71" i="1"/>
  <c r="DA76" i="1" s="1"/>
  <c r="DA54" i="1"/>
  <c r="DA62" i="1" s="1"/>
  <c r="DA17" i="1"/>
  <c r="DA20" i="1" s="1"/>
  <c r="DA24" i="1" s="1"/>
  <c r="DA26" i="1" s="1"/>
  <c r="CF248" i="1"/>
  <c r="DA72" i="13" l="1"/>
  <c r="DA32" i="14"/>
  <c r="DF101" i="2"/>
  <c r="DF199" i="2"/>
  <c r="DF83" i="2"/>
  <c r="DF198" i="2"/>
  <c r="DF100" i="2"/>
  <c r="DF82" i="2"/>
  <c r="DA157" i="2"/>
  <c r="DF208" i="2"/>
  <c r="DF102" i="2"/>
  <c r="DF84" i="2"/>
  <c r="DF103" i="2"/>
  <c r="DF85" i="2"/>
  <c r="DA51" i="12"/>
  <c r="DA50" i="12"/>
  <c r="DA69" i="13"/>
  <c r="DF59" i="12"/>
  <c r="DA137" i="2"/>
  <c r="DA156" i="2"/>
  <c r="DA108" i="2"/>
  <c r="DA62" i="2"/>
  <c r="DA112" i="2"/>
  <c r="DA109" i="2"/>
  <c r="DA190" i="2"/>
  <c r="DA192" i="2"/>
  <c r="DA26" i="12"/>
  <c r="DA70" i="13"/>
  <c r="DA71" i="13"/>
  <c r="DA191" i="2"/>
  <c r="DA8" i="12"/>
  <c r="DA42" i="13"/>
  <c r="DA189" i="2"/>
  <c r="DA126" i="1"/>
  <c r="DE126" i="1" s="1"/>
  <c r="DA85" i="1"/>
  <c r="DA36" i="1"/>
  <c r="DA32" i="1"/>
  <c r="CY7" i="13"/>
  <c r="DA39" i="14" s="1"/>
  <c r="DE39" i="14" s="1"/>
  <c r="CY8" i="13"/>
  <c r="CY9" i="13"/>
  <c r="CY10" i="13"/>
  <c r="CY11" i="13"/>
  <c r="CY13" i="13"/>
  <c r="CY14" i="13"/>
  <c r="CY15" i="13"/>
  <c r="CY16" i="13"/>
  <c r="CY17" i="13"/>
  <c r="CY18" i="13"/>
  <c r="CY19" i="13"/>
  <c r="CY23" i="13"/>
  <c r="CY24" i="13"/>
  <c r="CY25" i="13"/>
  <c r="CY26" i="13"/>
  <c r="CY27" i="13"/>
  <c r="CY28" i="13"/>
  <c r="CY29" i="13"/>
  <c r="CY31" i="13"/>
  <c r="CY32" i="13"/>
  <c r="CY33" i="13"/>
  <c r="CY34" i="13"/>
  <c r="CY36" i="13"/>
  <c r="CY37" i="13"/>
  <c r="CY38" i="13"/>
  <c r="CY39" i="13"/>
  <c r="CY40" i="13"/>
  <c r="CY41" i="13"/>
  <c r="CY43" i="13"/>
  <c r="DA161" i="2" l="1"/>
  <c r="DF105" i="2"/>
  <c r="DF203" i="2"/>
  <c r="DF87" i="2"/>
  <c r="DA113" i="2"/>
  <c r="DA152" i="2"/>
  <c r="CY30" i="13"/>
  <c r="CY35" i="13" s="1"/>
  <c r="CY42" i="13"/>
  <c r="CY12" i="13"/>
  <c r="CY20" i="13" s="1"/>
  <c r="CY227" i="2"/>
  <c r="CY228" i="2"/>
  <c r="CY230" i="2"/>
  <c r="CZ230" i="2" s="1"/>
  <c r="CZ211" i="1"/>
  <c r="CZ208" i="1"/>
  <c r="CZ227" i="2" s="1"/>
  <c r="CZ209" i="1"/>
  <c r="CZ228" i="2" s="1"/>
  <c r="CZ210" i="1"/>
  <c r="CY207" i="1"/>
  <c r="CZ207" i="1" s="1"/>
  <c r="CZ173" i="1"/>
  <c r="CZ172" i="1"/>
  <c r="CZ171" i="1"/>
  <c r="CZ176" i="2" s="1"/>
  <c r="CZ170" i="1"/>
  <c r="CZ169" i="1"/>
  <c r="CZ167" i="1"/>
  <c r="CZ166" i="1"/>
  <c r="CZ165" i="1"/>
  <c r="CZ164" i="1"/>
  <c r="CZ138" i="1"/>
  <c r="CZ136" i="1"/>
  <c r="CZ135" i="1"/>
  <c r="CZ134" i="1"/>
  <c r="CZ133" i="1"/>
  <c r="CZ121" i="1"/>
  <c r="CZ120" i="1"/>
  <c r="CZ119" i="1"/>
  <c r="CZ118" i="1"/>
  <c r="CZ113" i="1"/>
  <c r="CZ112" i="1"/>
  <c r="CZ111" i="1"/>
  <c r="CZ109" i="1"/>
  <c r="CZ106" i="1"/>
  <c r="CZ105" i="1"/>
  <c r="CZ104" i="1"/>
  <c r="CZ103" i="1"/>
  <c r="CZ102" i="1"/>
  <c r="CZ101" i="1"/>
  <c r="CZ100" i="1"/>
  <c r="CZ97" i="1"/>
  <c r="CZ96" i="1"/>
  <c r="CZ95" i="1"/>
  <c r="CZ94" i="1"/>
  <c r="CZ93" i="1"/>
  <c r="CZ92" i="1"/>
  <c r="CZ84" i="1"/>
  <c r="CZ82" i="1"/>
  <c r="CZ81" i="1"/>
  <c r="CZ80" i="1"/>
  <c r="CZ79" i="1"/>
  <c r="CZ78" i="1"/>
  <c r="CZ77" i="1"/>
  <c r="CZ75" i="1"/>
  <c r="CZ74" i="1"/>
  <c r="CZ73" i="1"/>
  <c r="CZ72" i="1"/>
  <c r="CZ70" i="1"/>
  <c r="CZ68" i="1"/>
  <c r="CZ67" i="1"/>
  <c r="CZ66" i="1"/>
  <c r="CZ65" i="1"/>
  <c r="CZ64" i="1"/>
  <c r="CZ61" i="1"/>
  <c r="CZ60" i="1"/>
  <c r="CZ59" i="1"/>
  <c r="CZ58" i="1"/>
  <c r="CZ57" i="1"/>
  <c r="CZ56" i="1"/>
  <c r="CZ55" i="1"/>
  <c r="CZ53" i="1"/>
  <c r="CZ52" i="1"/>
  <c r="CZ51" i="1"/>
  <c r="CZ50" i="1"/>
  <c r="CZ49" i="1"/>
  <c r="CY83" i="1"/>
  <c r="CZ83" i="1" s="1"/>
  <c r="CY71" i="1"/>
  <c r="CZ71" i="1" s="1"/>
  <c r="CY54" i="1"/>
  <c r="CY62" i="1" s="1"/>
  <c r="CZ62" i="1" s="1"/>
  <c r="CY24" i="14"/>
  <c r="CY25" i="14"/>
  <c r="CY26" i="14"/>
  <c r="CY27" i="14"/>
  <c r="CY28" i="14"/>
  <c r="CY33" i="14"/>
  <c r="CY34" i="14"/>
  <c r="CY35" i="14"/>
  <c r="CY36" i="14"/>
  <c r="CY117" i="1"/>
  <c r="CY32" i="14" s="1"/>
  <c r="CY116" i="1"/>
  <c r="CZ116" i="1" s="1"/>
  <c r="CY114" i="1"/>
  <c r="CY29" i="14" s="1"/>
  <c r="DF185" i="2" l="1"/>
  <c r="CY31" i="14"/>
  <c r="CY37" i="14" s="1"/>
  <c r="CY76" i="1"/>
  <c r="CZ76" i="1" s="1"/>
  <c r="CZ54" i="1"/>
  <c r="CY122" i="1"/>
  <c r="DF152" i="2"/>
  <c r="CY115" i="1"/>
  <c r="CY44" i="13"/>
  <c r="CY30" i="14"/>
  <c r="CY7" i="14"/>
  <c r="CY10" i="14"/>
  <c r="CY11" i="14"/>
  <c r="CY12" i="14"/>
  <c r="CY13" i="14"/>
  <c r="CY15" i="14"/>
  <c r="CY16" i="14"/>
  <c r="CY17" i="14"/>
  <c r="CY18" i="14"/>
  <c r="CY19" i="14"/>
  <c r="CY20" i="14"/>
  <c r="CY21" i="14"/>
  <c r="CY107" i="1"/>
  <c r="CZ107" i="1" s="1"/>
  <c r="CY24" i="12"/>
  <c r="CY32" i="12"/>
  <c r="CY33" i="12"/>
  <c r="CY6" i="12"/>
  <c r="CY7" i="12"/>
  <c r="CY9" i="12"/>
  <c r="CY10" i="12"/>
  <c r="CY11" i="12"/>
  <c r="CY12" i="12"/>
  <c r="CY14" i="12"/>
  <c r="CY15" i="12"/>
  <c r="CY17" i="12"/>
  <c r="CY18" i="12"/>
  <c r="CY132" i="2"/>
  <c r="CY133" i="2"/>
  <c r="CY157" i="2" s="1"/>
  <c r="CY134" i="2"/>
  <c r="CY135" i="2"/>
  <c r="CY138" i="2"/>
  <c r="CY139" i="2"/>
  <c r="CY140" i="2"/>
  <c r="CY141" i="2"/>
  <c r="CY9" i="14" s="1"/>
  <c r="CY8" i="14" s="1"/>
  <c r="CY142" i="2"/>
  <c r="CY61" i="2"/>
  <c r="CY48" i="2"/>
  <c r="CY192" i="2" s="1"/>
  <c r="CY41" i="2"/>
  <c r="CY191" i="2" s="1"/>
  <c r="CY26" i="2"/>
  <c r="CY14" i="2"/>
  <c r="CY85" i="1" l="1"/>
  <c r="CZ85" i="1" s="1"/>
  <c r="DF147" i="2"/>
  <c r="DF182" i="2"/>
  <c r="CY189" i="2"/>
  <c r="CY62" i="2"/>
  <c r="CY108" i="2"/>
  <c r="CY112" i="2"/>
  <c r="CY190" i="2"/>
  <c r="CY109" i="2"/>
  <c r="CY156" i="2"/>
  <c r="CY161" i="2" s="1"/>
  <c r="CY137" i="2"/>
  <c r="DF178" i="2"/>
  <c r="DF43" i="12" s="1"/>
  <c r="DK61" i="12" s="1"/>
  <c r="DF181" i="2"/>
  <c r="DF148" i="2"/>
  <c r="CY71" i="13"/>
  <c r="CY72" i="13"/>
  <c r="CY70" i="13"/>
  <c r="CY8" i="12"/>
  <c r="CY13" i="12" s="1"/>
  <c r="CY16" i="12" s="1"/>
  <c r="CY19" i="12" s="1"/>
  <c r="CY69" i="13"/>
  <c r="CY50" i="12"/>
  <c r="CY26" i="12"/>
  <c r="CY108" i="1"/>
  <c r="CY126" i="1" s="1"/>
  <c r="CY51" i="12"/>
  <c r="CY22" i="14"/>
  <c r="CY14" i="14"/>
  <c r="CY17" i="1"/>
  <c r="CY20" i="1" s="1"/>
  <c r="CY24" i="1" s="1"/>
  <c r="CY26" i="1" s="1"/>
  <c r="CY23" i="14" l="1"/>
  <c r="CY152" i="2"/>
  <c r="DF45" i="12"/>
  <c r="DK60" i="12" s="1"/>
  <c r="DF195" i="2"/>
  <c r="DF186" i="2"/>
  <c r="CY144" i="2"/>
  <c r="CY113" i="2"/>
  <c r="DF153" i="2"/>
  <c r="CY54" i="12"/>
  <c r="CY32" i="1"/>
  <c r="CY36" i="1"/>
  <c r="DF52" i="12" l="1"/>
  <c r="O49" i="47" l="1"/>
  <c r="P49" i="47"/>
  <c r="P50" i="47" l="1"/>
  <c r="P44" i="47" s="1"/>
  <c r="O50" i="47"/>
  <c r="O44" i="47" s="1"/>
  <c r="DJ33" i="12" l="1"/>
  <c r="P45" i="47"/>
  <c r="Q32" i="47" l="1"/>
  <c r="O32" i="47"/>
  <c r="DJ39" i="12"/>
  <c r="CX7" i="14"/>
  <c r="CX10" i="14"/>
  <c r="CX11" i="14"/>
  <c r="CX12" i="14"/>
  <c r="CX13" i="14"/>
  <c r="CX15" i="14"/>
  <c r="CX16" i="14"/>
  <c r="CX17" i="14"/>
  <c r="CX18" i="14"/>
  <c r="CX19" i="14"/>
  <c r="CX20" i="14"/>
  <c r="CX21" i="14"/>
  <c r="CX22" i="14"/>
  <c r="CX24" i="14"/>
  <c r="CX26" i="14"/>
  <c r="CX27" i="14"/>
  <c r="CX28" i="14"/>
  <c r="CX29" i="14"/>
  <c r="CX31" i="14"/>
  <c r="CX33" i="14"/>
  <c r="CX34" i="14"/>
  <c r="CX35" i="14"/>
  <c r="CX36" i="14"/>
  <c r="CX38" i="14"/>
  <c r="CX40" i="14"/>
  <c r="CX7" i="13"/>
  <c r="CX8" i="13"/>
  <c r="CX9" i="13"/>
  <c r="CX10" i="13"/>
  <c r="CX11" i="13"/>
  <c r="CX13" i="13"/>
  <c r="CX14" i="13"/>
  <c r="CX15" i="13"/>
  <c r="CX16" i="13"/>
  <c r="CX17" i="13"/>
  <c r="CX18" i="13"/>
  <c r="CX19" i="13"/>
  <c r="CX23" i="13"/>
  <c r="CX24" i="13"/>
  <c r="CX25" i="13"/>
  <c r="CX26" i="13"/>
  <c r="CX27" i="13"/>
  <c r="CX28" i="13"/>
  <c r="CX29" i="13"/>
  <c r="CX31" i="13"/>
  <c r="CX32" i="13"/>
  <c r="CX33" i="13"/>
  <c r="CX34" i="13"/>
  <c r="CX36" i="13"/>
  <c r="CX37" i="13"/>
  <c r="CX38" i="13"/>
  <c r="CX39" i="13"/>
  <c r="CX40" i="13"/>
  <c r="CX41" i="13"/>
  <c r="CX43" i="13"/>
  <c r="CX35" i="12"/>
  <c r="CW35" i="12"/>
  <c r="CX117" i="1"/>
  <c r="CZ117" i="1" s="1"/>
  <c r="CX110" i="1"/>
  <c r="CZ110" i="1" s="1"/>
  <c r="CX108" i="1"/>
  <c r="CX83" i="1"/>
  <c r="CX71" i="1"/>
  <c r="CX76" i="1" s="1"/>
  <c r="CX85" i="1" s="1"/>
  <c r="CX54" i="1"/>
  <c r="CX62" i="1" s="1"/>
  <c r="CX227" i="2"/>
  <c r="CX228" i="2"/>
  <c r="CX32" i="12"/>
  <c r="CX33" i="12"/>
  <c r="CX6" i="12"/>
  <c r="CX7" i="12"/>
  <c r="CX9" i="12"/>
  <c r="CX10" i="12"/>
  <c r="CX11" i="12"/>
  <c r="CX12" i="12"/>
  <c r="CX14" i="12"/>
  <c r="CX15" i="12"/>
  <c r="CX17" i="12"/>
  <c r="CX18" i="12"/>
  <c r="CX132" i="2"/>
  <c r="CX133" i="2"/>
  <c r="CX157" i="2" s="1"/>
  <c r="CX134" i="2"/>
  <c r="CX135" i="2"/>
  <c r="CX138" i="2"/>
  <c r="CX139" i="2"/>
  <c r="CX140" i="2"/>
  <c r="CX141" i="2"/>
  <c r="CX9" i="14" s="1"/>
  <c r="CX8" i="14" s="1"/>
  <c r="CX142" i="2"/>
  <c r="CX61" i="2"/>
  <c r="CX48" i="2"/>
  <c r="CX41" i="2"/>
  <c r="CX191" i="2" s="1"/>
  <c r="CX26" i="2"/>
  <c r="CX14" i="2"/>
  <c r="R32" i="47" l="1"/>
  <c r="DU39" i="12"/>
  <c r="DU51" i="14"/>
  <c r="CX190" i="2"/>
  <c r="CX109" i="2"/>
  <c r="CX137" i="2"/>
  <c r="CX156" i="2"/>
  <c r="CX161" i="2" s="1"/>
  <c r="CX189" i="2"/>
  <c r="CX108" i="2"/>
  <c r="CX62" i="2"/>
  <c r="CX112" i="2"/>
  <c r="CX192" i="2"/>
  <c r="CX71" i="13"/>
  <c r="CX25" i="14"/>
  <c r="CX30" i="14" s="1"/>
  <c r="CX50" i="12"/>
  <c r="CX12" i="13"/>
  <c r="CX20" i="13" s="1"/>
  <c r="CX51" i="12"/>
  <c r="CX122" i="1"/>
  <c r="CX32" i="14"/>
  <c r="CX37" i="14" s="1"/>
  <c r="CX30" i="13"/>
  <c r="CX35" i="13" s="1"/>
  <c r="CX26" i="12"/>
  <c r="CX115" i="1"/>
  <c r="CX42" i="13"/>
  <c r="CX14" i="14"/>
  <c r="CX23" i="14" s="1"/>
  <c r="CX70" i="13"/>
  <c r="CX8" i="12"/>
  <c r="CX13" i="12" s="1"/>
  <c r="CX16" i="12" s="1"/>
  <c r="CX69" i="13"/>
  <c r="CX72" i="13"/>
  <c r="CX211" i="1"/>
  <c r="CX230" i="2" s="1"/>
  <c r="CX17" i="1"/>
  <c r="CX20" i="1" s="1"/>
  <c r="CX24" i="1" s="1"/>
  <c r="CX26" i="1" s="1"/>
  <c r="CX126" i="1" l="1"/>
  <c r="CX152" i="2"/>
  <c r="CX144" i="2"/>
  <c r="CX113" i="2"/>
  <c r="CX44" i="13"/>
  <c r="CX41" i="14"/>
  <c r="CX19" i="12"/>
  <c r="CX54" i="12"/>
  <c r="CX32" i="1"/>
  <c r="CX36" i="1"/>
  <c r="CW124" i="1"/>
  <c r="CZ124" i="1" s="1"/>
  <c r="CX22" i="12" l="1"/>
  <c r="CX21" i="12"/>
  <c r="CU73" i="1" l="1"/>
  <c r="CU74" i="1"/>
  <c r="CW211" i="1" l="1"/>
  <c r="CW230" i="2" s="1"/>
  <c r="CV211" i="1"/>
  <c r="CU211" i="1"/>
  <c r="CV35" i="12"/>
  <c r="CW228" i="2"/>
  <c r="CW227" i="2"/>
  <c r="CW7" i="14"/>
  <c r="CW10" i="14"/>
  <c r="CW11" i="14"/>
  <c r="CW12" i="14"/>
  <c r="CW13" i="14"/>
  <c r="CW15" i="14"/>
  <c r="CW16" i="14"/>
  <c r="CW17" i="14"/>
  <c r="CW18" i="14"/>
  <c r="CW19" i="14"/>
  <c r="CW20" i="14"/>
  <c r="CW21" i="14"/>
  <c r="CW22" i="14"/>
  <c r="CW24" i="14"/>
  <c r="CW25" i="14"/>
  <c r="CW26" i="14"/>
  <c r="CW27" i="14"/>
  <c r="CW28" i="14"/>
  <c r="CW31" i="14"/>
  <c r="CW32" i="14"/>
  <c r="CW33" i="14"/>
  <c r="CW34" i="14"/>
  <c r="CW35" i="14"/>
  <c r="CW36" i="14"/>
  <c r="CW38" i="14"/>
  <c r="CW40" i="14"/>
  <c r="CW7" i="13"/>
  <c r="CW8" i="13"/>
  <c r="CW9" i="13"/>
  <c r="CW10" i="13"/>
  <c r="CW11" i="13"/>
  <c r="CW13" i="13"/>
  <c r="CW14" i="13"/>
  <c r="CW15" i="13"/>
  <c r="CW16" i="13"/>
  <c r="CW17" i="13"/>
  <c r="CW18" i="13"/>
  <c r="CW19" i="13"/>
  <c r="CW23" i="13"/>
  <c r="CW24" i="13"/>
  <c r="CW25" i="13"/>
  <c r="CW26" i="13"/>
  <c r="CW27" i="13"/>
  <c r="CW28" i="13"/>
  <c r="CW29" i="13"/>
  <c r="CW31" i="13"/>
  <c r="CW32" i="13"/>
  <c r="CW33" i="13"/>
  <c r="CW34" i="13"/>
  <c r="CW36" i="13"/>
  <c r="CW37" i="13"/>
  <c r="CW38" i="13"/>
  <c r="CW39" i="13"/>
  <c r="CW40" i="13"/>
  <c r="CW41" i="13"/>
  <c r="CW43" i="13"/>
  <c r="CW83" i="1"/>
  <c r="CW71" i="1"/>
  <c r="CW76" i="1" s="1"/>
  <c r="CW54" i="1"/>
  <c r="CW62" i="1" s="1"/>
  <c r="CW122" i="1"/>
  <c r="CW114" i="1"/>
  <c r="CW29" i="14" s="1"/>
  <c r="CW108" i="1"/>
  <c r="CW115" i="1" l="1"/>
  <c r="CW126" i="1" s="1"/>
  <c r="CW14" i="14"/>
  <c r="CW30" i="14"/>
  <c r="CW37" i="14"/>
  <c r="CW85" i="1"/>
  <c r="CW42" i="13"/>
  <c r="CW12" i="13"/>
  <c r="CW20" i="13" s="1"/>
  <c r="CW30" i="13"/>
  <c r="CW35" i="13" s="1"/>
  <c r="CZ47" i="2"/>
  <c r="CW44" i="13" l="1"/>
  <c r="CW24" i="12"/>
  <c r="CW132" i="2"/>
  <c r="CW133" i="2"/>
  <c r="CW157" i="2" s="1"/>
  <c r="CW134" i="2"/>
  <c r="CW158" i="2" s="1"/>
  <c r="CW135" i="2"/>
  <c r="CW159" i="2" s="1"/>
  <c r="CW138" i="2"/>
  <c r="CW139" i="2"/>
  <c r="CW140" i="2"/>
  <c r="CW141" i="2"/>
  <c r="CW9" i="14" s="1"/>
  <c r="CW8" i="14" s="1"/>
  <c r="CW23" i="14" s="1"/>
  <c r="CW41" i="14" s="1"/>
  <c r="CW142" i="2"/>
  <c r="CW61" i="2"/>
  <c r="CW48" i="2"/>
  <c r="CW41" i="2"/>
  <c r="CW26" i="2"/>
  <c r="CW14" i="2"/>
  <c r="CW32" i="12"/>
  <c r="CW33" i="12"/>
  <c r="CW6" i="12"/>
  <c r="CW7" i="12"/>
  <c r="CW9" i="12"/>
  <c r="CW10" i="12"/>
  <c r="CW11" i="12"/>
  <c r="CW12" i="12"/>
  <c r="CW14" i="12"/>
  <c r="CW15" i="12"/>
  <c r="CW17" i="12"/>
  <c r="CW18" i="12"/>
  <c r="CW17" i="1"/>
  <c r="CW20" i="1" s="1"/>
  <c r="CW24" i="1" s="1"/>
  <c r="CW26" i="1" s="1"/>
  <c r="CW62" i="2" l="1"/>
  <c r="CW108" i="2"/>
  <c r="CW112" i="2"/>
  <c r="CW109" i="2"/>
  <c r="CW156" i="2"/>
  <c r="CW161" i="2" s="1"/>
  <c r="CW137" i="2"/>
  <c r="CW152" i="2" s="1"/>
  <c r="CW192" i="2"/>
  <c r="CW189" i="2"/>
  <c r="CW190" i="2"/>
  <c r="CW191" i="2"/>
  <c r="CW51" i="12"/>
  <c r="CW32" i="1"/>
  <c r="CW36" i="1"/>
  <c r="CW8" i="12"/>
  <c r="CW13" i="12" s="1"/>
  <c r="CW16" i="12" s="1"/>
  <c r="CW19" i="12" s="1"/>
  <c r="CW69" i="13"/>
  <c r="CW50" i="12"/>
  <c r="CW72" i="13"/>
  <c r="CW71" i="13"/>
  <c r="CW70" i="13"/>
  <c r="CW26" i="12"/>
  <c r="CW113" i="2" l="1"/>
  <c r="CW144" i="2"/>
  <c r="CW54" i="12"/>
  <c r="DE55" i="14" l="1"/>
  <c r="DE36" i="14"/>
  <c r="DE35" i="14"/>
  <c r="DE33" i="14"/>
  <c r="DE32" i="14"/>
  <c r="DE31" i="14"/>
  <c r="DE29" i="14"/>
  <c r="DE28" i="14"/>
  <c r="DE27" i="14"/>
  <c r="DE26" i="14"/>
  <c r="DE25" i="14"/>
  <c r="DE24" i="14"/>
  <c r="DE46" i="14" s="1"/>
  <c r="DE21" i="14"/>
  <c r="DE13" i="14"/>
  <c r="DE11" i="14"/>
  <c r="DE10" i="14"/>
  <c r="DE9" i="14"/>
  <c r="DE8" i="14"/>
  <c r="DD46" i="14"/>
  <c r="DC46" i="14"/>
  <c r="DB46" i="14"/>
  <c r="DA46" i="14"/>
  <c r="DD45" i="14"/>
  <c r="DC45" i="14"/>
  <c r="DD40" i="14"/>
  <c r="DC40" i="14"/>
  <c r="DB40" i="14"/>
  <c r="DA40" i="14"/>
  <c r="DD38" i="14"/>
  <c r="DC38" i="14"/>
  <c r="DB38" i="14"/>
  <c r="DA38" i="14"/>
  <c r="DC30" i="14"/>
  <c r="DB30" i="14"/>
  <c r="DA30" i="14"/>
  <c r="DD73" i="13"/>
  <c r="DD74" i="13" s="1"/>
  <c r="DC74" i="13"/>
  <c r="DB73" i="13"/>
  <c r="DB74" i="13" s="1"/>
  <c r="DA73" i="13"/>
  <c r="DA74" i="13" s="1"/>
  <c r="DE25" i="12"/>
  <c r="DE18" i="12"/>
  <c r="DE14" i="12"/>
  <c r="DE12" i="12"/>
  <c r="DE11" i="12"/>
  <c r="DD44" i="12"/>
  <c r="DC44" i="12"/>
  <c r="DB44" i="12"/>
  <c r="DE176" i="2"/>
  <c r="DE175" i="2"/>
  <c r="DE174" i="2"/>
  <c r="DE163" i="2"/>
  <c r="DE159" i="2"/>
  <c r="DE158" i="2"/>
  <c r="DE157" i="2"/>
  <c r="DE156" i="2"/>
  <c r="DE142" i="2"/>
  <c r="DE76" i="2"/>
  <c r="DE68" i="2"/>
  <c r="DE67" i="2"/>
  <c r="DE66" i="2"/>
  <c r="DE65" i="2"/>
  <c r="DE61" i="2"/>
  <c r="DE75" i="2"/>
  <c r="DE24" i="2"/>
  <c r="DE23" i="2"/>
  <c r="DE12" i="2"/>
  <c r="DE73" i="2" s="1"/>
  <c r="DD165" i="2"/>
  <c r="DC165" i="2"/>
  <c r="DB165" i="2"/>
  <c r="DA165" i="2"/>
  <c r="DI212" i="2"/>
  <c r="DD76" i="2"/>
  <c r="DC76" i="2"/>
  <c r="DB76" i="2"/>
  <c r="DA76" i="2"/>
  <c r="DA75" i="2"/>
  <c r="DC74" i="2"/>
  <c r="DB74" i="2"/>
  <c r="DA74" i="2"/>
  <c r="DD73" i="2"/>
  <c r="DC73" i="2"/>
  <c r="DB73" i="2"/>
  <c r="DA73" i="2"/>
  <c r="DD68" i="2"/>
  <c r="DC68" i="2"/>
  <c r="DB68" i="2"/>
  <c r="DA68" i="2"/>
  <c r="DD67" i="2"/>
  <c r="DC67" i="2"/>
  <c r="DB67" i="2"/>
  <c r="DA67" i="2"/>
  <c r="DC66" i="2"/>
  <c r="DB66" i="2"/>
  <c r="DA66" i="2"/>
  <c r="DD65" i="2"/>
  <c r="DC65" i="2"/>
  <c r="DB65" i="2"/>
  <c r="DA65" i="2"/>
  <c r="DC75" i="2"/>
  <c r="DB75" i="2"/>
  <c r="DD85" i="2" l="1"/>
  <c r="DD84" i="2"/>
  <c r="DD82" i="2"/>
  <c r="DD83" i="2"/>
  <c r="DC84" i="2"/>
  <c r="DC85" i="2"/>
  <c r="DC83" i="2"/>
  <c r="DC82" i="2"/>
  <c r="DE74" i="2"/>
  <c r="DE161" i="2"/>
  <c r="DE165" i="2" s="1"/>
  <c r="DA77" i="2"/>
  <c r="DA86" i="2" s="1"/>
  <c r="DH212" i="2"/>
  <c r="DC221" i="2"/>
  <c r="DB77" i="2"/>
  <c r="DB86" i="2" s="1"/>
  <c r="DB84" i="2"/>
  <c r="DB85" i="2"/>
  <c r="DB83" i="2"/>
  <c r="DB82" i="2"/>
  <c r="DE44" i="12"/>
  <c r="DE254" i="1"/>
  <c r="DE248" i="1"/>
  <c r="DC47" i="14"/>
  <c r="DD47" i="14"/>
  <c r="DE141" i="2"/>
  <c r="DE12" i="14"/>
  <c r="DB70" i="2"/>
  <c r="DB221" i="2"/>
  <c r="DE38" i="12"/>
  <c r="DB212" i="2"/>
  <c r="DD221" i="2"/>
  <c r="DE143" i="2"/>
  <c r="DE140" i="2"/>
  <c r="DE24" i="12"/>
  <c r="DE38" i="14"/>
  <c r="DE40" i="14"/>
  <c r="DC70" i="2"/>
  <c r="DE30" i="14"/>
  <c r="DE59" i="14"/>
  <c r="DA44" i="12"/>
  <c r="DE138" i="2"/>
  <c r="DE139" i="2"/>
  <c r="DA78" i="2"/>
  <c r="DA70" i="2"/>
  <c r="DD78" i="2"/>
  <c r="DD70" i="2"/>
  <c r="DE70" i="2"/>
  <c r="DB78" i="2"/>
  <c r="DC78" i="2"/>
  <c r="DE77" i="2" l="1"/>
  <c r="DJ248" i="1"/>
  <c r="DO248" i="1" s="1"/>
  <c r="DJ254" i="1"/>
  <c r="DO254" i="1" s="1"/>
  <c r="DE27" i="12"/>
  <c r="CZ12" i="2"/>
  <c r="CZ23" i="2"/>
  <c r="DT254" i="1" l="1"/>
  <c r="DT248" i="1"/>
  <c r="DE78" i="2"/>
  <c r="DE86" i="2"/>
  <c r="DE26" i="12"/>
  <c r="DU254" i="1" l="1"/>
  <c r="DU248" i="1"/>
  <c r="DV248" i="1" s="1"/>
  <c r="CU209" i="1"/>
  <c r="CU228" i="2" s="1"/>
  <c r="CU208" i="1"/>
  <c r="CU227" i="2" s="1"/>
  <c r="CU230" i="2"/>
  <c r="CV228" i="2"/>
  <c r="CV227" i="2"/>
  <c r="CV40" i="14"/>
  <c r="CV38" i="14"/>
  <c r="CV36" i="14"/>
  <c r="CV35" i="14"/>
  <c r="CV34" i="14"/>
  <c r="CV33" i="14"/>
  <c r="CV32" i="14"/>
  <c r="CV31" i="14"/>
  <c r="CV28" i="14"/>
  <c r="CV27" i="14"/>
  <c r="CV26" i="14"/>
  <c r="CV25" i="14"/>
  <c r="CV24" i="14"/>
  <c r="CV22" i="14"/>
  <c r="CV21" i="14"/>
  <c r="CV20" i="14"/>
  <c r="CV19" i="14"/>
  <c r="CV18" i="14"/>
  <c r="CV17" i="14"/>
  <c r="CV16" i="14"/>
  <c r="CV15" i="14"/>
  <c r="CV13" i="14"/>
  <c r="CV12" i="14"/>
  <c r="CV11" i="14"/>
  <c r="CV10" i="14"/>
  <c r="CV7" i="14"/>
  <c r="CV43" i="13"/>
  <c r="CV41" i="13"/>
  <c r="CV40" i="13"/>
  <c r="CV39" i="13"/>
  <c r="CV38" i="13"/>
  <c r="CV37" i="13"/>
  <c r="CV36" i="13"/>
  <c r="CV34" i="13"/>
  <c r="CV33" i="13"/>
  <c r="CV32" i="13"/>
  <c r="CV31" i="13"/>
  <c r="CV29" i="13"/>
  <c r="CV28" i="13"/>
  <c r="CV27" i="13"/>
  <c r="CV26" i="13"/>
  <c r="CV25" i="13"/>
  <c r="CV24" i="13"/>
  <c r="CV23" i="13"/>
  <c r="CV19" i="13"/>
  <c r="CV18" i="13"/>
  <c r="CV17" i="13"/>
  <c r="CV16" i="13"/>
  <c r="CV15" i="13"/>
  <c r="CV14" i="13"/>
  <c r="CV13" i="13"/>
  <c r="CV11" i="13"/>
  <c r="CV10" i="13"/>
  <c r="CV9" i="13"/>
  <c r="CV8" i="13"/>
  <c r="CV7" i="13"/>
  <c r="CV122" i="1"/>
  <c r="CZ122" i="1" s="1"/>
  <c r="CV114" i="1"/>
  <c r="CV108" i="1"/>
  <c r="CZ108" i="1" s="1"/>
  <c r="CU93" i="1"/>
  <c r="CU94" i="1"/>
  <c r="CU95" i="1"/>
  <c r="CU96" i="1"/>
  <c r="CU97" i="1"/>
  <c r="CU100" i="1"/>
  <c r="CU101" i="1"/>
  <c r="CU102" i="1"/>
  <c r="CU103" i="1"/>
  <c r="CU104" i="1"/>
  <c r="CU105" i="1"/>
  <c r="CU106" i="1"/>
  <c r="CU107" i="1"/>
  <c r="CU109" i="1"/>
  <c r="CU111" i="1"/>
  <c r="CU112" i="1"/>
  <c r="CU113" i="1"/>
  <c r="CU117" i="1"/>
  <c r="CU118" i="1"/>
  <c r="CU119" i="1"/>
  <c r="CU120" i="1"/>
  <c r="CU92" i="1"/>
  <c r="CV83" i="1"/>
  <c r="CV71" i="1"/>
  <c r="CV76" i="1" s="1"/>
  <c r="CV54" i="1"/>
  <c r="CV62" i="1" s="1"/>
  <c r="DV254" i="1" l="1"/>
  <c r="CV29" i="14"/>
  <c r="CV30" i="14" s="1"/>
  <c r="CZ114" i="1"/>
  <c r="CV115" i="1"/>
  <c r="CV85" i="1"/>
  <c r="CV42" i="13"/>
  <c r="CV14" i="14"/>
  <c r="CV37" i="14"/>
  <c r="CV12" i="13"/>
  <c r="CV20" i="13" s="1"/>
  <c r="CV30" i="13"/>
  <c r="CV35" i="13" s="1"/>
  <c r="CV25" i="12"/>
  <c r="CV33" i="12"/>
  <c r="CV32" i="12"/>
  <c r="CV18" i="12"/>
  <c r="CV17" i="12"/>
  <c r="CV15" i="12"/>
  <c r="CV14" i="12"/>
  <c r="CV12" i="12"/>
  <c r="CV11" i="12"/>
  <c r="CV10" i="12"/>
  <c r="CV9" i="12"/>
  <c r="CV7" i="12"/>
  <c r="CV6" i="12"/>
  <c r="CV69" i="13" s="1"/>
  <c r="CV142" i="2"/>
  <c r="CV141" i="2"/>
  <c r="CV9" i="14" s="1"/>
  <c r="CV8" i="14" s="1"/>
  <c r="CV140" i="2"/>
  <c r="CV139" i="2"/>
  <c r="DA212" i="2" s="1"/>
  <c r="CV138" i="2"/>
  <c r="CV135" i="2"/>
  <c r="CV159" i="2" s="1"/>
  <c r="CZ159" i="2" s="1"/>
  <c r="CV134" i="2"/>
  <c r="CV158" i="2" s="1"/>
  <c r="CZ158" i="2" s="1"/>
  <c r="CV133" i="2"/>
  <c r="CV157" i="2" s="1"/>
  <c r="CV132" i="2"/>
  <c r="CV61" i="2"/>
  <c r="CV48" i="2"/>
  <c r="CV41" i="2"/>
  <c r="CV26" i="2"/>
  <c r="CV14" i="2"/>
  <c r="CZ139" i="1"/>
  <c r="CV17" i="1"/>
  <c r="CV20" i="1" s="1"/>
  <c r="CV24" i="1" s="1"/>
  <c r="CV26" i="1" s="1"/>
  <c r="CV109" i="2" l="1"/>
  <c r="CV62" i="2"/>
  <c r="CV108" i="2"/>
  <c r="CV112" i="2"/>
  <c r="CV156" i="2"/>
  <c r="CZ156" i="2" s="1"/>
  <c r="CV137" i="2"/>
  <c r="CV152" i="2" s="1"/>
  <c r="CZ157" i="2"/>
  <c r="DA83" i="2"/>
  <c r="DA84" i="2"/>
  <c r="DA85" i="2"/>
  <c r="CV126" i="1"/>
  <c r="CZ126" i="1" s="1"/>
  <c r="CZ115" i="1"/>
  <c r="DA82" i="2"/>
  <c r="CV44" i="13"/>
  <c r="CV23" i="14"/>
  <c r="CV41" i="14" s="1"/>
  <c r="CV189" i="2"/>
  <c r="CV190" i="2"/>
  <c r="CV191" i="2"/>
  <c r="CV192" i="2"/>
  <c r="CV8" i="12"/>
  <c r="CV13" i="12" s="1"/>
  <c r="CV16" i="12" s="1"/>
  <c r="CV19" i="12" s="1"/>
  <c r="CV51" i="12"/>
  <c r="CV72" i="13"/>
  <c r="CV71" i="13"/>
  <c r="CV70" i="13"/>
  <c r="CV50" i="12"/>
  <c r="CV36" i="1"/>
  <c r="CV32" i="1"/>
  <c r="CZ161" i="2" l="1"/>
  <c r="CV113" i="2"/>
  <c r="CV161" i="2"/>
  <c r="CV54" i="12"/>
  <c r="CV53" i="12"/>
  <c r="DA103" i="2"/>
  <c r="DA111" i="2"/>
  <c r="DA102" i="2"/>
  <c r="DA110" i="2"/>
  <c r="DA100" i="2"/>
  <c r="DA101" i="2"/>
  <c r="DA237" i="2" l="1"/>
  <c r="DA244" i="2" s="1"/>
  <c r="DA198" i="2"/>
  <c r="DA201" i="2"/>
  <c r="DA199" i="2"/>
  <c r="DA200" i="2"/>
  <c r="DO367" i="1"/>
  <c r="DJ367" i="1"/>
  <c r="DE367" i="1"/>
  <c r="CZ367" i="1"/>
  <c r="DO343" i="1"/>
  <c r="DO344" i="1" s="1"/>
  <c r="DO341" i="1"/>
  <c r="DO342" i="1" s="1"/>
  <c r="DJ343" i="1"/>
  <c r="DJ344" i="1" s="1"/>
  <c r="DJ341" i="1"/>
  <c r="DJ342" i="1" s="1"/>
  <c r="DE343" i="1"/>
  <c r="DE341" i="1"/>
  <c r="CZ343" i="1"/>
  <c r="CZ344" i="1" s="1"/>
  <c r="CZ341" i="1"/>
  <c r="CZ342" i="1" s="1"/>
  <c r="DO338" i="1"/>
  <c r="DJ338" i="1"/>
  <c r="DE338" i="1"/>
  <c r="CZ338" i="1"/>
  <c r="DO220" i="1"/>
  <c r="DJ220" i="1"/>
  <c r="DE220" i="1"/>
  <c r="CZ220" i="1"/>
  <c r="DA181" i="2" l="1"/>
  <c r="DA183" i="2"/>
  <c r="DA182" i="2"/>
  <c r="DA184" i="2"/>
  <c r="DE344" i="1"/>
  <c r="DE342" i="1"/>
  <c r="DA149" i="2"/>
  <c r="DA209" i="2"/>
  <c r="DA208" i="2"/>
  <c r="DA148" i="2"/>
  <c r="DA194" i="2"/>
  <c r="DA178" i="2"/>
  <c r="DF204" i="2" s="1"/>
  <c r="DA150" i="2"/>
  <c r="DA210" i="2"/>
  <c r="DA59" i="12"/>
  <c r="DA207" i="2"/>
  <c r="DA147" i="2"/>
  <c r="DA186" i="2" l="1"/>
  <c r="DA43" i="12"/>
  <c r="DF61" i="12" s="1"/>
  <c r="DA195" i="2"/>
  <c r="DA144" i="2"/>
  <c r="DF213" i="2" s="1"/>
  <c r="F4" i="47"/>
  <c r="G4" i="47" s="1"/>
  <c r="H4" i="47" s="1"/>
  <c r="I4" i="47" s="1"/>
  <c r="J4" i="47" s="1"/>
  <c r="K4" i="47" s="1"/>
  <c r="L4" i="47" s="1"/>
  <c r="DA45" i="12" l="1"/>
  <c r="DF60" i="12" s="1"/>
  <c r="DA153" i="2"/>
  <c r="CT7" i="13"/>
  <c r="CT8" i="13"/>
  <c r="CT9" i="13"/>
  <c r="CT10" i="13"/>
  <c r="CT11" i="13"/>
  <c r="CT13" i="13"/>
  <c r="CT14" i="13"/>
  <c r="CT15" i="13"/>
  <c r="CT16" i="13"/>
  <c r="CT17" i="13"/>
  <c r="CT18" i="13"/>
  <c r="CT19" i="13"/>
  <c r="CT23" i="13"/>
  <c r="CT24" i="13"/>
  <c r="CT25" i="13"/>
  <c r="CT26" i="13"/>
  <c r="CT27" i="13"/>
  <c r="CT28" i="13"/>
  <c r="CT29" i="13"/>
  <c r="CT31" i="13"/>
  <c r="CT32" i="13"/>
  <c r="CT33" i="13"/>
  <c r="CT34" i="13"/>
  <c r="CT36" i="13"/>
  <c r="CT37" i="13"/>
  <c r="CT38" i="13"/>
  <c r="CT39" i="13"/>
  <c r="CT40" i="13"/>
  <c r="CT41" i="13"/>
  <c r="CT43" i="13"/>
  <c r="CU84" i="1"/>
  <c r="CU82" i="1"/>
  <c r="CU81" i="1"/>
  <c r="CU80" i="1"/>
  <c r="CU79" i="1"/>
  <c r="CU78" i="1"/>
  <c r="CU77" i="1"/>
  <c r="CU75" i="1"/>
  <c r="CU72" i="1"/>
  <c r="CU70" i="1"/>
  <c r="CU68" i="1"/>
  <c r="CU67" i="1"/>
  <c r="CU66" i="1"/>
  <c r="CU65" i="1"/>
  <c r="CU64" i="1"/>
  <c r="CU61" i="1"/>
  <c r="CU60" i="1"/>
  <c r="CU59" i="1"/>
  <c r="CU58" i="1"/>
  <c r="CU57" i="1"/>
  <c r="CU56" i="1"/>
  <c r="CU55" i="1"/>
  <c r="CU53" i="1"/>
  <c r="CU52" i="1"/>
  <c r="CU51" i="1"/>
  <c r="CU50" i="1"/>
  <c r="CU49" i="1"/>
  <c r="CT83" i="1"/>
  <c r="CT71" i="1"/>
  <c r="CU71" i="1" s="1"/>
  <c r="CT54" i="1"/>
  <c r="CT62" i="1" s="1"/>
  <c r="CU62" i="1" s="1"/>
  <c r="CT7" i="14"/>
  <c r="CT10" i="14"/>
  <c r="CT11" i="14"/>
  <c r="CT12" i="14"/>
  <c r="CT13" i="14"/>
  <c r="CT15" i="14"/>
  <c r="CT16" i="14"/>
  <c r="CT17" i="14"/>
  <c r="CT18" i="14"/>
  <c r="CT19" i="14"/>
  <c r="CT20" i="14"/>
  <c r="CT21" i="14"/>
  <c r="CT22" i="14"/>
  <c r="CT24" i="14"/>
  <c r="CT26" i="14"/>
  <c r="CT27" i="14"/>
  <c r="CT28" i="14"/>
  <c r="CT29" i="14"/>
  <c r="CT32" i="14"/>
  <c r="CT33" i="14"/>
  <c r="CT34" i="14"/>
  <c r="CT35" i="14"/>
  <c r="CT38" i="14"/>
  <c r="CT40" i="14"/>
  <c r="CU173" i="1"/>
  <c r="CU172" i="1"/>
  <c r="CU167" i="1"/>
  <c r="CU166" i="1"/>
  <c r="CU164" i="1"/>
  <c r="CU136" i="1"/>
  <c r="CU135" i="1"/>
  <c r="CU133" i="1"/>
  <c r="CT121" i="1"/>
  <c r="CT116" i="1"/>
  <c r="CT31" i="14" s="1"/>
  <c r="CT110" i="1"/>
  <c r="CU110" i="1" s="1"/>
  <c r="CT108" i="1"/>
  <c r="CT122" i="1" l="1"/>
  <c r="CT76" i="1"/>
  <c r="CU76" i="1" s="1"/>
  <c r="CT36" i="14"/>
  <c r="CT37" i="14" s="1"/>
  <c r="CU54" i="1"/>
  <c r="CU83" i="1"/>
  <c r="CT115" i="1"/>
  <c r="CT25" i="14"/>
  <c r="CT30" i="14" s="1"/>
  <c r="DA52" i="12"/>
  <c r="DE33" i="12"/>
  <c r="DC51" i="14"/>
  <c r="CT42" i="13"/>
  <c r="CT12" i="13"/>
  <c r="CT20" i="13" s="1"/>
  <c r="CT30" i="13"/>
  <c r="CT35" i="13" s="1"/>
  <c r="CT14" i="14"/>
  <c r="CT228" i="2"/>
  <c r="CT227" i="2"/>
  <c r="CT126" i="1" l="1"/>
  <c r="CT85" i="1"/>
  <c r="CU85" i="1" s="1"/>
  <c r="CT44" i="13"/>
  <c r="DE39" i="12"/>
  <c r="DD51" i="14"/>
  <c r="CT32" i="12"/>
  <c r="CT33" i="12"/>
  <c r="CT27" i="12"/>
  <c r="CT25" i="12"/>
  <c r="CT24" i="12"/>
  <c r="CT6" i="12"/>
  <c r="CT7" i="12"/>
  <c r="CT9" i="12"/>
  <c r="CT10" i="12"/>
  <c r="CT11" i="12"/>
  <c r="CT14" i="12"/>
  <c r="CT15" i="12"/>
  <c r="CT17" i="12"/>
  <c r="CT18" i="12"/>
  <c r="CT132" i="2"/>
  <c r="CT133" i="2"/>
  <c r="CT157" i="2" s="1"/>
  <c r="CT134" i="2"/>
  <c r="CT158" i="2" s="1"/>
  <c r="CT135" i="2"/>
  <c r="CT159" i="2" s="1"/>
  <c r="CT138" i="2"/>
  <c r="CT162" i="2" s="1"/>
  <c r="CT139" i="2"/>
  <c r="CT163" i="2" s="1"/>
  <c r="CT140" i="2"/>
  <c r="CT141" i="2"/>
  <c r="CT9" i="14" s="1"/>
  <c r="CT8" i="14" s="1"/>
  <c r="CT23" i="14" s="1"/>
  <c r="CT41" i="14" s="1"/>
  <c r="CT142" i="2"/>
  <c r="CT164" i="2" s="1"/>
  <c r="CT61" i="2"/>
  <c r="CT48" i="2"/>
  <c r="CT192" i="2" s="1"/>
  <c r="CT41" i="2"/>
  <c r="CT191" i="2" s="1"/>
  <c r="CT26" i="2"/>
  <c r="CT190" i="2" s="1"/>
  <c r="CT14" i="2"/>
  <c r="CT189" i="2" s="1"/>
  <c r="CT16" i="1"/>
  <c r="CT12" i="12" s="1"/>
  <c r="CT156" i="2" l="1"/>
  <c r="CT161" i="2" s="1"/>
  <c r="CT165" i="2" s="1"/>
  <c r="CT137" i="2"/>
  <c r="CT144" i="2" s="1"/>
  <c r="CT17" i="1"/>
  <c r="CT20" i="1" s="1"/>
  <c r="CT24" i="1" s="1"/>
  <c r="CT26" i="1" s="1"/>
  <c r="CT36" i="1" s="1"/>
  <c r="CT51" i="12"/>
  <c r="CT26" i="12"/>
  <c r="CT70" i="13"/>
  <c r="CT71" i="13"/>
  <c r="CT72" i="13"/>
  <c r="CT8" i="12"/>
  <c r="CT13" i="12" s="1"/>
  <c r="CT16" i="12" s="1"/>
  <c r="CT19" i="12" s="1"/>
  <c r="CT21" i="12" s="1"/>
  <c r="CT69" i="13"/>
  <c r="CT50" i="12"/>
  <c r="CT32" i="1" l="1"/>
  <c r="CT22" i="12"/>
  <c r="CT54" i="12"/>
  <c r="CS124" i="1"/>
  <c r="CU124" i="1" s="1"/>
  <c r="CT39" i="2" l="1"/>
  <c r="CU39" i="2" s="1"/>
  <c r="CZ39" i="2"/>
  <c r="CS15" i="12" l="1"/>
  <c r="CS23" i="13" l="1"/>
  <c r="CS24" i="13"/>
  <c r="CS25" i="13"/>
  <c r="CS26" i="13"/>
  <c r="CS27" i="13"/>
  <c r="CS28" i="13"/>
  <c r="CS29" i="13"/>
  <c r="CS31" i="13"/>
  <c r="CS32" i="13"/>
  <c r="CS33" i="13"/>
  <c r="CS34" i="13"/>
  <c r="CS36" i="13"/>
  <c r="CS37" i="13"/>
  <c r="CS38" i="13"/>
  <c r="CS39" i="13"/>
  <c r="CS40" i="13"/>
  <c r="CS41" i="13"/>
  <c r="CS43" i="13"/>
  <c r="CS7" i="13"/>
  <c r="CS8" i="13"/>
  <c r="CS9" i="13"/>
  <c r="CS10" i="13"/>
  <c r="CS11" i="13"/>
  <c r="CS13" i="13"/>
  <c r="CS14" i="13"/>
  <c r="CS15" i="13"/>
  <c r="CS16" i="13"/>
  <c r="CS17" i="13"/>
  <c r="CS18" i="13"/>
  <c r="CS19" i="13"/>
  <c r="CS83" i="1"/>
  <c r="CS71" i="1"/>
  <c r="CS76" i="1" s="1"/>
  <c r="CS54" i="1"/>
  <c r="CS62" i="1" s="1"/>
  <c r="CS7" i="14"/>
  <c r="CS10" i="14"/>
  <c r="CS11" i="14"/>
  <c r="CS12" i="14"/>
  <c r="CS13" i="14"/>
  <c r="CS15" i="14"/>
  <c r="CS16" i="14"/>
  <c r="CS17" i="14"/>
  <c r="CS18" i="14"/>
  <c r="CS19" i="14"/>
  <c r="CS20" i="14"/>
  <c r="CS21" i="14"/>
  <c r="CS22" i="14"/>
  <c r="CS24" i="14"/>
  <c r="CS25" i="14"/>
  <c r="CS26" i="14"/>
  <c r="CS27" i="14"/>
  <c r="CS28" i="14"/>
  <c r="CS29" i="14"/>
  <c r="CS32" i="14"/>
  <c r="CS33" i="14"/>
  <c r="CS34" i="14"/>
  <c r="CS35" i="14"/>
  <c r="CS38" i="14"/>
  <c r="CS40" i="14"/>
  <c r="CS121" i="1"/>
  <c r="CS36" i="14" s="1"/>
  <c r="CS116" i="1"/>
  <c r="CU116" i="1" s="1"/>
  <c r="CS115" i="1"/>
  <c r="CS108" i="1"/>
  <c r="CS85" i="1" l="1"/>
  <c r="CS31" i="14"/>
  <c r="CS37" i="14" s="1"/>
  <c r="CS30" i="14"/>
  <c r="CS122" i="1"/>
  <c r="CS126" i="1" s="1"/>
  <c r="CS14" i="14"/>
  <c r="CS30" i="13"/>
  <c r="CS35" i="13" s="1"/>
  <c r="CS42" i="13"/>
  <c r="CS12" i="13"/>
  <c r="CS20" i="13" s="1"/>
  <c r="CS228" i="2"/>
  <c r="CS227" i="2"/>
  <c r="CS24" i="12"/>
  <c r="CS32" i="12"/>
  <c r="CS33" i="12"/>
  <c r="CS6" i="12"/>
  <c r="CS7" i="12"/>
  <c r="CS9" i="12"/>
  <c r="CS10" i="12"/>
  <c r="CS11" i="12"/>
  <c r="CS12" i="12"/>
  <c r="CS14" i="12"/>
  <c r="CS17" i="12"/>
  <c r="CS18" i="12"/>
  <c r="CS132" i="2"/>
  <c r="CS133" i="2"/>
  <c r="CS157" i="2" s="1"/>
  <c r="CS134" i="2"/>
  <c r="CS158" i="2" s="1"/>
  <c r="CS135" i="2"/>
  <c r="CS159" i="2" s="1"/>
  <c r="CS138" i="2"/>
  <c r="CS162" i="2" s="1"/>
  <c r="CS139" i="2"/>
  <c r="CS163" i="2" s="1"/>
  <c r="CS140" i="2"/>
  <c r="CS141" i="2"/>
  <c r="CS9" i="14" s="1"/>
  <c r="CS8" i="14" s="1"/>
  <c r="CS142" i="2"/>
  <c r="CS164" i="2" s="1"/>
  <c r="CS61" i="2"/>
  <c r="CS48" i="2"/>
  <c r="CS192" i="2" s="1"/>
  <c r="CS41" i="2"/>
  <c r="CS191" i="2" s="1"/>
  <c r="CS26" i="2"/>
  <c r="CS190" i="2" s="1"/>
  <c r="CS14" i="2"/>
  <c r="CS17" i="1"/>
  <c r="CS20" i="1" s="1"/>
  <c r="CS24" i="1" s="1"/>
  <c r="CS26" i="1" s="1"/>
  <c r="CS156" i="2" l="1"/>
  <c r="CS161" i="2" s="1"/>
  <c r="CS165" i="2" s="1"/>
  <c r="CS137" i="2"/>
  <c r="CS144" i="2" s="1"/>
  <c r="CS23" i="14"/>
  <c r="CS44" i="13"/>
  <c r="CS51" i="12"/>
  <c r="CS36" i="1"/>
  <c r="CS32" i="1"/>
  <c r="CS8" i="12"/>
  <c r="CS13" i="12" s="1"/>
  <c r="CS16" i="12" s="1"/>
  <c r="CS19" i="12" s="1"/>
  <c r="CS69" i="13"/>
  <c r="CS50" i="12"/>
  <c r="CS70" i="13"/>
  <c r="CS71" i="13"/>
  <c r="CS72" i="13"/>
  <c r="CS189" i="2"/>
  <c r="CS26" i="12"/>
  <c r="CS54" i="12" l="1"/>
  <c r="CS28" i="12"/>
  <c r="CR40" i="14" l="1"/>
  <c r="CR38" i="14"/>
  <c r="CR35" i="14"/>
  <c r="CR34" i="14"/>
  <c r="CR33" i="14"/>
  <c r="CR32" i="14"/>
  <c r="CR31" i="14"/>
  <c r="CR29" i="14"/>
  <c r="CR28" i="14"/>
  <c r="CR27" i="14"/>
  <c r="CR26" i="14"/>
  <c r="CR25" i="14"/>
  <c r="CR24" i="14"/>
  <c r="CR22" i="14"/>
  <c r="CR21" i="14"/>
  <c r="CR20" i="14"/>
  <c r="CR19" i="14"/>
  <c r="CR18" i="14"/>
  <c r="CR17" i="14"/>
  <c r="CR16" i="14"/>
  <c r="CR15" i="14"/>
  <c r="CR13" i="14"/>
  <c r="CR12" i="14"/>
  <c r="CR11" i="14"/>
  <c r="CR10" i="14"/>
  <c r="CR7" i="14"/>
  <c r="CR7" i="13"/>
  <c r="CR8" i="13"/>
  <c r="CR9" i="13"/>
  <c r="CR10" i="13"/>
  <c r="CR11" i="13"/>
  <c r="CR13" i="13"/>
  <c r="CR14" i="13"/>
  <c r="CR15" i="13"/>
  <c r="CR16" i="13"/>
  <c r="CR17" i="13"/>
  <c r="CR18" i="13"/>
  <c r="CR19" i="13"/>
  <c r="CR23" i="13"/>
  <c r="CR24" i="13"/>
  <c r="CR25" i="13"/>
  <c r="CR26" i="13"/>
  <c r="CR27" i="13"/>
  <c r="CR28" i="13"/>
  <c r="CR29" i="13"/>
  <c r="CR31" i="13"/>
  <c r="CR32" i="13"/>
  <c r="CR33" i="13"/>
  <c r="CR34" i="13"/>
  <c r="CR36" i="13"/>
  <c r="CR37" i="13"/>
  <c r="CR38" i="13"/>
  <c r="CR39" i="13"/>
  <c r="CR40" i="13"/>
  <c r="CR41" i="13"/>
  <c r="CR43" i="13"/>
  <c r="CR121" i="1"/>
  <c r="CR36" i="14" s="1"/>
  <c r="CR115" i="1"/>
  <c r="CR108" i="1"/>
  <c r="CR83" i="1"/>
  <c r="CR71" i="1"/>
  <c r="CR76" i="1" s="1"/>
  <c r="CR54" i="1"/>
  <c r="CR62" i="1" s="1"/>
  <c r="CR33" i="12"/>
  <c r="CR32" i="12"/>
  <c r="CR27" i="12"/>
  <c r="CR18" i="12"/>
  <c r="CR17" i="12"/>
  <c r="CR15" i="12"/>
  <c r="CR14" i="12"/>
  <c r="CR12" i="12"/>
  <c r="CR11" i="12"/>
  <c r="CR10" i="12"/>
  <c r="CR9" i="12"/>
  <c r="CR7" i="12"/>
  <c r="CR6" i="12"/>
  <c r="CR8" i="12" l="1"/>
  <c r="CR13" i="12" s="1"/>
  <c r="CR16" i="12" s="1"/>
  <c r="CR19" i="12" s="1"/>
  <c r="CR22" i="12" s="1"/>
  <c r="CR85" i="1"/>
  <c r="CR70" i="13"/>
  <c r="CR122" i="1"/>
  <c r="CR126" i="1" s="1"/>
  <c r="CR14" i="14"/>
  <c r="CR30" i="14"/>
  <c r="CR37" i="14"/>
  <c r="CR42" i="13"/>
  <c r="CR12" i="13"/>
  <c r="CR20" i="13" s="1"/>
  <c r="CR30" i="13"/>
  <c r="CR35" i="13" s="1"/>
  <c r="CR69" i="13"/>
  <c r="CR51" i="12"/>
  <c r="CR72" i="13"/>
  <c r="CR50" i="12"/>
  <c r="CR71" i="13"/>
  <c r="CR54" i="12" l="1"/>
  <c r="CR44" i="13"/>
  <c r="CR21" i="12"/>
  <c r="CR75" i="2"/>
  <c r="CR227" i="2"/>
  <c r="CS235" i="2" s="1"/>
  <c r="CR228" i="2"/>
  <c r="CS236" i="2" s="1"/>
  <c r="CR178" i="2"/>
  <c r="CR142" i="2"/>
  <c r="CR164" i="2" s="1"/>
  <c r="CR141" i="2"/>
  <c r="CR140" i="2"/>
  <c r="CR139" i="2"/>
  <c r="CR138" i="2"/>
  <c r="CR135" i="2"/>
  <c r="CR134" i="2"/>
  <c r="CR133" i="2"/>
  <c r="CR132" i="2"/>
  <c r="CR61" i="2"/>
  <c r="CR48" i="2"/>
  <c r="CR41" i="2"/>
  <c r="CR26" i="2"/>
  <c r="CR14" i="2"/>
  <c r="CR17" i="1"/>
  <c r="CR20" i="1" s="1"/>
  <c r="CR24" i="1" s="1"/>
  <c r="CR26" i="1" s="1"/>
  <c r="CR137" i="2" l="1"/>
  <c r="CR158" i="2"/>
  <c r="CR189" i="2"/>
  <c r="CR192" i="2"/>
  <c r="CR190" i="2"/>
  <c r="CR156" i="2"/>
  <c r="CR162" i="2"/>
  <c r="CR191" i="2"/>
  <c r="CR157" i="2"/>
  <c r="CR163" i="2"/>
  <c r="CR36" i="1"/>
  <c r="CR32" i="1"/>
  <c r="CR144" i="2"/>
  <c r="CR26" i="12"/>
  <c r="CR9" i="14"/>
  <c r="CR8" i="14" s="1"/>
  <c r="CR23" i="14" s="1"/>
  <c r="CR41" i="14" s="1"/>
  <c r="CR159" i="2"/>
  <c r="CM11" i="12"/>
  <c r="CR161" i="2" l="1"/>
  <c r="CR165" i="2" s="1"/>
  <c r="CY44" i="12"/>
  <c r="CV46" i="14"/>
  <c r="CV45" i="14"/>
  <c r="CY46" i="14"/>
  <c r="CX46" i="14"/>
  <c r="CW46" i="14"/>
  <c r="CY45" i="14"/>
  <c r="CX45" i="14"/>
  <c r="CW45" i="14"/>
  <c r="CY40" i="14"/>
  <c r="CY38" i="14"/>
  <c r="CZ36" i="14"/>
  <c r="CZ35" i="14"/>
  <c r="CZ33" i="14"/>
  <c r="CZ32" i="14"/>
  <c r="CZ31" i="14"/>
  <c r="CZ29" i="14"/>
  <c r="CZ28" i="14"/>
  <c r="CZ27" i="14"/>
  <c r="CZ26" i="14"/>
  <c r="CZ25" i="14"/>
  <c r="CZ24" i="14"/>
  <c r="CZ46" i="14" s="1"/>
  <c r="CZ21" i="14"/>
  <c r="CZ13" i="14"/>
  <c r="CZ12" i="14"/>
  <c r="CZ11" i="14"/>
  <c r="CZ10" i="14"/>
  <c r="CZ9" i="14"/>
  <c r="CV73" i="13"/>
  <c r="CY73" i="13"/>
  <c r="CY74" i="13" s="1"/>
  <c r="CX73" i="13"/>
  <c r="CX74" i="13" s="1"/>
  <c r="CW73" i="13"/>
  <c r="CW74" i="13" s="1"/>
  <c r="CX44" i="12"/>
  <c r="CW44" i="12"/>
  <c r="CZ25" i="12"/>
  <c r="CZ18" i="12"/>
  <c r="CZ14" i="12"/>
  <c r="CZ12" i="12"/>
  <c r="CZ11" i="12"/>
  <c r="CV165" i="2"/>
  <c r="CV76" i="2"/>
  <c r="CV75" i="2"/>
  <c r="CV73" i="2"/>
  <c r="CV68" i="2"/>
  <c r="CV67" i="2"/>
  <c r="CV66" i="2"/>
  <c r="CV65" i="2"/>
  <c r="CV74" i="2"/>
  <c r="CZ175" i="2"/>
  <c r="CZ174" i="2"/>
  <c r="CZ163" i="2"/>
  <c r="CW165" i="2"/>
  <c r="CZ142" i="2"/>
  <c r="DC212" i="2"/>
  <c r="CZ76" i="2"/>
  <c r="CY76" i="2"/>
  <c r="CX76" i="2"/>
  <c r="CW76" i="2"/>
  <c r="CY75" i="2"/>
  <c r="CX75" i="2"/>
  <c r="CW75" i="2"/>
  <c r="CY74" i="2"/>
  <c r="CX74" i="2"/>
  <c r="CW74" i="2"/>
  <c r="CZ73" i="2"/>
  <c r="CY73" i="2"/>
  <c r="CX73" i="2"/>
  <c r="CW73" i="2"/>
  <c r="CZ68" i="2"/>
  <c r="CY68" i="2"/>
  <c r="CX68" i="2"/>
  <c r="CW68" i="2"/>
  <c r="CY67" i="2"/>
  <c r="CX67" i="2"/>
  <c r="CW67" i="2"/>
  <c r="CZ66" i="2"/>
  <c r="CY66" i="2"/>
  <c r="CX66" i="2"/>
  <c r="CW66" i="2"/>
  <c r="CZ65" i="2"/>
  <c r="CY65" i="2"/>
  <c r="CX65" i="2"/>
  <c r="CW65" i="2"/>
  <c r="CZ75" i="2"/>
  <c r="CZ24" i="2"/>
  <c r="CZ74" i="2" l="1"/>
  <c r="CW77" i="2"/>
  <c r="CV77" i="2"/>
  <c r="CX77" i="2"/>
  <c r="CY77" i="2"/>
  <c r="CX85" i="2"/>
  <c r="CY82" i="2"/>
  <c r="CY83" i="2"/>
  <c r="CY85" i="2"/>
  <c r="CY84" i="2"/>
  <c r="CX82" i="2"/>
  <c r="CX83" i="2"/>
  <c r="CX84" i="2"/>
  <c r="DA221" i="2"/>
  <c r="DD212" i="2"/>
  <c r="CW85" i="2"/>
  <c r="CW82" i="2"/>
  <c r="CW83" i="2"/>
  <c r="CW84" i="2"/>
  <c r="CZ40" i="14"/>
  <c r="CZ38" i="14"/>
  <c r="CY47" i="14"/>
  <c r="CW221" i="2"/>
  <c r="CX78" i="2"/>
  <c r="CV47" i="14"/>
  <c r="CZ38" i="12"/>
  <c r="CY221" i="2"/>
  <c r="CZ138" i="2"/>
  <c r="CX221" i="2"/>
  <c r="CX47" i="14"/>
  <c r="CW47" i="14"/>
  <c r="CV26" i="12"/>
  <c r="CZ8" i="14"/>
  <c r="CV44" i="12"/>
  <c r="CZ141" i="2"/>
  <c r="CZ30" i="14"/>
  <c r="CV74" i="13"/>
  <c r="CZ140" i="2"/>
  <c r="CZ139" i="2"/>
  <c r="CX70" i="2"/>
  <c r="CW70" i="2"/>
  <c r="CY78" i="2"/>
  <c r="CW78" i="2"/>
  <c r="CZ78" i="2"/>
  <c r="CV70" i="2"/>
  <c r="CV78" i="2"/>
  <c r="CZ67" i="2"/>
  <c r="CZ70" i="2" s="1"/>
  <c r="CZ61" i="2"/>
  <c r="CY70" i="2"/>
  <c r="CZ143" i="2"/>
  <c r="CQ12" i="1"/>
  <c r="CQ9" i="1"/>
  <c r="DE212" i="2" l="1"/>
  <c r="CZ26" i="12"/>
  <c r="CZ44" i="12"/>
  <c r="CZ35" i="12" l="1"/>
  <c r="CQ40" i="14" l="1"/>
  <c r="CQ38" i="14"/>
  <c r="CQ35" i="14"/>
  <c r="CQ34" i="14"/>
  <c r="CQ33" i="14"/>
  <c r="CQ32" i="14"/>
  <c r="CQ31" i="14"/>
  <c r="CQ28" i="14"/>
  <c r="CQ27" i="14"/>
  <c r="CQ26" i="14"/>
  <c r="CQ25" i="14"/>
  <c r="CQ24" i="14"/>
  <c r="CQ22" i="14"/>
  <c r="CQ21" i="14"/>
  <c r="CQ20" i="14"/>
  <c r="CQ19" i="14"/>
  <c r="CQ18" i="14"/>
  <c r="CQ17" i="14"/>
  <c r="CQ16" i="14"/>
  <c r="CQ15" i="14"/>
  <c r="CQ13" i="14"/>
  <c r="CQ12" i="14"/>
  <c r="CQ11" i="14"/>
  <c r="CQ10" i="14"/>
  <c r="CQ7" i="14"/>
  <c r="CQ43" i="13"/>
  <c r="CQ41" i="13"/>
  <c r="CQ40" i="13"/>
  <c r="CQ39" i="13"/>
  <c r="CQ38" i="13"/>
  <c r="CQ37" i="13"/>
  <c r="CQ36" i="13"/>
  <c r="CQ34" i="13"/>
  <c r="CQ33" i="13"/>
  <c r="CQ32" i="13"/>
  <c r="CQ31" i="13"/>
  <c r="CQ29" i="13"/>
  <c r="CQ28" i="13"/>
  <c r="CQ27" i="13"/>
  <c r="CQ26" i="13"/>
  <c r="CQ25" i="13"/>
  <c r="CQ24" i="13"/>
  <c r="CQ23" i="13"/>
  <c r="CQ19" i="13"/>
  <c r="CQ18" i="13"/>
  <c r="CQ17" i="13"/>
  <c r="CQ16" i="13"/>
  <c r="CQ15" i="13"/>
  <c r="CQ14" i="13"/>
  <c r="CQ13" i="13"/>
  <c r="CQ11" i="13"/>
  <c r="CQ10" i="13"/>
  <c r="CQ9" i="13"/>
  <c r="CQ8" i="13"/>
  <c r="CQ7" i="13"/>
  <c r="CQ121" i="1"/>
  <c r="CU121" i="1" s="1"/>
  <c r="CQ114" i="1"/>
  <c r="CU114" i="1" s="1"/>
  <c r="CQ108" i="1"/>
  <c r="CU108" i="1" s="1"/>
  <c r="CQ122" i="1" l="1"/>
  <c r="CU122" i="1" s="1"/>
  <c r="CQ115" i="1"/>
  <c r="CU115" i="1" s="1"/>
  <c r="CQ29" i="14"/>
  <c r="CQ30" i="14" s="1"/>
  <c r="CQ36" i="14"/>
  <c r="CQ37" i="14" s="1"/>
  <c r="DA37" i="14"/>
  <c r="CQ42" i="13"/>
  <c r="CQ12" i="13"/>
  <c r="CQ20" i="13" s="1"/>
  <c r="CQ53" i="13"/>
  <c r="CQ30" i="13"/>
  <c r="CQ35" i="13" s="1"/>
  <c r="CQ14" i="14"/>
  <c r="CQ126" i="1" l="1"/>
  <c r="CU126" i="1" s="1"/>
  <c r="CQ44" i="13"/>
  <c r="DB37" i="14"/>
  <c r="DB41" i="14" s="1"/>
  <c r="CQ83" i="1"/>
  <c r="CQ71" i="1"/>
  <c r="CQ76" i="1" s="1"/>
  <c r="CQ54" i="1"/>
  <c r="CQ62" i="1" s="1"/>
  <c r="CQ33" i="12"/>
  <c r="CQ32" i="12"/>
  <c r="CQ27" i="12"/>
  <c r="CQ18" i="12"/>
  <c r="CQ17" i="12"/>
  <c r="CQ15" i="12"/>
  <c r="CQ14" i="12"/>
  <c r="CQ12" i="12"/>
  <c r="CQ11" i="12"/>
  <c r="CQ10" i="12"/>
  <c r="CQ9" i="12"/>
  <c r="CQ7" i="12"/>
  <c r="CQ6" i="12"/>
  <c r="CQ228" i="2"/>
  <c r="CQ227" i="2"/>
  <c r="CQ142" i="2"/>
  <c r="CQ164" i="2" s="1"/>
  <c r="CQ141" i="2"/>
  <c r="CQ140" i="2"/>
  <c r="CQ139" i="2"/>
  <c r="CQ138" i="2"/>
  <c r="CQ135" i="2"/>
  <c r="CQ134" i="2"/>
  <c r="CQ133" i="2"/>
  <c r="CQ132" i="2"/>
  <c r="CQ61" i="2"/>
  <c r="CQ48" i="2"/>
  <c r="CQ41" i="2"/>
  <c r="CQ26" i="2"/>
  <c r="CQ14" i="2"/>
  <c r="CU174" i="1"/>
  <c r="CU139" i="1"/>
  <c r="CQ17" i="1"/>
  <c r="CQ20" i="1" s="1"/>
  <c r="CQ24" i="1" s="1"/>
  <c r="CQ26" i="1" s="1"/>
  <c r="CQ137" i="2" l="1"/>
  <c r="DE35" i="12"/>
  <c r="CQ85" i="1"/>
  <c r="DC37" i="14"/>
  <c r="DC41" i="14" s="1"/>
  <c r="CV85" i="2"/>
  <c r="CV83" i="2"/>
  <c r="CQ156" i="2"/>
  <c r="CQ162" i="2"/>
  <c r="CV84" i="2"/>
  <c r="CQ157" i="2"/>
  <c r="CQ158" i="2"/>
  <c r="CV82" i="2"/>
  <c r="CQ159" i="2"/>
  <c r="CQ9" i="14"/>
  <c r="CQ8" i="14" s="1"/>
  <c r="CQ23" i="14" s="1"/>
  <c r="CQ191" i="2"/>
  <c r="CQ163" i="2"/>
  <c r="CV212" i="2"/>
  <c r="CR235" i="2"/>
  <c r="CQ190" i="2"/>
  <c r="CQ192" i="2"/>
  <c r="CR236" i="2"/>
  <c r="CQ189" i="2"/>
  <c r="CQ36" i="1"/>
  <c r="CQ32" i="1"/>
  <c r="CQ51" i="12"/>
  <c r="CQ50" i="12"/>
  <c r="CQ8" i="12"/>
  <c r="CQ13" i="12" s="1"/>
  <c r="CQ16" i="12" s="1"/>
  <c r="CQ19" i="12" s="1"/>
  <c r="CQ21" i="12" s="1"/>
  <c r="CQ69" i="13"/>
  <c r="CQ72" i="13"/>
  <c r="CQ71" i="13"/>
  <c r="CQ70" i="13"/>
  <c r="DD41" i="14" l="1"/>
  <c r="DE34" i="14"/>
  <c r="CV101" i="2"/>
  <c r="CV100" i="2"/>
  <c r="CV103" i="2"/>
  <c r="CV111" i="2"/>
  <c r="CV102" i="2"/>
  <c r="CV110" i="2"/>
  <c r="CV51" i="14"/>
  <c r="CQ22" i="12"/>
  <c r="CQ54" i="12"/>
  <c r="CV237" i="2" l="1"/>
  <c r="CV244" i="2" s="1"/>
  <c r="DA105" i="2"/>
  <c r="DA87" i="2"/>
  <c r="DE37" i="14"/>
  <c r="CV200" i="2"/>
  <c r="CV59" i="12"/>
  <c r="CV199" i="2"/>
  <c r="CV201" i="2"/>
  <c r="CV198" i="2"/>
  <c r="CV181" i="2"/>
  <c r="CW51" i="14"/>
  <c r="F64" i="47"/>
  <c r="G64" i="47" s="1"/>
  <c r="H64" i="47" s="1"/>
  <c r="I64" i="47" s="1"/>
  <c r="J64" i="47" s="1"/>
  <c r="K64" i="47" s="1"/>
  <c r="DA203" i="2" l="1"/>
  <c r="CV182" i="2"/>
  <c r="CV186" i="2" s="1"/>
  <c r="CV183" i="2"/>
  <c r="CV150" i="2"/>
  <c r="CV210" i="2"/>
  <c r="CV148" i="2"/>
  <c r="CV208" i="2"/>
  <c r="CV209" i="2"/>
  <c r="CV149" i="2"/>
  <c r="CV207" i="2"/>
  <c r="CV147" i="2"/>
  <c r="CV184" i="2"/>
  <c r="CV178" i="2"/>
  <c r="DA204" i="2" s="1"/>
  <c r="CV194" i="2"/>
  <c r="CX51" i="14"/>
  <c r="CU25" i="13"/>
  <c r="DK36" i="12" l="1"/>
  <c r="DO35" i="12"/>
  <c r="DJ35" i="12"/>
  <c r="DU35" i="12" s="1"/>
  <c r="DV35" i="12" s="1"/>
  <c r="DJ34" i="14"/>
  <c r="CV195" i="2"/>
  <c r="CV43" i="12"/>
  <c r="CV144" i="2"/>
  <c r="DA213" i="2" s="1"/>
  <c r="CZ34" i="14"/>
  <c r="CY51" i="14"/>
  <c r="CZ33" i="12"/>
  <c r="CP66" i="14"/>
  <c r="DV34" i="14" l="1"/>
  <c r="DJ37" i="14"/>
  <c r="CV45" i="12"/>
  <c r="DA61" i="12"/>
  <c r="CV153" i="2"/>
  <c r="CZ37" i="14"/>
  <c r="CY41" i="14"/>
  <c r="CZ39" i="12"/>
  <c r="CL125" i="1"/>
  <c r="CL120" i="1"/>
  <c r="CL35" i="14" s="1"/>
  <c r="CL119" i="1"/>
  <c r="CL34" i="14" s="1"/>
  <c r="CL118" i="1"/>
  <c r="CL33" i="14" s="1"/>
  <c r="CL117" i="1"/>
  <c r="CL32" i="14" s="1"/>
  <c r="CL113" i="1"/>
  <c r="CL28" i="14" s="1"/>
  <c r="CL112" i="1"/>
  <c r="CL27" i="14" s="1"/>
  <c r="CL111" i="1"/>
  <c r="CL26" i="14" s="1"/>
  <c r="CL110" i="1"/>
  <c r="CL25" i="14" s="1"/>
  <c r="CL109" i="1"/>
  <c r="CL107" i="1"/>
  <c r="CL22" i="14" s="1"/>
  <c r="CL106" i="1"/>
  <c r="CL21" i="14" s="1"/>
  <c r="CL105" i="1"/>
  <c r="CL20" i="14" s="1"/>
  <c r="CL104" i="1"/>
  <c r="CL19" i="14" s="1"/>
  <c r="CL103" i="1"/>
  <c r="CL18" i="14" s="1"/>
  <c r="CL102" i="1"/>
  <c r="CL17" i="14" s="1"/>
  <c r="CL101" i="1"/>
  <c r="CL16" i="14" s="1"/>
  <c r="CL100" i="1"/>
  <c r="CL15" i="14" s="1"/>
  <c r="CL99" i="1"/>
  <c r="CL98" i="1"/>
  <c r="CL97" i="1"/>
  <c r="CL13" i="14" s="1"/>
  <c r="CL96" i="1"/>
  <c r="CL12" i="14" s="1"/>
  <c r="CL95" i="1"/>
  <c r="CL11" i="14" s="1"/>
  <c r="CL94" i="1"/>
  <c r="CL10" i="14" s="1"/>
  <c r="CL93" i="1"/>
  <c r="CL92" i="1"/>
  <c r="CL7" i="14" s="1"/>
  <c r="N49" i="47"/>
  <c r="M49" i="47"/>
  <c r="K49" i="47"/>
  <c r="DV37" i="14" l="1"/>
  <c r="DV41" i="14" s="1"/>
  <c r="DU34" i="14"/>
  <c r="CL108" i="1"/>
  <c r="CL24" i="14"/>
  <c r="CV52" i="12"/>
  <c r="DA60" i="12"/>
  <c r="CL14" i="14"/>
  <c r="DU37" i="14" l="1"/>
  <c r="DU41" i="14" s="1"/>
  <c r="CV49" i="12"/>
  <c r="K9" i="47"/>
  <c r="CZ25" i="13" l="1"/>
  <c r="CM25" i="12"/>
  <c r="CN25" i="12"/>
  <c r="CN27" i="12"/>
  <c r="CL6" i="12"/>
  <c r="CP25" i="1"/>
  <c r="CP21" i="1"/>
  <c r="CP19" i="1"/>
  <c r="CP18" i="1"/>
  <c r="CP33" i="12"/>
  <c r="CP32" i="12"/>
  <c r="CK33" i="12"/>
  <c r="CK32" i="12"/>
  <c r="CL33" i="12"/>
  <c r="CL32" i="12"/>
  <c r="CL18" i="12"/>
  <c r="CL17" i="12"/>
  <c r="CL15" i="12"/>
  <c r="CL14" i="12"/>
  <c r="CL20" i="1"/>
  <c r="CL24" i="1" s="1"/>
  <c r="CL26" i="1" s="1"/>
  <c r="CL36" i="1" l="1"/>
  <c r="CL32" i="1"/>
  <c r="CP209" i="1"/>
  <c r="CP228" i="2" s="1"/>
  <c r="CQ236" i="2" s="1"/>
  <c r="CP208" i="1"/>
  <c r="CP227" i="2" s="1"/>
  <c r="CQ235" i="2" s="1"/>
  <c r="CP172" i="1"/>
  <c r="CP167" i="1"/>
  <c r="CP166" i="1"/>
  <c r="CP164" i="1"/>
  <c r="CP136" i="1"/>
  <c r="CP135" i="1"/>
  <c r="CK127" i="1"/>
  <c r="CK124" i="1"/>
  <c r="CK121" i="1"/>
  <c r="CK116" i="1"/>
  <c r="CK110" i="1"/>
  <c r="CK115" i="1" s="1"/>
  <c r="CK107" i="1"/>
  <c r="CK108" i="1" s="1"/>
  <c r="CK128" i="1"/>
  <c r="CP127" i="1" s="1"/>
  <c r="CP124" i="1"/>
  <c r="CL124" i="1" s="1"/>
  <c r="CL40" i="14" s="1"/>
  <c r="CP121" i="1"/>
  <c r="CP116" i="1"/>
  <c r="CP114" i="1"/>
  <c r="CP115" i="1" s="1"/>
  <c r="CP108" i="1"/>
  <c r="CJ28" i="13"/>
  <c r="CK28" i="13" s="1"/>
  <c r="CP84" i="1"/>
  <c r="CP82" i="1"/>
  <c r="CP81" i="1"/>
  <c r="CP80" i="1"/>
  <c r="CP79" i="1"/>
  <c r="CP78" i="1"/>
  <c r="CP77" i="1"/>
  <c r="CP75" i="1"/>
  <c r="CP74" i="1"/>
  <c r="CP73" i="1"/>
  <c r="CP72" i="1"/>
  <c r="CP70" i="1"/>
  <c r="CP69" i="1"/>
  <c r="CP68" i="1"/>
  <c r="CP66" i="1"/>
  <c r="CP65" i="1"/>
  <c r="CP64" i="1"/>
  <c r="CP61" i="1"/>
  <c r="CP60" i="1"/>
  <c r="CP59" i="1"/>
  <c r="CP58" i="1"/>
  <c r="CP57" i="1"/>
  <c r="CP56" i="1"/>
  <c r="CP55" i="1"/>
  <c r="CP52" i="1"/>
  <c r="CP51" i="1"/>
  <c r="CP50" i="1"/>
  <c r="CP49" i="1"/>
  <c r="CK84" i="1"/>
  <c r="CK82" i="1"/>
  <c r="CK81" i="1"/>
  <c r="CK80" i="1"/>
  <c r="CK79" i="1"/>
  <c r="CK78" i="1"/>
  <c r="CK77" i="1"/>
  <c r="CK75" i="1"/>
  <c r="CK74" i="1"/>
  <c r="CK73" i="1"/>
  <c r="CK72" i="1"/>
  <c r="CK70" i="1"/>
  <c r="CK69" i="1"/>
  <c r="CK68" i="1"/>
  <c r="CK67" i="1"/>
  <c r="CK66" i="1"/>
  <c r="CK65" i="1"/>
  <c r="CK64" i="1"/>
  <c r="CJ25" i="13"/>
  <c r="CO25" i="13"/>
  <c r="CP25" i="13" s="1"/>
  <c r="CO67" i="1"/>
  <c r="CP67" i="1" s="1"/>
  <c r="CK50" i="1"/>
  <c r="CK51" i="1"/>
  <c r="CK52" i="1"/>
  <c r="CK55" i="1"/>
  <c r="CK56" i="1"/>
  <c r="CK57" i="1"/>
  <c r="CK58" i="1"/>
  <c r="CK59" i="1"/>
  <c r="CK60" i="1"/>
  <c r="CK61" i="1"/>
  <c r="CK49" i="1"/>
  <c r="CJ53" i="1"/>
  <c r="CK53" i="1" s="1"/>
  <c r="CP122" i="1" l="1"/>
  <c r="CP126" i="1" s="1"/>
  <c r="CP128" i="1" s="1"/>
  <c r="CK122" i="1"/>
  <c r="CK126" i="1" s="1"/>
  <c r="CK25" i="13"/>
  <c r="CO7" i="13"/>
  <c r="CO8" i="13"/>
  <c r="CO9" i="13"/>
  <c r="CO10" i="13"/>
  <c r="CO13" i="13"/>
  <c r="CO14" i="13"/>
  <c r="CO15" i="13"/>
  <c r="CO16" i="13"/>
  <c r="CO17" i="13"/>
  <c r="CO18" i="13"/>
  <c r="CO19" i="13"/>
  <c r="CO23" i="13"/>
  <c r="CO24" i="13"/>
  <c r="CO26" i="13"/>
  <c r="CO27" i="13"/>
  <c r="CO28" i="13"/>
  <c r="CO29" i="13"/>
  <c r="CO31" i="13"/>
  <c r="CO32" i="13"/>
  <c r="CO33" i="13"/>
  <c r="CO34" i="13"/>
  <c r="CO36" i="13"/>
  <c r="CO37" i="13"/>
  <c r="CO38" i="13"/>
  <c r="CO39" i="13"/>
  <c r="CO40" i="13"/>
  <c r="CO41" i="13"/>
  <c r="CO43" i="13"/>
  <c r="CO83" i="1"/>
  <c r="CP83" i="1" s="1"/>
  <c r="CO71" i="1"/>
  <c r="CO53" i="1"/>
  <c r="CP53" i="1" s="1"/>
  <c r="CO76" i="1" l="1"/>
  <c r="CP71" i="1"/>
  <c r="CO11" i="13"/>
  <c r="CO12" i="13" s="1"/>
  <c r="CO20" i="13" s="1"/>
  <c r="CO54" i="1"/>
  <c r="CU127" i="1"/>
  <c r="CU128" i="1" s="1"/>
  <c r="CQ127" i="1"/>
  <c r="CQ128" i="1" s="1"/>
  <c r="CR127" i="1" s="1"/>
  <c r="CR128" i="1" s="1"/>
  <c r="CS127" i="1" s="1"/>
  <c r="CS128" i="1" s="1"/>
  <c r="CT127" i="1" s="1"/>
  <c r="CT128" i="1" s="1"/>
  <c r="CO42" i="13"/>
  <c r="CO30" i="13"/>
  <c r="CO35" i="13" s="1"/>
  <c r="CO7" i="14"/>
  <c r="CO10" i="14"/>
  <c r="CO11" i="14"/>
  <c r="CO12" i="14"/>
  <c r="CO13" i="14"/>
  <c r="CO15" i="14"/>
  <c r="CO16" i="14"/>
  <c r="CO17" i="14"/>
  <c r="CO18" i="14"/>
  <c r="CO19" i="14"/>
  <c r="CO20" i="14"/>
  <c r="CO21" i="14"/>
  <c r="CO22" i="14"/>
  <c r="CO24" i="14"/>
  <c r="CO25" i="14"/>
  <c r="CO26" i="14"/>
  <c r="CO27" i="14"/>
  <c r="CO28" i="14"/>
  <c r="CO32" i="14"/>
  <c r="CO33" i="14"/>
  <c r="CO34" i="14"/>
  <c r="CO35" i="14"/>
  <c r="CO38" i="14"/>
  <c r="CO40" i="14"/>
  <c r="CO121" i="1"/>
  <c r="CO36" i="14" s="1"/>
  <c r="CO116" i="1"/>
  <c r="CO31" i="14" s="1"/>
  <c r="CO114" i="1"/>
  <c r="CO29" i="14" s="1"/>
  <c r="CO108" i="1"/>
  <c r="CO115" i="1" l="1"/>
  <c r="CV127" i="1"/>
  <c r="CV128" i="1" s="1"/>
  <c r="CW127" i="1" s="1"/>
  <c r="CW128" i="1" s="1"/>
  <c r="CX127" i="1" s="1"/>
  <c r="CX128" i="1" s="1"/>
  <c r="CY127" i="1" s="1"/>
  <c r="CY128" i="1" s="1"/>
  <c r="CZ127" i="1"/>
  <c r="CZ128" i="1" s="1"/>
  <c r="CO122" i="1"/>
  <c r="CP54" i="1"/>
  <c r="CO62" i="1"/>
  <c r="CP62" i="1" s="1"/>
  <c r="CO85" i="1"/>
  <c r="CP85" i="1" s="1"/>
  <c r="CP76" i="1"/>
  <c r="CO44" i="13"/>
  <c r="DE25" i="13"/>
  <c r="CO14" i="14"/>
  <c r="CO30" i="14"/>
  <c r="CO37" i="14"/>
  <c r="CO227" i="2"/>
  <c r="CO228" i="2"/>
  <c r="CO32" i="12"/>
  <c r="CO33" i="12"/>
  <c r="CO27" i="12"/>
  <c r="CO6" i="12"/>
  <c r="CO7" i="12"/>
  <c r="CO9" i="12"/>
  <c r="CO10" i="12"/>
  <c r="CO11" i="12"/>
  <c r="CO12" i="12"/>
  <c r="CO14" i="12"/>
  <c r="CO15" i="12"/>
  <c r="CO17" i="12"/>
  <c r="CO18" i="12"/>
  <c r="CO176" i="2"/>
  <c r="CO142" i="2"/>
  <c r="CO164" i="2" s="1"/>
  <c r="CO138" i="2"/>
  <c r="CO162" i="2" s="1"/>
  <c r="CO139" i="2"/>
  <c r="CO163" i="2" s="1"/>
  <c r="CO140" i="2"/>
  <c r="CO141" i="2"/>
  <c r="CO9" i="14" s="1"/>
  <c r="CO8" i="14" s="1"/>
  <c r="CO135" i="2"/>
  <c r="CO159" i="2" s="1"/>
  <c r="CO134" i="2"/>
  <c r="CO158" i="2" s="1"/>
  <c r="CO133" i="2"/>
  <c r="CO157" i="2" s="1"/>
  <c r="CO132" i="2"/>
  <c r="CO61" i="2"/>
  <c r="CO48" i="2"/>
  <c r="CO41" i="2"/>
  <c r="CO191" i="2" s="1"/>
  <c r="CO14" i="2"/>
  <c r="CO189" i="2" s="1"/>
  <c r="CO23" i="1"/>
  <c r="CO17" i="1"/>
  <c r="CO126" i="1" l="1"/>
  <c r="DA127" i="1"/>
  <c r="DA128" i="1" s="1"/>
  <c r="DB127" i="1" s="1"/>
  <c r="DB128" i="1" s="1"/>
  <c r="DC127" i="1" s="1"/>
  <c r="DC128" i="1" s="1"/>
  <c r="DD127" i="1" s="1"/>
  <c r="DD128" i="1" s="1"/>
  <c r="DE127" i="1"/>
  <c r="DE128" i="1" s="1"/>
  <c r="CO156" i="2"/>
  <c r="CO137" i="2"/>
  <c r="CO23" i="14"/>
  <c r="CO51" i="12"/>
  <c r="CO50" i="12"/>
  <c r="CO20" i="1"/>
  <c r="CO192" i="2"/>
  <c r="CO8" i="12"/>
  <c r="CO13" i="12" s="1"/>
  <c r="CO16" i="12" s="1"/>
  <c r="CO69" i="13"/>
  <c r="CO26" i="12"/>
  <c r="CO71" i="13"/>
  <c r="CO72" i="13"/>
  <c r="CO70" i="13"/>
  <c r="DF127" i="1" l="1"/>
  <c r="DF128" i="1" s="1"/>
  <c r="DG127" i="1" s="1"/>
  <c r="DG128" i="1" s="1"/>
  <c r="DH127" i="1" s="1"/>
  <c r="DH128" i="1" s="1"/>
  <c r="DI127" i="1" s="1"/>
  <c r="DI128" i="1" s="1"/>
  <c r="DJ127" i="1"/>
  <c r="DJ128" i="1" s="1"/>
  <c r="DK127" i="1" s="1"/>
  <c r="DK128" i="1" s="1"/>
  <c r="DL127" i="1" s="1"/>
  <c r="DL128" i="1" s="1"/>
  <c r="DM127" i="1" s="1"/>
  <c r="DM128" i="1" s="1"/>
  <c r="CO24" i="1"/>
  <c r="CO19" i="12"/>
  <c r="CO54" i="12"/>
  <c r="CO26" i="1" l="1"/>
  <c r="DJ25" i="13" l="1"/>
  <c r="CO36" i="1"/>
  <c r="CO32" i="1"/>
  <c r="P64" i="47"/>
  <c r="P82" i="47" s="1"/>
  <c r="P103" i="47" s="1"/>
  <c r="O64" i="47"/>
  <c r="O82" i="47" s="1"/>
  <c r="O103" i="47" s="1"/>
  <c r="CU338" i="1" l="1"/>
  <c r="CP338" i="1"/>
  <c r="CK338" i="1"/>
  <c r="CU367" i="1"/>
  <c r="CU220" i="1"/>
  <c r="CP220" i="1"/>
  <c r="CK220" i="1"/>
  <c r="CU343" i="1"/>
  <c r="CU344" i="1" s="1"/>
  <c r="CU341" i="1"/>
  <c r="CU342" i="1" s="1"/>
  <c r="CP343" i="1"/>
  <c r="CP344" i="1" s="1"/>
  <c r="CP341" i="1"/>
  <c r="CP342" i="1" s="1"/>
  <c r="CN12" i="1" l="1"/>
  <c r="CN9" i="1"/>
  <c r="CP9" i="1" s="1"/>
  <c r="DN25" i="13" l="1"/>
  <c r="DO25" i="13" s="1"/>
  <c r="DP25" i="13" s="1"/>
  <c r="DQ25" i="13" s="1"/>
  <c r="DR25" i="13" s="1"/>
  <c r="CN48" i="2"/>
  <c r="DS25" i="13" l="1"/>
  <c r="DT25" i="13" s="1"/>
  <c r="DU25" i="13" s="1"/>
  <c r="DV25" i="13" l="1"/>
  <c r="CN7" i="13" l="1"/>
  <c r="CN8" i="13"/>
  <c r="CN9" i="13"/>
  <c r="CN10" i="13"/>
  <c r="CN13" i="13"/>
  <c r="CN14" i="13"/>
  <c r="CN15" i="13"/>
  <c r="CN16" i="13"/>
  <c r="CN17" i="13"/>
  <c r="CN18" i="13"/>
  <c r="CN19" i="13"/>
  <c r="CN23" i="13"/>
  <c r="CN24" i="13"/>
  <c r="CN26" i="13"/>
  <c r="CN27" i="13"/>
  <c r="CN28" i="13"/>
  <c r="CN29" i="13"/>
  <c r="CN31" i="13"/>
  <c r="CN32" i="13"/>
  <c r="CN33" i="13"/>
  <c r="CN34" i="13"/>
  <c r="CN36" i="13"/>
  <c r="CN37" i="13"/>
  <c r="CN38" i="13"/>
  <c r="CN39" i="13"/>
  <c r="CN40" i="13"/>
  <c r="CN41" i="13"/>
  <c r="CN43" i="13"/>
  <c r="CN83" i="1"/>
  <c r="CN71" i="1"/>
  <c r="CN76" i="1" s="1"/>
  <c r="CN53" i="1"/>
  <c r="CN11" i="13" s="1"/>
  <c r="CN7" i="14"/>
  <c r="CN10" i="14"/>
  <c r="CN11" i="14"/>
  <c r="CN12" i="14"/>
  <c r="CN13" i="14"/>
  <c r="CN15" i="14"/>
  <c r="CN16" i="14"/>
  <c r="CN17" i="14"/>
  <c r="CN18" i="14"/>
  <c r="CN19" i="14"/>
  <c r="CN20" i="14"/>
  <c r="CN21" i="14"/>
  <c r="CN22" i="14"/>
  <c r="CN24" i="14"/>
  <c r="CN25" i="14"/>
  <c r="CN26" i="14"/>
  <c r="CN27" i="14"/>
  <c r="CN28" i="14"/>
  <c r="CN29" i="14"/>
  <c r="CN32" i="14"/>
  <c r="CN33" i="14"/>
  <c r="CN34" i="14"/>
  <c r="CN35" i="14"/>
  <c r="CN40" i="14"/>
  <c r="CN123" i="1"/>
  <c r="CL123" i="1" s="1"/>
  <c r="CL38" i="14" s="1"/>
  <c r="CN121" i="1"/>
  <c r="CN36" i="14" s="1"/>
  <c r="CN116" i="1"/>
  <c r="CN31" i="14" s="1"/>
  <c r="CN115" i="1"/>
  <c r="CN108" i="1"/>
  <c r="CN228" i="2"/>
  <c r="CN227" i="2"/>
  <c r="CO235" i="2" s="1"/>
  <c r="CN32" i="12"/>
  <c r="CN33" i="12"/>
  <c r="CN24" i="12"/>
  <c r="CN6" i="12"/>
  <c r="CN7" i="12"/>
  <c r="CN70" i="13" s="1"/>
  <c r="CN9" i="12"/>
  <c r="CN10" i="12"/>
  <c r="CN11" i="12"/>
  <c r="CN12" i="12"/>
  <c r="CN14" i="12"/>
  <c r="CN15" i="12"/>
  <c r="CN17" i="12"/>
  <c r="CN18" i="12"/>
  <c r="CN192" i="2"/>
  <c r="CN176" i="2"/>
  <c r="CN132" i="2"/>
  <c r="CN133" i="2"/>
  <c r="CN134" i="2"/>
  <c r="CN135" i="2"/>
  <c r="CN138" i="2"/>
  <c r="CN139" i="2"/>
  <c r="CN140" i="2"/>
  <c r="CN141" i="2"/>
  <c r="CN142" i="2"/>
  <c r="CN164" i="2" s="1"/>
  <c r="CN61" i="2"/>
  <c r="CN41" i="2"/>
  <c r="CN26" i="2"/>
  <c r="CN14" i="2"/>
  <c r="CN23" i="1"/>
  <c r="CP23" i="1" s="1"/>
  <c r="CN17" i="1"/>
  <c r="CN137" i="2" l="1"/>
  <c r="CN144" i="2" s="1"/>
  <c r="CN122" i="1"/>
  <c r="CN126" i="1" s="1"/>
  <c r="CN85" i="1"/>
  <c r="CN54" i="1"/>
  <c r="CN62" i="1" s="1"/>
  <c r="CN38" i="14"/>
  <c r="CN158" i="2"/>
  <c r="CN157" i="2"/>
  <c r="CN191" i="2"/>
  <c r="CN156" i="2"/>
  <c r="CN190" i="2"/>
  <c r="CN26" i="12"/>
  <c r="CN159" i="2"/>
  <c r="CO236" i="2"/>
  <c r="CN20" i="1"/>
  <c r="CN24" i="1" s="1"/>
  <c r="CN26" i="1" s="1"/>
  <c r="CN36" i="1" s="1"/>
  <c r="CP17" i="1"/>
  <c r="CN162" i="2"/>
  <c r="CN163" i="2"/>
  <c r="CN30" i="14"/>
  <c r="CN14" i="14"/>
  <c r="CN37" i="14"/>
  <c r="CN42" i="13"/>
  <c r="CN12" i="13"/>
  <c r="CN20" i="13" s="1"/>
  <c r="CN189" i="2"/>
  <c r="CN9" i="14"/>
  <c r="CN30" i="13"/>
  <c r="CN35" i="13" s="1"/>
  <c r="CN72" i="13"/>
  <c r="CN71" i="13"/>
  <c r="CN8" i="12"/>
  <c r="CN13" i="12" s="1"/>
  <c r="CN16" i="12" s="1"/>
  <c r="CN19" i="12" s="1"/>
  <c r="CN22" i="12" s="1"/>
  <c r="CN51" i="12"/>
  <c r="CN50" i="12"/>
  <c r="CN69" i="13"/>
  <c r="CN32" i="1" l="1"/>
  <c r="CN8" i="14"/>
  <c r="CN23" i="14" s="1"/>
  <c r="CN41" i="14" s="1"/>
  <c r="CN44" i="13"/>
  <c r="CN54" i="12"/>
  <c r="CQ24" i="2" l="1"/>
  <c r="CU24" i="2" s="1"/>
  <c r="CO24" i="2"/>
  <c r="CP24" i="2" s="1"/>
  <c r="CG42" i="13" l="1"/>
  <c r="CE42" i="13"/>
  <c r="CD42" i="13"/>
  <c r="CD44" i="13" s="1"/>
  <c r="CC42" i="13"/>
  <c r="CB42" i="13"/>
  <c r="CB44" i="13" s="1"/>
  <c r="CF35" i="13"/>
  <c r="CF20" i="13"/>
  <c r="CF42" i="13" l="1"/>
  <c r="CE44" i="13"/>
  <c r="CC44" i="13"/>
  <c r="CF44" i="13"/>
  <c r="CG44" i="13"/>
  <c r="CU36" i="14" l="1"/>
  <c r="CU35" i="14"/>
  <c r="CU33" i="14"/>
  <c r="CU32" i="14"/>
  <c r="CU31" i="14"/>
  <c r="CU29" i="14"/>
  <c r="CU28" i="14"/>
  <c r="CU27" i="14"/>
  <c r="CU26" i="14"/>
  <c r="CU25" i="14"/>
  <c r="CU24" i="14"/>
  <c r="CU21" i="14"/>
  <c r="CU13" i="14"/>
  <c r="CU12" i="14"/>
  <c r="CU11" i="14"/>
  <c r="CU10" i="14"/>
  <c r="CU25" i="12"/>
  <c r="CU18" i="12"/>
  <c r="CU14" i="12"/>
  <c r="CU12" i="12"/>
  <c r="CU11" i="12"/>
  <c r="CU163" i="2"/>
  <c r="CU159" i="2"/>
  <c r="CU158" i="2"/>
  <c r="CU157" i="2"/>
  <c r="CU156" i="2"/>
  <c r="CU142" i="2"/>
  <c r="CU76" i="2"/>
  <c r="CU74" i="2"/>
  <c r="CU73" i="2"/>
  <c r="CU68" i="2"/>
  <c r="CU66" i="2"/>
  <c r="CU65" i="2"/>
  <c r="CU61" i="2"/>
  <c r="CQ26" i="12"/>
  <c r="CT46" i="14"/>
  <c r="CS46" i="14"/>
  <c r="CR46" i="14"/>
  <c r="CQ46" i="14"/>
  <c r="CT45" i="14"/>
  <c r="CS45" i="14"/>
  <c r="CR45" i="14"/>
  <c r="CQ45" i="14"/>
  <c r="CT73" i="13"/>
  <c r="CT74" i="13" s="1"/>
  <c r="CS73" i="13"/>
  <c r="CS74" i="13" s="1"/>
  <c r="CR73" i="13"/>
  <c r="CR74" i="13" s="1"/>
  <c r="CQ73" i="13"/>
  <c r="CQ74" i="13" s="1"/>
  <c r="CT44" i="12"/>
  <c r="CR44" i="12"/>
  <c r="CQ161" i="2"/>
  <c r="CQ165" i="2" s="1"/>
  <c r="CX212" i="2"/>
  <c r="CW212" i="2"/>
  <c r="CT76" i="2"/>
  <c r="CS76" i="2"/>
  <c r="CR76" i="2"/>
  <c r="CQ76" i="2"/>
  <c r="CT74" i="2"/>
  <c r="CS74" i="2"/>
  <c r="CR74" i="2"/>
  <c r="CQ74" i="2"/>
  <c r="CT73" i="2"/>
  <c r="CS73" i="2"/>
  <c r="CR73" i="2"/>
  <c r="CQ73" i="2"/>
  <c r="CT68" i="2"/>
  <c r="CS68" i="2"/>
  <c r="CR68" i="2"/>
  <c r="CQ68" i="2"/>
  <c r="CT67" i="2"/>
  <c r="CS67" i="2"/>
  <c r="CR67" i="2"/>
  <c r="CQ67" i="2"/>
  <c r="CT66" i="2"/>
  <c r="CS66" i="2"/>
  <c r="CR66" i="2"/>
  <c r="CQ66" i="2"/>
  <c r="CT65" i="2"/>
  <c r="CS65" i="2"/>
  <c r="CR65" i="2"/>
  <c r="CQ65" i="2"/>
  <c r="CT75" i="2"/>
  <c r="CS75" i="2"/>
  <c r="CQ40" i="2"/>
  <c r="CQ75" i="2" s="1"/>
  <c r="CS85" i="2" l="1"/>
  <c r="CT82" i="2"/>
  <c r="CT85" i="2"/>
  <c r="CS83" i="2"/>
  <c r="CR47" i="14"/>
  <c r="CS82" i="2"/>
  <c r="CQ47" i="14"/>
  <c r="CT84" i="2"/>
  <c r="CS84" i="2"/>
  <c r="CT70" i="2"/>
  <c r="CS47" i="14"/>
  <c r="CY212" i="2"/>
  <c r="CV221" i="2"/>
  <c r="CR70" i="2"/>
  <c r="CS44" i="12"/>
  <c r="CU138" i="2"/>
  <c r="CT47" i="14"/>
  <c r="CU139" i="2"/>
  <c r="CZ212" i="2" s="1"/>
  <c r="CU140" i="2"/>
  <c r="CS221" i="2"/>
  <c r="CU143" i="2"/>
  <c r="CR221" i="2"/>
  <c r="CU161" i="2"/>
  <c r="CU165" i="2" s="1"/>
  <c r="CT221" i="2"/>
  <c r="CU24" i="12"/>
  <c r="CU40" i="2"/>
  <c r="CU75" i="2" s="1"/>
  <c r="CU78" i="2" s="1"/>
  <c r="CU38" i="12"/>
  <c r="CQ44" i="12"/>
  <c r="CU141" i="2"/>
  <c r="CU9" i="14"/>
  <c r="CU8" i="14"/>
  <c r="CU38" i="14"/>
  <c r="CU30" i="14"/>
  <c r="CU46" i="14"/>
  <c r="CU40" i="14"/>
  <c r="CS70" i="2"/>
  <c r="CU67" i="2"/>
  <c r="CU70" i="2" s="1"/>
  <c r="CQ78" i="2"/>
  <c r="CS78" i="2"/>
  <c r="CQ70" i="2"/>
  <c r="CT78" i="2"/>
  <c r="CR78" i="2"/>
  <c r="CS35" i="12" l="1"/>
  <c r="CU44" i="12"/>
  <c r="CU26" i="12"/>
  <c r="CT35" i="12" l="1"/>
  <c r="CU35" i="12" s="1"/>
  <c r="CU27" i="12"/>
  <c r="CM12" i="1" l="1"/>
  <c r="CM38" i="14" l="1"/>
  <c r="CM40" i="14"/>
  <c r="CJ23" i="14" l="1"/>
  <c r="CI23" i="14"/>
  <c r="CH23" i="14"/>
  <c r="CG23" i="14"/>
  <c r="CF172" i="1" l="1"/>
  <c r="CK172" i="1"/>
  <c r="CK8" i="14" l="1"/>
  <c r="CF60" i="14"/>
  <c r="CM24" i="12" l="1"/>
  <c r="CM228" i="2"/>
  <c r="CM227" i="2"/>
  <c r="CN235" i="2" s="1"/>
  <c r="CM176" i="2"/>
  <c r="CL176" i="2"/>
  <c r="CI157" i="2"/>
  <c r="CL142" i="2"/>
  <c r="CL164" i="2" s="1"/>
  <c r="CL141" i="2"/>
  <c r="CL9" i="14" s="1"/>
  <c r="CL8" i="14" s="1"/>
  <c r="CL23" i="14" s="1"/>
  <c r="CL140" i="2"/>
  <c r="CL139" i="2"/>
  <c r="CL138" i="2"/>
  <c r="CL135" i="2"/>
  <c r="CL159" i="2" s="1"/>
  <c r="CL134" i="2"/>
  <c r="CL158" i="2" s="1"/>
  <c r="CL133" i="2"/>
  <c r="CL157" i="2" s="1"/>
  <c r="CL132" i="2"/>
  <c r="BB172" i="1"/>
  <c r="BG172" i="1"/>
  <c r="BL172" i="1"/>
  <c r="BQ172" i="1"/>
  <c r="BV172" i="1"/>
  <c r="CA172" i="1"/>
  <c r="CK170" i="1"/>
  <c r="CK136" i="1"/>
  <c r="CK135" i="1"/>
  <c r="CL137" i="2" l="1"/>
  <c r="CL144" i="2" s="1"/>
  <c r="CN236" i="2"/>
  <c r="CL162" i="2"/>
  <c r="CL163" i="2"/>
  <c r="CQ212" i="2"/>
  <c r="CL26" i="12"/>
  <c r="CL156" i="2"/>
  <c r="CL41" i="2"/>
  <c r="CL48" i="2"/>
  <c r="CL61" i="2"/>
  <c r="CL26" i="2"/>
  <c r="CL14" i="2"/>
  <c r="CM33" i="12"/>
  <c r="CM32" i="12"/>
  <c r="CM18" i="12"/>
  <c r="CM17" i="12"/>
  <c r="CM15" i="12"/>
  <c r="CM14" i="12"/>
  <c r="CM12" i="12"/>
  <c r="CP11" i="12"/>
  <c r="CM10" i="12"/>
  <c r="CM9" i="12"/>
  <c r="CM6" i="12"/>
  <c r="CM33" i="14"/>
  <c r="CM34" i="14"/>
  <c r="CM35" i="14"/>
  <c r="CM32" i="14"/>
  <c r="CM127" i="1"/>
  <c r="CM121" i="1"/>
  <c r="CM116" i="1"/>
  <c r="CL116" i="1" s="1"/>
  <c r="CM25" i="14"/>
  <c r="CM26" i="14"/>
  <c r="CM27" i="14"/>
  <c r="CP27" i="14" s="1"/>
  <c r="CM28" i="14"/>
  <c r="CP28" i="14" s="1"/>
  <c r="CM24" i="14"/>
  <c r="CM114" i="1"/>
  <c r="CM16" i="14"/>
  <c r="CM17" i="14"/>
  <c r="CM18" i="14"/>
  <c r="CM19" i="14"/>
  <c r="CM20" i="14"/>
  <c r="CM21" i="14"/>
  <c r="CP21" i="14" s="1"/>
  <c r="CM22" i="14"/>
  <c r="CM15" i="14"/>
  <c r="CM13" i="14"/>
  <c r="CP13" i="14" s="1"/>
  <c r="CM12" i="14"/>
  <c r="CP12" i="14" s="1"/>
  <c r="CM11" i="14"/>
  <c r="CM10" i="14"/>
  <c r="CM7" i="14"/>
  <c r="CM108" i="1"/>
  <c r="CL31" i="14" l="1"/>
  <c r="CM31" i="14"/>
  <c r="CM122" i="1"/>
  <c r="CL121" i="1"/>
  <c r="CL36" i="14" s="1"/>
  <c r="CM115" i="1"/>
  <c r="CL114" i="1"/>
  <c r="CM36" i="14"/>
  <c r="CQ83" i="2"/>
  <c r="CQ84" i="2"/>
  <c r="CQ82" i="2"/>
  <c r="CQ85" i="2"/>
  <c r="CQ100" i="2"/>
  <c r="CL192" i="2"/>
  <c r="CQ101" i="2"/>
  <c r="CL191" i="2"/>
  <c r="CM14" i="14"/>
  <c r="CM50" i="12"/>
  <c r="CM51" i="12"/>
  <c r="CM29" i="14"/>
  <c r="CM43" i="13"/>
  <c r="CM41" i="13"/>
  <c r="CM40" i="13"/>
  <c r="CM39" i="13"/>
  <c r="CM38" i="13"/>
  <c r="CM37" i="13"/>
  <c r="CM36" i="13"/>
  <c r="CM34" i="13"/>
  <c r="CM33" i="13"/>
  <c r="CM32" i="13"/>
  <c r="CM31" i="13"/>
  <c r="CM29" i="13"/>
  <c r="CM28" i="13"/>
  <c r="CP28" i="13" s="1"/>
  <c r="CM24" i="13"/>
  <c r="CM26" i="13"/>
  <c r="CM27" i="13"/>
  <c r="CM23" i="13"/>
  <c r="CM19" i="13"/>
  <c r="CM18" i="13"/>
  <c r="CM17" i="13"/>
  <c r="CM16" i="13"/>
  <c r="CM15" i="13"/>
  <c r="CM14" i="13"/>
  <c r="CM13" i="13"/>
  <c r="CM10" i="13"/>
  <c r="CM9" i="13"/>
  <c r="CM8" i="13"/>
  <c r="CM7" i="13"/>
  <c r="CM83" i="1"/>
  <c r="CM71" i="1"/>
  <c r="CM76" i="1" s="1"/>
  <c r="CM53" i="1"/>
  <c r="CM54" i="1" s="1"/>
  <c r="CM62" i="1" s="1"/>
  <c r="CM141" i="2"/>
  <c r="CM9" i="14" s="1"/>
  <c r="CM140" i="2"/>
  <c r="CM139" i="2"/>
  <c r="CR212" i="2" s="1"/>
  <c r="CM138" i="2"/>
  <c r="CM135" i="2"/>
  <c r="CM159" i="2" s="1"/>
  <c r="CM134" i="2"/>
  <c r="CM158" i="2" s="1"/>
  <c r="CM133" i="2"/>
  <c r="CM132" i="2"/>
  <c r="CM61" i="2"/>
  <c r="CM48" i="2"/>
  <c r="CM41" i="2"/>
  <c r="CM26" i="2"/>
  <c r="CM14" i="2"/>
  <c r="CM20" i="1"/>
  <c r="CM137" i="2" l="1"/>
  <c r="CM126" i="1"/>
  <c r="CM128" i="1" s="1"/>
  <c r="CN127" i="1" s="1"/>
  <c r="CN128" i="1" s="1"/>
  <c r="CO127" i="1" s="1"/>
  <c r="CO128" i="1" s="1"/>
  <c r="CP173" i="1"/>
  <c r="CL29" i="14"/>
  <c r="CL115" i="1"/>
  <c r="CL122" i="1"/>
  <c r="CL37" i="14"/>
  <c r="CR84" i="2"/>
  <c r="CR85" i="2"/>
  <c r="CR82" i="2"/>
  <c r="CR83" i="2"/>
  <c r="CM8" i="14"/>
  <c r="CM44" i="12" s="1"/>
  <c r="CW102" i="2"/>
  <c r="CM24" i="1"/>
  <c r="CP20" i="1"/>
  <c r="CU28" i="13"/>
  <c r="CR62" i="2"/>
  <c r="CR237" i="2" s="1"/>
  <c r="CR244" i="2" s="1"/>
  <c r="CR108" i="2"/>
  <c r="CR116" i="2"/>
  <c r="CR100" i="2"/>
  <c r="CR118" i="2"/>
  <c r="CR102" i="2"/>
  <c r="CR110" i="2"/>
  <c r="CQ199" i="2"/>
  <c r="CQ103" i="2"/>
  <c r="CQ111" i="2"/>
  <c r="CQ62" i="2"/>
  <c r="CV87" i="2" s="1"/>
  <c r="CR117" i="2"/>
  <c r="CR101" i="2"/>
  <c r="CR109" i="2"/>
  <c r="CR103" i="2"/>
  <c r="CR111" i="2"/>
  <c r="CQ110" i="2"/>
  <c r="CQ102" i="2"/>
  <c r="CQ109" i="2"/>
  <c r="CQ198" i="2"/>
  <c r="CQ108" i="2"/>
  <c r="CM85" i="1"/>
  <c r="CM11" i="13"/>
  <c r="CM142" i="2"/>
  <c r="CM26" i="12"/>
  <c r="CM27" i="12"/>
  <c r="CM163" i="2"/>
  <c r="CM162" i="2"/>
  <c r="CM157" i="2"/>
  <c r="CM156" i="2"/>
  <c r="CM192" i="2"/>
  <c r="CM191" i="2"/>
  <c r="CM190" i="2"/>
  <c r="CM189" i="2"/>
  <c r="CM23" i="14" l="1"/>
  <c r="CL30" i="14"/>
  <c r="CL41" i="14" s="1"/>
  <c r="CL126" i="1"/>
  <c r="CW101" i="2"/>
  <c r="CW116" i="2"/>
  <c r="CW103" i="2"/>
  <c r="CW117" i="2"/>
  <c r="CW100" i="2"/>
  <c r="CW237" i="2"/>
  <c r="CW244" i="2" s="1"/>
  <c r="CW118" i="2"/>
  <c r="CW110" i="2"/>
  <c r="CW111" i="2"/>
  <c r="CR194" i="2"/>
  <c r="CR195" i="2"/>
  <c r="CV105" i="2"/>
  <c r="CZ28" i="13"/>
  <c r="CW201" i="2"/>
  <c r="CW200" i="2"/>
  <c r="CM26" i="1"/>
  <c r="CP24" i="1"/>
  <c r="CQ113" i="2"/>
  <c r="CQ200" i="2"/>
  <c r="CR200" i="2"/>
  <c r="CR121" i="2"/>
  <c r="CQ207" i="2"/>
  <c r="CQ147" i="2"/>
  <c r="CR201" i="2"/>
  <c r="CR199" i="2"/>
  <c r="CQ201" i="2"/>
  <c r="CQ148" i="2"/>
  <c r="CQ208" i="2"/>
  <c r="CR113" i="2"/>
  <c r="CR198" i="2"/>
  <c r="CR182" i="2"/>
  <c r="CP25" i="12"/>
  <c r="CM164" i="2"/>
  <c r="CP142" i="2"/>
  <c r="DG102" i="2" l="1"/>
  <c r="DG116" i="2"/>
  <c r="DG100" i="2"/>
  <c r="DB118" i="2"/>
  <c r="DB116" i="2"/>
  <c r="DB117" i="2"/>
  <c r="DE28" i="13"/>
  <c r="CW199" i="2"/>
  <c r="CW198" i="2"/>
  <c r="DB103" i="2"/>
  <c r="DB102" i="2"/>
  <c r="DB101" i="2"/>
  <c r="DB100" i="2"/>
  <c r="DB237" i="2"/>
  <c r="DB244" i="2" s="1"/>
  <c r="DB111" i="2"/>
  <c r="DB110" i="2"/>
  <c r="CW87" i="2"/>
  <c r="CW121" i="2"/>
  <c r="CW178" i="2"/>
  <c r="CW105" i="2"/>
  <c r="CQ194" i="2"/>
  <c r="CV203" i="2"/>
  <c r="CW66" i="12"/>
  <c r="CW59" i="12"/>
  <c r="CW210" i="2"/>
  <c r="CW219" i="2"/>
  <c r="CW209" i="2"/>
  <c r="CW218" i="2"/>
  <c r="CW150" i="2"/>
  <c r="CW149" i="2"/>
  <c r="CP26" i="1"/>
  <c r="CM32" i="1"/>
  <c r="CM36" i="1"/>
  <c r="CQ184" i="2"/>
  <c r="CQ178" i="2"/>
  <c r="CQ182" i="2"/>
  <c r="CQ183" i="2"/>
  <c r="CQ181" i="2"/>
  <c r="CR181" i="2"/>
  <c r="CR207" i="2"/>
  <c r="CR147" i="2"/>
  <c r="CR216" i="2"/>
  <c r="CQ150" i="2"/>
  <c r="CQ210" i="2"/>
  <c r="CR59" i="12"/>
  <c r="CR66" i="12"/>
  <c r="CR209" i="2"/>
  <c r="CR149" i="2"/>
  <c r="CR218" i="2"/>
  <c r="CR184" i="2"/>
  <c r="CR208" i="2"/>
  <c r="CR148" i="2"/>
  <c r="CR217" i="2"/>
  <c r="CR150" i="2"/>
  <c r="CR210" i="2"/>
  <c r="CR219" i="2"/>
  <c r="CR183" i="2"/>
  <c r="CQ209" i="2"/>
  <c r="CQ149" i="2"/>
  <c r="CK343" i="1"/>
  <c r="CK341" i="1"/>
  <c r="DQ14" i="2" l="1"/>
  <c r="DL100" i="2"/>
  <c r="DQ26" i="2"/>
  <c r="DL198" i="2"/>
  <c r="DG108" i="2"/>
  <c r="DG112" i="2"/>
  <c r="DG109" i="2"/>
  <c r="DG117" i="2"/>
  <c r="DG101" i="2"/>
  <c r="DJ28" i="13"/>
  <c r="DG111" i="2"/>
  <c r="DG110" i="2"/>
  <c r="DG103" i="2"/>
  <c r="DG199" i="2"/>
  <c r="DG198" i="2"/>
  <c r="CK344" i="1"/>
  <c r="CK342" i="1"/>
  <c r="CW217" i="2"/>
  <c r="CW216" i="2"/>
  <c r="DB66" i="12"/>
  <c r="DB59" i="12"/>
  <c r="DB121" i="2"/>
  <c r="DB201" i="2"/>
  <c r="DB200" i="2"/>
  <c r="DB199" i="2"/>
  <c r="DB183" i="2"/>
  <c r="DB198" i="2"/>
  <c r="DB87" i="2"/>
  <c r="DB105" i="2"/>
  <c r="CW207" i="2"/>
  <c r="CW208" i="2"/>
  <c r="CW148" i="2"/>
  <c r="CW147" i="2"/>
  <c r="CW184" i="2"/>
  <c r="CW203" i="2"/>
  <c r="CW194" i="2"/>
  <c r="CW183" i="2"/>
  <c r="CW181" i="2"/>
  <c r="CW182" i="2"/>
  <c r="CQ195" i="2"/>
  <c r="CV204" i="2"/>
  <c r="CW204" i="2"/>
  <c r="CW43" i="12"/>
  <c r="CW195" i="2"/>
  <c r="CP32" i="1"/>
  <c r="CP36" i="1"/>
  <c r="CQ43" i="12"/>
  <c r="CQ186" i="2"/>
  <c r="CR186" i="2"/>
  <c r="CQ152" i="2"/>
  <c r="CQ144" i="2"/>
  <c r="CV213" i="2" s="1"/>
  <c r="CR43" i="12"/>
  <c r="CR152" i="2"/>
  <c r="DQ169" i="2" l="1"/>
  <c r="DQ109" i="2"/>
  <c r="DQ168" i="2"/>
  <c r="DQ111" i="2"/>
  <c r="DQ110" i="2"/>
  <c r="DQ108" i="2"/>
  <c r="DQ112" i="2"/>
  <c r="DQ101" i="2"/>
  <c r="DQ100" i="2"/>
  <c r="DQ62" i="2"/>
  <c r="DG121" i="2"/>
  <c r="DN28" i="13"/>
  <c r="DO28" i="13" s="1"/>
  <c r="DG173" i="2"/>
  <c r="DL147" i="2"/>
  <c r="DL117" i="2"/>
  <c r="DL101" i="2"/>
  <c r="DL109" i="2"/>
  <c r="DL110" i="2"/>
  <c r="DL112" i="2"/>
  <c r="DL111" i="2"/>
  <c r="DL108" i="2"/>
  <c r="DL62" i="2"/>
  <c r="DL237" i="2" s="1"/>
  <c r="DL244" i="2" s="1"/>
  <c r="CW186" i="2"/>
  <c r="DG113" i="2"/>
  <c r="DG87" i="2"/>
  <c r="DG105" i="2"/>
  <c r="DB209" i="2"/>
  <c r="DB218" i="2"/>
  <c r="DB184" i="2"/>
  <c r="DB181" i="2"/>
  <c r="DB208" i="2"/>
  <c r="DB217" i="2"/>
  <c r="DB182" i="2"/>
  <c r="DB207" i="2"/>
  <c r="DB216" i="2"/>
  <c r="DB210" i="2"/>
  <c r="DB219" i="2"/>
  <c r="DB150" i="2"/>
  <c r="DB149" i="2"/>
  <c r="DB148" i="2"/>
  <c r="DB147" i="2"/>
  <c r="DB178" i="2"/>
  <c r="DB43" i="12" s="1"/>
  <c r="DB203" i="2"/>
  <c r="DB194" i="2"/>
  <c r="CQ45" i="12"/>
  <c r="CV60" i="12" s="1"/>
  <c r="CV61" i="12"/>
  <c r="CW45" i="12"/>
  <c r="CW68" i="12"/>
  <c r="CW61" i="12"/>
  <c r="CR45" i="12"/>
  <c r="CR68" i="12"/>
  <c r="CQ153" i="2"/>
  <c r="CQ213" i="2"/>
  <c r="CR222" i="2"/>
  <c r="CR153" i="2"/>
  <c r="DQ113" i="2" l="1"/>
  <c r="DP28" i="13"/>
  <c r="DQ28" i="13" s="1"/>
  <c r="DR28" i="13" s="1"/>
  <c r="DS28" i="13" s="1"/>
  <c r="DT28" i="13" s="1"/>
  <c r="DU28" i="13" s="1"/>
  <c r="DV28" i="13" s="1"/>
  <c r="DQ132" i="2"/>
  <c r="DQ198" i="2"/>
  <c r="DQ6" i="12"/>
  <c r="DQ8" i="13" s="1"/>
  <c r="DQ105" i="2"/>
  <c r="DQ133" i="2"/>
  <c r="DQ199" i="2"/>
  <c r="DQ173" i="2"/>
  <c r="DQ87" i="2"/>
  <c r="DG185" i="2"/>
  <c r="DG194" i="2"/>
  <c r="DG181" i="2"/>
  <c r="DG203" i="2"/>
  <c r="DG178" i="2"/>
  <c r="DG182" i="2"/>
  <c r="DL59" i="12"/>
  <c r="DL199" i="2"/>
  <c r="DL173" i="2"/>
  <c r="DL87" i="2"/>
  <c r="DL105" i="2"/>
  <c r="DL113" i="2"/>
  <c r="DB186" i="2"/>
  <c r="DG210" i="2"/>
  <c r="DB61" i="12"/>
  <c r="DB45" i="12"/>
  <c r="DB68" i="12"/>
  <c r="DB204" i="2"/>
  <c r="DB195" i="2"/>
  <c r="DB144" i="2"/>
  <c r="CQ52" i="12"/>
  <c r="CW222" i="2"/>
  <c r="CW153" i="2"/>
  <c r="CW53" i="12"/>
  <c r="CW213" i="2"/>
  <c r="CW60" i="12"/>
  <c r="CW67" i="12"/>
  <c r="CW52" i="12"/>
  <c r="CW49" i="12"/>
  <c r="CR53" i="12"/>
  <c r="CR52" i="12"/>
  <c r="CR67" i="12"/>
  <c r="CQ53" i="12"/>
  <c r="CF9" i="14"/>
  <c r="CF8" i="14" s="1"/>
  <c r="DQ9" i="12" l="1"/>
  <c r="DQ59" i="12"/>
  <c r="DQ10" i="12"/>
  <c r="DQ203" i="2"/>
  <c r="DQ183" i="2"/>
  <c r="DQ184" i="2"/>
  <c r="DQ185" i="2"/>
  <c r="DQ182" i="2"/>
  <c r="DQ181" i="2"/>
  <c r="DQ208" i="2"/>
  <c r="DQ148" i="2"/>
  <c r="DQ207" i="2"/>
  <c r="DQ137" i="2"/>
  <c r="DQ147" i="2"/>
  <c r="DQ194" i="2"/>
  <c r="DQ178" i="2"/>
  <c r="DG186" i="2"/>
  <c r="DG43" i="12"/>
  <c r="DG195" i="2"/>
  <c r="DG204" i="2"/>
  <c r="DL183" i="2"/>
  <c r="DL184" i="2"/>
  <c r="DL194" i="2"/>
  <c r="DL203" i="2"/>
  <c r="DL178" i="2"/>
  <c r="DL43" i="12" s="1"/>
  <c r="DL185" i="2"/>
  <c r="DL181" i="2"/>
  <c r="DL182" i="2"/>
  <c r="DL148" i="2"/>
  <c r="DL137" i="2"/>
  <c r="DB52" i="12"/>
  <c r="DB67" i="12"/>
  <c r="DB60" i="12"/>
  <c r="DB213" i="2"/>
  <c r="DB222" i="2"/>
  <c r="DB153" i="2"/>
  <c r="CQ49" i="12"/>
  <c r="CR49" i="12"/>
  <c r="DQ43" i="12" l="1"/>
  <c r="DQ61" i="12" s="1"/>
  <c r="DQ204" i="2"/>
  <c r="DQ152" i="2"/>
  <c r="DQ144" i="2"/>
  <c r="DQ13" i="12" s="1"/>
  <c r="DQ186" i="2"/>
  <c r="DQ195" i="2"/>
  <c r="DG61" i="12"/>
  <c r="DG45" i="12"/>
  <c r="DL68" i="12"/>
  <c r="DL61" i="12"/>
  <c r="DL45" i="12"/>
  <c r="DL52" i="12" s="1"/>
  <c r="DL195" i="2"/>
  <c r="DL204" i="2"/>
  <c r="DL152" i="2"/>
  <c r="DL144" i="2"/>
  <c r="DL186" i="2"/>
  <c r="CJ8" i="14"/>
  <c r="CI8" i="14"/>
  <c r="CH8" i="14"/>
  <c r="CG8" i="14"/>
  <c r="J91" i="47"/>
  <c r="J116" i="47" s="1"/>
  <c r="J89" i="47"/>
  <c r="J115" i="47" s="1"/>
  <c r="J87" i="47"/>
  <c r="J83" i="47" s="1"/>
  <c r="BZ161" i="1"/>
  <c r="BY161" i="1"/>
  <c r="BZ151" i="1"/>
  <c r="BY151" i="1"/>
  <c r="CK139" i="2"/>
  <c r="BA169" i="1"/>
  <c r="BA138" i="2" s="1"/>
  <c r="BA174" i="2" s="1"/>
  <c r="AZ169" i="1"/>
  <c r="AZ138" i="2" s="1"/>
  <c r="AZ174" i="2" s="1"/>
  <c r="AY169" i="1"/>
  <c r="AY138" i="2" s="1"/>
  <c r="AY174" i="2" s="1"/>
  <c r="AX169" i="1"/>
  <c r="BA171" i="1"/>
  <c r="AZ171" i="1"/>
  <c r="AY171" i="1"/>
  <c r="AX171" i="1"/>
  <c r="BF169" i="1"/>
  <c r="BF138" i="2" s="1"/>
  <c r="BF174" i="2" s="1"/>
  <c r="BE169" i="1"/>
  <c r="BE138" i="2" s="1"/>
  <c r="BE174" i="2" s="1"/>
  <c r="BD169" i="1"/>
  <c r="BD138" i="2" s="1"/>
  <c r="BD174" i="2" s="1"/>
  <c r="BC169" i="1"/>
  <c r="BF171" i="1"/>
  <c r="BE171" i="1"/>
  <c r="BD171" i="1"/>
  <c r="BC171" i="1"/>
  <c r="BK169" i="1"/>
  <c r="BK138" i="2" s="1"/>
  <c r="BK174" i="2" s="1"/>
  <c r="BJ169" i="1"/>
  <c r="BJ138" i="2" s="1"/>
  <c r="BJ174" i="2" s="1"/>
  <c r="BI169" i="1"/>
  <c r="BI138" i="2" s="1"/>
  <c r="BI174" i="2" s="1"/>
  <c r="BH169" i="1"/>
  <c r="BK171" i="1"/>
  <c r="BJ171" i="1"/>
  <c r="BI171" i="1"/>
  <c r="BH171" i="1"/>
  <c r="BP169" i="1"/>
  <c r="BP138" i="2" s="1"/>
  <c r="BP174" i="2" s="1"/>
  <c r="BO169" i="1"/>
  <c r="BO138" i="2" s="1"/>
  <c r="BO174" i="2" s="1"/>
  <c r="BN169" i="1"/>
  <c r="BN138" i="2" s="1"/>
  <c r="BN174" i="2" s="1"/>
  <c r="BM169" i="1"/>
  <c r="BM138" i="2" s="1"/>
  <c r="BM174" i="2" s="1"/>
  <c r="BP171" i="1"/>
  <c r="BO171" i="1"/>
  <c r="BN171" i="1"/>
  <c r="BM171" i="1"/>
  <c r="BU169" i="1"/>
  <c r="BU138" i="2" s="1"/>
  <c r="BU174" i="2" s="1"/>
  <c r="BT169" i="1"/>
  <c r="BT138" i="2" s="1"/>
  <c r="BT174" i="2" s="1"/>
  <c r="BS169" i="1"/>
  <c r="BS138" i="2" s="1"/>
  <c r="BS174" i="2" s="1"/>
  <c r="BR169" i="1"/>
  <c r="BU171" i="1"/>
  <c r="BT171" i="1"/>
  <c r="BS171" i="1"/>
  <c r="BR171" i="1"/>
  <c r="DQ45" i="12" l="1"/>
  <c r="DQ52" i="12" s="1"/>
  <c r="DQ153" i="2"/>
  <c r="DQ213" i="2"/>
  <c r="DQ53" i="12"/>
  <c r="DQ8" i="12"/>
  <c r="DG52" i="12"/>
  <c r="DG60" i="12"/>
  <c r="DL60" i="12"/>
  <c r="DL67" i="12"/>
  <c r="DL153" i="2"/>
  <c r="J85" i="47"/>
  <c r="BX172" i="1"/>
  <c r="BH172" i="1"/>
  <c r="BH141" i="2" s="1"/>
  <c r="BB141" i="2"/>
  <c r="BU172" i="1"/>
  <c r="BN172" i="1"/>
  <c r="BN141" i="2" s="1"/>
  <c r="BL171" i="1"/>
  <c r="BQ171" i="1"/>
  <c r="BQ169" i="1"/>
  <c r="BQ138" i="2" s="1"/>
  <c r="BQ174" i="2" s="1"/>
  <c r="BL169" i="1"/>
  <c r="BL138" i="2" s="1"/>
  <c r="BL174" i="2" s="1"/>
  <c r="BH138" i="2"/>
  <c r="BH174" i="2" s="1"/>
  <c r="BV171" i="1"/>
  <c r="BV169" i="1"/>
  <c r="BV138" i="2" s="1"/>
  <c r="BV174" i="2" s="1"/>
  <c r="BR138" i="2"/>
  <c r="BR174" i="2" s="1"/>
  <c r="BB171" i="1"/>
  <c r="BB169" i="1"/>
  <c r="BB138" i="2" s="1"/>
  <c r="BB174" i="2" s="1"/>
  <c r="AX138" i="2"/>
  <c r="AX174" i="2" s="1"/>
  <c r="BG171" i="1"/>
  <c r="BG169" i="1"/>
  <c r="BG138" i="2" s="1"/>
  <c r="BG174" i="2" s="1"/>
  <c r="BL141" i="2"/>
  <c r="BC138" i="2"/>
  <c r="BC174" i="2" s="1"/>
  <c r="BK172" i="1"/>
  <c r="CJ139" i="2"/>
  <c r="CI139" i="2"/>
  <c r="CH139" i="2"/>
  <c r="CG139" i="2"/>
  <c r="CG163" i="2" s="1"/>
  <c r="BK202" i="1"/>
  <c r="BJ202" i="1"/>
  <c r="BI202" i="1"/>
  <c r="BH202" i="1"/>
  <c r="BF202" i="1"/>
  <c r="BE202" i="1"/>
  <c r="BD202" i="1"/>
  <c r="BC202" i="1"/>
  <c r="CJ202" i="1"/>
  <c r="CI202" i="1"/>
  <c r="CH202" i="1"/>
  <c r="CG202" i="1"/>
  <c r="CE202" i="1"/>
  <c r="CD202" i="1"/>
  <c r="CC202" i="1"/>
  <c r="CB202" i="1"/>
  <c r="BZ202" i="1"/>
  <c r="BY202" i="1"/>
  <c r="BX202" i="1"/>
  <c r="BW202" i="1"/>
  <c r="BU202" i="1"/>
  <c r="BT202" i="1"/>
  <c r="BS202" i="1"/>
  <c r="BR202" i="1"/>
  <c r="BP202" i="1"/>
  <c r="BO202" i="1"/>
  <c r="BN202" i="1"/>
  <c r="BM202" i="1"/>
  <c r="BA202" i="1"/>
  <c r="AZ202" i="1"/>
  <c r="AY202" i="1"/>
  <c r="AX202" i="1"/>
  <c r="AV202" i="1"/>
  <c r="AU202" i="1"/>
  <c r="AT202" i="1"/>
  <c r="AS202" i="1"/>
  <c r="AV164" i="1"/>
  <c r="AU164" i="1"/>
  <c r="AT164" i="1"/>
  <c r="AS164" i="1"/>
  <c r="CJ138" i="2"/>
  <c r="CI138" i="2"/>
  <c r="CH138" i="2"/>
  <c r="CG138" i="2"/>
  <c r="CG174" i="2" s="1"/>
  <c r="CE169" i="1"/>
  <c r="CE138" i="2" s="1"/>
  <c r="CE174" i="2" s="1"/>
  <c r="CD169" i="1"/>
  <c r="CD138" i="2" s="1"/>
  <c r="CD174" i="2" s="1"/>
  <c r="CC169" i="1"/>
  <c r="CC138" i="2" s="1"/>
  <c r="CC174" i="2" s="1"/>
  <c r="CB169" i="1"/>
  <c r="CB138" i="2" s="1"/>
  <c r="CB174" i="2" s="1"/>
  <c r="BZ169" i="1"/>
  <c r="BZ138" i="2" s="1"/>
  <c r="BZ174" i="2" s="1"/>
  <c r="BY169" i="1"/>
  <c r="BY138" i="2" s="1"/>
  <c r="BY174" i="2" s="1"/>
  <c r="BX169" i="1"/>
  <c r="BX138" i="2" s="1"/>
  <c r="BX174" i="2" s="1"/>
  <c r="BW169" i="1"/>
  <c r="BW138" i="2" s="1"/>
  <c r="BW174" i="2" s="1"/>
  <c r="CE134" i="1"/>
  <c r="CD134" i="1"/>
  <c r="CC134" i="1"/>
  <c r="CB134" i="1"/>
  <c r="DQ60" i="12" l="1"/>
  <c r="DQ49" i="12"/>
  <c r="DQ7" i="12"/>
  <c r="CJ174" i="2"/>
  <c r="CJ163" i="2"/>
  <c r="CI174" i="2"/>
  <c r="CI163" i="2"/>
  <c r="CH163" i="2"/>
  <c r="BQ141" i="2"/>
  <c r="AZ172" i="1"/>
  <c r="BA172" i="1"/>
  <c r="BA141" i="2" s="1"/>
  <c r="CC172" i="1"/>
  <c r="BD172" i="1"/>
  <c r="BE172" i="1"/>
  <c r="BE141" i="2" s="1"/>
  <c r="BM172" i="1"/>
  <c r="BC172" i="1"/>
  <c r="BP172" i="1"/>
  <c r="BS172" i="1"/>
  <c r="BS141" i="2" s="1"/>
  <c r="BZ172" i="1"/>
  <c r="BW172" i="1"/>
  <c r="BW141" i="2" s="1"/>
  <c r="BO172" i="1"/>
  <c r="BO141" i="2" s="1"/>
  <c r="BR172" i="1"/>
  <c r="BR141" i="2" s="1"/>
  <c r="CB172" i="1"/>
  <c r="CB141" i="2" s="1"/>
  <c r="BU141" i="2"/>
  <c r="BT172" i="1"/>
  <c r="BV141" i="2"/>
  <c r="AY172" i="1"/>
  <c r="AX172" i="1"/>
  <c r="BI172" i="1"/>
  <c r="BJ172" i="1"/>
  <c r="CD172" i="1"/>
  <c r="CA141" i="2"/>
  <c r="BY172" i="1"/>
  <c r="CE172" i="1"/>
  <c r="CE141" i="2" s="1"/>
  <c r="BG141" i="2"/>
  <c r="BF172" i="1"/>
  <c r="CH174" i="2"/>
  <c r="CF169" i="1"/>
  <c r="CF138" i="2" s="1"/>
  <c r="CF174" i="2" s="1"/>
  <c r="BK141" i="2"/>
  <c r="AW164" i="1"/>
  <c r="CK169" i="1"/>
  <c r="CK138" i="2" s="1"/>
  <c r="CK174" i="2" s="1"/>
  <c r="CA169" i="1"/>
  <c r="CA138" i="2" s="1"/>
  <c r="CA174" i="2" s="1"/>
  <c r="BX141" i="2"/>
  <c r="CF134" i="1"/>
  <c r="CP138" i="2"/>
  <c r="DQ24" i="13" l="1"/>
  <c r="DQ9" i="13"/>
  <c r="DQ10" i="13"/>
  <c r="CK163" i="2"/>
  <c r="AZ141" i="2"/>
  <c r="CC141" i="2"/>
  <c r="BD141" i="2"/>
  <c r="BC141" i="2"/>
  <c r="BZ141" i="2"/>
  <c r="BM141" i="2"/>
  <c r="BP141" i="2"/>
  <c r="BT141" i="2"/>
  <c r="BY141" i="2"/>
  <c r="BI141" i="2"/>
  <c r="AX141" i="2"/>
  <c r="CD141" i="2"/>
  <c r="BF141" i="2"/>
  <c r="AY141" i="2"/>
  <c r="BJ141" i="2"/>
  <c r="CE138" i="1"/>
  <c r="CD138" i="1"/>
  <c r="CC138" i="1"/>
  <c r="CB138" i="1"/>
  <c r="BZ138" i="1"/>
  <c r="BY138" i="1"/>
  <c r="BX138" i="1"/>
  <c r="BW138" i="1"/>
  <c r="BU138" i="1"/>
  <c r="BT138" i="1"/>
  <c r="BS138" i="1"/>
  <c r="BR138" i="1"/>
  <c r="BP138" i="1"/>
  <c r="BO138" i="1"/>
  <c r="BN138" i="1"/>
  <c r="BM138" i="1"/>
  <c r="BK138" i="1"/>
  <c r="BJ138" i="1"/>
  <c r="BI138" i="1"/>
  <c r="BH138" i="1"/>
  <c r="BF138" i="1"/>
  <c r="BE138" i="1"/>
  <c r="BD138" i="1"/>
  <c r="BC138" i="1"/>
  <c r="CE135" i="1"/>
  <c r="CD135" i="1"/>
  <c r="CC135" i="1"/>
  <c r="CB135" i="1"/>
  <c r="BZ135" i="1"/>
  <c r="BY135" i="1"/>
  <c r="BX135" i="1"/>
  <c r="BW135" i="1"/>
  <c r="BU135" i="1"/>
  <c r="BT135" i="1"/>
  <c r="BS135" i="1"/>
  <c r="BR135" i="1"/>
  <c r="BP135" i="1"/>
  <c r="BO135" i="1"/>
  <c r="BN135" i="1"/>
  <c r="BM135" i="1"/>
  <c r="BK135" i="1"/>
  <c r="BJ135" i="1"/>
  <c r="BI135" i="1"/>
  <c r="BH135" i="1"/>
  <c r="BF135" i="1"/>
  <c r="BE135" i="1"/>
  <c r="BD135" i="1"/>
  <c r="BC135" i="1"/>
  <c r="CJ134" i="1"/>
  <c r="CI134" i="1"/>
  <c r="CH134" i="1"/>
  <c r="CG134" i="1"/>
  <c r="BZ134" i="1"/>
  <c r="BY134" i="1"/>
  <c r="BX134" i="1"/>
  <c r="BW134" i="1"/>
  <c r="BU134" i="1"/>
  <c r="BT134" i="1"/>
  <c r="BS134" i="1"/>
  <c r="BR134" i="1"/>
  <c r="BP134" i="1"/>
  <c r="BO134" i="1"/>
  <c r="BN134" i="1"/>
  <c r="BM134" i="1"/>
  <c r="BK134" i="1"/>
  <c r="BJ134" i="1"/>
  <c r="BI134" i="1"/>
  <c r="BH134" i="1"/>
  <c r="BF134" i="1"/>
  <c r="BE134" i="1"/>
  <c r="BD134" i="1"/>
  <c r="BC134" i="1"/>
  <c r="BA134" i="1"/>
  <c r="AZ134" i="1"/>
  <c r="AY134" i="1"/>
  <c r="AX134" i="1"/>
  <c r="CM40" i="2" l="1"/>
  <c r="CL209" i="1"/>
  <c r="CL228" i="2" s="1"/>
  <c r="CL208" i="1"/>
  <c r="CL227" i="2" s="1"/>
  <c r="CM235" i="2" l="1"/>
  <c r="CM236" i="2"/>
  <c r="CL230" i="2"/>
  <c r="CP40" i="2"/>
  <c r="P9" i="47" l="1"/>
  <c r="Q9" i="47" s="1"/>
  <c r="R9" i="47" s="1"/>
  <c r="S9" i="47" s="1"/>
  <c r="H50" i="47"/>
  <c r="G50" i="47"/>
  <c r="M50" i="47"/>
  <c r="M44" i="47" s="1"/>
  <c r="H51" i="47" l="1"/>
  <c r="CJ43" i="13" l="1"/>
  <c r="CJ41" i="13"/>
  <c r="CJ40" i="13"/>
  <c r="CJ39" i="13"/>
  <c r="CJ38" i="13"/>
  <c r="CJ37" i="13"/>
  <c r="CJ36" i="13"/>
  <c r="CJ34" i="13"/>
  <c r="CJ33" i="13"/>
  <c r="CJ32" i="13"/>
  <c r="CJ31" i="13"/>
  <c r="CJ29" i="13"/>
  <c r="CJ27" i="13"/>
  <c r="CJ26" i="13"/>
  <c r="CJ24" i="13"/>
  <c r="CJ23" i="13"/>
  <c r="CJ19" i="13"/>
  <c r="CJ18" i="13"/>
  <c r="CJ17" i="13"/>
  <c r="CJ16" i="13"/>
  <c r="CJ15" i="13"/>
  <c r="CJ14" i="13"/>
  <c r="CJ13" i="13"/>
  <c r="CJ11" i="13"/>
  <c r="CJ10" i="13"/>
  <c r="CJ9" i="13"/>
  <c r="CJ8" i="13"/>
  <c r="CJ7" i="13"/>
  <c r="CJ83" i="1"/>
  <c r="CK83" i="1" s="1"/>
  <c r="CJ71" i="1"/>
  <c r="CJ54" i="1"/>
  <c r="CJ62" i="1" l="1"/>
  <c r="CK62" i="1" s="1"/>
  <c r="CK54" i="1"/>
  <c r="CJ76" i="1"/>
  <c r="CK76" i="1" s="1"/>
  <c r="CK71" i="1"/>
  <c r="CJ30" i="13"/>
  <c r="CJ35" i="13" s="1"/>
  <c r="CJ12" i="13"/>
  <c r="CJ20" i="13" s="1"/>
  <c r="CJ42" i="13"/>
  <c r="CG33" i="12"/>
  <c r="CG32" i="12"/>
  <c r="CH33" i="12"/>
  <c r="CH32" i="12"/>
  <c r="CG141" i="2"/>
  <c r="CG26" i="12" s="1"/>
  <c r="CH141" i="2"/>
  <c r="CH26" i="12" s="1"/>
  <c r="CI141" i="2"/>
  <c r="CJ141" i="2"/>
  <c r="CI201" i="1"/>
  <c r="CJ201" i="1"/>
  <c r="CG201" i="1"/>
  <c r="CH201" i="1"/>
  <c r="CK141" i="2"/>
  <c r="CE201" i="1"/>
  <c r="CD201" i="1"/>
  <c r="CC201" i="1"/>
  <c r="CB201" i="1"/>
  <c r="CF141" i="2"/>
  <c r="CJ85" i="1" l="1"/>
  <c r="CK85" i="1" s="1"/>
  <c r="CJ26" i="12"/>
  <c r="CI26" i="12"/>
  <c r="CF26" i="12"/>
  <c r="CF44" i="12"/>
  <c r="CI9" i="14"/>
  <c r="CJ9" i="14"/>
  <c r="CH9" i="14"/>
  <c r="CG9" i="14"/>
  <c r="CJ44" i="13"/>
  <c r="CI10" i="12"/>
  <c r="CK9" i="14" l="1"/>
  <c r="CK64" i="14" l="1"/>
  <c r="CK66" i="14"/>
  <c r="CF23" i="2" l="1"/>
  <c r="CE30" i="2"/>
  <c r="CD30" i="2"/>
  <c r="CC30" i="2"/>
  <c r="CB30" i="2"/>
  <c r="CE17" i="2"/>
  <c r="CC17" i="2"/>
  <c r="CD17" i="2"/>
  <c r="CB17" i="2"/>
  <c r="F75" i="47"/>
  <c r="G75" i="47"/>
  <c r="H75" i="47"/>
  <c r="I75" i="47"/>
  <c r="J75" i="47"/>
  <c r="E75" i="47"/>
  <c r="G108" i="47"/>
  <c r="F108" i="47"/>
  <c r="F106" i="47"/>
  <c r="CF30" i="2" l="1"/>
  <c r="CK159" i="2"/>
  <c r="CI158" i="2"/>
  <c r="CK158" i="2" s="1"/>
  <c r="CK26" i="12" l="1"/>
  <c r="CO44" i="12"/>
  <c r="CN44" i="12"/>
  <c r="CL44" i="12"/>
  <c r="CP26" i="12" l="1"/>
  <c r="CP9" i="14"/>
  <c r="CZ55" i="14"/>
  <c r="CU55" i="14"/>
  <c r="CP55" i="14"/>
  <c r="CP177" i="2" l="1"/>
  <c r="CP143" i="2" l="1"/>
  <c r="I53" i="47"/>
  <c r="N50" i="47"/>
  <c r="N52" i="47" s="1"/>
  <c r="L50" i="47"/>
  <c r="L44" i="47" s="1"/>
  <c r="M45" i="47" s="1"/>
  <c r="K50" i="47"/>
  <c r="I50" i="47"/>
  <c r="I51" i="47" s="1"/>
  <c r="J49" i="47"/>
  <c r="J50" i="47" l="1"/>
  <c r="J51" i="47" s="1"/>
  <c r="P52" i="47"/>
  <c r="N51" i="47"/>
  <c r="N44" i="47"/>
  <c r="O51" i="47"/>
  <c r="L51" i="47"/>
  <c r="M51" i="47"/>
  <c r="P51" i="47"/>
  <c r="I46" i="47"/>
  <c r="H46" i="47"/>
  <c r="K51" i="47" l="1"/>
  <c r="N45" i="47"/>
  <c r="O45" i="47"/>
  <c r="G96" i="47"/>
  <c r="G91" i="47"/>
  <c r="G116" i="47" s="1"/>
  <c r="F91" i="47"/>
  <c r="F116" i="47" s="1"/>
  <c r="G89" i="47"/>
  <c r="G115" i="47" s="1"/>
  <c r="F89" i="47"/>
  <c r="F115" i="47" s="1"/>
  <c r="G87" i="47"/>
  <c r="G114" i="47" s="1"/>
  <c r="F87" i="47"/>
  <c r="F114" i="47" s="1"/>
  <c r="G117" i="47" l="1"/>
  <c r="E91" i="47"/>
  <c r="E89" i="47"/>
  <c r="G90" i="47"/>
  <c r="G88" i="47"/>
  <c r="G92" i="47"/>
  <c r="H91" i="47"/>
  <c r="H116" i="47" s="1"/>
  <c r="H89" i="47"/>
  <c r="H115" i="47" s="1"/>
  <c r="F93" i="47"/>
  <c r="G93" i="47"/>
  <c r="G83" i="47" s="1"/>
  <c r="G118" i="47" l="1"/>
  <c r="E93" i="47"/>
  <c r="F117" i="47"/>
  <c r="F118" i="47" s="1"/>
  <c r="I91" i="47"/>
  <c r="I116" i="47" s="1"/>
  <c r="F94" i="47"/>
  <c r="H83" i="47"/>
  <c r="F83" i="47"/>
  <c r="E83" i="47" s="1"/>
  <c r="H93" i="47"/>
  <c r="H94" i="47" s="1"/>
  <c r="I89" i="47"/>
  <c r="I115" i="47" s="1"/>
  <c r="G94" i="47"/>
  <c r="G85" i="47"/>
  <c r="I93" i="47" l="1"/>
  <c r="I94" i="47" s="1"/>
  <c r="F85" i="47"/>
  <c r="E85" i="47" s="1"/>
  <c r="E87" i="47" s="1"/>
  <c r="H85" i="47"/>
  <c r="I85" i="47" s="1"/>
  <c r="K85" i="47" s="1"/>
  <c r="L85" i="47" s="1"/>
  <c r="I83" i="47"/>
  <c r="K91" i="47" l="1"/>
  <c r="K116" i="47" s="1"/>
  <c r="E95" i="47"/>
  <c r="F88" i="47"/>
  <c r="H87" i="47"/>
  <c r="I87" i="47"/>
  <c r="K89" i="47"/>
  <c r="K115" i="47" s="1"/>
  <c r="J93" i="47"/>
  <c r="H114" i="47" l="1"/>
  <c r="H117" i="47" s="1"/>
  <c r="I114" i="47"/>
  <c r="I117" i="47" s="1"/>
  <c r="M85" i="47"/>
  <c r="L91" i="47"/>
  <c r="L116" i="47" s="1"/>
  <c r="F96" i="47"/>
  <c r="I88" i="47"/>
  <c r="I95" i="47"/>
  <c r="H88" i="47"/>
  <c r="H95" i="47"/>
  <c r="K93" i="47"/>
  <c r="K94" i="47" s="1"/>
  <c r="L89" i="47"/>
  <c r="L115" i="47" s="1"/>
  <c r="K83" i="47"/>
  <c r="L83" i="47" s="1"/>
  <c r="J114" i="47" l="1"/>
  <c r="J117" i="47" s="1"/>
  <c r="H118" i="47"/>
  <c r="I118" i="47"/>
  <c r="N85" i="47"/>
  <c r="O85" i="47" s="1"/>
  <c r="P85" i="47" s="1"/>
  <c r="Q85" i="47" s="1"/>
  <c r="R85" i="47" s="1"/>
  <c r="S85" i="47" s="1"/>
  <c r="M91" i="47"/>
  <c r="M116" i="47" s="1"/>
  <c r="H96" i="47"/>
  <c r="K87" i="47"/>
  <c r="L93" i="47"/>
  <c r="M89" i="47"/>
  <c r="M115" i="47" s="1"/>
  <c r="I96" i="47"/>
  <c r="L94" i="47" l="1"/>
  <c r="J118" i="47"/>
  <c r="K114" i="47"/>
  <c r="K117" i="47" s="1"/>
  <c r="N91" i="47"/>
  <c r="N116" i="47" s="1"/>
  <c r="K95" i="47"/>
  <c r="K88" i="47"/>
  <c r="M83" i="47"/>
  <c r="L87" i="47"/>
  <c r="L95" i="47" s="1"/>
  <c r="N89" i="47"/>
  <c r="N115" i="47" s="1"/>
  <c r="M93" i="47"/>
  <c r="M94" i="47" s="1"/>
  <c r="L114" i="47" l="1"/>
  <c r="L117" i="47" s="1"/>
  <c r="O89" i="47"/>
  <c r="O115" i="47" s="1"/>
  <c r="O91" i="47"/>
  <c r="O116" i="47" s="1"/>
  <c r="K118" i="47"/>
  <c r="N93" i="47"/>
  <c r="N94" i="47" s="1"/>
  <c r="K96" i="47"/>
  <c r="L88" i="47"/>
  <c r="M87" i="47"/>
  <c r="M114" i="47" s="1"/>
  <c r="N83" i="47"/>
  <c r="O83" i="47" s="1"/>
  <c r="P83" i="47" l="1"/>
  <c r="O87" i="47"/>
  <c r="O114" i="47" s="1"/>
  <c r="P89" i="47"/>
  <c r="P91" i="47"/>
  <c r="O93" i="47"/>
  <c r="M117" i="47"/>
  <c r="L118" i="47"/>
  <c r="N87" i="47"/>
  <c r="N114" i="47" s="1"/>
  <c r="L96" i="47"/>
  <c r="M88" i="47"/>
  <c r="M95" i="47"/>
  <c r="P116" i="47" l="1"/>
  <c r="Q91" i="47"/>
  <c r="P115" i="47"/>
  <c r="Q89" i="47"/>
  <c r="P87" i="47"/>
  <c r="P114" i="47" s="1"/>
  <c r="P117" i="47" s="1"/>
  <c r="Q83" i="47"/>
  <c r="O88" i="47"/>
  <c r="O117" i="47"/>
  <c r="O94" i="47"/>
  <c r="O95" i="47"/>
  <c r="P93" i="47"/>
  <c r="M118" i="47"/>
  <c r="N117" i="47"/>
  <c r="N88" i="47"/>
  <c r="N95" i="47"/>
  <c r="N96" i="47" s="1"/>
  <c r="M96" i="47"/>
  <c r="P88" i="47" l="1"/>
  <c r="Q87" i="47"/>
  <c r="R83" i="47"/>
  <c r="R89" i="47"/>
  <c r="S89" i="47" s="1"/>
  <c r="Q115" i="47"/>
  <c r="Q93" i="47"/>
  <c r="Q94" i="47" s="1"/>
  <c r="Q116" i="47"/>
  <c r="R91" i="47"/>
  <c r="P94" i="47"/>
  <c r="P95" i="47"/>
  <c r="P96" i="47" s="1"/>
  <c r="O96" i="47"/>
  <c r="O118" i="47"/>
  <c r="N118" i="47"/>
  <c r="CI32" i="14"/>
  <c r="S115" i="47" l="1"/>
  <c r="R87" i="47"/>
  <c r="R88" i="47" s="1"/>
  <c r="S83" i="47"/>
  <c r="S87" i="47" s="1"/>
  <c r="R116" i="47"/>
  <c r="S91" i="47"/>
  <c r="S116" i="47" s="1"/>
  <c r="R115" i="47"/>
  <c r="R93" i="47"/>
  <c r="R94" i="47" s="1"/>
  <c r="R114" i="47"/>
  <c r="R95" i="47"/>
  <c r="Q88" i="47"/>
  <c r="Q114" i="47"/>
  <c r="Q117" i="47" s="1"/>
  <c r="Q95" i="47"/>
  <c r="P118" i="47"/>
  <c r="CK36" i="14"/>
  <c r="CK11" i="14"/>
  <c r="CK60" i="14" s="1"/>
  <c r="S88" i="47" l="1"/>
  <c r="S114" i="47"/>
  <c r="S117" i="47" s="1"/>
  <c r="R117" i="47"/>
  <c r="S93" i="47"/>
  <c r="S94" i="47" s="1"/>
  <c r="R118" i="47"/>
  <c r="Q118" i="47"/>
  <c r="Q96" i="47"/>
  <c r="R96" i="47"/>
  <c r="S95" i="47" l="1"/>
  <c r="S118" i="47"/>
  <c r="CJ24" i="14"/>
  <c r="CI24" i="14"/>
  <c r="CH24" i="14"/>
  <c r="CG24" i="14"/>
  <c r="CF24" i="14"/>
  <c r="S96" i="47" l="1"/>
  <c r="CG74" i="2"/>
  <c r="CH74" i="2"/>
  <c r="CI74" i="2"/>
  <c r="CJ74" i="2"/>
  <c r="CF138" i="1" l="1"/>
  <c r="CF17" i="2"/>
  <c r="CH41" i="13" l="1"/>
  <c r="CH40" i="13"/>
  <c r="CI40" i="13" s="1"/>
  <c r="CH39" i="13"/>
  <c r="CH38" i="13"/>
  <c r="CI38" i="13" s="1"/>
  <c r="CK38" i="13" s="1"/>
  <c r="CL38" i="13" s="1"/>
  <c r="CP38" i="13" s="1"/>
  <c r="CH37" i="13"/>
  <c r="CI37" i="13" s="1"/>
  <c r="CK37" i="13" s="1"/>
  <c r="CL37" i="13" s="1"/>
  <c r="CP37" i="13" s="1"/>
  <c r="CH36" i="13"/>
  <c r="CI36" i="13" s="1"/>
  <c r="CH34" i="13"/>
  <c r="CI34" i="13" s="1"/>
  <c r="CH33" i="13"/>
  <c r="CI33" i="13" s="1"/>
  <c r="CH32" i="13"/>
  <c r="CI32" i="13" s="1"/>
  <c r="CH31" i="13"/>
  <c r="CH29" i="13"/>
  <c r="CI29" i="13" s="1"/>
  <c r="CH27" i="13"/>
  <c r="CI27" i="13" s="1"/>
  <c r="CH26" i="13"/>
  <c r="CH24" i="13"/>
  <c r="CH23" i="13"/>
  <c r="CH19" i="13"/>
  <c r="CI19" i="13" s="1"/>
  <c r="CK19" i="13" s="1"/>
  <c r="CL19" i="13" s="1"/>
  <c r="CP19" i="13" s="1"/>
  <c r="CH18" i="13"/>
  <c r="CH17" i="13"/>
  <c r="CI17" i="13" s="1"/>
  <c r="CK17" i="13" s="1"/>
  <c r="CH16" i="13"/>
  <c r="CI16" i="13" s="1"/>
  <c r="CK16" i="13" s="1"/>
  <c r="CL16" i="13" s="1"/>
  <c r="CP16" i="13" s="1"/>
  <c r="CH15" i="13"/>
  <c r="CH14" i="13"/>
  <c r="CI14" i="13" s="1"/>
  <c r="CK14" i="13" s="1"/>
  <c r="CL14" i="13" s="1"/>
  <c r="CP14" i="13" s="1"/>
  <c r="CH13" i="13"/>
  <c r="B19" i="13"/>
  <c r="CH11" i="13"/>
  <c r="CH10" i="13"/>
  <c r="CH9" i="13"/>
  <c r="CH8" i="13"/>
  <c r="CH7" i="13"/>
  <c r="CU19" i="13" l="1"/>
  <c r="CU38" i="13"/>
  <c r="CU14" i="13"/>
  <c r="CU37" i="13"/>
  <c r="CU16" i="13"/>
  <c r="CI26" i="13"/>
  <c r="CI13" i="13"/>
  <c r="CL17" i="13"/>
  <c r="CI11" i="13"/>
  <c r="CP8" i="14"/>
  <c r="CP10" i="14"/>
  <c r="CP11" i="14"/>
  <c r="CZ14" i="13" l="1"/>
  <c r="CZ16" i="13"/>
  <c r="CZ38" i="13"/>
  <c r="CZ19" i="13"/>
  <c r="CZ37" i="13"/>
  <c r="CP44" i="12"/>
  <c r="CJ44" i="12"/>
  <c r="CG44" i="12"/>
  <c r="CH44" i="12"/>
  <c r="CJ18" i="14"/>
  <c r="CI18" i="14"/>
  <c r="CI18" i="13"/>
  <c r="CI44" i="12"/>
  <c r="DE19" i="13" l="1"/>
  <c r="DE38" i="13"/>
  <c r="DE16" i="13"/>
  <c r="DE37" i="13"/>
  <c r="DE14" i="13"/>
  <c r="CK44" i="12"/>
  <c r="CF18" i="12"/>
  <c r="CF17" i="12"/>
  <c r="CF58" i="14" s="1"/>
  <c r="CF15" i="12"/>
  <c r="CF57" i="14" s="1"/>
  <c r="CF14" i="12"/>
  <c r="CF12" i="12"/>
  <c r="CF10" i="12"/>
  <c r="CF9" i="12"/>
  <c r="DJ37" i="13" l="1"/>
  <c r="DJ38" i="13"/>
  <c r="DJ16" i="13"/>
  <c r="DJ14" i="13"/>
  <c r="DJ19" i="13"/>
  <c r="CJ228" i="2"/>
  <c r="CI228" i="2"/>
  <c r="CH228" i="2"/>
  <c r="CG228" i="2"/>
  <c r="CF228" i="2"/>
  <c r="CE228" i="2"/>
  <c r="CD228" i="2"/>
  <c r="CC228" i="2"/>
  <c r="CB228" i="2"/>
  <c r="CA228" i="2"/>
  <c r="BZ228" i="2"/>
  <c r="BY228" i="2"/>
  <c r="BX228" i="2"/>
  <c r="BW228" i="2"/>
  <c r="BV228" i="2"/>
  <c r="BU228" i="2"/>
  <c r="BT228" i="2"/>
  <c r="BS228" i="2"/>
  <c r="BR228" i="2"/>
  <c r="BQ228" i="2"/>
  <c r="BP228" i="2"/>
  <c r="BO228" i="2"/>
  <c r="BN228" i="2"/>
  <c r="BM228" i="2"/>
  <c r="BL228" i="2"/>
  <c r="BK228" i="2"/>
  <c r="BJ228" i="2"/>
  <c r="BI228" i="2"/>
  <c r="BH228" i="2"/>
  <c r="BG228" i="2"/>
  <c r="BF228" i="2"/>
  <c r="BE228" i="2"/>
  <c r="BD228" i="2"/>
  <c r="BC228" i="2"/>
  <c r="BB228" i="2"/>
  <c r="BA228" i="2"/>
  <c r="AZ228" i="2"/>
  <c r="AY228" i="2"/>
  <c r="AX228" i="2"/>
  <c r="AW228" i="2"/>
  <c r="AR228" i="2"/>
  <c r="AM228" i="2"/>
  <c r="AH228" i="2"/>
  <c r="AC228" i="2"/>
  <c r="X228" i="2"/>
  <c r="S228" i="2"/>
  <c r="N228" i="2"/>
  <c r="I228" i="2"/>
  <c r="H228" i="2"/>
  <c r="CJ227" i="2"/>
  <c r="CI227" i="2"/>
  <c r="CH227" i="2"/>
  <c r="CG227" i="2"/>
  <c r="CF227" i="2"/>
  <c r="CE227" i="2"/>
  <c r="CD227" i="2"/>
  <c r="CC227" i="2"/>
  <c r="CB227" i="2"/>
  <c r="CA227" i="2"/>
  <c r="BZ227" i="2"/>
  <c r="BY227" i="2"/>
  <c r="BX227" i="2"/>
  <c r="BW227" i="2"/>
  <c r="BV227" i="2"/>
  <c r="BU227" i="2"/>
  <c r="BT227" i="2"/>
  <c r="BS227" i="2"/>
  <c r="BR227" i="2"/>
  <c r="BQ227" i="2"/>
  <c r="BP227" i="2"/>
  <c r="BO227" i="2"/>
  <c r="BN227" i="2"/>
  <c r="BM227" i="2"/>
  <c r="BL227" i="2"/>
  <c r="BK227" i="2"/>
  <c r="BJ227" i="2"/>
  <c r="BI227" i="2"/>
  <c r="BH227" i="2"/>
  <c r="BG227" i="2"/>
  <c r="BF227" i="2"/>
  <c r="BE227" i="2"/>
  <c r="BD227" i="2"/>
  <c r="BC227" i="2"/>
  <c r="BB227" i="2"/>
  <c r="BA227" i="2"/>
  <c r="AZ227" i="2"/>
  <c r="AY227" i="2"/>
  <c r="AX227" i="2"/>
  <c r="AW227" i="2"/>
  <c r="AR227" i="2"/>
  <c r="AM227" i="2"/>
  <c r="AH227" i="2"/>
  <c r="AC227" i="2"/>
  <c r="X227" i="2"/>
  <c r="S227" i="2"/>
  <c r="N227" i="2"/>
  <c r="I227" i="2"/>
  <c r="H227" i="2"/>
  <c r="CK226" i="2"/>
  <c r="CF226" i="2"/>
  <c r="CA226" i="2"/>
  <c r="BV226" i="2"/>
  <c r="BQ226" i="2"/>
  <c r="BL226" i="2"/>
  <c r="BG226" i="2"/>
  <c r="BB226" i="2"/>
  <c r="AW226" i="2"/>
  <c r="AR226" i="2"/>
  <c r="AM226" i="2"/>
  <c r="AH226" i="2"/>
  <c r="AC226" i="2"/>
  <c r="X226" i="2"/>
  <c r="S226" i="2"/>
  <c r="N226" i="2"/>
  <c r="I226" i="2"/>
  <c r="H226" i="2"/>
  <c r="CK225" i="2"/>
  <c r="CF225" i="2"/>
  <c r="CA225" i="2"/>
  <c r="BV225" i="2"/>
  <c r="BQ225" i="2"/>
  <c r="BL225" i="2"/>
  <c r="BG225" i="2"/>
  <c r="BB225" i="2"/>
  <c r="AW225" i="2"/>
  <c r="AR225" i="2"/>
  <c r="AM225" i="2"/>
  <c r="AH225" i="2"/>
  <c r="AC225" i="2"/>
  <c r="X225" i="2"/>
  <c r="S225" i="2"/>
  <c r="N225" i="2"/>
  <c r="I225" i="2"/>
  <c r="H225" i="2"/>
  <c r="DN19" i="13" l="1"/>
  <c r="DO19" i="13" s="1"/>
  <c r="DN14" i="13"/>
  <c r="DO14" i="13" s="1"/>
  <c r="DN38" i="13"/>
  <c r="DO38" i="13" s="1"/>
  <c r="DN37" i="13"/>
  <c r="DO37" i="13" s="1"/>
  <c r="DN16" i="13"/>
  <c r="DO16" i="13" s="1"/>
  <c r="AY230" i="2"/>
  <c r="BC230" i="2"/>
  <c r="BK230" i="2"/>
  <c r="BF230" i="2"/>
  <c r="BJ230" i="2"/>
  <c r="BN230" i="2"/>
  <c r="BZ230" i="2"/>
  <c r="CD230" i="2"/>
  <c r="BO230" i="2"/>
  <c r="BS230" i="2"/>
  <c r="BW230" i="2"/>
  <c r="CE230" i="2"/>
  <c r="CI230" i="2"/>
  <c r="CP17" i="13"/>
  <c r="CH230" i="2"/>
  <c r="BA230" i="2"/>
  <c r="BE230" i="2"/>
  <c r="BI230" i="2"/>
  <c r="BM230" i="2"/>
  <c r="BU230" i="2"/>
  <c r="BY230" i="2"/>
  <c r="CC230" i="2"/>
  <c r="CG230" i="2"/>
  <c r="BR230" i="2"/>
  <c r="AX230" i="2"/>
  <c r="S230" i="2"/>
  <c r="AM230" i="2"/>
  <c r="I230" i="2"/>
  <c r="AC230" i="2"/>
  <c r="AW230" i="2"/>
  <c r="BB230" i="2"/>
  <c r="BG230" i="2"/>
  <c r="BQ230" i="2"/>
  <c r="BV230" i="2"/>
  <c r="CA230" i="2"/>
  <c r="N230" i="2"/>
  <c r="AH230" i="2"/>
  <c r="AZ230" i="2"/>
  <c r="BD230" i="2"/>
  <c r="BH230" i="2"/>
  <c r="BP230" i="2"/>
  <c r="BT230" i="2"/>
  <c r="BX230" i="2"/>
  <c r="CB230" i="2"/>
  <c r="CJ230" i="2"/>
  <c r="X230" i="2"/>
  <c r="BL230" i="2"/>
  <c r="CF230" i="2"/>
  <c r="H230" i="2"/>
  <c r="AR230" i="2"/>
  <c r="DP38" i="13" l="1"/>
  <c r="DQ38" i="13" s="1"/>
  <c r="DR38" i="13" s="1"/>
  <c r="DS38" i="13" s="1"/>
  <c r="DT38" i="13" s="1"/>
  <c r="DU38" i="13" s="1"/>
  <c r="DV38" i="13" s="1"/>
  <c r="DP14" i="13"/>
  <c r="DQ14" i="13" s="1"/>
  <c r="DR14" i="13" s="1"/>
  <c r="DS14" i="13" s="1"/>
  <c r="DT14" i="13" s="1"/>
  <c r="DU14" i="13" s="1"/>
  <c r="DV14" i="13" s="1"/>
  <c r="DP37" i="13"/>
  <c r="DQ37" i="13" s="1"/>
  <c r="DR37" i="13" s="1"/>
  <c r="DS37" i="13" s="1"/>
  <c r="DT37" i="13" s="1"/>
  <c r="DU37" i="13" s="1"/>
  <c r="DV37" i="13" s="1"/>
  <c r="DP19" i="13"/>
  <c r="DQ19" i="13" s="1"/>
  <c r="DR19" i="13" s="1"/>
  <c r="DS19" i="13" s="1"/>
  <c r="DT19" i="13" s="1"/>
  <c r="DU19" i="13" s="1"/>
  <c r="DV19" i="13" s="1"/>
  <c r="DP16" i="13"/>
  <c r="DQ16" i="13" s="1"/>
  <c r="DR16" i="13" s="1"/>
  <c r="DS16" i="13" s="1"/>
  <c r="DT16" i="13" s="1"/>
  <c r="DU16" i="13" s="1"/>
  <c r="DV16" i="13" s="1"/>
  <c r="CK209" i="1"/>
  <c r="CK208" i="1"/>
  <c r="CK227" i="2" s="1"/>
  <c r="CL235" i="2" s="1"/>
  <c r="CF211" i="1"/>
  <c r="CA211" i="1"/>
  <c r="BV211" i="1"/>
  <c r="BQ211" i="1"/>
  <c r="BL211" i="1"/>
  <c r="BG211" i="1"/>
  <c r="BB211" i="1"/>
  <c r="AW211" i="1"/>
  <c r="CK211" i="1" l="1"/>
  <c r="CK228" i="2"/>
  <c r="CK230" i="2" l="1"/>
  <c r="CL236" i="2"/>
  <c r="CF33" i="12"/>
  <c r="CF32" i="12"/>
  <c r="CU17" i="13" l="1"/>
  <c r="CZ17" i="13" s="1"/>
  <c r="DE17" i="13" s="1"/>
  <c r="DJ17" i="13" s="1"/>
  <c r="CB163" i="2"/>
  <c r="CC163" i="2"/>
  <c r="CD163" i="2"/>
  <c r="CE163" i="2"/>
  <c r="CP159" i="2"/>
  <c r="CP158" i="2"/>
  <c r="CO161" i="2"/>
  <c r="CO165" i="2" s="1"/>
  <c r="CN161" i="2"/>
  <c r="CN165" i="2" s="1"/>
  <c r="CM161" i="2"/>
  <c r="CM165" i="2" s="1"/>
  <c r="CL161" i="2"/>
  <c r="CL165" i="2" s="1"/>
  <c r="CH161" i="2"/>
  <c r="CH165" i="2" s="1"/>
  <c r="CB161" i="2"/>
  <c r="BZ161" i="2"/>
  <c r="BX161" i="2"/>
  <c r="BW161" i="2"/>
  <c r="BU161" i="2"/>
  <c r="BS161" i="2"/>
  <c r="BR161" i="2"/>
  <c r="BO161" i="2"/>
  <c r="BN161" i="2"/>
  <c r="BM161" i="2"/>
  <c r="BK161" i="2"/>
  <c r="BH161" i="2"/>
  <c r="BF161" i="2"/>
  <c r="BC161" i="2"/>
  <c r="CP176" i="2" l="1"/>
  <c r="CJ195" i="1"/>
  <c r="CJ199" i="1" s="1"/>
  <c r="CI195" i="1"/>
  <c r="CI199" i="1" s="1"/>
  <c r="CH195" i="1"/>
  <c r="CH199" i="1" s="1"/>
  <c r="CG195" i="1"/>
  <c r="CG199" i="1" s="1"/>
  <c r="CE195" i="1"/>
  <c r="CE199" i="1" s="1"/>
  <c r="CD195" i="1"/>
  <c r="CD199" i="1" s="1"/>
  <c r="CC195" i="1"/>
  <c r="CC199" i="1" s="1"/>
  <c r="CB195" i="1"/>
  <c r="CB199" i="1" s="1"/>
  <c r="BZ195" i="1"/>
  <c r="BZ199" i="1" s="1"/>
  <c r="BY195" i="1"/>
  <c r="BY199" i="1" s="1"/>
  <c r="BX195" i="1"/>
  <c r="BX199" i="1" s="1"/>
  <c r="BW195" i="1"/>
  <c r="BW199" i="1" s="1"/>
  <c r="BU195" i="1"/>
  <c r="BU199" i="1" s="1"/>
  <c r="BT195" i="1"/>
  <c r="BT199" i="1" s="1"/>
  <c r="BS195" i="1"/>
  <c r="BS199" i="1" s="1"/>
  <c r="BR195" i="1"/>
  <c r="BR199" i="1" s="1"/>
  <c r="BP195" i="1"/>
  <c r="BO195" i="1"/>
  <c r="BO199" i="1" s="1"/>
  <c r="BN195" i="1"/>
  <c r="BN199" i="1" s="1"/>
  <c r="BM195" i="1"/>
  <c r="BM199" i="1" s="1"/>
  <c r="BK195" i="1"/>
  <c r="BK199" i="1" s="1"/>
  <c r="BJ195" i="1"/>
  <c r="BI195" i="1"/>
  <c r="BI199" i="1" s="1"/>
  <c r="BH195" i="1"/>
  <c r="BH199" i="1" s="1"/>
  <c r="BF195" i="1"/>
  <c r="BF199" i="1" s="1"/>
  <c r="BE195" i="1"/>
  <c r="BE199" i="1" s="1"/>
  <c r="BD195" i="1"/>
  <c r="BD199" i="1" s="1"/>
  <c r="BC195" i="1"/>
  <c r="BC199" i="1" s="1"/>
  <c r="BA195" i="1"/>
  <c r="AZ195" i="1"/>
  <c r="AY195" i="1"/>
  <c r="AX195" i="1"/>
  <c r="AV195" i="1"/>
  <c r="AU195" i="1"/>
  <c r="AT195" i="1"/>
  <c r="AS195" i="1"/>
  <c r="AR195" i="1"/>
  <c r="AQ195" i="1"/>
  <c r="AP195" i="1"/>
  <c r="AO195" i="1"/>
  <c r="AN195" i="1"/>
  <c r="AM195" i="1"/>
  <c r="AL195" i="1"/>
  <c r="AK195" i="1"/>
  <c r="AJ195" i="1"/>
  <c r="AI195" i="1"/>
  <c r="AH195" i="1"/>
  <c r="AG195" i="1"/>
  <c r="AF195" i="1"/>
  <c r="AE195" i="1"/>
  <c r="AD195" i="1"/>
  <c r="AC195" i="1"/>
  <c r="AB195" i="1"/>
  <c r="AA195" i="1"/>
  <c r="Z195" i="1"/>
  <c r="Y195" i="1"/>
  <c r="X195" i="1"/>
  <c r="W195" i="1"/>
  <c r="V195" i="1"/>
  <c r="U195" i="1"/>
  <c r="T195" i="1"/>
  <c r="S195" i="1"/>
  <c r="R195" i="1"/>
  <c r="Q195" i="1"/>
  <c r="P195" i="1"/>
  <c r="O195" i="1"/>
  <c r="N195" i="1"/>
  <c r="M195" i="1"/>
  <c r="L195" i="1"/>
  <c r="K195" i="1"/>
  <c r="J195" i="1"/>
  <c r="I195" i="1"/>
  <c r="H195" i="1"/>
  <c r="G195" i="1"/>
  <c r="F195" i="1"/>
  <c r="E195" i="1"/>
  <c r="D195" i="1"/>
  <c r="C195" i="1"/>
  <c r="AW195" i="1"/>
  <c r="BA201" i="1"/>
  <c r="AZ201" i="1"/>
  <c r="AY201" i="1"/>
  <c r="AX201" i="1"/>
  <c r="AV201" i="1"/>
  <c r="AT201" i="1"/>
  <c r="AQ201" i="1"/>
  <c r="AP201" i="1"/>
  <c r="AO201" i="1"/>
  <c r="AN201" i="1"/>
  <c r="AL201" i="1"/>
  <c r="AK201" i="1"/>
  <c r="AJ201" i="1"/>
  <c r="AI201" i="1"/>
  <c r="AG201" i="1"/>
  <c r="AF201" i="1"/>
  <c r="AE201" i="1"/>
  <c r="AD201" i="1"/>
  <c r="AB201" i="1"/>
  <c r="AA201" i="1"/>
  <c r="Z201" i="1"/>
  <c r="Y201" i="1"/>
  <c r="W201" i="1"/>
  <c r="V201" i="1"/>
  <c r="U201" i="1"/>
  <c r="T201" i="1"/>
  <c r="R201" i="1"/>
  <c r="Q201" i="1"/>
  <c r="P201" i="1"/>
  <c r="O201" i="1"/>
  <c r="M201" i="1"/>
  <c r="L201" i="1"/>
  <c r="K201" i="1"/>
  <c r="J201" i="1"/>
  <c r="I201" i="1"/>
  <c r="H201" i="1"/>
  <c r="G201" i="1"/>
  <c r="F201" i="1"/>
  <c r="E201" i="1"/>
  <c r="D201" i="1"/>
  <c r="C201" i="1"/>
  <c r="AW171" i="1"/>
  <c r="AV171" i="1"/>
  <c r="AV174" i="1" s="1"/>
  <c r="AV144" i="2" s="1"/>
  <c r="AU171" i="1"/>
  <c r="AU174" i="1" s="1"/>
  <c r="AT171" i="1"/>
  <c r="AT174" i="1" s="1"/>
  <c r="AT144" i="2" s="1"/>
  <c r="AS171" i="1"/>
  <c r="AR171" i="1"/>
  <c r="AQ171" i="1"/>
  <c r="AP171" i="1"/>
  <c r="AP174" i="1" s="1"/>
  <c r="AP144" i="2" s="1"/>
  <c r="AO171" i="1"/>
  <c r="AN171" i="1"/>
  <c r="AN174" i="1" s="1"/>
  <c r="AN144" i="2" s="1"/>
  <c r="AM171" i="1"/>
  <c r="AL171" i="1"/>
  <c r="AL174" i="1" s="1"/>
  <c r="AL144" i="2" s="1"/>
  <c r="AK171" i="1"/>
  <c r="AK174" i="1" s="1"/>
  <c r="AK144" i="2" s="1"/>
  <c r="AJ171" i="1"/>
  <c r="AJ174" i="1" s="1"/>
  <c r="AJ144" i="2" s="1"/>
  <c r="AI171" i="1"/>
  <c r="AI174" i="1" s="1"/>
  <c r="AI144" i="2" s="1"/>
  <c r="AH171" i="1"/>
  <c r="AG171" i="1"/>
  <c r="AG174" i="1" s="1"/>
  <c r="AG144" i="2" s="1"/>
  <c r="AF171" i="1"/>
  <c r="AF174" i="1" s="1"/>
  <c r="AF144" i="2" s="1"/>
  <c r="AE171" i="1"/>
  <c r="AD171" i="1"/>
  <c r="AD174" i="1" s="1"/>
  <c r="AD144" i="2" s="1"/>
  <c r="AC171" i="1"/>
  <c r="AC176" i="2" s="1"/>
  <c r="AB171" i="1"/>
  <c r="AB174" i="1" s="1"/>
  <c r="AB144" i="2" s="1"/>
  <c r="AA171" i="1"/>
  <c r="AA174" i="1" s="1"/>
  <c r="AA144" i="2" s="1"/>
  <c r="Z171" i="1"/>
  <c r="Z174" i="1" s="1"/>
  <c r="Z144" i="2" s="1"/>
  <c r="Y171" i="1"/>
  <c r="Y174" i="1" s="1"/>
  <c r="Y144" i="2" s="1"/>
  <c r="X171" i="1"/>
  <c r="W171" i="1"/>
  <c r="W174" i="1" s="1"/>
  <c r="W144" i="2" s="1"/>
  <c r="V171" i="1"/>
  <c r="V174" i="1" s="1"/>
  <c r="V144" i="2" s="1"/>
  <c r="U171" i="1"/>
  <c r="U174" i="1" s="1"/>
  <c r="U144" i="2" s="1"/>
  <c r="T171" i="1"/>
  <c r="T174" i="1" s="1"/>
  <c r="T144" i="2" s="1"/>
  <c r="S171" i="1"/>
  <c r="S176" i="2" s="1"/>
  <c r="R171" i="1"/>
  <c r="R174" i="1" s="1"/>
  <c r="R144" i="2" s="1"/>
  <c r="Q171" i="1"/>
  <c r="Q174" i="1" s="1"/>
  <c r="Q144" i="2" s="1"/>
  <c r="P171" i="1"/>
  <c r="P174" i="1" s="1"/>
  <c r="P144" i="2" s="1"/>
  <c r="O171" i="1"/>
  <c r="O174" i="1" s="1"/>
  <c r="O144" i="2" s="1"/>
  <c r="N171" i="1"/>
  <c r="M171" i="1"/>
  <c r="L171" i="1"/>
  <c r="L174" i="1" s="1"/>
  <c r="L144" i="2" s="1"/>
  <c r="K171" i="1"/>
  <c r="K174" i="1" s="1"/>
  <c r="K144" i="2" s="1"/>
  <c r="J171" i="1"/>
  <c r="J174" i="1" s="1"/>
  <c r="J144" i="2" s="1"/>
  <c r="I171" i="1"/>
  <c r="H171" i="1"/>
  <c r="H174" i="1" s="1"/>
  <c r="H144" i="2" s="1"/>
  <c r="G171" i="1"/>
  <c r="G174" i="1" s="1"/>
  <c r="G144" i="2" s="1"/>
  <c r="F171" i="1"/>
  <c r="F174" i="1" s="1"/>
  <c r="F144" i="2" s="1"/>
  <c r="E171" i="1"/>
  <c r="E174" i="1" s="1"/>
  <c r="E144" i="2" s="1"/>
  <c r="D171" i="1"/>
  <c r="D174" i="1" s="1"/>
  <c r="D144" i="2" s="1"/>
  <c r="C171" i="1"/>
  <c r="C174" i="1" s="1"/>
  <c r="C144" i="2" s="1"/>
  <c r="BB198" i="1"/>
  <c r="AV139" i="2"/>
  <c r="AT139" i="2"/>
  <c r="AQ139" i="2"/>
  <c r="AP139" i="2"/>
  <c r="AO139" i="2"/>
  <c r="AN139" i="2"/>
  <c r="AL139" i="2"/>
  <c r="AK139" i="2"/>
  <c r="AJ139" i="2"/>
  <c r="AI139" i="2"/>
  <c r="AG139" i="2"/>
  <c r="AF139" i="2"/>
  <c r="AE139" i="2"/>
  <c r="AD139" i="2"/>
  <c r="AB139" i="2"/>
  <c r="AA139" i="2"/>
  <c r="Z139" i="2"/>
  <c r="Y139" i="2"/>
  <c r="W139" i="2"/>
  <c r="V139" i="2"/>
  <c r="U139" i="2"/>
  <c r="T139" i="2"/>
  <c r="R139" i="2"/>
  <c r="Q139" i="2"/>
  <c r="P139" i="2"/>
  <c r="O139" i="2"/>
  <c r="M139" i="2"/>
  <c r="M175" i="2" s="1"/>
  <c r="L139" i="2"/>
  <c r="L175" i="2" s="1"/>
  <c r="K139" i="2"/>
  <c r="K175" i="2" s="1"/>
  <c r="J139" i="2"/>
  <c r="J175" i="2" s="1"/>
  <c r="I139" i="2"/>
  <c r="H139" i="2"/>
  <c r="G139" i="2"/>
  <c r="F139" i="2"/>
  <c r="E139" i="2"/>
  <c r="D139" i="2"/>
  <c r="D175" i="2" s="1"/>
  <c r="C139" i="2"/>
  <c r="C175" i="2" s="1"/>
  <c r="I176" i="2" l="1"/>
  <c r="I174" i="1"/>
  <c r="I144" i="2" s="1"/>
  <c r="M176" i="2"/>
  <c r="M174" i="1"/>
  <c r="M144" i="2" s="1"/>
  <c r="AO176" i="2"/>
  <c r="AO174" i="1"/>
  <c r="AO144" i="2" s="1"/>
  <c r="AS176" i="2"/>
  <c r="AS174" i="1"/>
  <c r="AE176" i="2"/>
  <c r="AE174" i="1"/>
  <c r="AE144" i="2" s="1"/>
  <c r="AQ176" i="2"/>
  <c r="AQ174" i="1"/>
  <c r="AQ144" i="2" s="1"/>
  <c r="AO140" i="2"/>
  <c r="AS140" i="2"/>
  <c r="I140" i="2"/>
  <c r="AC140" i="2"/>
  <c r="AE140" i="2"/>
  <c r="AQ140" i="2"/>
  <c r="S140" i="2"/>
  <c r="E140" i="2"/>
  <c r="E176" i="2"/>
  <c r="Q140" i="2"/>
  <c r="Q176" i="2"/>
  <c r="U140" i="2"/>
  <c r="U176" i="2"/>
  <c r="Y140" i="2"/>
  <c r="Y176" i="2"/>
  <c r="AG140" i="2"/>
  <c r="AG176" i="2"/>
  <c r="AK140" i="2"/>
  <c r="AK176" i="2"/>
  <c r="AW140" i="2"/>
  <c r="AW176" i="2"/>
  <c r="BA140" i="2"/>
  <c r="BA176" i="2"/>
  <c r="F140" i="2"/>
  <c r="F176" i="2"/>
  <c r="J140" i="2"/>
  <c r="J176" i="2"/>
  <c r="N140" i="2"/>
  <c r="N176" i="2"/>
  <c r="R140" i="2"/>
  <c r="R176" i="2"/>
  <c r="V140" i="2"/>
  <c r="V176" i="2"/>
  <c r="Z140" i="2"/>
  <c r="Z176" i="2"/>
  <c r="AD140" i="2"/>
  <c r="AD176" i="2"/>
  <c r="AH140" i="2"/>
  <c r="AH176" i="2"/>
  <c r="AL140" i="2"/>
  <c r="AL176" i="2"/>
  <c r="AP140" i="2"/>
  <c r="AP176" i="2"/>
  <c r="AT140" i="2"/>
  <c r="AT176" i="2"/>
  <c r="AX140" i="2"/>
  <c r="AX176" i="2"/>
  <c r="C140" i="2"/>
  <c r="C176" i="2"/>
  <c r="G140" i="2"/>
  <c r="G176" i="2"/>
  <c r="K140" i="2"/>
  <c r="K176" i="2"/>
  <c r="O140" i="2"/>
  <c r="O176" i="2"/>
  <c r="W140" i="2"/>
  <c r="W176" i="2"/>
  <c r="AA140" i="2"/>
  <c r="AA176" i="2"/>
  <c r="AI140" i="2"/>
  <c r="AI176" i="2"/>
  <c r="AM140" i="2"/>
  <c r="AM176" i="2"/>
  <c r="AU140" i="2"/>
  <c r="AU176" i="2"/>
  <c r="AY140" i="2"/>
  <c r="AY176" i="2"/>
  <c r="M140" i="2"/>
  <c r="D140" i="2"/>
  <c r="D176" i="2"/>
  <c r="H140" i="2"/>
  <c r="H176" i="2"/>
  <c r="L140" i="2"/>
  <c r="L176" i="2"/>
  <c r="P140" i="2"/>
  <c r="P176" i="2"/>
  <c r="T140" i="2"/>
  <c r="T176" i="2"/>
  <c r="X140" i="2"/>
  <c r="X176" i="2"/>
  <c r="AB140" i="2"/>
  <c r="AB176" i="2"/>
  <c r="AF140" i="2"/>
  <c r="AF176" i="2"/>
  <c r="AJ140" i="2"/>
  <c r="AJ176" i="2"/>
  <c r="AN140" i="2"/>
  <c r="AN176" i="2"/>
  <c r="AR140" i="2"/>
  <c r="AR176" i="2"/>
  <c r="AV140" i="2"/>
  <c r="AV176" i="2"/>
  <c r="AZ140" i="2"/>
  <c r="AZ176" i="2"/>
  <c r="E175" i="2"/>
  <c r="E212" i="2"/>
  <c r="I175" i="2"/>
  <c r="I212" i="2"/>
  <c r="R175" i="2"/>
  <c r="R212" i="2"/>
  <c r="W175" i="2"/>
  <c r="W212" i="2"/>
  <c r="AB175" i="2"/>
  <c r="AB212" i="2"/>
  <c r="AG175" i="2"/>
  <c r="AG212" i="2"/>
  <c r="AL175" i="2"/>
  <c r="AL212" i="2"/>
  <c r="AQ175" i="2"/>
  <c r="AQ212" i="2"/>
  <c r="AV175" i="2"/>
  <c r="AV212" i="2"/>
  <c r="H175" i="2"/>
  <c r="H212" i="2"/>
  <c r="V175" i="2"/>
  <c r="V212" i="2"/>
  <c r="AF175" i="2"/>
  <c r="AF212" i="2"/>
  <c r="AP175" i="2"/>
  <c r="AP212" i="2"/>
  <c r="F175" i="2"/>
  <c r="F212" i="2"/>
  <c r="O175" i="2"/>
  <c r="O212" i="2"/>
  <c r="T175" i="2"/>
  <c r="T212" i="2"/>
  <c r="Y175" i="2"/>
  <c r="Y212" i="2"/>
  <c r="AD175" i="2"/>
  <c r="AD212" i="2"/>
  <c r="AI175" i="2"/>
  <c r="AI212" i="2"/>
  <c r="AN175" i="2"/>
  <c r="AN212" i="2"/>
  <c r="Q175" i="2"/>
  <c r="Q212" i="2"/>
  <c r="AA175" i="2"/>
  <c r="AA212" i="2"/>
  <c r="AK175" i="2"/>
  <c r="AK212" i="2"/>
  <c r="G175" i="2"/>
  <c r="G212" i="2"/>
  <c r="P175" i="2"/>
  <c r="P212" i="2"/>
  <c r="U175" i="2"/>
  <c r="U212" i="2"/>
  <c r="Z175" i="2"/>
  <c r="Z212" i="2"/>
  <c r="AE175" i="2"/>
  <c r="AE212" i="2"/>
  <c r="AJ175" i="2"/>
  <c r="AJ212" i="2"/>
  <c r="AO175" i="2"/>
  <c r="AO212" i="2"/>
  <c r="AT175" i="2"/>
  <c r="AT212" i="2"/>
  <c r="AV133" i="2"/>
  <c r="AU133" i="2"/>
  <c r="AT133" i="2"/>
  <c r="AS133" i="2"/>
  <c r="AQ133" i="2"/>
  <c r="AP133" i="2"/>
  <c r="AO133" i="2"/>
  <c r="AN133" i="2"/>
  <c r="AL133" i="2"/>
  <c r="AK133" i="2"/>
  <c r="AJ133" i="2"/>
  <c r="AI133" i="2"/>
  <c r="AG133" i="2"/>
  <c r="AF133" i="2"/>
  <c r="AE133" i="2"/>
  <c r="AD133" i="2"/>
  <c r="AB133" i="2"/>
  <c r="AA133" i="2"/>
  <c r="Z133" i="2"/>
  <c r="Y133" i="2"/>
  <c r="W133" i="2"/>
  <c r="V133" i="2"/>
  <c r="U133" i="2"/>
  <c r="T133" i="2"/>
  <c r="R133" i="2"/>
  <c r="Q133" i="2"/>
  <c r="P133" i="2"/>
  <c r="O133" i="2"/>
  <c r="M133" i="2"/>
  <c r="L133" i="2"/>
  <c r="K133" i="2"/>
  <c r="J133" i="2"/>
  <c r="I133" i="2"/>
  <c r="H133" i="2"/>
  <c r="G133" i="2"/>
  <c r="F133" i="2"/>
  <c r="F169" i="2" s="1"/>
  <c r="E133" i="2"/>
  <c r="E169" i="2" s="1"/>
  <c r="D133" i="2"/>
  <c r="D169" i="2" s="1"/>
  <c r="C133" i="2"/>
  <c r="C169" i="2" s="1"/>
  <c r="CJ132" i="2"/>
  <c r="CI132" i="2"/>
  <c r="CH132" i="2"/>
  <c r="CG132" i="2"/>
  <c r="AV132" i="2"/>
  <c r="AU132" i="2"/>
  <c r="AT132" i="2"/>
  <c r="AS132" i="2"/>
  <c r="AQ132" i="2"/>
  <c r="AP132" i="2"/>
  <c r="AO132" i="2"/>
  <c r="AN132" i="2"/>
  <c r="AL132" i="2"/>
  <c r="AK132" i="2"/>
  <c r="AJ132" i="2"/>
  <c r="AI132" i="2"/>
  <c r="AG132" i="2"/>
  <c r="AF132" i="2"/>
  <c r="AE132" i="2"/>
  <c r="AD132" i="2"/>
  <c r="AB132" i="2"/>
  <c r="AA132" i="2"/>
  <c r="Z132" i="2"/>
  <c r="Y132" i="2"/>
  <c r="W132" i="2"/>
  <c r="V132" i="2"/>
  <c r="U132" i="2"/>
  <c r="T132" i="2"/>
  <c r="R132" i="2"/>
  <c r="Q132" i="2"/>
  <c r="P132" i="2"/>
  <c r="O132" i="2"/>
  <c r="M132" i="2"/>
  <c r="L132" i="2"/>
  <c r="K132" i="2"/>
  <c r="J132" i="2"/>
  <c r="I132" i="2"/>
  <c r="H132" i="2"/>
  <c r="G132" i="2"/>
  <c r="F132" i="2"/>
  <c r="F168" i="2" s="1"/>
  <c r="E132" i="2"/>
  <c r="E168" i="2" s="1"/>
  <c r="D132" i="2"/>
  <c r="D168" i="2" s="1"/>
  <c r="C132" i="2"/>
  <c r="C168" i="2" s="1"/>
  <c r="CA196" i="1"/>
  <c r="CF196" i="1"/>
  <c r="DN17" i="13" l="1"/>
  <c r="DO17" i="13" s="1"/>
  <c r="DP17" i="13" s="1"/>
  <c r="DQ17" i="13" s="1"/>
  <c r="CF201" i="1"/>
  <c r="G137" i="2"/>
  <c r="P137" i="2"/>
  <c r="Z137" i="2"/>
  <c r="AJ137" i="2"/>
  <c r="AO137" i="2"/>
  <c r="C137" i="2"/>
  <c r="C173" i="2" s="1"/>
  <c r="K137" i="2"/>
  <c r="U137" i="2"/>
  <c r="AE137" i="2"/>
  <c r="AT137" i="2"/>
  <c r="D137" i="2"/>
  <c r="D173" i="2" s="1"/>
  <c r="L137" i="2"/>
  <c r="V137" i="2"/>
  <c r="AF137" i="2"/>
  <c r="AP137" i="2"/>
  <c r="H137" i="2"/>
  <c r="Q137" i="2"/>
  <c r="AA137" i="2"/>
  <c r="AK137" i="2"/>
  <c r="AU137" i="2"/>
  <c r="E137" i="2"/>
  <c r="E173" i="2" s="1"/>
  <c r="I137" i="2"/>
  <c r="M137" i="2"/>
  <c r="R137" i="2"/>
  <c r="W137" i="2"/>
  <c r="AB137" i="2"/>
  <c r="AG137" i="2"/>
  <c r="AL137" i="2"/>
  <c r="AQ137" i="2"/>
  <c r="AV137" i="2"/>
  <c r="F137" i="2"/>
  <c r="F173" i="2" s="1"/>
  <c r="J137" i="2"/>
  <c r="O137" i="2"/>
  <c r="T137" i="2"/>
  <c r="Y137" i="2"/>
  <c r="AD137" i="2"/>
  <c r="AI137" i="2"/>
  <c r="AN137" i="2"/>
  <c r="AS137" i="2"/>
  <c r="AV139" i="1"/>
  <c r="AU139" i="1"/>
  <c r="AT139" i="1"/>
  <c r="AS139" i="1"/>
  <c r="AQ139" i="1"/>
  <c r="AP139" i="1"/>
  <c r="AO139" i="1"/>
  <c r="AN139" i="1"/>
  <c r="AL139" i="1"/>
  <c r="AK139" i="1"/>
  <c r="AJ139" i="1"/>
  <c r="AI139" i="1"/>
  <c r="AG139" i="1"/>
  <c r="AF139" i="1"/>
  <c r="AE139" i="1"/>
  <c r="AD139" i="1"/>
  <c r="AB139" i="1"/>
  <c r="AA139" i="1"/>
  <c r="Z139" i="1"/>
  <c r="Y139" i="1"/>
  <c r="W139" i="1"/>
  <c r="V139" i="1"/>
  <c r="U139" i="1"/>
  <c r="T139" i="1"/>
  <c r="R139" i="1"/>
  <c r="Q139" i="1"/>
  <c r="P139" i="1"/>
  <c r="O139" i="1"/>
  <c r="M139" i="1"/>
  <c r="L139" i="1"/>
  <c r="K139" i="1"/>
  <c r="J139" i="1"/>
  <c r="I139" i="1"/>
  <c r="H139" i="1"/>
  <c r="G139" i="1"/>
  <c r="F139" i="1"/>
  <c r="E139" i="1"/>
  <c r="E62" i="2" s="1"/>
  <c r="E153" i="2" s="1"/>
  <c r="D139" i="1"/>
  <c r="D62" i="2" s="1"/>
  <c r="D153" i="2" s="1"/>
  <c r="C139" i="1"/>
  <c r="C62" i="2" s="1"/>
  <c r="C153" i="2" s="1"/>
  <c r="BA161" i="1"/>
  <c r="BA139" i="1" s="1"/>
  <c r="BA62" i="2" s="1"/>
  <c r="AZ161" i="1"/>
  <c r="AZ139" i="1" s="1"/>
  <c r="AZ62" i="2" s="1"/>
  <c r="AY161" i="1"/>
  <c r="AX161" i="1"/>
  <c r="AX139" i="1" s="1"/>
  <c r="CH96" i="2"/>
  <c r="CH95" i="2"/>
  <c r="CL65" i="2"/>
  <c r="CM65" i="2"/>
  <c r="CN65" i="2"/>
  <c r="CO65" i="2"/>
  <c r="CP65" i="2"/>
  <c r="CL66" i="2"/>
  <c r="CM66" i="2"/>
  <c r="CN66" i="2"/>
  <c r="CO66" i="2"/>
  <c r="CP66" i="2"/>
  <c r="CL67" i="2"/>
  <c r="CM67" i="2"/>
  <c r="CN67" i="2"/>
  <c r="CO67" i="2"/>
  <c r="CL68" i="2"/>
  <c r="CM68" i="2"/>
  <c r="CN68" i="2"/>
  <c r="CO68" i="2"/>
  <c r="CP68" i="2"/>
  <c r="CP61" i="2"/>
  <c r="BA68" i="2"/>
  <c r="AZ68" i="2"/>
  <c r="BA67" i="2"/>
  <c r="AZ67" i="2"/>
  <c r="AY67" i="2"/>
  <c r="AX67" i="2"/>
  <c r="AX76" i="2"/>
  <c r="AX75" i="2"/>
  <c r="AY76" i="2"/>
  <c r="AY75" i="2"/>
  <c r="CP76" i="2"/>
  <c r="CO76" i="2"/>
  <c r="CN76" i="2"/>
  <c r="CM76" i="2"/>
  <c r="CL76" i="2"/>
  <c r="CK76" i="2"/>
  <c r="CJ76" i="2"/>
  <c r="CI76" i="2"/>
  <c r="CH76" i="2"/>
  <c r="CG76" i="2"/>
  <c r="CF76" i="2"/>
  <c r="CE76" i="2"/>
  <c r="CD76" i="2"/>
  <c r="CC76" i="2"/>
  <c r="CB76" i="2"/>
  <c r="CA76" i="2"/>
  <c r="BZ76" i="2"/>
  <c r="BY76" i="2"/>
  <c r="BX76" i="2"/>
  <c r="BW76" i="2"/>
  <c r="BV76" i="2"/>
  <c r="BU76" i="2"/>
  <c r="BT76" i="2"/>
  <c r="BS76" i="2"/>
  <c r="BR76" i="2"/>
  <c r="BQ76" i="2"/>
  <c r="BP76" i="2"/>
  <c r="BO76" i="2"/>
  <c r="BN76" i="2"/>
  <c r="BM76" i="2"/>
  <c r="BL76" i="2"/>
  <c r="BK76" i="2"/>
  <c r="BJ76" i="2"/>
  <c r="BI76" i="2"/>
  <c r="BH76" i="2"/>
  <c r="BG76" i="2"/>
  <c r="BF76" i="2"/>
  <c r="BE76" i="2"/>
  <c r="BD76" i="2"/>
  <c r="BC76" i="2"/>
  <c r="BB76" i="2"/>
  <c r="BA76" i="2"/>
  <c r="CP75" i="2"/>
  <c r="CO75" i="2"/>
  <c r="CN75" i="2"/>
  <c r="CM75" i="2"/>
  <c r="CL75" i="2"/>
  <c r="CK75" i="2"/>
  <c r="CJ75" i="2"/>
  <c r="CI75" i="2"/>
  <c r="CH75" i="2"/>
  <c r="CG75" i="2"/>
  <c r="CF75" i="2"/>
  <c r="CE75" i="2"/>
  <c r="CD75" i="2"/>
  <c r="CC75" i="2"/>
  <c r="CB75" i="2"/>
  <c r="CA75" i="2"/>
  <c r="BZ75" i="2"/>
  <c r="BY75" i="2"/>
  <c r="BX75" i="2"/>
  <c r="BW75" i="2"/>
  <c r="BV75" i="2"/>
  <c r="BU75" i="2"/>
  <c r="BT75" i="2"/>
  <c r="BS75" i="2"/>
  <c r="BR75" i="2"/>
  <c r="BQ75" i="2"/>
  <c r="BP75" i="2"/>
  <c r="BO75" i="2"/>
  <c r="BN75" i="2"/>
  <c r="BM75" i="2"/>
  <c r="BL75" i="2"/>
  <c r="BK75" i="2"/>
  <c r="BJ75" i="2"/>
  <c r="BI75" i="2"/>
  <c r="BH75" i="2"/>
  <c r="BG75" i="2"/>
  <c r="BF75" i="2"/>
  <c r="BE75" i="2"/>
  <c r="BD75" i="2"/>
  <c r="BC75" i="2"/>
  <c r="BB75" i="2"/>
  <c r="BA75" i="2"/>
  <c r="AZ76" i="2"/>
  <c r="AZ75" i="2"/>
  <c r="CP74" i="2"/>
  <c r="CO74" i="2"/>
  <c r="CN74" i="2"/>
  <c r="CM74" i="2"/>
  <c r="CL74" i="2"/>
  <c r="CF74" i="2"/>
  <c r="CE74" i="2"/>
  <c r="CD74" i="2"/>
  <c r="CC74" i="2"/>
  <c r="CB74" i="2"/>
  <c r="CA74" i="2"/>
  <c r="BZ74" i="2"/>
  <c r="BY74" i="2"/>
  <c r="BX74" i="2"/>
  <c r="BW74" i="2"/>
  <c r="BV74" i="2"/>
  <c r="BU74" i="2"/>
  <c r="BT74" i="2"/>
  <c r="BS74" i="2"/>
  <c r="BR74" i="2"/>
  <c r="BQ74" i="2"/>
  <c r="BP74" i="2"/>
  <c r="BO74" i="2"/>
  <c r="BN74" i="2"/>
  <c r="BM74" i="2"/>
  <c r="BK74" i="2"/>
  <c r="BJ74" i="2"/>
  <c r="BI74" i="2"/>
  <c r="BH74" i="2"/>
  <c r="BF74" i="2"/>
  <c r="BE74" i="2"/>
  <c r="BD74" i="2"/>
  <c r="BC74" i="2"/>
  <c r="BA74" i="2"/>
  <c r="AZ74" i="2"/>
  <c r="CP73" i="2"/>
  <c r="CO73" i="2"/>
  <c r="CN73" i="2"/>
  <c r="CM73" i="2"/>
  <c r="CL73" i="2"/>
  <c r="CK73" i="2"/>
  <c r="CJ73" i="2"/>
  <c r="CI73" i="2"/>
  <c r="CH73" i="2"/>
  <c r="CG73" i="2"/>
  <c r="CF73" i="2"/>
  <c r="CE73" i="2"/>
  <c r="CD73" i="2"/>
  <c r="CC73" i="2"/>
  <c r="CB73" i="2"/>
  <c r="CA73" i="2"/>
  <c r="BZ73" i="2"/>
  <c r="BY73" i="2"/>
  <c r="BX73" i="2"/>
  <c r="BW73" i="2"/>
  <c r="BV73" i="2"/>
  <c r="BU73" i="2"/>
  <c r="BT73" i="2"/>
  <c r="BS73" i="2"/>
  <c r="BR73" i="2"/>
  <c r="BQ73" i="2"/>
  <c r="BP73" i="2"/>
  <c r="BO73" i="2"/>
  <c r="BN73" i="2"/>
  <c r="BM73" i="2"/>
  <c r="BK73" i="2"/>
  <c r="BJ73" i="2"/>
  <c r="BI73" i="2"/>
  <c r="BH73" i="2"/>
  <c r="BG73" i="2"/>
  <c r="BF73" i="2"/>
  <c r="BE73" i="2"/>
  <c r="BD73" i="2"/>
  <c r="BC73" i="2"/>
  <c r="BB73" i="2"/>
  <c r="BA73" i="2"/>
  <c r="AZ73" i="2"/>
  <c r="CK68" i="2"/>
  <c r="CJ68" i="2"/>
  <c r="CI68" i="2"/>
  <c r="CH68" i="2"/>
  <c r="CG68" i="2"/>
  <c r="CF68" i="2"/>
  <c r="CE68" i="2"/>
  <c r="CD68" i="2"/>
  <c r="CC68" i="2"/>
  <c r="CB68" i="2"/>
  <c r="CA68" i="2"/>
  <c r="BZ68" i="2"/>
  <c r="BY68" i="2"/>
  <c r="BX68" i="2"/>
  <c r="BW68" i="2"/>
  <c r="BV68" i="2"/>
  <c r="BU68" i="2"/>
  <c r="BT68" i="2"/>
  <c r="BS68" i="2"/>
  <c r="BR68" i="2"/>
  <c r="BQ68" i="2"/>
  <c r="BP68" i="2"/>
  <c r="BO68" i="2"/>
  <c r="BN68" i="2"/>
  <c r="BM68" i="2"/>
  <c r="BL68" i="2"/>
  <c r="BK68" i="2"/>
  <c r="BJ68" i="2"/>
  <c r="BI68" i="2"/>
  <c r="BH68" i="2"/>
  <c r="BG68" i="2"/>
  <c r="BF68" i="2"/>
  <c r="BE68" i="2"/>
  <c r="BD68" i="2"/>
  <c r="BC68" i="2"/>
  <c r="CJ67" i="2"/>
  <c r="CI67" i="2"/>
  <c r="CH67" i="2"/>
  <c r="CG67" i="2"/>
  <c r="CF67" i="2"/>
  <c r="CE67" i="2"/>
  <c r="CD67" i="2"/>
  <c r="CC67" i="2"/>
  <c r="CB67" i="2"/>
  <c r="CA67" i="2"/>
  <c r="BZ67" i="2"/>
  <c r="BY67" i="2"/>
  <c r="BX67" i="2"/>
  <c r="BM67" i="2"/>
  <c r="BJ67" i="2"/>
  <c r="BI67" i="2"/>
  <c r="BH67" i="2"/>
  <c r="BF67" i="2"/>
  <c r="BE67" i="2"/>
  <c r="BD67" i="2"/>
  <c r="BC67" i="2"/>
  <c r="CJ66" i="2"/>
  <c r="CI66" i="2"/>
  <c r="CH66" i="2"/>
  <c r="CG66" i="2"/>
  <c r="CE66" i="2"/>
  <c r="CD66" i="2"/>
  <c r="CC66" i="2"/>
  <c r="CB66" i="2"/>
  <c r="CA66" i="2"/>
  <c r="BZ66" i="2"/>
  <c r="BY66" i="2"/>
  <c r="BX66" i="2"/>
  <c r="BW66" i="2"/>
  <c r="BV66" i="2"/>
  <c r="BU66" i="2"/>
  <c r="BT66" i="2"/>
  <c r="BS66" i="2"/>
  <c r="BR66" i="2"/>
  <c r="BQ66" i="2"/>
  <c r="BP66" i="2"/>
  <c r="BO66" i="2"/>
  <c r="BN66" i="2"/>
  <c r="BM66" i="2"/>
  <c r="BL66" i="2"/>
  <c r="BK66" i="2"/>
  <c r="BJ66" i="2"/>
  <c r="BI66" i="2"/>
  <c r="BH66" i="2"/>
  <c r="BF66" i="2"/>
  <c r="BE66" i="2"/>
  <c r="BD66" i="2"/>
  <c r="BC66" i="2"/>
  <c r="BA66" i="2"/>
  <c r="AZ66" i="2"/>
  <c r="CK65" i="2"/>
  <c r="CJ65" i="2"/>
  <c r="CI65" i="2"/>
  <c r="CH65" i="2"/>
  <c r="CG65" i="2"/>
  <c r="CF65" i="2"/>
  <c r="CE65" i="2"/>
  <c r="CD65" i="2"/>
  <c r="CC65" i="2"/>
  <c r="CB65" i="2"/>
  <c r="CA65" i="2"/>
  <c r="BZ65" i="2"/>
  <c r="BY65" i="2"/>
  <c r="BX65" i="2"/>
  <c r="BW65" i="2"/>
  <c r="BV65" i="2"/>
  <c r="BU65" i="2"/>
  <c r="BT65" i="2"/>
  <c r="BS65" i="2"/>
  <c r="BR65" i="2"/>
  <c r="BQ65" i="2"/>
  <c r="BP65" i="2"/>
  <c r="BO65" i="2"/>
  <c r="BN65" i="2"/>
  <c r="BM65" i="2"/>
  <c r="BL65" i="2"/>
  <c r="BK65" i="2"/>
  <c r="BJ65" i="2"/>
  <c r="BI65" i="2"/>
  <c r="BH65" i="2"/>
  <c r="BF65" i="2"/>
  <c r="BE65" i="2"/>
  <c r="BD65" i="2"/>
  <c r="BC65" i="2"/>
  <c r="BA65" i="2"/>
  <c r="AZ65" i="2"/>
  <c r="CJ14" i="2"/>
  <c r="CI14" i="2"/>
  <c r="CH14" i="2"/>
  <c r="CG14" i="2"/>
  <c r="CE14" i="2"/>
  <c r="CD14" i="2"/>
  <c r="CC14" i="2"/>
  <c r="CB14" i="2"/>
  <c r="BZ14" i="2"/>
  <c r="BY14" i="2"/>
  <c r="BX14" i="2"/>
  <c r="BW14" i="2"/>
  <c r="BU14" i="2"/>
  <c r="BT14" i="2"/>
  <c r="BS14" i="2"/>
  <c r="BR14" i="2"/>
  <c r="BP14" i="2"/>
  <c r="BO14" i="2"/>
  <c r="BN14" i="2"/>
  <c r="BM14" i="2"/>
  <c r="BK14" i="2"/>
  <c r="BJ14" i="2"/>
  <c r="BI14" i="2"/>
  <c r="BH14" i="2"/>
  <c r="BF14" i="2"/>
  <c r="BE14" i="2"/>
  <c r="BD14" i="2"/>
  <c r="BC14" i="2"/>
  <c r="BA14" i="2"/>
  <c r="AZ14" i="2"/>
  <c r="AY14" i="2"/>
  <c r="AX14" i="2"/>
  <c r="AV14" i="2"/>
  <c r="AU14" i="2"/>
  <c r="AT14" i="2"/>
  <c r="AS14" i="2"/>
  <c r="AQ14" i="2"/>
  <c r="AP14" i="2"/>
  <c r="AO14" i="2"/>
  <c r="AN14" i="2"/>
  <c r="AL14" i="2"/>
  <c r="AK14" i="2"/>
  <c r="AJ14" i="2"/>
  <c r="AI14" i="2"/>
  <c r="AG14" i="2"/>
  <c r="AF14" i="2"/>
  <c r="AE14" i="2"/>
  <c r="AD14" i="2"/>
  <c r="AB14" i="2"/>
  <c r="AA14" i="2"/>
  <c r="Z14" i="2"/>
  <c r="Y14" i="2"/>
  <c r="W14" i="2"/>
  <c r="V14" i="2"/>
  <c r="U14" i="2"/>
  <c r="T14" i="2"/>
  <c r="R14" i="2"/>
  <c r="Q14" i="2"/>
  <c r="P14" i="2"/>
  <c r="O14" i="2"/>
  <c r="M14" i="2"/>
  <c r="L14" i="2"/>
  <c r="K14" i="2"/>
  <c r="J14" i="2"/>
  <c r="I14" i="2"/>
  <c r="H14" i="2"/>
  <c r="G14" i="2"/>
  <c r="F14" i="2"/>
  <c r="F189" i="2" s="1"/>
  <c r="E14" i="2"/>
  <c r="E189" i="2" s="1"/>
  <c r="D14" i="2"/>
  <c r="D189" i="2" s="1"/>
  <c r="BA26" i="2"/>
  <c r="AZ26" i="2"/>
  <c r="AY26" i="2"/>
  <c r="AX26" i="2"/>
  <c r="AV26" i="2"/>
  <c r="AU26" i="2"/>
  <c r="AT26" i="2"/>
  <c r="AS26" i="2"/>
  <c r="AQ26" i="2"/>
  <c r="AP26" i="2"/>
  <c r="AO26" i="2"/>
  <c r="AN26" i="2"/>
  <c r="AL26" i="2"/>
  <c r="AK26" i="2"/>
  <c r="AJ26" i="2"/>
  <c r="AI26" i="2"/>
  <c r="AG26" i="2"/>
  <c r="AF26" i="2"/>
  <c r="AE26" i="2"/>
  <c r="AD26" i="2"/>
  <c r="AB26" i="2"/>
  <c r="AA26" i="2"/>
  <c r="Z26" i="2"/>
  <c r="Y26" i="2"/>
  <c r="W26" i="2"/>
  <c r="V26" i="2"/>
  <c r="U26" i="2"/>
  <c r="T26" i="2"/>
  <c r="R26" i="2"/>
  <c r="Q26" i="2"/>
  <c r="P26" i="2"/>
  <c r="O26" i="2"/>
  <c r="M26" i="2"/>
  <c r="L26" i="2"/>
  <c r="K26" i="2"/>
  <c r="J26" i="2"/>
  <c r="I26" i="2"/>
  <c r="H26" i="2"/>
  <c r="G26" i="2"/>
  <c r="F26" i="2"/>
  <c r="F190" i="2" s="1"/>
  <c r="E26" i="2"/>
  <c r="E190" i="2" s="1"/>
  <c r="D26" i="2"/>
  <c r="D190" i="2" s="1"/>
  <c r="C26" i="2"/>
  <c r="C190" i="2" s="1"/>
  <c r="C14" i="2"/>
  <c r="C189" i="2" s="1"/>
  <c r="AY44" i="2"/>
  <c r="AY68" i="2" s="1"/>
  <c r="AX44" i="2"/>
  <c r="AX68" i="2" s="1"/>
  <c r="AV44" i="2"/>
  <c r="AU44" i="2"/>
  <c r="BP32" i="2"/>
  <c r="BP67" i="2" s="1"/>
  <c r="BO32" i="2"/>
  <c r="BO67" i="2" s="1"/>
  <c r="BN32" i="2"/>
  <c r="BN67" i="2" s="1"/>
  <c r="BW31" i="2"/>
  <c r="BW67" i="2" s="1"/>
  <c r="BU31" i="2"/>
  <c r="BU67" i="2" s="1"/>
  <c r="BT31" i="2"/>
  <c r="BT67" i="2" s="1"/>
  <c r="BS31" i="2"/>
  <c r="BR31" i="2"/>
  <c r="BR67" i="2" s="1"/>
  <c r="BB35" i="2"/>
  <c r="AS35" i="2"/>
  <c r="AW35" i="2" s="1"/>
  <c r="BG34" i="2"/>
  <c r="BG67" i="2" s="1"/>
  <c r="BB34" i="2"/>
  <c r="BQ33" i="2"/>
  <c r="BK33" i="2"/>
  <c r="BL33" i="2" s="1"/>
  <c r="BL67" i="2" s="1"/>
  <c r="CP29" i="2"/>
  <c r="CK29" i="2"/>
  <c r="CK67" i="2" s="1"/>
  <c r="DR17" i="13" l="1"/>
  <c r="CO82" i="2"/>
  <c r="CN82" i="2"/>
  <c r="CL82" i="2"/>
  <c r="CM82" i="2"/>
  <c r="F178" i="2"/>
  <c r="D178" i="2"/>
  <c r="D195" i="2" s="1"/>
  <c r="D194" i="2"/>
  <c r="E178" i="2"/>
  <c r="E195" i="2" s="1"/>
  <c r="E194" i="2"/>
  <c r="C178" i="2"/>
  <c r="C195" i="2" s="1"/>
  <c r="C194" i="2"/>
  <c r="M173" i="2"/>
  <c r="I173" i="2"/>
  <c r="D152" i="2"/>
  <c r="O173" i="2"/>
  <c r="E152" i="2"/>
  <c r="C152" i="2"/>
  <c r="P173" i="2"/>
  <c r="H173" i="2"/>
  <c r="L173" i="2"/>
  <c r="K173" i="2"/>
  <c r="J173" i="2"/>
  <c r="R173" i="2"/>
  <c r="Q173" i="2"/>
  <c r="G173" i="2"/>
  <c r="D105" i="2"/>
  <c r="AX117" i="2"/>
  <c r="AZ117" i="2"/>
  <c r="BA117" i="2"/>
  <c r="AY117" i="2"/>
  <c r="E105" i="2"/>
  <c r="AY139" i="1"/>
  <c r="AY62" i="2" s="1"/>
  <c r="AX62" i="2"/>
  <c r="CM70" i="2"/>
  <c r="CL70" i="2"/>
  <c r="CN70" i="2"/>
  <c r="BP70" i="2"/>
  <c r="BH70" i="2"/>
  <c r="CP67" i="2"/>
  <c r="CP70" i="2" s="1"/>
  <c r="CO70" i="2"/>
  <c r="CG70" i="2"/>
  <c r="BX70" i="2"/>
  <c r="BB67" i="2"/>
  <c r="BK67" i="2"/>
  <c r="CC70" i="2"/>
  <c r="BD70" i="2"/>
  <c r="BN78" i="2"/>
  <c r="CD78" i="2"/>
  <c r="BI70" i="2"/>
  <c r="BM70" i="2"/>
  <c r="BU70" i="2"/>
  <c r="BY70" i="2"/>
  <c r="CH78" i="2"/>
  <c r="CL78" i="2"/>
  <c r="CP78" i="2"/>
  <c r="BE70" i="2"/>
  <c r="BR78" i="2"/>
  <c r="BV78" i="2"/>
  <c r="BZ78" i="2"/>
  <c r="BF78" i="2"/>
  <c r="BJ78" i="2"/>
  <c r="BL70" i="2"/>
  <c r="BT70" i="2"/>
  <c r="CB70" i="2"/>
  <c r="CJ70" i="2"/>
  <c r="AZ78" i="2"/>
  <c r="BD78" i="2"/>
  <c r="BH78" i="2"/>
  <c r="BP78" i="2"/>
  <c r="BT78" i="2"/>
  <c r="BX78" i="2"/>
  <c r="CB78" i="2"/>
  <c r="CF78" i="2"/>
  <c r="CJ78" i="2"/>
  <c r="CN78" i="2"/>
  <c r="BC78" i="2"/>
  <c r="BK78" i="2"/>
  <c r="BO78" i="2"/>
  <c r="BS78" i="2"/>
  <c r="BW78" i="2"/>
  <c r="CA78" i="2"/>
  <c r="CE78" i="2"/>
  <c r="CI78" i="2"/>
  <c r="CM78" i="2"/>
  <c r="AZ70" i="2"/>
  <c r="BA78" i="2"/>
  <c r="BE78" i="2"/>
  <c r="BI78" i="2"/>
  <c r="BM78" i="2"/>
  <c r="BQ78" i="2"/>
  <c r="BU78" i="2"/>
  <c r="BY78" i="2"/>
  <c r="CC78" i="2"/>
  <c r="CG78" i="2"/>
  <c r="CO78" i="2"/>
  <c r="BA70" i="2"/>
  <c r="BC70" i="2"/>
  <c r="BO70" i="2"/>
  <c r="BW70" i="2"/>
  <c r="CA70" i="2"/>
  <c r="CE70" i="2"/>
  <c r="CI70" i="2"/>
  <c r="BF70" i="2"/>
  <c r="BJ70" i="2"/>
  <c r="BN70" i="2"/>
  <c r="BR70" i="2"/>
  <c r="BZ70" i="2"/>
  <c r="CD70" i="2"/>
  <c r="CH70" i="2"/>
  <c r="BB44" i="2"/>
  <c r="BB68" i="2" s="1"/>
  <c r="AW44" i="2"/>
  <c r="BQ32" i="2"/>
  <c r="BV31" i="2"/>
  <c r="DS17" i="13" l="1"/>
  <c r="DT17" i="13" s="1"/>
  <c r="DU17" i="13" s="1"/>
  <c r="DV17" i="13" s="1"/>
  <c r="BK70" i="2"/>
  <c r="CQ116" i="2"/>
  <c r="BS32" i="2"/>
  <c r="BQ67" i="2"/>
  <c r="BQ70" i="2" l="1"/>
  <c r="DC116" i="2"/>
  <c r="DC100" i="2"/>
  <c r="CV116" i="2"/>
  <c r="CX116" i="2"/>
  <c r="CX100" i="2"/>
  <c r="CS116" i="2"/>
  <c r="CS100" i="2"/>
  <c r="CU14" i="2"/>
  <c r="CT100" i="2"/>
  <c r="CT116" i="2"/>
  <c r="BV32" i="2"/>
  <c r="BV67" i="2" s="1"/>
  <c r="BS67" i="2"/>
  <c r="DH116" i="2" l="1"/>
  <c r="DH100" i="2"/>
  <c r="BS70" i="2"/>
  <c r="BV70" i="2"/>
  <c r="DA116" i="2"/>
  <c r="DC198" i="2"/>
  <c r="CZ14" i="2"/>
  <c r="CY100" i="2"/>
  <c r="CX198" i="2"/>
  <c r="CY116" i="2"/>
  <c r="CQ124" i="2"/>
  <c r="CT124" i="2"/>
  <c r="CR124" i="2"/>
  <c r="CS124" i="2"/>
  <c r="CS147" i="2"/>
  <c r="CS216" i="2"/>
  <c r="CJ61" i="2"/>
  <c r="CI61" i="2"/>
  <c r="CI18" i="12"/>
  <c r="CJ17" i="12"/>
  <c r="CI14" i="12"/>
  <c r="CI12" i="12"/>
  <c r="CJ10" i="12"/>
  <c r="CI9" i="12"/>
  <c r="CJ18" i="12"/>
  <c r="CJ15" i="12"/>
  <c r="CI15" i="12"/>
  <c r="BZ201" i="1"/>
  <c r="BY201" i="1"/>
  <c r="BX201" i="1"/>
  <c r="BW201" i="1"/>
  <c r="BU201" i="1"/>
  <c r="BT201" i="1"/>
  <c r="BS201" i="1"/>
  <c r="BR201" i="1"/>
  <c r="BO201" i="1"/>
  <c r="BN201" i="1"/>
  <c r="BM201" i="1"/>
  <c r="BK201" i="1"/>
  <c r="BI201" i="1"/>
  <c r="BH201" i="1"/>
  <c r="BF201" i="1"/>
  <c r="BE201" i="1"/>
  <c r="BD201" i="1"/>
  <c r="BC201" i="1"/>
  <c r="CE171" i="1"/>
  <c r="CD171" i="1"/>
  <c r="CC171" i="1"/>
  <c r="CB171" i="1"/>
  <c r="BZ171" i="1"/>
  <c r="BY171" i="1"/>
  <c r="BX171" i="1"/>
  <c r="BW171" i="1"/>
  <c r="CJ134" i="2"/>
  <c r="CI134" i="2"/>
  <c r="CH134" i="2"/>
  <c r="CJ133" i="2"/>
  <c r="CI133" i="2"/>
  <c r="CH133" i="2"/>
  <c r="CK185" i="1"/>
  <c r="CK184" i="1"/>
  <c r="CK183" i="1"/>
  <c r="CK182" i="1"/>
  <c r="CK181" i="1"/>
  <c r="CK180" i="1"/>
  <c r="CK177" i="1"/>
  <c r="CK196" i="1"/>
  <c r="CK198" i="1"/>
  <c r="CK197" i="1"/>
  <c r="CK194" i="1"/>
  <c r="CK193" i="1"/>
  <c r="CK192" i="1"/>
  <c r="CK191" i="1"/>
  <c r="CK190" i="1"/>
  <c r="CK189" i="1"/>
  <c r="CF198" i="1"/>
  <c r="CF197" i="1"/>
  <c r="CF194" i="1"/>
  <c r="CF193" i="1"/>
  <c r="CF192" i="1"/>
  <c r="CF191" i="1"/>
  <c r="CF190" i="1"/>
  <c r="CF189" i="1"/>
  <c r="CA198" i="1"/>
  <c r="BV198" i="1"/>
  <c r="BP198" i="1"/>
  <c r="BJ198" i="1"/>
  <c r="BG198" i="1"/>
  <c r="CA197" i="1"/>
  <c r="BV197" i="1"/>
  <c r="BQ197" i="1"/>
  <c r="BV196" i="1"/>
  <c r="BQ196" i="1"/>
  <c r="BL196" i="1"/>
  <c r="BG196" i="1"/>
  <c r="BB196" i="1"/>
  <c r="CA194" i="1"/>
  <c r="BV194" i="1"/>
  <c r="BQ194" i="1"/>
  <c r="CA193" i="1"/>
  <c r="BV193" i="1"/>
  <c r="BQ193" i="1"/>
  <c r="CA192" i="1"/>
  <c r="BV192" i="1"/>
  <c r="BQ192" i="1"/>
  <c r="BL192" i="1"/>
  <c r="BG192" i="1"/>
  <c r="BB192" i="1"/>
  <c r="CA191" i="1"/>
  <c r="BV191" i="1"/>
  <c r="BQ191" i="1"/>
  <c r="BL191" i="1"/>
  <c r="BG191" i="1"/>
  <c r="BB191" i="1"/>
  <c r="CA190" i="1"/>
  <c r="BV190" i="1"/>
  <c r="BQ190" i="1"/>
  <c r="BL190" i="1"/>
  <c r="BG190" i="1"/>
  <c r="BB190" i="1"/>
  <c r="CA189" i="1"/>
  <c r="BV189" i="1"/>
  <c r="BQ189" i="1"/>
  <c r="BL189" i="1"/>
  <c r="BG189" i="1"/>
  <c r="BB189" i="1"/>
  <c r="CK164" i="1"/>
  <c r="AW165" i="1"/>
  <c r="AW174" i="1" s="1"/>
  <c r="AR165" i="1"/>
  <c r="AM165" i="1"/>
  <c r="AH165" i="1"/>
  <c r="AC165" i="1"/>
  <c r="X165" i="1"/>
  <c r="S165" i="1"/>
  <c r="N165" i="1"/>
  <c r="AR164" i="1"/>
  <c r="AM164" i="1"/>
  <c r="AH164" i="1"/>
  <c r="AC164" i="1"/>
  <c r="X164" i="1"/>
  <c r="S164" i="1"/>
  <c r="N164" i="1"/>
  <c r="CH61" i="2"/>
  <c r="DM100" i="2" l="1"/>
  <c r="DR14" i="2"/>
  <c r="DM116" i="2"/>
  <c r="DH198" i="2"/>
  <c r="DJ14" i="2"/>
  <c r="DF124" i="2" s="1"/>
  <c r="DN14" i="2"/>
  <c r="DS14" i="2" s="1"/>
  <c r="DS168" i="2" s="1"/>
  <c r="DH147" i="2"/>
  <c r="DI116" i="2"/>
  <c r="DI100" i="2"/>
  <c r="DD116" i="2"/>
  <c r="CY198" i="2"/>
  <c r="DC216" i="2"/>
  <c r="DC147" i="2"/>
  <c r="CX124" i="2"/>
  <c r="DD100" i="2"/>
  <c r="DE14" i="2"/>
  <c r="CZ82" i="2"/>
  <c r="CW124" i="2"/>
  <c r="CY124" i="2"/>
  <c r="CV124" i="2"/>
  <c r="CZ100" i="2"/>
  <c r="CV216" i="2"/>
  <c r="CT147" i="2"/>
  <c r="CT216" i="2"/>
  <c r="CU132" i="2"/>
  <c r="AC174" i="1"/>
  <c r="X174" i="1"/>
  <c r="AR174" i="1"/>
  <c r="N174" i="1"/>
  <c r="S174" i="1"/>
  <c r="AM174" i="1"/>
  <c r="AH174" i="1"/>
  <c r="CA171" i="1"/>
  <c r="CA140" i="2" s="1"/>
  <c r="CK171" i="1"/>
  <c r="CK140" i="2" s="1"/>
  <c r="CG174" i="1"/>
  <c r="CH135" i="2"/>
  <c r="CH137" i="2" s="1"/>
  <c r="CH174" i="1"/>
  <c r="CI135" i="2"/>
  <c r="CI174" i="1"/>
  <c r="CJ135" i="2"/>
  <c r="CJ171" i="2" s="1"/>
  <c r="CJ174" i="1"/>
  <c r="CG135" i="2"/>
  <c r="CK167" i="1"/>
  <c r="CG134" i="2"/>
  <c r="CK134" i="2" s="1"/>
  <c r="CK166" i="1"/>
  <c r="CK201" i="1"/>
  <c r="BH164" i="1" s="1"/>
  <c r="CG133" i="2"/>
  <c r="CK165" i="1"/>
  <c r="CF171" i="1"/>
  <c r="CF140" i="2" s="1"/>
  <c r="CF195" i="1"/>
  <c r="CF199" i="1" s="1"/>
  <c r="CK195" i="1"/>
  <c r="CK199" i="1" s="1"/>
  <c r="BG140" i="2"/>
  <c r="BG176" i="2"/>
  <c r="BL198" i="1"/>
  <c r="BJ199" i="1"/>
  <c r="BF140" i="2"/>
  <c r="BF176" i="2"/>
  <c r="BK140" i="2"/>
  <c r="BK176" i="2"/>
  <c r="BP140" i="2"/>
  <c r="BP176" i="2"/>
  <c r="BU140" i="2"/>
  <c r="BU176" i="2"/>
  <c r="BZ140" i="2"/>
  <c r="BZ176" i="2"/>
  <c r="CD140" i="2"/>
  <c r="CD176" i="2"/>
  <c r="CI140" i="2"/>
  <c r="CI176" i="2"/>
  <c r="BL140" i="2"/>
  <c r="BL176" i="2"/>
  <c r="BP201" i="1"/>
  <c r="BP199" i="1"/>
  <c r="BC140" i="2"/>
  <c r="BC176" i="2"/>
  <c r="BH140" i="2"/>
  <c r="BH176" i="2"/>
  <c r="BM140" i="2"/>
  <c r="BM176" i="2"/>
  <c r="BR140" i="2"/>
  <c r="BR176" i="2"/>
  <c r="BW140" i="2"/>
  <c r="BW176" i="2"/>
  <c r="CE140" i="2"/>
  <c r="CE176" i="2"/>
  <c r="CJ140" i="2"/>
  <c r="CJ176" i="2"/>
  <c r="BQ140" i="2"/>
  <c r="BQ176" i="2"/>
  <c r="BD140" i="2"/>
  <c r="BD176" i="2"/>
  <c r="BI140" i="2"/>
  <c r="BI176" i="2"/>
  <c r="BN140" i="2"/>
  <c r="BN176" i="2"/>
  <c r="BS140" i="2"/>
  <c r="BS176" i="2"/>
  <c r="BX140" i="2"/>
  <c r="BX176" i="2"/>
  <c r="CB140" i="2"/>
  <c r="CB176" i="2"/>
  <c r="BB140" i="2"/>
  <c r="BB176" i="2"/>
  <c r="BV140" i="2"/>
  <c r="BV176" i="2"/>
  <c r="CG140" i="2"/>
  <c r="CG176" i="2"/>
  <c r="BE140" i="2"/>
  <c r="BE176" i="2"/>
  <c r="BJ140" i="2"/>
  <c r="BJ176" i="2"/>
  <c r="BO140" i="2"/>
  <c r="BO176" i="2"/>
  <c r="BT140" i="2"/>
  <c r="BT176" i="2"/>
  <c r="BY140" i="2"/>
  <c r="BY176" i="2"/>
  <c r="CC140" i="2"/>
  <c r="CC176" i="2"/>
  <c r="CH140" i="2"/>
  <c r="CH176" i="2"/>
  <c r="CJ12" i="12"/>
  <c r="CJ218" i="2"/>
  <c r="CI218" i="2"/>
  <c r="CI170" i="2"/>
  <c r="CJ170" i="2"/>
  <c r="CH170" i="2"/>
  <c r="BQ195" i="1"/>
  <c r="BB195" i="1"/>
  <c r="BB199" i="1" s="1"/>
  <c r="BV195" i="1"/>
  <c r="BV199" i="1" s="1"/>
  <c r="BG195" i="1"/>
  <c r="BG199" i="1" s="1"/>
  <c r="CA195" i="1"/>
  <c r="CA199" i="1" s="1"/>
  <c r="BL195" i="1"/>
  <c r="CJ9" i="12"/>
  <c r="CJ14" i="12"/>
  <c r="CI17" i="12"/>
  <c r="BJ201" i="1"/>
  <c r="BQ198" i="1"/>
  <c r="CK186" i="1"/>
  <c r="DR168" i="2" l="1"/>
  <c r="DS116" i="2"/>
  <c r="DS100" i="2"/>
  <c r="DR116" i="2"/>
  <c r="DR100" i="2"/>
  <c r="DM198" i="2"/>
  <c r="DH207" i="2"/>
  <c r="DN116" i="2"/>
  <c r="DN168" i="2"/>
  <c r="DN100" i="2"/>
  <c r="DJ100" i="2"/>
  <c r="DJ82" i="2"/>
  <c r="BL199" i="1"/>
  <c r="DI198" i="2"/>
  <c r="DD124" i="2"/>
  <c r="DC124" i="2"/>
  <c r="DB124" i="2"/>
  <c r="DA124" i="2"/>
  <c r="DE100" i="2"/>
  <c r="DE82" i="2"/>
  <c r="DD198" i="2"/>
  <c r="BM164" i="1"/>
  <c r="BU164" i="1"/>
  <c r="BU132" i="2" s="1"/>
  <c r="BC164" i="1"/>
  <c r="BI164" i="1"/>
  <c r="BR164" i="1"/>
  <c r="BY165" i="1"/>
  <c r="BY133" i="2" s="1"/>
  <c r="BX164" i="1"/>
  <c r="BE164" i="1"/>
  <c r="BN164" i="1"/>
  <c r="BP165" i="1"/>
  <c r="BP133" i="2" s="1"/>
  <c r="BP164" i="1"/>
  <c r="BX165" i="1"/>
  <c r="BX133" i="2" s="1"/>
  <c r="BM165" i="1"/>
  <c r="BM133" i="2" s="1"/>
  <c r="BC165" i="1"/>
  <c r="BC133" i="2" s="1"/>
  <c r="BR165" i="1"/>
  <c r="BR133" i="2" s="1"/>
  <c r="BE165" i="1"/>
  <c r="BE133" i="2" s="1"/>
  <c r="BU165" i="1"/>
  <c r="BU133" i="2" s="1"/>
  <c r="BI165" i="1"/>
  <c r="BI133" i="2" s="1"/>
  <c r="BY164" i="1"/>
  <c r="BN165" i="1"/>
  <c r="BJ164" i="1"/>
  <c r="BJ165" i="1"/>
  <c r="BJ133" i="2" s="1"/>
  <c r="BS164" i="1"/>
  <c r="BF164" i="1"/>
  <c r="BW164" i="1"/>
  <c r="BK165" i="1"/>
  <c r="BK133" i="2" s="1"/>
  <c r="BZ164" i="1"/>
  <c r="BO164" i="1"/>
  <c r="BO132" i="2" s="1"/>
  <c r="BD164" i="1"/>
  <c r="BT164" i="1"/>
  <c r="BC166" i="1"/>
  <c r="BC134" i="2" s="1"/>
  <c r="CC165" i="1"/>
  <c r="CC133" i="2" s="1"/>
  <c r="CE165" i="1"/>
  <c r="CE133" i="2" s="1"/>
  <c r="CB164" i="1"/>
  <c r="CC164" i="1"/>
  <c r="CE164" i="1"/>
  <c r="CD165" i="1"/>
  <c r="CD133" i="2" s="1"/>
  <c r="CB165" i="1"/>
  <c r="CD164" i="1"/>
  <c r="AX165" i="1"/>
  <c r="AX133" i="2" s="1"/>
  <c r="AZ165" i="1"/>
  <c r="AX164" i="1"/>
  <c r="AZ164" i="1"/>
  <c r="AZ132" i="2" s="1"/>
  <c r="AY165" i="1"/>
  <c r="BA164" i="1"/>
  <c r="AY164" i="1"/>
  <c r="BA165" i="1"/>
  <c r="BA133" i="2" s="1"/>
  <c r="BS165" i="1"/>
  <c r="BS133" i="2" s="1"/>
  <c r="BF165" i="1"/>
  <c r="BF133" i="2" s="1"/>
  <c r="BW165" i="1"/>
  <c r="BK164" i="1"/>
  <c r="BZ165" i="1"/>
  <c r="BZ133" i="2" s="1"/>
  <c r="BO165" i="1"/>
  <c r="BD165" i="1"/>
  <c r="BT165" i="1"/>
  <c r="BT133" i="2" s="1"/>
  <c r="BH165" i="1"/>
  <c r="BH133" i="2" s="1"/>
  <c r="CG170" i="2"/>
  <c r="CU168" i="2"/>
  <c r="CU147" i="2"/>
  <c r="CK135" i="2"/>
  <c r="CK171" i="2" s="1"/>
  <c r="CK176" i="2"/>
  <c r="CK61" i="14" s="1"/>
  <c r="CA176" i="2"/>
  <c r="CF176" i="2"/>
  <c r="CI219" i="2"/>
  <c r="CI137" i="2"/>
  <c r="CI144" i="2" s="1"/>
  <c r="CH171" i="2"/>
  <c r="CJ219" i="2"/>
  <c r="BX170" i="1"/>
  <c r="BX139" i="2" s="1"/>
  <c r="BX175" i="2" s="1"/>
  <c r="BF170" i="1"/>
  <c r="BF139" i="2" s="1"/>
  <c r="BF175" i="2" s="1"/>
  <c r="BK167" i="1"/>
  <c r="BK135" i="2" s="1"/>
  <c r="BK171" i="2" s="1"/>
  <c r="BY170" i="1"/>
  <c r="BY139" i="2" s="1"/>
  <c r="BW170" i="1"/>
  <c r="BW139" i="2" s="1"/>
  <c r="BE166" i="1"/>
  <c r="BE134" i="2" s="1"/>
  <c r="BO167" i="1"/>
  <c r="BO135" i="2" s="1"/>
  <c r="BO171" i="2" s="1"/>
  <c r="BZ166" i="1"/>
  <c r="BZ134" i="2" s="1"/>
  <c r="BZ170" i="2" s="1"/>
  <c r="BI167" i="1"/>
  <c r="BI135" i="2" s="1"/>
  <c r="BI171" i="2" s="1"/>
  <c r="BT170" i="1"/>
  <c r="BT139" i="2" s="1"/>
  <c r="BT175" i="2" s="1"/>
  <c r="BM170" i="1"/>
  <c r="BM139" i="2" s="1"/>
  <c r="BD166" i="1"/>
  <c r="BD134" i="2" s="1"/>
  <c r="BD170" i="2" s="1"/>
  <c r="BN166" i="1"/>
  <c r="BN134" i="2" s="1"/>
  <c r="BN170" i="2" s="1"/>
  <c r="BH167" i="1"/>
  <c r="BS167" i="1"/>
  <c r="BS135" i="2" s="1"/>
  <c r="BM166" i="1"/>
  <c r="BF167" i="1"/>
  <c r="BF135" i="2" s="1"/>
  <c r="BR166" i="1"/>
  <c r="BE170" i="1"/>
  <c r="BE139" i="2" s="1"/>
  <c r="BU166" i="1"/>
  <c r="BU134" i="2" s="1"/>
  <c r="BI170" i="1"/>
  <c r="BI139" i="2" s="1"/>
  <c r="BD167" i="1"/>
  <c r="BD135" i="2" s="1"/>
  <c r="BY167" i="1"/>
  <c r="BY135" i="2" s="1"/>
  <c r="BN167" i="1"/>
  <c r="BN135" i="2" s="1"/>
  <c r="BP170" i="1"/>
  <c r="BP139" i="2" s="1"/>
  <c r="BP166" i="1"/>
  <c r="BP134" i="2" s="1"/>
  <c r="BP167" i="1"/>
  <c r="BP135" i="2" s="1"/>
  <c r="CC167" i="1"/>
  <c r="CC135" i="2" s="1"/>
  <c r="CH210" i="2" s="1"/>
  <c r="CD167" i="1"/>
  <c r="CD135" i="2" s="1"/>
  <c r="CI210" i="2" s="1"/>
  <c r="CE167" i="1"/>
  <c r="CE135" i="2" s="1"/>
  <c r="CG219" i="2" s="1"/>
  <c r="CD170" i="1"/>
  <c r="CD139" i="2" s="1"/>
  <c r="CE170" i="1"/>
  <c r="CE139" i="2" s="1"/>
  <c r="CB170" i="1"/>
  <c r="CC166" i="1"/>
  <c r="CC134" i="2" s="1"/>
  <c r="CE166" i="1"/>
  <c r="CE134" i="2" s="1"/>
  <c r="CB167" i="1"/>
  <c r="CC170" i="1"/>
  <c r="CC139" i="2" s="1"/>
  <c r="CD166" i="1"/>
  <c r="CD134" i="2" s="1"/>
  <c r="CB166" i="1"/>
  <c r="AX167" i="1"/>
  <c r="AZ166" i="1"/>
  <c r="AZ134" i="2" s="1"/>
  <c r="BA167" i="1"/>
  <c r="BA135" i="2" s="1"/>
  <c r="AY170" i="1"/>
  <c r="AY139" i="2" s="1"/>
  <c r="BA166" i="1"/>
  <c r="BA134" i="2" s="1"/>
  <c r="AX170" i="1"/>
  <c r="AY166" i="1"/>
  <c r="AY134" i="2" s="1"/>
  <c r="AZ170" i="1"/>
  <c r="AZ139" i="2" s="1"/>
  <c r="AX166" i="1"/>
  <c r="AY167" i="1"/>
  <c r="AY135" i="2" s="1"/>
  <c r="AZ167" i="1"/>
  <c r="AZ135" i="2" s="1"/>
  <c r="BA170" i="1"/>
  <c r="BA139" i="2" s="1"/>
  <c r="BX166" i="1"/>
  <c r="BX134" i="2" s="1"/>
  <c r="BS170" i="1"/>
  <c r="BS139" i="2" s="1"/>
  <c r="BM167" i="1"/>
  <c r="BW166" i="1"/>
  <c r="BR167" i="1"/>
  <c r="BK166" i="1"/>
  <c r="BK134" i="2" s="1"/>
  <c r="BZ170" i="1"/>
  <c r="BZ139" i="2" s="1"/>
  <c r="BU167" i="1"/>
  <c r="BU135" i="2" s="1"/>
  <c r="BO170" i="1"/>
  <c r="BO139" i="2" s="1"/>
  <c r="BD170" i="1"/>
  <c r="BD139" i="2" s="1"/>
  <c r="BT166" i="1"/>
  <c r="BT134" i="2" s="1"/>
  <c r="BH166" i="1"/>
  <c r="BC167" i="1"/>
  <c r="BJ170" i="1"/>
  <c r="BJ139" i="2" s="1"/>
  <c r="BJ167" i="1"/>
  <c r="BJ135" i="2" s="1"/>
  <c r="BJ166" i="1"/>
  <c r="BJ134" i="2" s="1"/>
  <c r="CH144" i="2"/>
  <c r="CH13" i="12" s="1"/>
  <c r="BX167" i="1"/>
  <c r="BX135" i="2" s="1"/>
  <c r="BS166" i="1"/>
  <c r="BS134" i="2" s="1"/>
  <c r="BF166" i="1"/>
  <c r="BF134" i="2" s="1"/>
  <c r="BW167" i="1"/>
  <c r="BR170" i="1"/>
  <c r="BK170" i="1"/>
  <c r="BK139" i="2" s="1"/>
  <c r="BE167" i="1"/>
  <c r="BE135" i="2" s="1"/>
  <c r="BZ167" i="1"/>
  <c r="BZ135" i="2" s="1"/>
  <c r="BU170" i="1"/>
  <c r="BU139" i="2" s="1"/>
  <c r="BO166" i="1"/>
  <c r="BO134" i="2" s="1"/>
  <c r="BI166" i="1"/>
  <c r="BI134" i="2" s="1"/>
  <c r="BY166" i="1"/>
  <c r="BY134" i="2" s="1"/>
  <c r="BT167" i="1"/>
  <c r="BT135" i="2" s="1"/>
  <c r="BN170" i="1"/>
  <c r="BN139" i="2" s="1"/>
  <c r="BH170" i="1"/>
  <c r="BC170" i="1"/>
  <c r="CJ137" i="2"/>
  <c r="CJ144" i="2" s="1"/>
  <c r="CI171" i="2"/>
  <c r="CH218" i="2"/>
  <c r="CG137" i="2"/>
  <c r="CG171" i="2"/>
  <c r="CH219" i="2"/>
  <c r="CK174" i="1"/>
  <c r="CK170" i="2"/>
  <c r="BQ199" i="1"/>
  <c r="DR198" i="2" l="1"/>
  <c r="DR132" i="2"/>
  <c r="DS198" i="2"/>
  <c r="DS132" i="2"/>
  <c r="CU173" i="2"/>
  <c r="DN132" i="2"/>
  <c r="DN198" i="2"/>
  <c r="DI207" i="2"/>
  <c r="DI147" i="2"/>
  <c r="DI216" i="2"/>
  <c r="DD216" i="2"/>
  <c r="DD147" i="2"/>
  <c r="DE132" i="2"/>
  <c r="CU189" i="2"/>
  <c r="CF38" i="12"/>
  <c r="CF61" i="14"/>
  <c r="BU212" i="2"/>
  <c r="CJ210" i="2"/>
  <c r="CE219" i="2"/>
  <c r="BY212" i="2"/>
  <c r="BE170" i="2"/>
  <c r="BE218" i="2"/>
  <c r="BL170" i="1"/>
  <c r="BL139" i="2" s="1"/>
  <c r="BH139" i="2"/>
  <c r="BM212" i="2" s="1"/>
  <c r="BZ218" i="2"/>
  <c r="BY170" i="2"/>
  <c r="BY209" i="2"/>
  <c r="BY218" i="2"/>
  <c r="BK175" i="2"/>
  <c r="BK212" i="2"/>
  <c r="BF218" i="2"/>
  <c r="BF170" i="2"/>
  <c r="BX171" i="2"/>
  <c r="BX210" i="2"/>
  <c r="BG167" i="1"/>
  <c r="BG135" i="2" s="1"/>
  <c r="BC135" i="2"/>
  <c r="BC171" i="2" s="1"/>
  <c r="BT209" i="2"/>
  <c r="BT170" i="2"/>
  <c r="BT218" i="2"/>
  <c r="BI174" i="1"/>
  <c r="BI132" i="2"/>
  <c r="BI137" i="2" s="1"/>
  <c r="BI144" i="2" s="1"/>
  <c r="BZ212" i="2"/>
  <c r="CA165" i="1"/>
  <c r="BW133" i="2"/>
  <c r="BS175" i="2"/>
  <c r="BS212" i="2"/>
  <c r="BA175" i="2"/>
  <c r="BA212" i="2"/>
  <c r="BF212" i="2"/>
  <c r="BA174" i="1"/>
  <c r="BA132" i="2"/>
  <c r="BA137" i="2" s="1"/>
  <c r="BA152" i="2" s="1"/>
  <c r="BB170" i="1"/>
  <c r="BB139" i="2" s="1"/>
  <c r="AX139" i="2"/>
  <c r="AX175" i="2" s="1"/>
  <c r="AY212" i="2"/>
  <c r="AY175" i="2"/>
  <c r="BB165" i="1"/>
  <c r="AY133" i="2"/>
  <c r="CF165" i="1"/>
  <c r="CB133" i="2"/>
  <c r="CF167" i="1"/>
  <c r="CF135" i="2" s="1"/>
  <c r="CB135" i="2"/>
  <c r="CC170" i="2"/>
  <c r="CC209" i="2"/>
  <c r="CH209" i="2"/>
  <c r="CI212" i="2"/>
  <c r="CD212" i="2"/>
  <c r="CD210" i="2"/>
  <c r="CD171" i="2"/>
  <c r="CD219" i="2"/>
  <c r="BP174" i="1"/>
  <c r="BP132" i="2"/>
  <c r="BP137" i="2" s="1"/>
  <c r="BP144" i="2" s="1"/>
  <c r="BO219" i="2"/>
  <c r="BN210" i="2"/>
  <c r="BN171" i="2"/>
  <c r="BI210" i="2"/>
  <c r="BD171" i="2"/>
  <c r="BU170" i="2"/>
  <c r="BU209" i="2"/>
  <c r="BU218" i="2"/>
  <c r="BZ209" i="2"/>
  <c r="BK174" i="1"/>
  <c r="BK132" i="2"/>
  <c r="BK137" i="2" s="1"/>
  <c r="BK144" i="2" s="1"/>
  <c r="BF174" i="1"/>
  <c r="BF132" i="2"/>
  <c r="BF137" i="2" s="1"/>
  <c r="BF144" i="2" s="1"/>
  <c r="BM175" i="2"/>
  <c r="CG144" i="2"/>
  <c r="CG13" i="12" s="1"/>
  <c r="BN212" i="2"/>
  <c r="BN175" i="2"/>
  <c r="BG165" i="1"/>
  <c r="BD133" i="2"/>
  <c r="BV170" i="1"/>
  <c r="BV139" i="2" s="1"/>
  <c r="BR139" i="2"/>
  <c r="BW212" i="2" s="1"/>
  <c r="BM174" i="1"/>
  <c r="BQ164" i="1"/>
  <c r="BM132" i="2"/>
  <c r="BJ209" i="2"/>
  <c r="BJ218" i="2"/>
  <c r="BJ170" i="2"/>
  <c r="BH174" i="1"/>
  <c r="BL164" i="1"/>
  <c r="BH132" i="2"/>
  <c r="BO175" i="2"/>
  <c r="BT212" i="2"/>
  <c r="BE174" i="1"/>
  <c r="BE132" i="2"/>
  <c r="BE137" i="2" s="1"/>
  <c r="BE144" i="2" s="1"/>
  <c r="CA166" i="1"/>
  <c r="BW134" i="2"/>
  <c r="BX218" i="2" s="1"/>
  <c r="AZ174" i="1"/>
  <c r="AZ133" i="2"/>
  <c r="AZ137" i="2" s="1"/>
  <c r="AX174" i="1"/>
  <c r="BB164" i="1"/>
  <c r="AX132" i="2"/>
  <c r="BB167" i="1"/>
  <c r="BB135" i="2" s="1"/>
  <c r="BB171" i="2" s="1"/>
  <c r="AX135" i="2"/>
  <c r="CE170" i="2"/>
  <c r="CJ209" i="2"/>
  <c r="CE218" i="2"/>
  <c r="CE209" i="2"/>
  <c r="CD132" i="2"/>
  <c r="CD137" i="2" s="1"/>
  <c r="CD144" i="2" s="1"/>
  <c r="CD174" i="1"/>
  <c r="CC132" i="2"/>
  <c r="CC137" i="2" s="1"/>
  <c r="CC144" i="2" s="1"/>
  <c r="CC174" i="1"/>
  <c r="CC210" i="2"/>
  <c r="CC171" i="2"/>
  <c r="BP212" i="2"/>
  <c r="BN174" i="1"/>
  <c r="BN132" i="2"/>
  <c r="BI212" i="2"/>
  <c r="BI175" i="2"/>
  <c r="BZ174" i="1"/>
  <c r="BZ132" i="2"/>
  <c r="BZ137" i="2" s="1"/>
  <c r="BZ144" i="2" s="1"/>
  <c r="BV166" i="1"/>
  <c r="BR134" i="2"/>
  <c r="BQ166" i="1"/>
  <c r="BM134" i="2"/>
  <c r="BL167" i="1"/>
  <c r="BL135" i="2" s="1"/>
  <c r="BH135" i="2"/>
  <c r="BL165" i="1"/>
  <c r="BQ170" i="1"/>
  <c r="BQ139" i="2" s="1"/>
  <c r="BD218" i="2"/>
  <c r="BC170" i="2"/>
  <c r="BT219" i="2"/>
  <c r="BT210" i="2"/>
  <c r="BT171" i="2"/>
  <c r="BI170" i="2"/>
  <c r="BN209" i="2"/>
  <c r="BI209" i="2"/>
  <c r="BR174" i="1"/>
  <c r="BR132" i="2"/>
  <c r="BS170" i="2"/>
  <c r="BS209" i="2"/>
  <c r="BJ210" i="2"/>
  <c r="BK219" i="2"/>
  <c r="BJ171" i="2"/>
  <c r="BO210" i="2"/>
  <c r="BJ219" i="2"/>
  <c r="BL166" i="1"/>
  <c r="BH134" i="2"/>
  <c r="BI218" i="2" s="1"/>
  <c r="BD175" i="2"/>
  <c r="BD212" i="2"/>
  <c r="BU219" i="2"/>
  <c r="BU210" i="2"/>
  <c r="BU171" i="2"/>
  <c r="BK218" i="2"/>
  <c r="BK209" i="2"/>
  <c r="BK170" i="2"/>
  <c r="BX209" i="2"/>
  <c r="BX170" i="2"/>
  <c r="CD209" i="2"/>
  <c r="CI209" i="2"/>
  <c r="CD170" i="2"/>
  <c r="CD218" i="2"/>
  <c r="CE132" i="2"/>
  <c r="CE137" i="2" s="1"/>
  <c r="CE144" i="2" s="1"/>
  <c r="CE174" i="1"/>
  <c r="CB139" i="2"/>
  <c r="CF170" i="1"/>
  <c r="CF139" i="2" s="1"/>
  <c r="CB132" i="2"/>
  <c r="CB174" i="1"/>
  <c r="CF164" i="1"/>
  <c r="BP171" i="2"/>
  <c r="BP219" i="2"/>
  <c r="BP210" i="2"/>
  <c r="CG218" i="2"/>
  <c r="BT174" i="1"/>
  <c r="BT132" i="2"/>
  <c r="BT137" i="2" s="1"/>
  <c r="BT144" i="2" s="1"/>
  <c r="BE212" i="2"/>
  <c r="BE175" i="2"/>
  <c r="BW174" i="1"/>
  <c r="BW132" i="2"/>
  <c r="CA164" i="1"/>
  <c r="BS210" i="2"/>
  <c r="BS171" i="2"/>
  <c r="BU137" i="2"/>
  <c r="BU144" i="2" s="1"/>
  <c r="CA170" i="1"/>
  <c r="CA139" i="2" s="1"/>
  <c r="BG166" i="1"/>
  <c r="BG170" i="1"/>
  <c r="BG139" i="2" s="1"/>
  <c r="BC139" i="2"/>
  <c r="BZ171" i="2"/>
  <c r="BZ210" i="2"/>
  <c r="BZ219" i="2"/>
  <c r="BC174" i="1"/>
  <c r="BG164" i="1"/>
  <c r="BC132" i="2"/>
  <c r="BY174" i="1"/>
  <c r="BY132" i="2"/>
  <c r="BY137" i="2" s="1"/>
  <c r="BY144" i="2" s="1"/>
  <c r="BO218" i="2"/>
  <c r="BO170" i="2"/>
  <c r="BO209" i="2"/>
  <c r="BE219" i="2"/>
  <c r="BE171" i="2"/>
  <c r="CA167" i="1"/>
  <c r="CA135" i="2" s="1"/>
  <c r="BW135" i="2"/>
  <c r="BV164" i="1"/>
  <c r="BS174" i="1"/>
  <c r="BS132" i="2"/>
  <c r="BS137" i="2" s="1"/>
  <c r="BS144" i="2" s="1"/>
  <c r="BJ174" i="1"/>
  <c r="BJ132" i="2"/>
  <c r="BJ137" i="2" s="1"/>
  <c r="BJ144" i="2" s="1"/>
  <c r="BQ165" i="1"/>
  <c r="BN133" i="2"/>
  <c r="BD174" i="1"/>
  <c r="BD132" i="2"/>
  <c r="BV167" i="1"/>
  <c r="BV135" i="2" s="1"/>
  <c r="BR135" i="2"/>
  <c r="BQ167" i="1"/>
  <c r="BQ135" i="2" s="1"/>
  <c r="BM135" i="2"/>
  <c r="BB166" i="1"/>
  <c r="AX134" i="2"/>
  <c r="AY174" i="1"/>
  <c r="AY132" i="2"/>
  <c r="CF166" i="1"/>
  <c r="CB134" i="2"/>
  <c r="CC218" i="2" s="1"/>
  <c r="CH212" i="2"/>
  <c r="CC212" i="2"/>
  <c r="CJ212" i="2"/>
  <c r="CE212" i="2"/>
  <c r="CE210" i="2"/>
  <c r="CE171" i="2"/>
  <c r="BP218" i="2"/>
  <c r="BP170" i="2"/>
  <c r="BP209" i="2"/>
  <c r="BY171" i="2"/>
  <c r="BY219" i="2"/>
  <c r="BY210" i="2"/>
  <c r="BO174" i="1"/>
  <c r="BO133" i="2"/>
  <c r="BO137" i="2" s="1"/>
  <c r="BO144" i="2" s="1"/>
  <c r="BK210" i="2"/>
  <c r="BF171" i="2"/>
  <c r="BF219" i="2"/>
  <c r="BX174" i="1"/>
  <c r="BX132" i="2"/>
  <c r="BX137" i="2" s="1"/>
  <c r="BX144" i="2" s="1"/>
  <c r="BU174" i="1"/>
  <c r="BV165" i="1"/>
  <c r="BX212" i="2"/>
  <c r="BJ175" i="2"/>
  <c r="BJ212" i="2"/>
  <c r="BO212" i="2"/>
  <c r="DS147" i="2" l="1"/>
  <c r="DS216" i="2"/>
  <c r="DS207" i="2"/>
  <c r="DR147" i="2"/>
  <c r="DR216" i="2"/>
  <c r="DN147" i="2"/>
  <c r="DN207" i="2"/>
  <c r="DE147" i="2"/>
  <c r="DE168" i="2"/>
  <c r="BD137" i="2"/>
  <c r="BD144" i="2" s="1"/>
  <c r="BC137" i="2"/>
  <c r="BC144" i="2" s="1"/>
  <c r="BD219" i="2"/>
  <c r="AY137" i="2"/>
  <c r="AY144" i="2" s="1"/>
  <c r="AY153" i="2" s="1"/>
  <c r="BG174" i="1"/>
  <c r="CA174" i="1"/>
  <c r="BV174" i="1"/>
  <c r="BV210" i="2"/>
  <c r="BV171" i="2"/>
  <c r="CF174" i="1"/>
  <c r="CB212" i="2"/>
  <c r="CG212" i="2"/>
  <c r="BM218" i="2"/>
  <c r="BM170" i="2"/>
  <c r="BN218" i="2"/>
  <c r="BM209" i="2"/>
  <c r="BN137" i="2"/>
  <c r="BN144" i="2" s="1"/>
  <c r="BB174" i="1"/>
  <c r="BW170" i="2"/>
  <c r="BW218" i="2"/>
  <c r="BW209" i="2"/>
  <c r="BM137" i="2"/>
  <c r="BM144" i="2" s="1"/>
  <c r="CF210" i="2"/>
  <c r="CF171" i="2"/>
  <c r="CK210" i="2"/>
  <c r="BM171" i="2"/>
  <c r="BM210" i="2"/>
  <c r="BM219" i="2"/>
  <c r="BC212" i="2"/>
  <c r="BC175" i="2"/>
  <c r="BR137" i="2"/>
  <c r="BR144" i="2" s="1"/>
  <c r="BQ174" i="1"/>
  <c r="BN219" i="2"/>
  <c r="BQ171" i="2"/>
  <c r="BQ210" i="2"/>
  <c r="BW210" i="2"/>
  <c r="BW219" i="2"/>
  <c r="BW171" i="2"/>
  <c r="BW137" i="2"/>
  <c r="BW144" i="2" s="1"/>
  <c r="CB137" i="2"/>
  <c r="CB144" i="2" s="1"/>
  <c r="BH210" i="2"/>
  <c r="BH171" i="2"/>
  <c r="BH219" i="2"/>
  <c r="BI219" i="2"/>
  <c r="BR209" i="2"/>
  <c r="BR170" i="2"/>
  <c r="BR218" i="2"/>
  <c r="BH137" i="2"/>
  <c r="BH144" i="2" s="1"/>
  <c r="BA144" i="2"/>
  <c r="BA153" i="2" s="1"/>
  <c r="BG210" i="2"/>
  <c r="BG171" i="2"/>
  <c r="BH175" i="2"/>
  <c r="BH212" i="2"/>
  <c r="CB209" i="2"/>
  <c r="CB218" i="2"/>
  <c r="CB170" i="2"/>
  <c r="CG209" i="2"/>
  <c r="BR219" i="2"/>
  <c r="BR171" i="2"/>
  <c r="BR210" i="2"/>
  <c r="CA171" i="2"/>
  <c r="CA210" i="2"/>
  <c r="BS219" i="2"/>
  <c r="AZ144" i="2"/>
  <c r="AZ153" i="2" s="1"/>
  <c r="AZ152" i="2"/>
  <c r="BH209" i="2"/>
  <c r="BH218" i="2"/>
  <c r="BH170" i="2"/>
  <c r="BS218" i="2"/>
  <c r="BL171" i="2"/>
  <c r="BL210" i="2"/>
  <c r="AX137" i="2"/>
  <c r="BL174" i="1"/>
  <c r="BR175" i="2"/>
  <c r="BR212" i="2"/>
  <c r="CB219" i="2"/>
  <c r="CG210" i="2"/>
  <c r="CB210" i="2"/>
  <c r="CB171" i="2"/>
  <c r="CC219" i="2"/>
  <c r="BX219" i="2"/>
  <c r="AV62" i="2"/>
  <c r="AU62" i="2"/>
  <c r="AT62" i="2"/>
  <c r="AS62" i="2"/>
  <c r="AQ62" i="2"/>
  <c r="AP62" i="2"/>
  <c r="AO62" i="2"/>
  <c r="AN62" i="2"/>
  <c r="AL62" i="2"/>
  <c r="AK62" i="2"/>
  <c r="AJ62" i="2"/>
  <c r="AI62" i="2"/>
  <c r="AG62" i="2"/>
  <c r="AF62" i="2"/>
  <c r="AE62" i="2"/>
  <c r="AD62" i="2"/>
  <c r="AB62" i="2"/>
  <c r="AA62" i="2"/>
  <c r="Z62" i="2"/>
  <c r="Y62" i="2"/>
  <c r="W62" i="2"/>
  <c r="V62" i="2"/>
  <c r="U62" i="2"/>
  <c r="T62" i="2"/>
  <c r="R62" i="2"/>
  <c r="Q62" i="2"/>
  <c r="P62" i="2"/>
  <c r="O62" i="2"/>
  <c r="M62" i="2"/>
  <c r="M194" i="2" s="1"/>
  <c r="L62" i="2"/>
  <c r="L194" i="2" s="1"/>
  <c r="K62" i="2"/>
  <c r="K194" i="2" s="1"/>
  <c r="J62" i="2"/>
  <c r="J194" i="2" s="1"/>
  <c r="I62" i="2"/>
  <c r="I194" i="2" s="1"/>
  <c r="H62" i="2"/>
  <c r="H194" i="2" s="1"/>
  <c r="G62" i="2"/>
  <c r="G194" i="2" s="1"/>
  <c r="F62" i="2"/>
  <c r="CE61" i="2"/>
  <c r="CD61" i="2"/>
  <c r="CC61" i="2"/>
  <c r="CB61" i="2"/>
  <c r="BZ61" i="2"/>
  <c r="BY61" i="2"/>
  <c r="BX61" i="2"/>
  <c r="BW61" i="2"/>
  <c r="BU61" i="2"/>
  <c r="BT61" i="2"/>
  <c r="BS61" i="2"/>
  <c r="BR61" i="2"/>
  <c r="BP61" i="2"/>
  <c r="BO61" i="2"/>
  <c r="BN61" i="2"/>
  <c r="BM61" i="2"/>
  <c r="BK61" i="2"/>
  <c r="BJ61" i="2"/>
  <c r="BI61" i="2"/>
  <c r="BH61" i="2"/>
  <c r="BF61" i="2"/>
  <c r="BE61" i="2"/>
  <c r="BD61" i="2"/>
  <c r="BC61" i="2"/>
  <c r="DE189" i="2" l="1"/>
  <c r="AY152" i="2"/>
  <c r="AX144" i="2"/>
  <c r="AX153" i="2" s="1"/>
  <c r="AX152" i="2"/>
  <c r="P194" i="2"/>
  <c r="P203" i="2"/>
  <c r="O194" i="2"/>
  <c r="O203" i="2"/>
  <c r="Q194" i="2"/>
  <c r="Q203" i="2"/>
  <c r="R194" i="2"/>
  <c r="R203" i="2"/>
  <c r="F194" i="2"/>
  <c r="F195" i="2"/>
  <c r="H153" i="2"/>
  <c r="H152" i="2"/>
  <c r="Q153" i="2"/>
  <c r="Q152" i="2"/>
  <c r="AA153" i="2"/>
  <c r="AA152" i="2"/>
  <c r="AK153" i="2"/>
  <c r="AK152" i="2"/>
  <c r="F105" i="2"/>
  <c r="F153" i="2"/>
  <c r="F152" i="2"/>
  <c r="J105" i="2"/>
  <c r="J153" i="2"/>
  <c r="J152" i="2"/>
  <c r="O153" i="2"/>
  <c r="O152" i="2"/>
  <c r="T153" i="2"/>
  <c r="T152" i="2"/>
  <c r="Y153" i="2"/>
  <c r="Y152" i="2"/>
  <c r="AD153" i="2"/>
  <c r="AD152" i="2"/>
  <c r="AI153" i="2"/>
  <c r="AI152" i="2"/>
  <c r="AN153" i="2"/>
  <c r="AN152" i="2"/>
  <c r="AS152" i="2"/>
  <c r="G153" i="2"/>
  <c r="G152" i="2"/>
  <c r="K153" i="2"/>
  <c r="K152" i="2"/>
  <c r="P153" i="2"/>
  <c r="P152" i="2"/>
  <c r="U153" i="2"/>
  <c r="U152" i="2"/>
  <c r="Z153" i="2"/>
  <c r="Z152" i="2"/>
  <c r="AE153" i="2"/>
  <c r="AE152" i="2"/>
  <c r="AJ153" i="2"/>
  <c r="AJ152" i="2"/>
  <c r="AO153" i="2"/>
  <c r="AO152" i="2"/>
  <c r="AT153" i="2"/>
  <c r="AT152" i="2"/>
  <c r="AU152" i="2"/>
  <c r="L153" i="2"/>
  <c r="L152" i="2"/>
  <c r="V153" i="2"/>
  <c r="V152" i="2"/>
  <c r="AF153" i="2"/>
  <c r="AF152" i="2"/>
  <c r="AP153" i="2"/>
  <c r="AP152" i="2"/>
  <c r="I105" i="2"/>
  <c r="I153" i="2"/>
  <c r="I152" i="2"/>
  <c r="M153" i="2"/>
  <c r="M152" i="2"/>
  <c r="R153" i="2"/>
  <c r="R152" i="2"/>
  <c r="W153" i="2"/>
  <c r="W152" i="2"/>
  <c r="AB153" i="2"/>
  <c r="AB152" i="2"/>
  <c r="AG153" i="2"/>
  <c r="AG152" i="2"/>
  <c r="AL153" i="2"/>
  <c r="AL152" i="2"/>
  <c r="AQ153" i="2"/>
  <c r="AQ152" i="2"/>
  <c r="AV153" i="2"/>
  <c r="AV152" i="2"/>
  <c r="H105" i="2"/>
  <c r="O105" i="2"/>
  <c r="AI105" i="2"/>
  <c r="AN105" i="2"/>
  <c r="T105" i="2"/>
  <c r="G105" i="2"/>
  <c r="K105" i="2"/>
  <c r="P105" i="2"/>
  <c r="U105" i="2"/>
  <c r="Z105" i="2"/>
  <c r="AE105" i="2"/>
  <c r="AJ105" i="2"/>
  <c r="AO105" i="2"/>
  <c r="AT105" i="2"/>
  <c r="AY105" i="2"/>
  <c r="L105" i="2"/>
  <c r="Q105" i="2"/>
  <c r="V105" i="2"/>
  <c r="AA105" i="2"/>
  <c r="AF105" i="2"/>
  <c r="AK105" i="2"/>
  <c r="AP105" i="2"/>
  <c r="AU105" i="2"/>
  <c r="AZ105" i="2"/>
  <c r="Y105" i="2"/>
  <c r="AD105" i="2"/>
  <c r="AS105" i="2"/>
  <c r="AX105" i="2"/>
  <c r="M105" i="2"/>
  <c r="R105" i="2"/>
  <c r="W105" i="2"/>
  <c r="AB105" i="2"/>
  <c r="AG105" i="2"/>
  <c r="AL105" i="2"/>
  <c r="AQ105" i="2"/>
  <c r="AV105" i="2"/>
  <c r="BA105" i="2"/>
  <c r="CK133" i="1"/>
  <c r="CK14" i="2" s="1"/>
  <c r="CK233" i="2" s="1"/>
  <c r="CI48" i="2"/>
  <c r="CH48" i="2"/>
  <c r="CM85" i="2" s="1"/>
  <c r="CG48" i="2"/>
  <c r="CE136" i="1"/>
  <c r="CE48" i="2" s="1"/>
  <c r="CD136" i="1"/>
  <c r="CD48" i="2" s="1"/>
  <c r="CC136" i="1"/>
  <c r="CC48" i="2" s="1"/>
  <c r="CB136" i="1"/>
  <c r="BZ136" i="1"/>
  <c r="BZ48" i="2" s="1"/>
  <c r="BZ236" i="2" s="1"/>
  <c r="BZ243" i="2" s="1"/>
  <c r="BY136" i="1"/>
  <c r="BY48" i="2" s="1"/>
  <c r="BY236" i="2" s="1"/>
  <c r="BY243" i="2" s="1"/>
  <c r="BX136" i="1"/>
  <c r="BX48" i="2" s="1"/>
  <c r="BX236" i="2" s="1"/>
  <c r="BX243" i="2" s="1"/>
  <c r="BW136" i="1"/>
  <c r="BW48" i="2" s="1"/>
  <c r="BW236" i="2" s="1"/>
  <c r="BW243" i="2" s="1"/>
  <c r="BU136" i="1"/>
  <c r="BU48" i="2" s="1"/>
  <c r="BU236" i="2" s="1"/>
  <c r="BU243" i="2" s="1"/>
  <c r="BT136" i="1"/>
  <c r="BT48" i="2" s="1"/>
  <c r="BT236" i="2" s="1"/>
  <c r="BT243" i="2" s="1"/>
  <c r="BS136" i="1"/>
  <c r="BS48" i="2" s="1"/>
  <c r="BS236" i="2" s="1"/>
  <c r="BS243" i="2" s="1"/>
  <c r="BR136" i="1"/>
  <c r="BR48" i="2" s="1"/>
  <c r="BR236" i="2" s="1"/>
  <c r="BR243" i="2" s="1"/>
  <c r="BP136" i="1"/>
  <c r="BP48" i="2" s="1"/>
  <c r="BP236" i="2" s="1"/>
  <c r="BP243" i="2" s="1"/>
  <c r="BO136" i="1"/>
  <c r="BO48" i="2" s="1"/>
  <c r="BO236" i="2" s="1"/>
  <c r="BO243" i="2" s="1"/>
  <c r="BN136" i="1"/>
  <c r="BN48" i="2" s="1"/>
  <c r="BN236" i="2" s="1"/>
  <c r="BN243" i="2" s="1"/>
  <c r="BM136" i="1"/>
  <c r="BM48" i="2" s="1"/>
  <c r="BM236" i="2" s="1"/>
  <c r="BM243" i="2" s="1"/>
  <c r="BK136" i="1"/>
  <c r="BK48" i="2" s="1"/>
  <c r="BK236" i="2" s="1"/>
  <c r="BK243" i="2" s="1"/>
  <c r="BJ136" i="1"/>
  <c r="BJ48" i="2" s="1"/>
  <c r="BJ236" i="2" s="1"/>
  <c r="BJ243" i="2" s="1"/>
  <c r="BI136" i="1"/>
  <c r="BI48" i="2" s="1"/>
  <c r="BI236" i="2" s="1"/>
  <c r="BI243" i="2" s="1"/>
  <c r="BH136" i="1"/>
  <c r="BH48" i="2" s="1"/>
  <c r="BH236" i="2" s="1"/>
  <c r="BH243" i="2" s="1"/>
  <c r="BF136" i="1"/>
  <c r="BF48" i="2" s="1"/>
  <c r="BE136" i="1"/>
  <c r="BE48" i="2" s="1"/>
  <c r="BD136" i="1"/>
  <c r="BD48" i="2" s="1"/>
  <c r="BC136" i="1"/>
  <c r="BC48" i="2" s="1"/>
  <c r="CI41" i="2"/>
  <c r="CH41" i="2"/>
  <c r="CG41" i="2"/>
  <c r="CE41" i="2"/>
  <c r="CD41" i="2"/>
  <c r="CC41" i="2"/>
  <c r="CB41" i="2"/>
  <c r="BZ41" i="2"/>
  <c r="BY41" i="2"/>
  <c r="BX41" i="2"/>
  <c r="BW41" i="2"/>
  <c r="BU41" i="2"/>
  <c r="BT41" i="2"/>
  <c r="BS41" i="2"/>
  <c r="BR41" i="2"/>
  <c r="BP41" i="2"/>
  <c r="BO41" i="2"/>
  <c r="BN41" i="2"/>
  <c r="BM41" i="2"/>
  <c r="BK41" i="2"/>
  <c r="BJ41" i="2"/>
  <c r="BI41" i="2"/>
  <c r="BH41" i="2"/>
  <c r="BF41" i="2"/>
  <c r="BE41" i="2"/>
  <c r="BD41" i="2"/>
  <c r="BC41" i="2"/>
  <c r="CH26" i="2"/>
  <c r="CG26" i="2"/>
  <c r="CE26" i="2"/>
  <c r="CC26" i="2"/>
  <c r="CB26" i="2"/>
  <c r="BX26" i="2"/>
  <c r="BW26" i="2"/>
  <c r="BU26" i="2"/>
  <c r="BS26" i="2"/>
  <c r="BR26" i="2"/>
  <c r="BP26" i="2"/>
  <c r="BN26" i="2"/>
  <c r="BM26" i="2"/>
  <c r="BK26" i="2"/>
  <c r="BI26" i="2"/>
  <c r="BH26" i="2"/>
  <c r="BD26" i="2"/>
  <c r="BC26" i="2"/>
  <c r="CJ41" i="2"/>
  <c r="CK149" i="1"/>
  <c r="CK148" i="1"/>
  <c r="CK147" i="1"/>
  <c r="CK134" i="1" s="1"/>
  <c r="CK146" i="1"/>
  <c r="CK145" i="1"/>
  <c r="CK142" i="1"/>
  <c r="CK159" i="1"/>
  <c r="CK158" i="1"/>
  <c r="CK157" i="1"/>
  <c r="CK156" i="1"/>
  <c r="CK155" i="1"/>
  <c r="CK154" i="1"/>
  <c r="CJ161" i="1"/>
  <c r="CI161" i="1"/>
  <c r="CH161" i="1"/>
  <c r="CE161" i="1"/>
  <c r="CD161" i="1"/>
  <c r="CC161" i="1"/>
  <c r="CB161" i="1"/>
  <c r="BX161" i="1"/>
  <c r="BW161" i="1"/>
  <c r="BU161" i="1"/>
  <c r="BT161" i="1"/>
  <c r="BS161" i="1"/>
  <c r="BR161" i="1"/>
  <c r="BP161" i="1"/>
  <c r="BO161" i="1"/>
  <c r="BN161" i="1"/>
  <c r="BM161" i="1"/>
  <c r="BK161" i="1"/>
  <c r="BJ161" i="1"/>
  <c r="BI161" i="1"/>
  <c r="BH161" i="1"/>
  <c r="BF161" i="1"/>
  <c r="BE161" i="1"/>
  <c r="BD161" i="1"/>
  <c r="BC161" i="1"/>
  <c r="CJ48" i="2"/>
  <c r="CJ26" i="2"/>
  <c r="AW134" i="1"/>
  <c r="AW26" i="2" s="1"/>
  <c r="AR134" i="1"/>
  <c r="AR26" i="2" s="1"/>
  <c r="AM134" i="1"/>
  <c r="AM26" i="2" s="1"/>
  <c r="AH134" i="1"/>
  <c r="AH26" i="2" s="1"/>
  <c r="AC134" i="1"/>
  <c r="AC26" i="2" s="1"/>
  <c r="X134" i="1"/>
  <c r="X26" i="2" s="1"/>
  <c r="S134" i="1"/>
  <c r="S26" i="2" s="1"/>
  <c r="N134" i="1"/>
  <c r="N26" i="2" s="1"/>
  <c r="CF133" i="1"/>
  <c r="CF14" i="2" s="1"/>
  <c r="CF233" i="2" s="1"/>
  <c r="CA133" i="1"/>
  <c r="CA14" i="2" s="1"/>
  <c r="CA233" i="2" s="1"/>
  <c r="BV133" i="1"/>
  <c r="BV14" i="2" s="1"/>
  <c r="BV233" i="2" s="1"/>
  <c r="BQ133" i="1"/>
  <c r="BQ14" i="2" s="1"/>
  <c r="BQ233" i="2" s="1"/>
  <c r="BL133" i="1"/>
  <c r="BL14" i="2" s="1"/>
  <c r="BL233" i="2" s="1"/>
  <c r="BG133" i="1"/>
  <c r="BG14" i="2" s="1"/>
  <c r="BG233" i="2" s="1"/>
  <c r="BB133" i="1"/>
  <c r="BB14" i="2" s="1"/>
  <c r="BB233" i="2" s="1"/>
  <c r="AW133" i="1"/>
  <c r="AW14" i="2" s="1"/>
  <c r="AT124" i="2" s="1"/>
  <c r="AR133" i="1"/>
  <c r="AR14" i="2" s="1"/>
  <c r="AM133" i="1"/>
  <c r="AM14" i="2" s="1"/>
  <c r="AH133" i="1"/>
  <c r="AH14" i="2" s="1"/>
  <c r="AC133" i="1"/>
  <c r="AC14" i="2" s="1"/>
  <c r="X133" i="1"/>
  <c r="X14" i="2" s="1"/>
  <c r="S133" i="1"/>
  <c r="S14" i="2" s="1"/>
  <c r="N133" i="1"/>
  <c r="N14" i="2" s="1"/>
  <c r="CG160" i="1"/>
  <c r="CF160" i="1"/>
  <c r="CA160" i="1"/>
  <c r="BV160" i="1"/>
  <c r="BQ160" i="1"/>
  <c r="BL160" i="1"/>
  <c r="BG160" i="1"/>
  <c r="CF159" i="1"/>
  <c r="CA159" i="1"/>
  <c r="BV159" i="1"/>
  <c r="BQ159" i="1"/>
  <c r="CF158" i="1"/>
  <c r="CA158" i="1"/>
  <c r="BV158" i="1"/>
  <c r="BQ158" i="1"/>
  <c r="CF157" i="1"/>
  <c r="CA157" i="1"/>
  <c r="BV157" i="1"/>
  <c r="BQ157" i="1"/>
  <c r="BL157" i="1"/>
  <c r="BG157" i="1"/>
  <c r="BB157" i="1"/>
  <c r="CF156" i="1"/>
  <c r="CA156" i="1"/>
  <c r="BV156" i="1"/>
  <c r="BQ156" i="1"/>
  <c r="BL156" i="1"/>
  <c r="BG156" i="1"/>
  <c r="BB156" i="1"/>
  <c r="CF155" i="1"/>
  <c r="CA155" i="1"/>
  <c r="BV155" i="1"/>
  <c r="BQ155" i="1"/>
  <c r="BL155" i="1"/>
  <c r="BG155" i="1"/>
  <c r="BB155" i="1"/>
  <c r="CF154" i="1"/>
  <c r="CA154" i="1"/>
  <c r="BV154" i="1"/>
  <c r="BQ154" i="1"/>
  <c r="BL154" i="1"/>
  <c r="BG154" i="1"/>
  <c r="BB154" i="1"/>
  <c r="N142" i="1"/>
  <c r="S142" i="1"/>
  <c r="X142" i="1"/>
  <c r="AC142" i="1"/>
  <c r="AH142" i="1"/>
  <c r="AM142" i="1"/>
  <c r="AR142" i="1"/>
  <c r="AW142" i="1"/>
  <c r="BB142" i="1"/>
  <c r="BG142" i="1"/>
  <c r="BL142" i="1"/>
  <c r="BQ142" i="1"/>
  <c r="BV142" i="1"/>
  <c r="CA142" i="1"/>
  <c r="CF142" i="1"/>
  <c r="M143" i="1"/>
  <c r="R143" i="1"/>
  <c r="W143" i="1"/>
  <c r="AB143" i="1"/>
  <c r="AG143" i="1"/>
  <c r="AW143" i="1"/>
  <c r="M144" i="1"/>
  <c r="R144" i="1"/>
  <c r="W144" i="1"/>
  <c r="AB144" i="1"/>
  <c r="AG144" i="1"/>
  <c r="AL144" i="1"/>
  <c r="AW144" i="1"/>
  <c r="N145" i="1"/>
  <c r="S145" i="1"/>
  <c r="X145" i="1"/>
  <c r="AC145" i="1"/>
  <c r="AH145" i="1"/>
  <c r="AM145" i="1"/>
  <c r="AR145" i="1"/>
  <c r="AW145" i="1"/>
  <c r="BB145" i="1"/>
  <c r="BG145" i="1"/>
  <c r="BL145" i="1"/>
  <c r="BQ145" i="1"/>
  <c r="BV145" i="1"/>
  <c r="CA145" i="1"/>
  <c r="CF145" i="1"/>
  <c r="CM84" i="2" l="1"/>
  <c r="BI235" i="2"/>
  <c r="BI242" i="2" s="1"/>
  <c r="BJ235" i="2"/>
  <c r="BJ242" i="2" s="1"/>
  <c r="BY235" i="2"/>
  <c r="BY242" i="2" s="1"/>
  <c r="BS235" i="2"/>
  <c r="BS242" i="2" s="1"/>
  <c r="BM235" i="2"/>
  <c r="BM242" i="2" s="1"/>
  <c r="BT235" i="2"/>
  <c r="BT242" i="2" s="1"/>
  <c r="BR235" i="2"/>
  <c r="BR242" i="2" s="1"/>
  <c r="BN235" i="2"/>
  <c r="BN242" i="2" s="1"/>
  <c r="BU235" i="2"/>
  <c r="BU242" i="2" s="1"/>
  <c r="BP235" i="2"/>
  <c r="BP242" i="2" s="1"/>
  <c r="BX235" i="2"/>
  <c r="BX242" i="2" s="1"/>
  <c r="BK235" i="2"/>
  <c r="BK242" i="2" s="1"/>
  <c r="BZ235" i="2"/>
  <c r="BZ242" i="2" s="1"/>
  <c r="CL83" i="2"/>
  <c r="BH235" i="2"/>
  <c r="BH242" i="2" s="1"/>
  <c r="BO235" i="2"/>
  <c r="BO242" i="2" s="1"/>
  <c r="BW235" i="2"/>
  <c r="BW242" i="2" s="1"/>
  <c r="CJ236" i="2"/>
  <c r="CJ243" i="2" s="1"/>
  <c r="CO85" i="2"/>
  <c r="CO84" i="2"/>
  <c r="CI235" i="2"/>
  <c r="CI242" i="2" s="1"/>
  <c r="CN84" i="2"/>
  <c r="CI236" i="2"/>
  <c r="CI243" i="2" s="1"/>
  <c r="CN85" i="2"/>
  <c r="CD235" i="2"/>
  <c r="CD242" i="2" s="1"/>
  <c r="CI84" i="2"/>
  <c r="CE236" i="2"/>
  <c r="CE243" i="2" s="1"/>
  <c r="CJ85" i="2"/>
  <c r="CE235" i="2"/>
  <c r="CE242" i="2" s="1"/>
  <c r="CJ84" i="2"/>
  <c r="CB235" i="2"/>
  <c r="CB242" i="2" s="1"/>
  <c r="CG84" i="2"/>
  <c r="CC236" i="2"/>
  <c r="CC243" i="2" s="1"/>
  <c r="CH85" i="2"/>
  <c r="CC235" i="2"/>
  <c r="CC242" i="2" s="1"/>
  <c r="CH84" i="2"/>
  <c r="CD236" i="2"/>
  <c r="CD243" i="2" s="1"/>
  <c r="CI85" i="2"/>
  <c r="CG236" i="2"/>
  <c r="CG243" i="2" s="1"/>
  <c r="CL85" i="2"/>
  <c r="CG235" i="2"/>
  <c r="CG242" i="2" s="1"/>
  <c r="CL84" i="2"/>
  <c r="CH235" i="2"/>
  <c r="CH242" i="2" s="1"/>
  <c r="CM83" i="2"/>
  <c r="CH236" i="2"/>
  <c r="CH243" i="2" s="1"/>
  <c r="CK41" i="2"/>
  <c r="BB135" i="1"/>
  <c r="BV135" i="1"/>
  <c r="BG135" i="1"/>
  <c r="CA135" i="1"/>
  <c r="BL135" i="1"/>
  <c r="CF135" i="1"/>
  <c r="BQ135" i="1"/>
  <c r="BC201" i="2"/>
  <c r="BC236" i="2"/>
  <c r="BC243" i="2" s="1"/>
  <c r="BC200" i="2"/>
  <c r="BC235" i="2"/>
  <c r="BC242" i="2" s="1"/>
  <c r="BD201" i="2"/>
  <c r="BD236" i="2"/>
  <c r="BD243" i="2" s="1"/>
  <c r="BF200" i="2"/>
  <c r="BF235" i="2"/>
  <c r="BF242" i="2" s="1"/>
  <c r="BD200" i="2"/>
  <c r="BD235" i="2"/>
  <c r="BD242" i="2" s="1"/>
  <c r="BE201" i="2"/>
  <c r="BE236" i="2"/>
  <c r="BE243" i="2" s="1"/>
  <c r="CJ200" i="2"/>
  <c r="CJ235" i="2"/>
  <c r="CJ242" i="2" s="1"/>
  <c r="BE200" i="2"/>
  <c r="BE235" i="2"/>
  <c r="BE242" i="2" s="1"/>
  <c r="BF201" i="2"/>
  <c r="BF236" i="2"/>
  <c r="BF243" i="2" s="1"/>
  <c r="CB48" i="2"/>
  <c r="CF136" i="1"/>
  <c r="CF48" i="2" s="1"/>
  <c r="CA240" i="2"/>
  <c r="BB240" i="2"/>
  <c r="BL240" i="2"/>
  <c r="CF240" i="2"/>
  <c r="BV240" i="2"/>
  <c r="BG240" i="2"/>
  <c r="BQ240" i="2"/>
  <c r="CK240" i="2"/>
  <c r="CC200" i="2"/>
  <c r="BY201" i="2"/>
  <c r="CI201" i="2"/>
  <c r="BI200" i="2"/>
  <c r="BT201" i="2"/>
  <c r="BO200" i="2"/>
  <c r="BT200" i="2"/>
  <c r="BY200" i="2"/>
  <c r="CD200" i="2"/>
  <c r="BK201" i="2"/>
  <c r="BU201" i="2"/>
  <c r="BZ201" i="2"/>
  <c r="BS200" i="2"/>
  <c r="BN200" i="2"/>
  <c r="CD201" i="2"/>
  <c r="BP201" i="2"/>
  <c r="CE201" i="2"/>
  <c r="BX200" i="2"/>
  <c r="CH200" i="2"/>
  <c r="BJ201" i="2"/>
  <c r="BO201" i="2"/>
  <c r="BJ200" i="2"/>
  <c r="CJ201" i="2"/>
  <c r="BK200" i="2"/>
  <c r="BP200" i="2"/>
  <c r="BU200" i="2"/>
  <c r="BZ200" i="2"/>
  <c r="CE200" i="2"/>
  <c r="BH201" i="2"/>
  <c r="BM201" i="2"/>
  <c r="BR201" i="2"/>
  <c r="BW201" i="2"/>
  <c r="CI200" i="2"/>
  <c r="BH200" i="2"/>
  <c r="BM200" i="2"/>
  <c r="BR200" i="2"/>
  <c r="BW200" i="2"/>
  <c r="CB200" i="2"/>
  <c r="CG200" i="2"/>
  <c r="BI201" i="2"/>
  <c r="BN201" i="2"/>
  <c r="BS201" i="2"/>
  <c r="BX201" i="2"/>
  <c r="CC201" i="2"/>
  <c r="CH201" i="2"/>
  <c r="CJ149" i="2"/>
  <c r="CJ191" i="2"/>
  <c r="BD149" i="2"/>
  <c r="BD191" i="2"/>
  <c r="BI149" i="2"/>
  <c r="BI191" i="2"/>
  <c r="BN149" i="2"/>
  <c r="BN191" i="2"/>
  <c r="BS149" i="2"/>
  <c r="BS191" i="2"/>
  <c r="BX149" i="2"/>
  <c r="BX191" i="2"/>
  <c r="CC149" i="2"/>
  <c r="CC191" i="2"/>
  <c r="CH149" i="2"/>
  <c r="CH191" i="2"/>
  <c r="BE150" i="2"/>
  <c r="BE192" i="2"/>
  <c r="BJ150" i="2"/>
  <c r="BJ192" i="2"/>
  <c r="BO150" i="2"/>
  <c r="BO192" i="2"/>
  <c r="BT150" i="2"/>
  <c r="BT192" i="2"/>
  <c r="BY150" i="2"/>
  <c r="BY192" i="2"/>
  <c r="CD150" i="2"/>
  <c r="CD192" i="2"/>
  <c r="CI150" i="2"/>
  <c r="CI192" i="2"/>
  <c r="BE149" i="2"/>
  <c r="BE191" i="2"/>
  <c r="BJ149" i="2"/>
  <c r="BJ191" i="2"/>
  <c r="BO149" i="2"/>
  <c r="BO191" i="2"/>
  <c r="BT149" i="2"/>
  <c r="BT191" i="2"/>
  <c r="BY149" i="2"/>
  <c r="BY191" i="2"/>
  <c r="CD149" i="2"/>
  <c r="CD191" i="2"/>
  <c r="CI149" i="2"/>
  <c r="CI191" i="2"/>
  <c r="BF150" i="2"/>
  <c r="BF192" i="2"/>
  <c r="BK150" i="2"/>
  <c r="BK192" i="2"/>
  <c r="BP150" i="2"/>
  <c r="BP192" i="2"/>
  <c r="BU150" i="2"/>
  <c r="BU192" i="2"/>
  <c r="BZ150" i="2"/>
  <c r="BZ192" i="2"/>
  <c r="CE150" i="2"/>
  <c r="CE192" i="2"/>
  <c r="BF149" i="2"/>
  <c r="BF191" i="2"/>
  <c r="BK149" i="2"/>
  <c r="BK191" i="2"/>
  <c r="BP149" i="2"/>
  <c r="BP191" i="2"/>
  <c r="BU149" i="2"/>
  <c r="BU191" i="2"/>
  <c r="BZ149" i="2"/>
  <c r="BZ191" i="2"/>
  <c r="CE149" i="2"/>
  <c r="CE191" i="2"/>
  <c r="BC150" i="2"/>
  <c r="BC192" i="2"/>
  <c r="BH150" i="2"/>
  <c r="BH192" i="2"/>
  <c r="BM150" i="2"/>
  <c r="BM192" i="2"/>
  <c r="BR150" i="2"/>
  <c r="BR192" i="2"/>
  <c r="BW150" i="2"/>
  <c r="BW192" i="2"/>
  <c r="CG150" i="2"/>
  <c r="CG192" i="2"/>
  <c r="CJ150" i="2"/>
  <c r="CJ192" i="2"/>
  <c r="BC149" i="2"/>
  <c r="BC191" i="2"/>
  <c r="BH149" i="2"/>
  <c r="BH191" i="2"/>
  <c r="BM149" i="2"/>
  <c r="BM191" i="2"/>
  <c r="BR149" i="2"/>
  <c r="BR191" i="2"/>
  <c r="BW149" i="2"/>
  <c r="BW191" i="2"/>
  <c r="CB149" i="2"/>
  <c r="CB191" i="2"/>
  <c r="CG149" i="2"/>
  <c r="CG191" i="2"/>
  <c r="BD150" i="2"/>
  <c r="BD192" i="2"/>
  <c r="BI150" i="2"/>
  <c r="BI192" i="2"/>
  <c r="BN150" i="2"/>
  <c r="BN192" i="2"/>
  <c r="BS150" i="2"/>
  <c r="BS192" i="2"/>
  <c r="BX150" i="2"/>
  <c r="BX192" i="2"/>
  <c r="CC150" i="2"/>
  <c r="CC192" i="2"/>
  <c r="CH150" i="2"/>
  <c r="CH192" i="2"/>
  <c r="W125" i="2"/>
  <c r="T125" i="2"/>
  <c r="V125" i="2"/>
  <c r="U125" i="2"/>
  <c r="AP125" i="2"/>
  <c r="AN125" i="2"/>
  <c r="AO125" i="2"/>
  <c r="AQ125" i="2"/>
  <c r="Z125" i="2"/>
  <c r="AB125" i="2"/>
  <c r="Y125" i="2"/>
  <c r="AA125" i="2"/>
  <c r="AV125" i="2"/>
  <c r="AU125" i="2"/>
  <c r="AT125" i="2"/>
  <c r="AS125" i="2"/>
  <c r="AD125" i="2"/>
  <c r="AE125" i="2"/>
  <c r="AF125" i="2"/>
  <c r="AG125" i="2"/>
  <c r="Q125" i="2"/>
  <c r="O125" i="2"/>
  <c r="R125" i="2"/>
  <c r="P125" i="2"/>
  <c r="CJ119" i="2"/>
  <c r="CJ118" i="2"/>
  <c r="BK118" i="2"/>
  <c r="BP118" i="2"/>
  <c r="BU118" i="2"/>
  <c r="BZ118" i="2"/>
  <c r="CE118" i="2"/>
  <c r="BH119" i="2"/>
  <c r="BM119" i="2"/>
  <c r="BR119" i="2"/>
  <c r="BW119" i="2"/>
  <c r="CH119" i="2"/>
  <c r="BJ118" i="2"/>
  <c r="BO118" i="2"/>
  <c r="BT118" i="2"/>
  <c r="BY118" i="2"/>
  <c r="CD118" i="2"/>
  <c r="CI118" i="2"/>
  <c r="BF119" i="2"/>
  <c r="BC117" i="2"/>
  <c r="BD117" i="2"/>
  <c r="BE118" i="2"/>
  <c r="BF118" i="2"/>
  <c r="BH118" i="2"/>
  <c r="BR118" i="2"/>
  <c r="BW118" i="2"/>
  <c r="CG118" i="2"/>
  <c r="BI119" i="2"/>
  <c r="BS119" i="2"/>
  <c r="BX119" i="2"/>
  <c r="BD118" i="2"/>
  <c r="BI118" i="2"/>
  <c r="BN118" i="2"/>
  <c r="BS118" i="2"/>
  <c r="BX118" i="2"/>
  <c r="CC118" i="2"/>
  <c r="CH118" i="2"/>
  <c r="BE119" i="2"/>
  <c r="BJ119" i="2"/>
  <c r="BO119" i="2"/>
  <c r="BT119" i="2"/>
  <c r="BY119" i="2"/>
  <c r="CD119" i="2"/>
  <c r="CI119" i="2"/>
  <c r="BM118" i="2"/>
  <c r="CB118" i="2"/>
  <c r="BD119" i="2"/>
  <c r="BN119" i="2"/>
  <c r="BK119" i="2"/>
  <c r="BP119" i="2"/>
  <c r="BU119" i="2"/>
  <c r="BZ119" i="2"/>
  <c r="CE119" i="2"/>
  <c r="CG119" i="2"/>
  <c r="CJ111" i="2"/>
  <c r="CJ108" i="2"/>
  <c r="CJ109" i="2"/>
  <c r="BK110" i="2"/>
  <c r="BP110" i="2"/>
  <c r="BU110" i="2"/>
  <c r="CE110" i="2"/>
  <c r="BC111" i="2"/>
  <c r="BH111" i="2"/>
  <c r="BM111" i="2"/>
  <c r="BR111" i="2"/>
  <c r="BW111" i="2"/>
  <c r="CG111" i="2"/>
  <c r="CJ110" i="2"/>
  <c r="BK62" i="2"/>
  <c r="BK152" i="2" s="1"/>
  <c r="BK108" i="2"/>
  <c r="BK109" i="2"/>
  <c r="BP62" i="2"/>
  <c r="BP152" i="2" s="1"/>
  <c r="BP108" i="2"/>
  <c r="BP109" i="2"/>
  <c r="BU62" i="2"/>
  <c r="BU152" i="2" s="1"/>
  <c r="BU108" i="2"/>
  <c r="BU109" i="2"/>
  <c r="CE62" i="2"/>
  <c r="CE152" i="2" s="1"/>
  <c r="CE109" i="2"/>
  <c r="CE108" i="2"/>
  <c r="BC110" i="2"/>
  <c r="BH110" i="2"/>
  <c r="BM110" i="2"/>
  <c r="BR110" i="2"/>
  <c r="BW110" i="2"/>
  <c r="CG110" i="2"/>
  <c r="BD111" i="2"/>
  <c r="BI111" i="2"/>
  <c r="BN111" i="2"/>
  <c r="BS111" i="2"/>
  <c r="BX111" i="2"/>
  <c r="CC111" i="2"/>
  <c r="CH111" i="2"/>
  <c r="BC62" i="2"/>
  <c r="BC152" i="2" s="1"/>
  <c r="BC108" i="2"/>
  <c r="BC109" i="2"/>
  <c r="BH62" i="2"/>
  <c r="BH152" i="2" s="1"/>
  <c r="BH108" i="2"/>
  <c r="BH109" i="2"/>
  <c r="BM62" i="2"/>
  <c r="BM152" i="2" s="1"/>
  <c r="BM108" i="2"/>
  <c r="BM109" i="2"/>
  <c r="BR62" i="2"/>
  <c r="BR152" i="2" s="1"/>
  <c r="BR109" i="2"/>
  <c r="BR108" i="2"/>
  <c r="BW62" i="2"/>
  <c r="BW152" i="2" s="1"/>
  <c r="BW109" i="2"/>
  <c r="BW108" i="2"/>
  <c r="CG108" i="2"/>
  <c r="CG109" i="2"/>
  <c r="BD110" i="2"/>
  <c r="BI110" i="2"/>
  <c r="BN110" i="2"/>
  <c r="BS110" i="2"/>
  <c r="BX110" i="2"/>
  <c r="CC110" i="2"/>
  <c r="CH110" i="2"/>
  <c r="BD62" i="2"/>
  <c r="BD152" i="2" s="1"/>
  <c r="BD108" i="2"/>
  <c r="BD109" i="2"/>
  <c r="BI62" i="2"/>
  <c r="BI152" i="2" s="1"/>
  <c r="BI108" i="2"/>
  <c r="BI109" i="2"/>
  <c r="BN62" i="2"/>
  <c r="BN152" i="2" s="1"/>
  <c r="BN109" i="2"/>
  <c r="BN108" i="2"/>
  <c r="BS62" i="2"/>
  <c r="BS152" i="2" s="1"/>
  <c r="BS109" i="2"/>
  <c r="BS108" i="2"/>
  <c r="BX62" i="2"/>
  <c r="BX152" i="2" s="1"/>
  <c r="BX108" i="2"/>
  <c r="BX109" i="2"/>
  <c r="CC62" i="2"/>
  <c r="CC152" i="2" s="1"/>
  <c r="CC108" i="2"/>
  <c r="CC109" i="2"/>
  <c r="CH109" i="2"/>
  <c r="CH108" i="2"/>
  <c r="BK111" i="2"/>
  <c r="BP111" i="2"/>
  <c r="BU111" i="2"/>
  <c r="CE111" i="2"/>
  <c r="BK102" i="2"/>
  <c r="BP102" i="2"/>
  <c r="BU102" i="2"/>
  <c r="BZ102" i="2"/>
  <c r="CE102" i="2"/>
  <c r="BH103" i="2"/>
  <c r="BM103" i="2"/>
  <c r="BR103" i="2"/>
  <c r="BW103" i="2"/>
  <c r="CJ103" i="2"/>
  <c r="CJ102" i="2"/>
  <c r="BH102" i="2"/>
  <c r="BM102" i="2"/>
  <c r="BR102" i="2"/>
  <c r="BW102" i="2"/>
  <c r="CB102" i="2"/>
  <c r="CG102" i="2"/>
  <c r="BI103" i="2"/>
  <c r="BN103" i="2"/>
  <c r="BS103" i="2"/>
  <c r="BX103" i="2"/>
  <c r="CC103" i="2"/>
  <c r="CH103" i="2"/>
  <c r="BI102" i="2"/>
  <c r="BN102" i="2"/>
  <c r="BS102" i="2"/>
  <c r="BX102" i="2"/>
  <c r="CC102" i="2"/>
  <c r="CH102" i="2"/>
  <c r="BJ103" i="2"/>
  <c r="BO103" i="2"/>
  <c r="BT103" i="2"/>
  <c r="BY103" i="2"/>
  <c r="CD103" i="2"/>
  <c r="CI103" i="2"/>
  <c r="BJ102" i="2"/>
  <c r="BO102" i="2"/>
  <c r="BT102" i="2"/>
  <c r="BY102" i="2"/>
  <c r="CD102" i="2"/>
  <c r="CI102" i="2"/>
  <c r="BK103" i="2"/>
  <c r="BP103" i="2"/>
  <c r="BU103" i="2"/>
  <c r="BZ103" i="2"/>
  <c r="CE103" i="2"/>
  <c r="CH62" i="2"/>
  <c r="BJ84" i="2"/>
  <c r="BO84" i="2"/>
  <c r="BT84" i="2"/>
  <c r="BY84" i="2"/>
  <c r="CD84" i="2"/>
  <c r="CK138" i="1"/>
  <c r="CK61" i="2" s="1"/>
  <c r="CG61" i="2"/>
  <c r="CJ62" i="2"/>
  <c r="BE139" i="1"/>
  <c r="BE26" i="2"/>
  <c r="BJ139" i="1"/>
  <c r="BJ26" i="2"/>
  <c r="BO139" i="1"/>
  <c r="BO26" i="2"/>
  <c r="BT139" i="1"/>
  <c r="BT26" i="2"/>
  <c r="BY139" i="1"/>
  <c r="BY26" i="2"/>
  <c r="CD139" i="1"/>
  <c r="CD26" i="2"/>
  <c r="CI139" i="1"/>
  <c r="CI26" i="2"/>
  <c r="BK84" i="2"/>
  <c r="BP84" i="2"/>
  <c r="BU84" i="2"/>
  <c r="BZ84" i="2"/>
  <c r="CE84" i="2"/>
  <c r="BH85" i="2"/>
  <c r="BM85" i="2"/>
  <c r="BR85" i="2"/>
  <c r="BW85" i="2"/>
  <c r="BF139" i="1"/>
  <c r="BF26" i="2"/>
  <c r="BZ139" i="1"/>
  <c r="BZ26" i="2"/>
  <c r="BH84" i="2"/>
  <c r="BM84" i="2"/>
  <c r="BR84" i="2"/>
  <c r="BW84" i="2"/>
  <c r="CB84" i="2"/>
  <c r="BI85" i="2"/>
  <c r="BN85" i="2"/>
  <c r="BS85" i="2"/>
  <c r="BX85" i="2"/>
  <c r="CC85" i="2"/>
  <c r="BI84" i="2"/>
  <c r="BN84" i="2"/>
  <c r="BS84" i="2"/>
  <c r="BX84" i="2"/>
  <c r="CC84" i="2"/>
  <c r="BJ85" i="2"/>
  <c r="BO85" i="2"/>
  <c r="BT85" i="2"/>
  <c r="BY85" i="2"/>
  <c r="CD85" i="2"/>
  <c r="BK85" i="2"/>
  <c r="BP85" i="2"/>
  <c r="BU85" i="2"/>
  <c r="BZ85" i="2"/>
  <c r="CE85" i="2"/>
  <c r="BN139" i="1"/>
  <c r="BR139" i="1"/>
  <c r="BW139" i="1"/>
  <c r="CB139" i="1"/>
  <c r="CH139" i="1"/>
  <c r="BG136" i="1"/>
  <c r="BG48" i="2" s="1"/>
  <c r="BG236" i="2" s="1"/>
  <c r="BG243" i="2" s="1"/>
  <c r="CA136" i="1"/>
  <c r="CA48" i="2" s="1"/>
  <c r="CA236" i="2" s="1"/>
  <c r="CA243" i="2" s="1"/>
  <c r="BL136" i="1"/>
  <c r="BL48" i="2" s="1"/>
  <c r="BL236" i="2" s="1"/>
  <c r="BL243" i="2" s="1"/>
  <c r="BQ161" i="1"/>
  <c r="BK139" i="1"/>
  <c r="BP139" i="1"/>
  <c r="BU139" i="1"/>
  <c r="CE139" i="1"/>
  <c r="CK48" i="2"/>
  <c r="CK236" i="2" s="1"/>
  <c r="CK243" i="2" s="1"/>
  <c r="BV161" i="1"/>
  <c r="CK160" i="1"/>
  <c r="CK161" i="1" s="1"/>
  <c r="BC139" i="1"/>
  <c r="BH139" i="1"/>
  <c r="BM139" i="1"/>
  <c r="CG139" i="1"/>
  <c r="BB161" i="1"/>
  <c r="BL161" i="1"/>
  <c r="CF161" i="1"/>
  <c r="BB136" i="1"/>
  <c r="BB48" i="2" s="1"/>
  <c r="BV136" i="1"/>
  <c r="BV48" i="2" s="1"/>
  <c r="BV236" i="2" s="1"/>
  <c r="BV243" i="2" s="1"/>
  <c r="CJ139" i="1"/>
  <c r="BD139" i="1"/>
  <c r="BI139" i="1"/>
  <c r="BS139" i="1"/>
  <c r="BX139" i="1"/>
  <c r="CC139" i="1"/>
  <c r="BQ136" i="1"/>
  <c r="BQ48" i="2" s="1"/>
  <c r="BQ236" i="2" s="1"/>
  <c r="BQ243" i="2" s="1"/>
  <c r="CK26" i="2"/>
  <c r="CA161" i="1"/>
  <c r="CG161" i="1"/>
  <c r="BG161" i="1"/>
  <c r="CH18" i="12"/>
  <c r="CG18" i="12"/>
  <c r="CH17" i="12"/>
  <c r="CG17" i="12"/>
  <c r="CH15" i="12"/>
  <c r="CG15" i="12"/>
  <c r="CH14" i="12"/>
  <c r="CG14" i="12"/>
  <c r="CH12" i="12"/>
  <c r="CG12" i="12"/>
  <c r="CH10" i="12"/>
  <c r="CG10" i="12"/>
  <c r="CH9" i="12"/>
  <c r="CG9" i="12"/>
  <c r="BT111" i="2" l="1"/>
  <c r="BO111" i="2"/>
  <c r="CI111" i="2"/>
  <c r="CN83" i="2"/>
  <c r="CQ118" i="2"/>
  <c r="CH87" i="2"/>
  <c r="CF236" i="2"/>
  <c r="CF243" i="2" s="1"/>
  <c r="CK85" i="2"/>
  <c r="CB192" i="2"/>
  <c r="CG85" i="2"/>
  <c r="CJ152" i="2"/>
  <c r="CJ87" i="2"/>
  <c r="CB103" i="2"/>
  <c r="CB109" i="2"/>
  <c r="CB108" i="2"/>
  <c r="CB110" i="2"/>
  <c r="CB111" i="2"/>
  <c r="CC119" i="2"/>
  <c r="CB85" i="2"/>
  <c r="CG103" i="2"/>
  <c r="CB62" i="2"/>
  <c r="CB152" i="2" s="1"/>
  <c r="CB119" i="2"/>
  <c r="CH152" i="2"/>
  <c r="CM201" i="2"/>
  <c r="CH8" i="12"/>
  <c r="CH16" i="12"/>
  <c r="CG8" i="12"/>
  <c r="CG16" i="12"/>
  <c r="CL243" i="2"/>
  <c r="CB201" i="2"/>
  <c r="CB236" i="2"/>
  <c r="CB243" i="2" s="1"/>
  <c r="CP41" i="2"/>
  <c r="CL242" i="2"/>
  <c r="CG62" i="2"/>
  <c r="CB150" i="2"/>
  <c r="CG201" i="2"/>
  <c r="CK234" i="2"/>
  <c r="CK241" i="2" s="1"/>
  <c r="J100" i="47"/>
  <c r="CK18" i="1"/>
  <c r="CK21" i="1"/>
  <c r="CK14" i="1"/>
  <c r="BB201" i="2"/>
  <c r="BB236" i="2"/>
  <c r="BB243" i="2" s="1"/>
  <c r="CK191" i="2"/>
  <c r="CK235" i="2"/>
  <c r="CK242" i="2" s="1"/>
  <c r="CK13" i="1"/>
  <c r="CK16" i="1"/>
  <c r="CK19" i="1"/>
  <c r="CK25" i="1"/>
  <c r="CK192" i="2"/>
  <c r="CK201" i="2"/>
  <c r="BL192" i="2"/>
  <c r="BL201" i="2"/>
  <c r="BV192" i="2"/>
  <c r="BV201" i="2"/>
  <c r="CA192" i="2"/>
  <c r="CA201" i="2"/>
  <c r="BQ192" i="2"/>
  <c r="BQ201" i="2"/>
  <c r="CF192" i="2"/>
  <c r="CF201" i="2"/>
  <c r="BG192" i="2"/>
  <c r="BG201" i="2"/>
  <c r="BB150" i="2"/>
  <c r="BB192" i="2"/>
  <c r="BR127" i="2"/>
  <c r="BV150" i="2"/>
  <c r="CI126" i="2"/>
  <c r="CK149" i="2"/>
  <c r="BX127" i="2"/>
  <c r="CA150" i="2"/>
  <c r="BN87" i="2"/>
  <c r="BP87" i="2"/>
  <c r="BO127" i="2"/>
  <c r="BQ150" i="2"/>
  <c r="CB127" i="2"/>
  <c r="CF150" i="2"/>
  <c r="BD127" i="2"/>
  <c r="BG150" i="2"/>
  <c r="CI127" i="2"/>
  <c r="CK150" i="2"/>
  <c r="BH127" i="2"/>
  <c r="BL150" i="2"/>
  <c r="BM87" i="2"/>
  <c r="BR87" i="2"/>
  <c r="BC113" i="2"/>
  <c r="CE127" i="2"/>
  <c r="BK127" i="2"/>
  <c r="CD127" i="2"/>
  <c r="BJ127" i="2"/>
  <c r="CH127" i="2"/>
  <c r="BS127" i="2"/>
  <c r="CG126" i="2"/>
  <c r="CJ126" i="2"/>
  <c r="BS87" i="2"/>
  <c r="BU87" i="2"/>
  <c r="BZ127" i="2"/>
  <c r="BF127" i="2"/>
  <c r="BY127" i="2"/>
  <c r="BE127" i="2"/>
  <c r="BN127" i="2"/>
  <c r="BW127" i="2"/>
  <c r="BM127" i="2"/>
  <c r="BC127" i="2"/>
  <c r="BU127" i="2"/>
  <c r="BT127" i="2"/>
  <c r="CH126" i="2"/>
  <c r="CC127" i="2"/>
  <c r="BI127" i="2"/>
  <c r="CG127" i="2"/>
  <c r="CJ127" i="2"/>
  <c r="BP127" i="2"/>
  <c r="BF117" i="2"/>
  <c r="BE117" i="2"/>
  <c r="BC105" i="2"/>
  <c r="CN118" i="2"/>
  <c r="CL118" i="2"/>
  <c r="BX87" i="2"/>
  <c r="BI87" i="2"/>
  <c r="BD105" i="2"/>
  <c r="CM118" i="2"/>
  <c r="CH113" i="2"/>
  <c r="BH87" i="2"/>
  <c r="CO118" i="2"/>
  <c r="CP48" i="2"/>
  <c r="CP236" i="2" s="1"/>
  <c r="BR113" i="2"/>
  <c r="BM113" i="2"/>
  <c r="BW87" i="2"/>
  <c r="BS113" i="2"/>
  <c r="CC87" i="2"/>
  <c r="BX113" i="2"/>
  <c r="BD113" i="2"/>
  <c r="CK108" i="2"/>
  <c r="CK109" i="2"/>
  <c r="CK110" i="2"/>
  <c r="BF62" i="2"/>
  <c r="BF152" i="2" s="1"/>
  <c r="BF109" i="2"/>
  <c r="BF108" i="2"/>
  <c r="CN102" i="2"/>
  <c r="CL102" i="2"/>
  <c r="CL110" i="2"/>
  <c r="BT110" i="2"/>
  <c r="CC113" i="2"/>
  <c r="BN113" i="2"/>
  <c r="BI113" i="2"/>
  <c r="BH113" i="2"/>
  <c r="BP113" i="2"/>
  <c r="CF103" i="2"/>
  <c r="CD62" i="2"/>
  <c r="CD152" i="2" s="1"/>
  <c r="CD109" i="2"/>
  <c r="CD108" i="2"/>
  <c r="BT62" i="2"/>
  <c r="BT152" i="2" s="1"/>
  <c r="BT108" i="2"/>
  <c r="BT109" i="2"/>
  <c r="BJ62" i="2"/>
  <c r="BJ152" i="2" s="1"/>
  <c r="BJ109" i="2"/>
  <c r="BJ108" i="2"/>
  <c r="CM103" i="2"/>
  <c r="CM111" i="2"/>
  <c r="CO103" i="2"/>
  <c r="CI110" i="2"/>
  <c r="BO110" i="2"/>
  <c r="CE113" i="2"/>
  <c r="BU113" i="2"/>
  <c r="CM108" i="2"/>
  <c r="CM109" i="2"/>
  <c r="CM102" i="2"/>
  <c r="CM110" i="2"/>
  <c r="CD110" i="2"/>
  <c r="BJ110" i="2"/>
  <c r="CD111" i="2"/>
  <c r="BJ111" i="2"/>
  <c r="CG113" i="2"/>
  <c r="BW113" i="2"/>
  <c r="CJ113" i="2"/>
  <c r="CK103" i="2"/>
  <c r="CK111" i="2"/>
  <c r="BL103" i="2"/>
  <c r="BZ62" i="2"/>
  <c r="BZ152" i="2" s="1"/>
  <c r="BZ109" i="2"/>
  <c r="BZ108" i="2"/>
  <c r="CI109" i="2"/>
  <c r="CI108" i="2"/>
  <c r="BY62" i="2"/>
  <c r="BY152" i="2" s="1"/>
  <c r="BY108" i="2"/>
  <c r="BY109" i="2"/>
  <c r="BO62" i="2"/>
  <c r="BO152" i="2" s="1"/>
  <c r="BO109" i="2"/>
  <c r="BO108" i="2"/>
  <c r="BE62" i="2"/>
  <c r="BE152" i="2" s="1"/>
  <c r="BE108" i="2"/>
  <c r="BE109" i="2"/>
  <c r="CN103" i="2"/>
  <c r="CL103" i="2"/>
  <c r="CL111" i="2"/>
  <c r="BZ111" i="2"/>
  <c r="BF111" i="2"/>
  <c r="BY110" i="2"/>
  <c r="BE110" i="2"/>
  <c r="BY111" i="2"/>
  <c r="BE111" i="2"/>
  <c r="CL109" i="2"/>
  <c r="CL108" i="2"/>
  <c r="BK113" i="2"/>
  <c r="BZ110" i="2"/>
  <c r="BF110" i="2"/>
  <c r="CO102" i="2"/>
  <c r="BV103" i="2"/>
  <c r="CA103" i="2"/>
  <c r="BQ103" i="2"/>
  <c r="BG103" i="2"/>
  <c r="CI62" i="2"/>
  <c r="CK62" i="2"/>
  <c r="BQ85" i="2"/>
  <c r="CF85" i="2"/>
  <c r="BV85" i="2"/>
  <c r="CA85" i="2"/>
  <c r="BG85" i="2"/>
  <c r="BL85" i="2"/>
  <c r="CK139" i="1"/>
  <c r="DC118" i="2" l="1"/>
  <c r="DC103" i="2"/>
  <c r="DC102" i="2"/>
  <c r="CX118" i="2"/>
  <c r="CV118" i="2"/>
  <c r="CV117" i="2"/>
  <c r="CX103" i="2"/>
  <c r="CZ48" i="2"/>
  <c r="CY103" i="2"/>
  <c r="CX102" i="2"/>
  <c r="CN127" i="2"/>
  <c r="CN126" i="2"/>
  <c r="CP235" i="2"/>
  <c r="CO201" i="2"/>
  <c r="CO200" i="2"/>
  <c r="CN200" i="2"/>
  <c r="CN201" i="2"/>
  <c r="CU48" i="2"/>
  <c r="CT127" i="2" s="1"/>
  <c r="CS103" i="2"/>
  <c r="CT103" i="2"/>
  <c r="CS118" i="2"/>
  <c r="CU41" i="2"/>
  <c r="CS102" i="2"/>
  <c r="CT62" i="2"/>
  <c r="CT108" i="2"/>
  <c r="CT109" i="2"/>
  <c r="CT110" i="2"/>
  <c r="CT118" i="2"/>
  <c r="CT102" i="2"/>
  <c r="CT111" i="2"/>
  <c r="CG6" i="12"/>
  <c r="CG7" i="12" s="1"/>
  <c r="CK9" i="1"/>
  <c r="CB87" i="2"/>
  <c r="CI152" i="2"/>
  <c r="CI87" i="2"/>
  <c r="CG152" i="2"/>
  <c r="CG87" i="2"/>
  <c r="CB113" i="2"/>
  <c r="CM200" i="2"/>
  <c r="CH6" i="12"/>
  <c r="CH7" i="12" s="1"/>
  <c r="CG121" i="2"/>
  <c r="CG129" i="2"/>
  <c r="CL201" i="2"/>
  <c r="CL200" i="2"/>
  <c r="CK237" i="2"/>
  <c r="CK244" i="2" s="1"/>
  <c r="CP85" i="2"/>
  <c r="BJ87" i="2"/>
  <c r="CP103" i="2"/>
  <c r="CM150" i="2"/>
  <c r="CM210" i="2"/>
  <c r="CM219" i="2"/>
  <c r="CL149" i="2"/>
  <c r="CL209" i="2"/>
  <c r="CL218" i="2"/>
  <c r="CN150" i="2"/>
  <c r="CN210" i="2"/>
  <c r="CL150" i="2"/>
  <c r="CL210" i="2"/>
  <c r="CL219" i="2"/>
  <c r="CE87" i="2"/>
  <c r="BT113" i="2"/>
  <c r="CH129" i="2"/>
  <c r="BO87" i="2"/>
  <c r="BZ87" i="2"/>
  <c r="BT87" i="2"/>
  <c r="CI129" i="2"/>
  <c r="CJ129" i="2"/>
  <c r="BE105" i="2"/>
  <c r="CL127" i="2"/>
  <c r="CM127" i="2"/>
  <c r="CL126" i="2"/>
  <c r="CM126" i="2"/>
  <c r="CO126" i="2"/>
  <c r="CO127" i="2"/>
  <c r="BK87" i="2"/>
  <c r="BF105" i="2"/>
  <c r="CL113" i="2"/>
  <c r="BY87" i="2"/>
  <c r="CJ121" i="2"/>
  <c r="CD87" i="2"/>
  <c r="CI113" i="2"/>
  <c r="BO113" i="2"/>
  <c r="BY113" i="2"/>
  <c r="CN108" i="2"/>
  <c r="CN109" i="2"/>
  <c r="CN111" i="2"/>
  <c r="BF113" i="2"/>
  <c r="BZ113" i="2"/>
  <c r="CD113" i="2"/>
  <c r="CN110" i="2"/>
  <c r="CM113" i="2"/>
  <c r="CP84" i="2"/>
  <c r="BE113" i="2"/>
  <c r="BJ113" i="2"/>
  <c r="CK113" i="2"/>
  <c r="CP102" i="2"/>
  <c r="DJ48" i="2" l="1"/>
  <c r="DD103" i="2"/>
  <c r="DA117" i="2"/>
  <c r="DA118" i="2"/>
  <c r="DE48" i="2"/>
  <c r="CY127" i="2"/>
  <c r="CV121" i="2"/>
  <c r="CT237" i="2"/>
  <c r="CT244" i="2" s="1"/>
  <c r="CZ41" i="2"/>
  <c r="DJ41" i="2"/>
  <c r="CY101" i="2"/>
  <c r="CY102" i="2"/>
  <c r="CY110" i="2"/>
  <c r="CY201" i="2"/>
  <c r="CV127" i="2"/>
  <c r="CW127" i="2"/>
  <c r="CX200" i="2"/>
  <c r="CY111" i="2"/>
  <c r="CX201" i="2"/>
  <c r="CY118" i="2"/>
  <c r="CX127" i="2"/>
  <c r="CZ85" i="2"/>
  <c r="CZ103" i="2"/>
  <c r="CT126" i="2"/>
  <c r="CS62" i="2"/>
  <c r="CS110" i="2"/>
  <c r="CS109" i="2"/>
  <c r="CS108" i="2"/>
  <c r="CT117" i="2"/>
  <c r="CS111" i="2"/>
  <c r="CS117" i="2"/>
  <c r="CQ219" i="2"/>
  <c r="CQ218" i="2"/>
  <c r="CS101" i="2"/>
  <c r="CU26" i="2"/>
  <c r="CU62" i="2" s="1"/>
  <c r="CO219" i="2"/>
  <c r="CP135" i="2"/>
  <c r="CP150" i="2" s="1"/>
  <c r="CN219" i="2"/>
  <c r="CO218" i="2"/>
  <c r="CO209" i="2"/>
  <c r="CO210" i="2"/>
  <c r="CO150" i="2"/>
  <c r="CO149" i="2"/>
  <c r="CN149" i="2"/>
  <c r="CS201" i="2"/>
  <c r="CN209" i="2"/>
  <c r="CT201" i="2"/>
  <c r="CS127" i="2"/>
  <c r="CQ127" i="2"/>
  <c r="CR127" i="2"/>
  <c r="CU85" i="2"/>
  <c r="CU103" i="2"/>
  <c r="CT200" i="2"/>
  <c r="CQ126" i="2"/>
  <c r="CU84" i="2"/>
  <c r="CR126" i="2"/>
  <c r="CU102" i="2"/>
  <c r="CS200" i="2"/>
  <c r="CT113" i="2"/>
  <c r="CS126" i="2"/>
  <c r="CM209" i="2"/>
  <c r="CN218" i="2"/>
  <c r="CM218" i="2"/>
  <c r="CP134" i="2"/>
  <c r="CM149" i="2"/>
  <c r="CN113" i="2"/>
  <c r="DC112" i="2" l="1"/>
  <c r="DC62" i="2"/>
  <c r="DC237" i="2" s="1"/>
  <c r="DC244" i="2" s="1"/>
  <c r="DC108" i="2"/>
  <c r="DC109" i="2"/>
  <c r="DD108" i="2"/>
  <c r="DD62" i="2"/>
  <c r="DD112" i="2"/>
  <c r="DD109" i="2"/>
  <c r="DJ103" i="2"/>
  <c r="DJ85" i="2"/>
  <c r="DI171" i="2"/>
  <c r="DI170" i="2"/>
  <c r="DA121" i="2"/>
  <c r="CY237" i="2"/>
  <c r="CY244" i="2" s="1"/>
  <c r="DC127" i="2"/>
  <c r="DB127" i="2"/>
  <c r="DA127" i="2"/>
  <c r="DE85" i="2"/>
  <c r="DE103" i="2"/>
  <c r="DD127" i="2"/>
  <c r="CY126" i="2"/>
  <c r="CY199" i="2"/>
  <c r="CT121" i="2"/>
  <c r="CS237" i="2"/>
  <c r="CS244" i="2" s="1"/>
  <c r="CY200" i="2"/>
  <c r="CX126" i="2"/>
  <c r="CZ84" i="2"/>
  <c r="CV126" i="2"/>
  <c r="CZ102" i="2"/>
  <c r="DD117" i="2"/>
  <c r="DC117" i="2"/>
  <c r="DC219" i="2"/>
  <c r="DC218" i="2"/>
  <c r="CW126" i="2"/>
  <c r="DD102" i="2"/>
  <c r="DE41" i="2"/>
  <c r="DD101" i="2"/>
  <c r="DD111" i="2"/>
  <c r="DD110" i="2"/>
  <c r="DC101" i="2"/>
  <c r="DE26" i="2"/>
  <c r="DC111" i="2"/>
  <c r="DC110" i="2"/>
  <c r="CY105" i="2"/>
  <c r="CV218" i="2"/>
  <c r="CV219" i="2"/>
  <c r="CV217" i="2"/>
  <c r="CS184" i="2"/>
  <c r="CY87" i="2"/>
  <c r="CS121" i="2"/>
  <c r="CX117" i="2"/>
  <c r="DA66" i="12"/>
  <c r="CY117" i="2"/>
  <c r="CV66" i="12"/>
  <c r="CT125" i="2"/>
  <c r="CX199" i="2"/>
  <c r="CX101" i="2"/>
  <c r="CZ26" i="2"/>
  <c r="CX111" i="2"/>
  <c r="CX110" i="2"/>
  <c r="CT183" i="2"/>
  <c r="CS113" i="2"/>
  <c r="CU108" i="2"/>
  <c r="CU109" i="2"/>
  <c r="CU110" i="2"/>
  <c r="CR129" i="2"/>
  <c r="CR125" i="2"/>
  <c r="CU111" i="2"/>
  <c r="CQ125" i="2"/>
  <c r="CS125" i="2"/>
  <c r="CP171" i="2"/>
  <c r="CP201" i="2" s="1"/>
  <c r="CP210" i="2"/>
  <c r="CS210" i="2"/>
  <c r="CS219" i="2"/>
  <c r="CS150" i="2"/>
  <c r="CU135" i="2"/>
  <c r="CT210" i="2"/>
  <c r="CT150" i="2"/>
  <c r="CT219" i="2"/>
  <c r="CT148" i="2"/>
  <c r="CS148" i="2"/>
  <c r="CT184" i="2"/>
  <c r="CT178" i="2"/>
  <c r="CT181" i="2"/>
  <c r="CT194" i="2"/>
  <c r="CT182" i="2"/>
  <c r="CS66" i="12"/>
  <c r="CT149" i="2"/>
  <c r="CT209" i="2"/>
  <c r="CT218" i="2"/>
  <c r="CS149" i="2"/>
  <c r="CS209" i="2"/>
  <c r="CS218" i="2"/>
  <c r="CU134" i="2"/>
  <c r="CP209" i="2"/>
  <c r="CP170" i="2"/>
  <c r="CP149" i="2"/>
  <c r="DF121" i="2" l="1"/>
  <c r="DD237" i="2"/>
  <c r="DD244" i="2" s="1"/>
  <c r="DN201" i="2"/>
  <c r="DN200" i="2"/>
  <c r="DI110" i="2"/>
  <c r="DN26" i="2"/>
  <c r="DK117" i="2"/>
  <c r="DH110" i="2"/>
  <c r="DD87" i="2"/>
  <c r="DH111" i="2"/>
  <c r="DD173" i="2"/>
  <c r="DD185" i="2" s="1"/>
  <c r="DH117" i="2"/>
  <c r="DH101" i="2"/>
  <c r="DC173" i="2"/>
  <c r="DC185" i="2" s="1"/>
  <c r="CZ109" i="2"/>
  <c r="CZ62" i="2"/>
  <c r="CZ237" i="2" s="1"/>
  <c r="CZ244" i="2" s="1"/>
  <c r="CZ112" i="2"/>
  <c r="CZ108" i="2"/>
  <c r="DI111" i="2"/>
  <c r="DC113" i="2"/>
  <c r="DI101" i="2"/>
  <c r="DI117" i="2"/>
  <c r="DJ26" i="2"/>
  <c r="DF125" i="2" s="1"/>
  <c r="DH112" i="2"/>
  <c r="DH109" i="2"/>
  <c r="DH108" i="2"/>
  <c r="DH62" i="2"/>
  <c r="DD113" i="2"/>
  <c r="DE112" i="2"/>
  <c r="DE109" i="2"/>
  <c r="DE108" i="2"/>
  <c r="DE62" i="2"/>
  <c r="DI62" i="2"/>
  <c r="DI237" i="2" s="1"/>
  <c r="DI244" i="2" s="1"/>
  <c r="DI109" i="2"/>
  <c r="DI108" i="2"/>
  <c r="DI112" i="2"/>
  <c r="DJ102" i="2"/>
  <c r="DJ84" i="2"/>
  <c r="DJ135" i="2"/>
  <c r="DJ134" i="2"/>
  <c r="DE135" i="2"/>
  <c r="CX87" i="2"/>
  <c r="CX237" i="2"/>
  <c r="CX244" i="2" s="1"/>
  <c r="DC121" i="2"/>
  <c r="DD105" i="2"/>
  <c r="DD125" i="2"/>
  <c r="DB125" i="2"/>
  <c r="DA125" i="2"/>
  <c r="DC125" i="2"/>
  <c r="DD126" i="2"/>
  <c r="DC126" i="2"/>
  <c r="DB126" i="2"/>
  <c r="DA126" i="2"/>
  <c r="DD121" i="2"/>
  <c r="DE102" i="2"/>
  <c r="DE84" i="2"/>
  <c r="DC199" i="2"/>
  <c r="DC137" i="2"/>
  <c r="DC152" i="2" s="1"/>
  <c r="DE83" i="2"/>
  <c r="DE101" i="2"/>
  <c r="DE110" i="2"/>
  <c r="DE111" i="2"/>
  <c r="DD199" i="2"/>
  <c r="DD137" i="2"/>
  <c r="DD152" i="2" s="1"/>
  <c r="CY178" i="2"/>
  <c r="CY195" i="2" s="1"/>
  <c r="CY121" i="2"/>
  <c r="DC105" i="2"/>
  <c r="DC87" i="2"/>
  <c r="CY182" i="2"/>
  <c r="CY184" i="2"/>
  <c r="CY183" i="2"/>
  <c r="CY194" i="2"/>
  <c r="CY181" i="2"/>
  <c r="CY203" i="2"/>
  <c r="CS183" i="2"/>
  <c r="CS181" i="2"/>
  <c r="CT66" i="12"/>
  <c r="CU133" i="2"/>
  <c r="CU137" i="2" s="1"/>
  <c r="CS217" i="2"/>
  <c r="CT217" i="2"/>
  <c r="CU6" i="12"/>
  <c r="CS182" i="2"/>
  <c r="CS194" i="2"/>
  <c r="CS178" i="2"/>
  <c r="CS195" i="2" s="1"/>
  <c r="CV125" i="2"/>
  <c r="CW125" i="2"/>
  <c r="CY125" i="2"/>
  <c r="CY59" i="12"/>
  <c r="CX121" i="2"/>
  <c r="CX125" i="2"/>
  <c r="CZ83" i="2"/>
  <c r="CZ101" i="2"/>
  <c r="CZ111" i="2"/>
  <c r="CZ110" i="2"/>
  <c r="CX105" i="2"/>
  <c r="CT129" i="2"/>
  <c r="CU113" i="2"/>
  <c r="CS129" i="2"/>
  <c r="CQ129" i="2"/>
  <c r="CP192" i="2"/>
  <c r="CU171" i="2"/>
  <c r="CU150" i="2"/>
  <c r="CU210" i="2"/>
  <c r="CU9" i="12"/>
  <c r="CT186" i="2"/>
  <c r="CU10" i="12"/>
  <c r="CU149" i="2"/>
  <c r="CU170" i="2"/>
  <c r="CU209" i="2"/>
  <c r="CT152" i="2"/>
  <c r="CV222" i="2"/>
  <c r="CU8" i="13"/>
  <c r="CS152" i="2"/>
  <c r="CT43" i="12"/>
  <c r="CV68" i="12" s="1"/>
  <c r="CT195" i="2"/>
  <c r="CP200" i="2"/>
  <c r="CP191" i="2"/>
  <c r="DH87" i="2" l="1"/>
  <c r="DM87" i="2"/>
  <c r="DS26" i="2"/>
  <c r="DS101" i="2" s="1"/>
  <c r="DN110" i="2"/>
  <c r="DN109" i="2"/>
  <c r="DN108" i="2"/>
  <c r="DN112" i="2"/>
  <c r="DN111" i="2"/>
  <c r="DR26" i="2"/>
  <c r="DI173" i="2"/>
  <c r="DI203" i="2" s="1"/>
  <c r="DH237" i="2"/>
  <c r="DH244" i="2" s="1"/>
  <c r="DH173" i="2"/>
  <c r="DH194" i="2" s="1"/>
  <c r="DH152" i="2"/>
  <c r="DH199" i="2"/>
  <c r="DM117" i="2"/>
  <c r="DM101" i="2"/>
  <c r="DO26" i="2"/>
  <c r="DM110" i="2"/>
  <c r="DM111" i="2"/>
  <c r="DN101" i="2"/>
  <c r="DN117" i="2"/>
  <c r="DN169" i="2"/>
  <c r="DN62" i="2"/>
  <c r="DN6" i="12" s="1"/>
  <c r="DJ111" i="2"/>
  <c r="DJ83" i="2"/>
  <c r="DH105" i="2"/>
  <c r="CZ113" i="2"/>
  <c r="CY186" i="2"/>
  <c r="DH113" i="2"/>
  <c r="DI199" i="2"/>
  <c r="DH121" i="2"/>
  <c r="DJ101" i="2"/>
  <c r="DJ110" i="2"/>
  <c r="DJ109" i="2"/>
  <c r="DJ108" i="2"/>
  <c r="DJ112" i="2"/>
  <c r="DJ62" i="2"/>
  <c r="DJ237" i="2" s="1"/>
  <c r="DJ244" i="2" s="1"/>
  <c r="DE113" i="2"/>
  <c r="DI113" i="2"/>
  <c r="DI105" i="2"/>
  <c r="DI87" i="2"/>
  <c r="DI121" i="2"/>
  <c r="DE171" i="2"/>
  <c r="DE192" i="2" s="1"/>
  <c r="DH148" i="2"/>
  <c r="DC182" i="2"/>
  <c r="DE150" i="2"/>
  <c r="CS43" i="12"/>
  <c r="CT68" i="12" s="1"/>
  <c r="CS186" i="2"/>
  <c r="CU144" i="2"/>
  <c r="CY204" i="2"/>
  <c r="DD59" i="12"/>
  <c r="DD66" i="12"/>
  <c r="DC59" i="12"/>
  <c r="DE6" i="12"/>
  <c r="DG66" i="12" s="1"/>
  <c r="DC66" i="12"/>
  <c r="DD129" i="2"/>
  <c r="DC129" i="2"/>
  <c r="DB129" i="2"/>
  <c r="DA129" i="2"/>
  <c r="DD217" i="2"/>
  <c r="DC217" i="2"/>
  <c r="DD181" i="2"/>
  <c r="DC181" i="2"/>
  <c r="DD182" i="2"/>
  <c r="DE134" i="2"/>
  <c r="DD194" i="2"/>
  <c r="DD178" i="2"/>
  <c r="DC178" i="2"/>
  <c r="DC194" i="2"/>
  <c r="DD203" i="2"/>
  <c r="DD148" i="2"/>
  <c r="DC148" i="2"/>
  <c r="DE133" i="2"/>
  <c r="CX203" i="2"/>
  <c r="DC203" i="2"/>
  <c r="DE105" i="2"/>
  <c r="DE87" i="2"/>
  <c r="CY43" i="12"/>
  <c r="CU148" i="2"/>
  <c r="CV129" i="2"/>
  <c r="CW129" i="2"/>
  <c r="CY129" i="2"/>
  <c r="CX129" i="2"/>
  <c r="CX66" i="12"/>
  <c r="CX59" i="12"/>
  <c r="CZ6" i="12"/>
  <c r="CY66" i="12"/>
  <c r="CZ8" i="13"/>
  <c r="CZ105" i="2"/>
  <c r="CZ87" i="2"/>
  <c r="CX181" i="2"/>
  <c r="CX194" i="2"/>
  <c r="CX178" i="2"/>
  <c r="CX183" i="2"/>
  <c r="CX184" i="2"/>
  <c r="CX182" i="2"/>
  <c r="CU201" i="2"/>
  <c r="CU192" i="2"/>
  <c r="CU69" i="13"/>
  <c r="CU190" i="2"/>
  <c r="CU50" i="12"/>
  <c r="CU51" i="12"/>
  <c r="CS153" i="2"/>
  <c r="CS222" i="2"/>
  <c r="CT153" i="2"/>
  <c r="CT222" i="2"/>
  <c r="CU191" i="2"/>
  <c r="CU200" i="2"/>
  <c r="CT45" i="12"/>
  <c r="DS62" i="2" l="1"/>
  <c r="DR169" i="2"/>
  <c r="DR109" i="2"/>
  <c r="DR111" i="2"/>
  <c r="DR110" i="2"/>
  <c r="DR108" i="2"/>
  <c r="DR113" i="2" s="1"/>
  <c r="DR112" i="2"/>
  <c r="DN125" i="2"/>
  <c r="DS169" i="2"/>
  <c r="DS173" i="2" s="1"/>
  <c r="DS182" i="2" s="1"/>
  <c r="DS110" i="2"/>
  <c r="DS112" i="2"/>
  <c r="DS109" i="2"/>
  <c r="DS111" i="2"/>
  <c r="DS108" i="2"/>
  <c r="DR62" i="2"/>
  <c r="DR105" i="2" s="1"/>
  <c r="DR101" i="2"/>
  <c r="DS117" i="2"/>
  <c r="DR117" i="2"/>
  <c r="DI178" i="2"/>
  <c r="DI204" i="2" s="1"/>
  <c r="DR133" i="2"/>
  <c r="DR199" i="2"/>
  <c r="DI181" i="2"/>
  <c r="DS6" i="12"/>
  <c r="DS105" i="2"/>
  <c r="DS87" i="2"/>
  <c r="DR173" i="2"/>
  <c r="DI185" i="2"/>
  <c r="DI194" i="2"/>
  <c r="DI184" i="2"/>
  <c r="DI183" i="2"/>
  <c r="DI182" i="2"/>
  <c r="DH185" i="2"/>
  <c r="DH178" i="2"/>
  <c r="DH203" i="2"/>
  <c r="DH181" i="2"/>
  <c r="DH182" i="2"/>
  <c r="DH208" i="2"/>
  <c r="DN8" i="13"/>
  <c r="DN59" i="12"/>
  <c r="DN66" i="12"/>
  <c r="DN9" i="12"/>
  <c r="DN10" i="12"/>
  <c r="DM113" i="2"/>
  <c r="DM125" i="2"/>
  <c r="DO83" i="2"/>
  <c r="DO101" i="2"/>
  <c r="DK125" i="2"/>
  <c r="DL125" i="2"/>
  <c r="DI137" i="2"/>
  <c r="DI152" i="2" s="1"/>
  <c r="DM121" i="2"/>
  <c r="DM105" i="2"/>
  <c r="DM199" i="2"/>
  <c r="DM173" i="2"/>
  <c r="DN105" i="2"/>
  <c r="DN87" i="2"/>
  <c r="DN121" i="2"/>
  <c r="DN113" i="2"/>
  <c r="DN133" i="2"/>
  <c r="DN199" i="2"/>
  <c r="DN173" i="2"/>
  <c r="DJ87" i="2"/>
  <c r="DF129" i="2"/>
  <c r="DC186" i="2"/>
  <c r="CX186" i="2"/>
  <c r="DI217" i="2"/>
  <c r="DI208" i="2"/>
  <c r="CS45" i="12"/>
  <c r="CS52" i="12" s="1"/>
  <c r="CS68" i="12"/>
  <c r="DI148" i="2"/>
  <c r="DJ113" i="2"/>
  <c r="DJ105" i="2"/>
  <c r="DI66" i="12"/>
  <c r="DJ6" i="12"/>
  <c r="DI59" i="12"/>
  <c r="DD186" i="2"/>
  <c r="DE137" i="2"/>
  <c r="DE152" i="2" s="1"/>
  <c r="CU152" i="2"/>
  <c r="DE59" i="12"/>
  <c r="DC195" i="2"/>
  <c r="DC43" i="12"/>
  <c r="DD195" i="2"/>
  <c r="DD43" i="12"/>
  <c r="DF68" i="12" s="1"/>
  <c r="DE10" i="12"/>
  <c r="DE9" i="12"/>
  <c r="CY45" i="12"/>
  <c r="DA68" i="12"/>
  <c r="DE8" i="13"/>
  <c r="DD204" i="2"/>
  <c r="DC204" i="2"/>
  <c r="DE170" i="2"/>
  <c r="DE149" i="2"/>
  <c r="DC144" i="2"/>
  <c r="DE169" i="2"/>
  <c r="DE148" i="2"/>
  <c r="DD144" i="2"/>
  <c r="DF222" i="2" s="1"/>
  <c r="CY61" i="12"/>
  <c r="CZ10" i="12"/>
  <c r="CZ59" i="12"/>
  <c r="CX204" i="2"/>
  <c r="CX43" i="12"/>
  <c r="CZ69" i="13"/>
  <c r="CZ9" i="12"/>
  <c r="CV67" i="12"/>
  <c r="CX195" i="2"/>
  <c r="CU183" i="2"/>
  <c r="CU13" i="12"/>
  <c r="CU53" i="12" s="1"/>
  <c r="CS53" i="12"/>
  <c r="CU153" i="2"/>
  <c r="CT52" i="12"/>
  <c r="CU178" i="2"/>
  <c r="CU182" i="2"/>
  <c r="CU181" i="2"/>
  <c r="CU194" i="2"/>
  <c r="CU184" i="2"/>
  <c r="CT53" i="12"/>
  <c r="DS133" i="2" l="1"/>
  <c r="DS199" i="2"/>
  <c r="DS121" i="2"/>
  <c r="DR121" i="2"/>
  <c r="DR87" i="2"/>
  <c r="DR6" i="12"/>
  <c r="DS113" i="2"/>
  <c r="DO8" i="13"/>
  <c r="DI43" i="12"/>
  <c r="DK68" i="12" s="1"/>
  <c r="DI195" i="2"/>
  <c r="DM182" i="2"/>
  <c r="DM194" i="2"/>
  <c r="DS9" i="12"/>
  <c r="DS183" i="2"/>
  <c r="DS203" i="2"/>
  <c r="DS184" i="2"/>
  <c r="DS185" i="2"/>
  <c r="DS181" i="2"/>
  <c r="DS8" i="13"/>
  <c r="DT8" i="13" s="1"/>
  <c r="DS148" i="2"/>
  <c r="DS217" i="2"/>
  <c r="DS208" i="2"/>
  <c r="DS137" i="2"/>
  <c r="DI186" i="2"/>
  <c r="DR203" i="2"/>
  <c r="DR183" i="2"/>
  <c r="DR184" i="2"/>
  <c r="DR185" i="2"/>
  <c r="DR181" i="2"/>
  <c r="DS59" i="12"/>
  <c r="DS10" i="12"/>
  <c r="DR182" i="2"/>
  <c r="DR148" i="2"/>
  <c r="DR217" i="2"/>
  <c r="DR137" i="2"/>
  <c r="DS178" i="2"/>
  <c r="DS194" i="2"/>
  <c r="DR194" i="2"/>
  <c r="DR178" i="2"/>
  <c r="DH186" i="2"/>
  <c r="DH204" i="2"/>
  <c r="DH195" i="2"/>
  <c r="DH43" i="12"/>
  <c r="DH45" i="12" s="1"/>
  <c r="DI144" i="2"/>
  <c r="DN15" i="14"/>
  <c r="DN183" i="2"/>
  <c r="DN178" i="2"/>
  <c r="DN43" i="12" s="1"/>
  <c r="DN194" i="2"/>
  <c r="DN203" i="2"/>
  <c r="DN184" i="2"/>
  <c r="DN185" i="2"/>
  <c r="DN181" i="2"/>
  <c r="DN182" i="2"/>
  <c r="DM181" i="2"/>
  <c r="DM203" i="2"/>
  <c r="DM178" i="2"/>
  <c r="DM183" i="2"/>
  <c r="DM184" i="2"/>
  <c r="DM185" i="2"/>
  <c r="DN208" i="2"/>
  <c r="DN148" i="2"/>
  <c r="DN137" i="2"/>
  <c r="CY60" i="12"/>
  <c r="CT67" i="12"/>
  <c r="CS67" i="12"/>
  <c r="DJ59" i="12"/>
  <c r="DJ8" i="13"/>
  <c r="DJ10" i="12"/>
  <c r="DJ50" i="12" s="1"/>
  <c r="DJ9" i="12"/>
  <c r="DJ51" i="12" s="1"/>
  <c r="DE173" i="2"/>
  <c r="DE185" i="2" s="1"/>
  <c r="DJ15" i="14"/>
  <c r="DI45" i="12"/>
  <c r="DK67" i="12" s="1"/>
  <c r="DH153" i="2"/>
  <c r="DH213" i="2"/>
  <c r="DE190" i="2"/>
  <c r="DE15" i="14"/>
  <c r="DE69" i="13"/>
  <c r="DE50" i="12"/>
  <c r="CY52" i="12"/>
  <c r="DA67" i="12"/>
  <c r="DE51" i="12"/>
  <c r="DD61" i="12"/>
  <c r="DD68" i="12"/>
  <c r="DD45" i="12"/>
  <c r="DF67" i="12" s="1"/>
  <c r="DC61" i="12"/>
  <c r="DC45" i="12"/>
  <c r="DC68" i="12"/>
  <c r="DC222" i="2"/>
  <c r="DD222" i="2"/>
  <c r="DE191" i="2"/>
  <c r="DE144" i="2"/>
  <c r="DC153" i="2"/>
  <c r="DD153" i="2"/>
  <c r="CZ51" i="12"/>
  <c r="CX45" i="12"/>
  <c r="CX68" i="12"/>
  <c r="CX61" i="12"/>
  <c r="CY68" i="12"/>
  <c r="CZ50" i="12"/>
  <c r="CZ15" i="14"/>
  <c r="CU186" i="2"/>
  <c r="CT49" i="12"/>
  <c r="CS49" i="12"/>
  <c r="CU8" i="12"/>
  <c r="CU49" i="12" s="1"/>
  <c r="CU43" i="12"/>
  <c r="CU195" i="2"/>
  <c r="CH83" i="1"/>
  <c r="CH71" i="1"/>
  <c r="CF12" i="1"/>
  <c r="CF9" i="1"/>
  <c r="CF6" i="12" s="1"/>
  <c r="DR66" i="12" l="1"/>
  <c r="DR8" i="13"/>
  <c r="DS66" i="12"/>
  <c r="DR10" i="12"/>
  <c r="DR9" i="12"/>
  <c r="DR59" i="12"/>
  <c r="DI61" i="12"/>
  <c r="DM43" i="12"/>
  <c r="DM195" i="2"/>
  <c r="DL80" i="13"/>
  <c r="DS186" i="2"/>
  <c r="DR186" i="2"/>
  <c r="DR43" i="12"/>
  <c r="DR204" i="2"/>
  <c r="DR152" i="2"/>
  <c r="DR144" i="2"/>
  <c r="DR13" i="12" s="1"/>
  <c r="DS152" i="2"/>
  <c r="DS144" i="2"/>
  <c r="DS43" i="12"/>
  <c r="DS45" i="12" s="1"/>
  <c r="DS204" i="2"/>
  <c r="DR195" i="2"/>
  <c r="DS195" i="2"/>
  <c r="DK80" i="13"/>
  <c r="DI52" i="12"/>
  <c r="DI80" i="13"/>
  <c r="DI68" i="12"/>
  <c r="DH61" i="12"/>
  <c r="DH80" i="13"/>
  <c r="DG80" i="13"/>
  <c r="DI213" i="2"/>
  <c r="DI153" i="2"/>
  <c r="DI222" i="2"/>
  <c r="DH68" i="12"/>
  <c r="DH67" i="12"/>
  <c r="DH60" i="12"/>
  <c r="DH52" i="12"/>
  <c r="DN61" i="12"/>
  <c r="DN68" i="12"/>
  <c r="DN45" i="12"/>
  <c r="DM45" i="12"/>
  <c r="DJ69" i="13"/>
  <c r="DN152" i="2"/>
  <c r="DN144" i="2"/>
  <c r="DN186" i="2"/>
  <c r="DM204" i="2"/>
  <c r="DM186" i="2"/>
  <c r="DN204" i="2"/>
  <c r="DN195" i="2"/>
  <c r="DF80" i="13"/>
  <c r="DD52" i="12"/>
  <c r="DC52" i="12"/>
  <c r="DI67" i="12"/>
  <c r="DE153" i="2"/>
  <c r="DI60" i="12"/>
  <c r="DD60" i="12"/>
  <c r="DD67" i="12"/>
  <c r="DC60" i="12"/>
  <c r="DC67" i="12"/>
  <c r="DC49" i="12"/>
  <c r="DE184" i="2"/>
  <c r="DE183" i="2"/>
  <c r="DE182" i="2"/>
  <c r="DE181" i="2"/>
  <c r="DE194" i="2"/>
  <c r="DE178" i="2"/>
  <c r="CX52" i="12"/>
  <c r="CX67" i="12"/>
  <c r="CY67" i="12"/>
  <c r="CX60" i="12"/>
  <c r="CU45" i="12"/>
  <c r="CU7" i="12"/>
  <c r="CK12" i="1"/>
  <c r="CF17" i="1"/>
  <c r="CF20" i="1" s="1"/>
  <c r="CF24" i="1" s="1"/>
  <c r="CF26" i="1" s="1"/>
  <c r="CF36" i="1" s="1"/>
  <c r="CH54" i="1"/>
  <c r="CH62" i="1" s="1"/>
  <c r="CH76" i="1"/>
  <c r="DR15" i="14" l="1"/>
  <c r="DS15" i="14"/>
  <c r="DM68" i="12"/>
  <c r="DM61" i="12"/>
  <c r="DR61" i="12"/>
  <c r="DM60" i="12"/>
  <c r="DM52" i="12"/>
  <c r="DM67" i="12"/>
  <c r="DM80" i="13"/>
  <c r="DR68" i="12"/>
  <c r="DR45" i="12"/>
  <c r="DR52" i="12" s="1"/>
  <c r="DS153" i="2"/>
  <c r="DS222" i="2"/>
  <c r="DS213" i="2"/>
  <c r="DR153" i="2"/>
  <c r="DR222" i="2"/>
  <c r="DN13" i="12"/>
  <c r="DN8" i="12" s="1"/>
  <c r="DS61" i="12"/>
  <c r="DS68" i="12"/>
  <c r="DS13" i="12"/>
  <c r="DS8" i="12" s="1"/>
  <c r="DR53" i="12"/>
  <c r="DR8" i="12"/>
  <c r="DS60" i="12"/>
  <c r="DS52" i="12"/>
  <c r="DN52" i="12"/>
  <c r="DN60" i="12"/>
  <c r="DN67" i="12"/>
  <c r="DN153" i="2"/>
  <c r="DN213" i="2"/>
  <c r="DE186" i="2"/>
  <c r="DE195" i="2"/>
  <c r="DE43" i="12"/>
  <c r="DG68" i="12" s="1"/>
  <c r="DE7" i="12"/>
  <c r="CU10" i="13"/>
  <c r="CU52" i="12"/>
  <c r="CU9" i="13"/>
  <c r="CU24" i="13"/>
  <c r="CH85" i="1"/>
  <c r="CF32" i="1"/>
  <c r="DS67" i="12" l="1"/>
  <c r="DN53" i="12"/>
  <c r="DR67" i="12"/>
  <c r="DR60" i="12"/>
  <c r="DS53" i="12"/>
  <c r="DS49" i="12"/>
  <c r="DS7" i="12"/>
  <c r="DR49" i="12"/>
  <c r="DR7" i="12"/>
  <c r="DN7" i="12"/>
  <c r="DN49" i="12"/>
  <c r="DE24" i="13"/>
  <c r="DE9" i="13"/>
  <c r="DE10" i="13"/>
  <c r="DE45" i="12"/>
  <c r="DG67" i="12" s="1"/>
  <c r="CU72" i="13"/>
  <c r="CU73" i="13" s="1"/>
  <c r="CU71" i="13"/>
  <c r="CU70" i="13"/>
  <c r="CK17" i="1"/>
  <c r="DR9" i="13" l="1"/>
  <c r="DR24" i="13"/>
  <c r="DR10" i="13"/>
  <c r="DS24" i="13"/>
  <c r="DS10" i="13"/>
  <c r="DS9" i="13"/>
  <c r="DT9" i="13" s="1"/>
  <c r="DN24" i="13"/>
  <c r="DO24" i="13" s="1"/>
  <c r="DN9" i="13"/>
  <c r="DO9" i="13" s="1"/>
  <c r="DN10" i="13"/>
  <c r="DJ9" i="13"/>
  <c r="DJ10" i="13"/>
  <c r="DJ24" i="13"/>
  <c r="DE70" i="13"/>
  <c r="DE71" i="13"/>
  <c r="DE72" i="13"/>
  <c r="DE73" i="13" s="1"/>
  <c r="DE52" i="12"/>
  <c r="DE56" i="14"/>
  <c r="CU74" i="13"/>
  <c r="CK20" i="1"/>
  <c r="CK24" i="1" s="1"/>
  <c r="CK26" i="1" s="1"/>
  <c r="DT10" i="13" l="1"/>
  <c r="DO10" i="13"/>
  <c r="DT24" i="13"/>
  <c r="DS17" i="14"/>
  <c r="DR17" i="14"/>
  <c r="DS16" i="14"/>
  <c r="DR16" i="14"/>
  <c r="DE74" i="13"/>
  <c r="CK36" i="1"/>
  <c r="CK32" i="1"/>
  <c r="L64" i="47" l="1"/>
  <c r="L82" i="47" s="1"/>
  <c r="L103" i="47" s="1"/>
  <c r="M64" i="47"/>
  <c r="M82" i="47" s="1"/>
  <c r="M103" i="47" s="1"/>
  <c r="N64" i="47"/>
  <c r="N82" i="47" s="1"/>
  <c r="N103" i="47" s="1"/>
  <c r="CJ6" i="12"/>
  <c r="CJ50" i="12" l="1"/>
  <c r="CJ51" i="12"/>
  <c r="CJ95" i="2" l="1"/>
  <c r="CJ96" i="2"/>
  <c r="CJ32" i="12"/>
  <c r="CJ33" i="12"/>
  <c r="CJ157" i="2"/>
  <c r="CJ161" i="2" s="1"/>
  <c r="CJ165" i="2" s="1"/>
  <c r="CJ168" i="2"/>
  <c r="CJ186" i="1"/>
  <c r="CJ151" i="1"/>
  <c r="CJ169" i="2" l="1"/>
  <c r="CJ189" i="2"/>
  <c r="CJ173" i="2" l="1"/>
  <c r="CJ178" i="2" s="1"/>
  <c r="CJ43" i="12" s="1"/>
  <c r="CJ190" i="2"/>
  <c r="CP14" i="12"/>
  <c r="CK14" i="12"/>
  <c r="CJ183" i="2" l="1"/>
  <c r="CJ184" i="2"/>
  <c r="CJ181" i="2"/>
  <c r="CJ194" i="2"/>
  <c r="CJ182" i="2"/>
  <c r="CQ51" i="14"/>
  <c r="CP38" i="12"/>
  <c r="CK38" i="12"/>
  <c r="CJ186" i="2" l="1"/>
  <c r="CQ41" i="14"/>
  <c r="CR51" i="14"/>
  <c r="CU33" i="12" l="1"/>
  <c r="CS51" i="14"/>
  <c r="CI96" i="2"/>
  <c r="CI95" i="2"/>
  <c r="CS41" i="14" l="1"/>
  <c r="CU39" i="12"/>
  <c r="CT51" i="14"/>
  <c r="CI32" i="12"/>
  <c r="CI33" i="12"/>
  <c r="CI6" i="12"/>
  <c r="CI8" i="13" s="1"/>
  <c r="CJ69" i="13" s="1"/>
  <c r="CI161" i="2"/>
  <c r="CI165" i="2" s="1"/>
  <c r="CI168" i="2"/>
  <c r="CI186" i="1"/>
  <c r="CI151" i="1"/>
  <c r="CU34" i="14" l="1"/>
  <c r="CJ15" i="14"/>
  <c r="CI15" i="14"/>
  <c r="CI189" i="2"/>
  <c r="CI169" i="2"/>
  <c r="CI51" i="12"/>
  <c r="CI50" i="12"/>
  <c r="CU37" i="14" l="1"/>
  <c r="CI190" i="2"/>
  <c r="CI173" i="2"/>
  <c r="CI178" i="2" s="1"/>
  <c r="CI43" i="12" s="1"/>
  <c r="CH43" i="13"/>
  <c r="CI43" i="13" s="1"/>
  <c r="CH99" i="1"/>
  <c r="CI194" i="2" l="1"/>
  <c r="CI184" i="2"/>
  <c r="CI183" i="2"/>
  <c r="CI181" i="2"/>
  <c r="CI182" i="2"/>
  <c r="CH42" i="13"/>
  <c r="CH30" i="13"/>
  <c r="CH35" i="13" s="1"/>
  <c r="CI195" i="2" l="1"/>
  <c r="CI186" i="2"/>
  <c r="CH44" i="13"/>
  <c r="CH122" i="1"/>
  <c r="CH115" i="1"/>
  <c r="CH108" i="1" l="1"/>
  <c r="CH126" i="1" s="1"/>
  <c r="CH169" i="2" l="1"/>
  <c r="CH168" i="2"/>
  <c r="CH186" i="1"/>
  <c r="CH151" i="1"/>
  <c r="CH173" i="2" l="1"/>
  <c r="CH178" i="2" s="1"/>
  <c r="CH43" i="12" s="1"/>
  <c r="CH50" i="12"/>
  <c r="CH51" i="12"/>
  <c r="CH189" i="2"/>
  <c r="CH190" i="2"/>
  <c r="CH194" i="2" l="1"/>
  <c r="CH183" i="2"/>
  <c r="CH184" i="2"/>
  <c r="CH181" i="2"/>
  <c r="CH182" i="2"/>
  <c r="CH186" i="2" l="1"/>
  <c r="CG40" i="14" l="1"/>
  <c r="CH40" i="14" s="1"/>
  <c r="CI40" i="14" s="1"/>
  <c r="CJ40" i="14" s="1"/>
  <c r="CG38" i="14"/>
  <c r="CH38" i="14" s="1"/>
  <c r="CI38" i="14" s="1"/>
  <c r="CJ38" i="14" s="1"/>
  <c r="CJ30" i="14" l="1"/>
  <c r="CI15" i="13"/>
  <c r="CI30" i="14"/>
  <c r="CI46" i="14"/>
  <c r="CH30" i="14"/>
  <c r="CG30" i="14"/>
  <c r="CG14" i="14" l="1"/>
  <c r="CH14" i="14"/>
  <c r="CK15" i="13" l="1"/>
  <c r="CL15" i="13" l="1"/>
  <c r="CH69" i="13" l="1"/>
  <c r="CG96" i="2"/>
  <c r="CG95" i="2"/>
  <c r="CI31" i="13" l="1"/>
  <c r="CI23" i="13"/>
  <c r="CK18" i="12"/>
  <c r="CG157" i="2"/>
  <c r="CG161" i="2" s="1"/>
  <c r="CG165" i="2" s="1"/>
  <c r="CG168" i="2"/>
  <c r="CG151" i="1"/>
  <c r="CK151" i="1" s="1"/>
  <c r="CI56" i="13" l="1"/>
  <c r="CG169" i="2"/>
  <c r="CG186" i="1"/>
  <c r="CG51" i="12"/>
  <c r="CG50" i="12"/>
  <c r="CK32" i="13"/>
  <c r="CG189" i="2"/>
  <c r="CP15" i="13" l="1"/>
  <c r="CI62" i="13"/>
  <c r="CG190" i="2"/>
  <c r="CG173" i="2"/>
  <c r="CG178" i="2" s="1"/>
  <c r="CG43" i="12" s="1"/>
  <c r="CI45" i="14"/>
  <c r="CI47" i="14" s="1"/>
  <c r="CL32" i="13"/>
  <c r="CI51" i="14" l="1"/>
  <c r="CG194" i="2"/>
  <c r="CG183" i="2"/>
  <c r="CG184" i="2"/>
  <c r="CG181" i="2"/>
  <c r="CG182" i="2"/>
  <c r="CG186" i="2" l="1"/>
  <c r="CK74" i="2" l="1"/>
  <c r="CK78" i="2" s="1"/>
  <c r="CK40" i="13"/>
  <c r="CL40" i="13" s="1"/>
  <c r="CP40" i="13" s="1"/>
  <c r="CK29" i="13"/>
  <c r="CL29" i="13" s="1"/>
  <c r="CP29" i="13" s="1"/>
  <c r="CF185" i="1"/>
  <c r="CF184" i="1"/>
  <c r="CF183" i="1"/>
  <c r="CF182" i="1"/>
  <c r="CF181" i="1"/>
  <c r="CF180" i="1"/>
  <c r="CF177" i="1"/>
  <c r="CF149" i="1"/>
  <c r="CF148" i="1"/>
  <c r="CF147" i="1"/>
  <c r="CF146" i="1"/>
  <c r="CK34" i="13"/>
  <c r="CL34" i="13" s="1"/>
  <c r="CP34" i="13" s="1"/>
  <c r="CK27" i="13"/>
  <c r="CL27" i="13" s="1"/>
  <c r="CE53" i="13"/>
  <c r="CE156" i="2"/>
  <c r="CE157" i="2"/>
  <c r="CE175" i="2"/>
  <c r="CK156" i="2"/>
  <c r="CE216" i="2"/>
  <c r="CD156" i="2"/>
  <c r="CK157" i="2"/>
  <c r="CC157" i="2"/>
  <c r="CC161" i="2" s="1"/>
  <c r="CD157" i="2"/>
  <c r="CE95" i="2"/>
  <c r="CE96" i="2"/>
  <c r="CE186" i="1"/>
  <c r="CE151" i="1"/>
  <c r="BZ169" i="2"/>
  <c r="BZ168" i="2"/>
  <c r="BZ163" i="2"/>
  <c r="BZ175" i="2" s="1"/>
  <c r="CP35" i="14"/>
  <c r="CP367" i="1"/>
  <c r="CP40" i="14"/>
  <c r="CP38" i="14"/>
  <c r="CP36" i="14"/>
  <c r="CP33" i="14"/>
  <c r="CP32" i="14"/>
  <c r="CP31" i="14"/>
  <c r="CP29" i="14"/>
  <c r="CP26" i="14"/>
  <c r="CP25" i="14"/>
  <c r="CM46" i="14"/>
  <c r="CL46" i="14"/>
  <c r="CN45" i="14"/>
  <c r="CO73" i="13"/>
  <c r="CO74" i="13" s="1"/>
  <c r="CN73" i="13"/>
  <c r="CN74" i="13" s="1"/>
  <c r="CL73" i="13"/>
  <c r="CL74" i="13" s="1"/>
  <c r="CP18" i="12"/>
  <c r="CP12" i="12"/>
  <c r="CP157" i="2"/>
  <c r="CP156" i="2"/>
  <c r="CZ59" i="14"/>
  <c r="CU59" i="14"/>
  <c r="CP24" i="14"/>
  <c r="CO45" i="14"/>
  <c r="CN46" i="14"/>
  <c r="CM30" i="14"/>
  <c r="CL45" i="14"/>
  <c r="CO46" i="14"/>
  <c r="CJ24" i="12"/>
  <c r="CI24" i="12"/>
  <c r="CH24" i="12"/>
  <c r="CG24" i="12"/>
  <c r="CK66" i="2"/>
  <c r="CF66" i="2"/>
  <c r="CD95" i="2"/>
  <c r="CD96" i="2"/>
  <c r="CD175" i="2"/>
  <c r="CD186" i="1"/>
  <c r="CD151" i="1"/>
  <c r="CK367" i="1"/>
  <c r="CF367" i="1"/>
  <c r="CC95" i="2"/>
  <c r="CC96" i="2"/>
  <c r="CC175" i="2"/>
  <c r="CC186" i="1"/>
  <c r="CC151" i="1"/>
  <c r="CK40" i="14"/>
  <c r="CK38" i="14"/>
  <c r="CK35" i="14"/>
  <c r="CK33" i="14"/>
  <c r="CK32" i="14"/>
  <c r="CK31" i="14"/>
  <c r="CK29" i="14"/>
  <c r="CK26" i="14"/>
  <c r="CK25" i="14"/>
  <c r="CK24" i="14"/>
  <c r="CK10" i="14"/>
  <c r="CJ46" i="14"/>
  <c r="CH46" i="14"/>
  <c r="CG46" i="14"/>
  <c r="CJ45" i="14"/>
  <c r="CK12" i="12"/>
  <c r="CG45" i="14"/>
  <c r="CK175" i="2"/>
  <c r="CF40" i="14"/>
  <c r="CF26" i="14"/>
  <c r="CB96" i="2"/>
  <c r="CB95" i="2"/>
  <c r="CB175" i="2"/>
  <c r="CB186" i="1"/>
  <c r="CB151" i="1"/>
  <c r="CA367" i="1"/>
  <c r="K82" i="47"/>
  <c r="K103" i="47" s="1"/>
  <c r="J82" i="47"/>
  <c r="J103" i="47" s="1"/>
  <c r="I82" i="47"/>
  <c r="I103" i="47" s="1"/>
  <c r="H82" i="47"/>
  <c r="H103" i="47" s="1"/>
  <c r="G82" i="47"/>
  <c r="G103" i="47" s="1"/>
  <c r="F82" i="47"/>
  <c r="F103" i="47" s="1"/>
  <c r="E82" i="47"/>
  <c r="E103" i="47" s="1"/>
  <c r="H61" i="47"/>
  <c r="I61" i="47" s="1"/>
  <c r="J61" i="47" s="1"/>
  <c r="K61" i="47" s="1"/>
  <c r="L61" i="47" s="1"/>
  <c r="M61" i="47" s="1"/>
  <c r="N61" i="47" s="1"/>
  <c r="O61" i="47" s="1"/>
  <c r="H60" i="47"/>
  <c r="I60" i="47" s="1"/>
  <c r="J60" i="47" s="1"/>
  <c r="H59" i="47"/>
  <c r="I59" i="47" s="1"/>
  <c r="J59" i="47" s="1"/>
  <c r="K59" i="47" s="1"/>
  <c r="L59" i="47" s="1"/>
  <c r="M59" i="47" s="1"/>
  <c r="N59" i="47" s="1"/>
  <c r="O59" i="47" s="1"/>
  <c r="H44" i="47"/>
  <c r="G52" i="47"/>
  <c r="G46" i="47" s="1"/>
  <c r="G44" i="47" s="1"/>
  <c r="F52" i="47"/>
  <c r="F50" i="47"/>
  <c r="E50" i="47"/>
  <c r="E46" i="47" s="1"/>
  <c r="I44" i="47"/>
  <c r="F42" i="47"/>
  <c r="B19" i="47" s="1"/>
  <c r="J41" i="47"/>
  <c r="I41" i="47"/>
  <c r="F24" i="47"/>
  <c r="E24" i="47"/>
  <c r="E6" i="47" s="1"/>
  <c r="E25" i="47" s="1"/>
  <c r="E28" i="47" s="1"/>
  <c r="E30" i="47" s="1"/>
  <c r="J22" i="47"/>
  <c r="J108" i="47" s="1"/>
  <c r="I22" i="47"/>
  <c r="I108" i="47" s="1"/>
  <c r="H22" i="47"/>
  <c r="H108" i="47" s="1"/>
  <c r="F19" i="47"/>
  <c r="G19" i="47" s="1"/>
  <c r="H19" i="47" s="1"/>
  <c r="I19" i="47" s="1"/>
  <c r="J19" i="47" s="1"/>
  <c r="E19" i="47"/>
  <c r="F16" i="47"/>
  <c r="G16" i="47" s="1"/>
  <c r="F12" i="47"/>
  <c r="G12" i="47" s="1"/>
  <c r="J2" i="47"/>
  <c r="K2" i="47" s="1"/>
  <c r="BZ186" i="1"/>
  <c r="BY186" i="1"/>
  <c r="BX186" i="1"/>
  <c r="BW186" i="1"/>
  <c r="CA185" i="1"/>
  <c r="CA184" i="1"/>
  <c r="CA183" i="1"/>
  <c r="CA182" i="1"/>
  <c r="CA181" i="1"/>
  <c r="CA180" i="1"/>
  <c r="CA177" i="1"/>
  <c r="CA149" i="1"/>
  <c r="CA148" i="1"/>
  <c r="CA147" i="1"/>
  <c r="CA134" i="1" s="1"/>
  <c r="CA146" i="1"/>
  <c r="BZ95" i="2"/>
  <c r="BZ96" i="2"/>
  <c r="BY95" i="2"/>
  <c r="BY96" i="2"/>
  <c r="BY156" i="2"/>
  <c r="BY161" i="2" s="1"/>
  <c r="BY163" i="2"/>
  <c r="BY175" i="2" s="1"/>
  <c r="BX95" i="2"/>
  <c r="BX96" i="2"/>
  <c r="BX169" i="2"/>
  <c r="BX165" i="2"/>
  <c r="BX151" i="1"/>
  <c r="BW96" i="2"/>
  <c r="BW95" i="2"/>
  <c r="BW163" i="2"/>
  <c r="BW175" i="2" s="1"/>
  <c r="BW151" i="1"/>
  <c r="BV367" i="1"/>
  <c r="BV185" i="1"/>
  <c r="BV184" i="1"/>
  <c r="BV183" i="1"/>
  <c r="BV182" i="1"/>
  <c r="BV181" i="1"/>
  <c r="BV180" i="1"/>
  <c r="BV177" i="1"/>
  <c r="BV149" i="1"/>
  <c r="BV148" i="1"/>
  <c r="BV147" i="1"/>
  <c r="BV134" i="1" s="1"/>
  <c r="BV146" i="1"/>
  <c r="BU95" i="2"/>
  <c r="BU96" i="2"/>
  <c r="BU163" i="2"/>
  <c r="BU168" i="2"/>
  <c r="BU186" i="1"/>
  <c r="BU151" i="1"/>
  <c r="BT95" i="2"/>
  <c r="BT96" i="2"/>
  <c r="BT156" i="2"/>
  <c r="BT169" i="2"/>
  <c r="BT186" i="1"/>
  <c r="BT151" i="1"/>
  <c r="BS95" i="2"/>
  <c r="BS96" i="2"/>
  <c r="BS165" i="2"/>
  <c r="BS186" i="1"/>
  <c r="BS151" i="1"/>
  <c r="BR165" i="2"/>
  <c r="BR96" i="2"/>
  <c r="BP96" i="2"/>
  <c r="BR95" i="2"/>
  <c r="BP95" i="2"/>
  <c r="BR186" i="1"/>
  <c r="BR151" i="1"/>
  <c r="BQ367" i="1"/>
  <c r="BQ148" i="1"/>
  <c r="BQ185" i="1"/>
  <c r="BQ184" i="1"/>
  <c r="BQ183" i="1"/>
  <c r="BQ182" i="1"/>
  <c r="BQ181" i="1"/>
  <c r="BQ180" i="1"/>
  <c r="BQ177" i="1"/>
  <c r="BQ149" i="1"/>
  <c r="BQ147" i="1"/>
  <c r="BQ134" i="1" s="1"/>
  <c r="BQ146" i="1"/>
  <c r="BP163" i="2"/>
  <c r="BP157" i="2"/>
  <c r="BQ157" i="2" s="1"/>
  <c r="BP156" i="2"/>
  <c r="BP186" i="1"/>
  <c r="BP151" i="1"/>
  <c r="CA157" i="2"/>
  <c r="BO165" i="2"/>
  <c r="BO186" i="1"/>
  <c r="BN186" i="1"/>
  <c r="BM186" i="1"/>
  <c r="BM151" i="1"/>
  <c r="BN151" i="1"/>
  <c r="BO151" i="1"/>
  <c r="BO95" i="2"/>
  <c r="BO96" i="2"/>
  <c r="BV157" i="2"/>
  <c r="BK97" i="2"/>
  <c r="BH97" i="2"/>
  <c r="BI97" i="2"/>
  <c r="BJ97" i="2"/>
  <c r="BM96" i="2"/>
  <c r="BJ96" i="2"/>
  <c r="BI96" i="2"/>
  <c r="BH96" i="2"/>
  <c r="BM95" i="2"/>
  <c r="BJ95" i="2"/>
  <c r="BI95" i="2"/>
  <c r="BH95" i="2"/>
  <c r="BN96" i="2"/>
  <c r="BN95" i="2"/>
  <c r="BN165" i="2"/>
  <c r="BN169" i="2"/>
  <c r="CC168" i="2"/>
  <c r="BM165" i="2"/>
  <c r="BM168" i="2"/>
  <c r="CB169" i="2"/>
  <c r="BL185" i="1"/>
  <c r="BL184" i="1"/>
  <c r="BL183" i="1"/>
  <c r="BL182" i="1"/>
  <c r="BL181" i="1"/>
  <c r="BL180" i="1"/>
  <c r="BL177" i="1"/>
  <c r="BL149" i="1"/>
  <c r="BL148" i="1"/>
  <c r="BL147" i="1"/>
  <c r="BL134" i="1" s="1"/>
  <c r="BL146" i="1"/>
  <c r="BL23" i="2"/>
  <c r="BL74" i="2" s="1"/>
  <c r="BK165" i="2"/>
  <c r="BK169" i="2"/>
  <c r="BK168" i="2"/>
  <c r="BK186" i="1"/>
  <c r="BK151" i="1"/>
  <c r="BJ156" i="2"/>
  <c r="BJ161" i="2" s="1"/>
  <c r="BJ169" i="2"/>
  <c r="BJ186" i="1"/>
  <c r="BJ151" i="1"/>
  <c r="BI156" i="2"/>
  <c r="BI169" i="2"/>
  <c r="BI186" i="1"/>
  <c r="BI151" i="1"/>
  <c r="BH165" i="2"/>
  <c r="BH186" i="1"/>
  <c r="BH151" i="1"/>
  <c r="BL367" i="1"/>
  <c r="BG367" i="1"/>
  <c r="BC165" i="2"/>
  <c r="BG185" i="1"/>
  <c r="BG184" i="1"/>
  <c r="BG183" i="1"/>
  <c r="BG182" i="1"/>
  <c r="BG181" i="1"/>
  <c r="BG180" i="1"/>
  <c r="BG177" i="1"/>
  <c r="BG149" i="1"/>
  <c r="BG148" i="1"/>
  <c r="BG147" i="1"/>
  <c r="BG134" i="1" s="1"/>
  <c r="BG146" i="1"/>
  <c r="BF168" i="2"/>
  <c r="BF169" i="2"/>
  <c r="BF186" i="1"/>
  <c r="BF151" i="1"/>
  <c r="BL11" i="2"/>
  <c r="BL73" i="2" s="1"/>
  <c r="BE156" i="2"/>
  <c r="BE186" i="1"/>
  <c r="BE151" i="1"/>
  <c r="AW367" i="1"/>
  <c r="BB367" i="1"/>
  <c r="BD151" i="1"/>
  <c r="BD156" i="2"/>
  <c r="BG18" i="2"/>
  <c r="BG66" i="2" s="1"/>
  <c r="AU185" i="1"/>
  <c r="AS185" i="1"/>
  <c r="BD169" i="2"/>
  <c r="BD186" i="1"/>
  <c r="BC168" i="2"/>
  <c r="BC186" i="1"/>
  <c r="BC151" i="1"/>
  <c r="BB149" i="1"/>
  <c r="BA161" i="2"/>
  <c r="BA168" i="2"/>
  <c r="AX186" i="1"/>
  <c r="AY186" i="1"/>
  <c r="AZ186" i="1"/>
  <c r="BA186" i="1"/>
  <c r="BB185" i="1"/>
  <c r="BB184" i="1"/>
  <c r="BB183" i="1"/>
  <c r="BB182" i="1"/>
  <c r="BB181" i="1"/>
  <c r="BB180" i="1"/>
  <c r="BB177" i="1"/>
  <c r="BB150" i="1"/>
  <c r="BB148" i="1"/>
  <c r="BB147" i="1"/>
  <c r="BB134" i="1" s="1"/>
  <c r="BB146" i="1"/>
  <c r="BA151" i="1"/>
  <c r="AS151" i="1"/>
  <c r="AT151" i="1"/>
  <c r="AU151" i="1"/>
  <c r="AV151" i="1"/>
  <c r="AZ151" i="1"/>
  <c r="AX151" i="1"/>
  <c r="AY151" i="1"/>
  <c r="BB23" i="2"/>
  <c r="BB74" i="2" s="1"/>
  <c r="BB78" i="2" s="1"/>
  <c r="BG23" i="2"/>
  <c r="BG74" i="2" s="1"/>
  <c r="BG78" i="2" s="1"/>
  <c r="BG9" i="2"/>
  <c r="BG65" i="2" s="1"/>
  <c r="BB9" i="2"/>
  <c r="BB65" i="2" s="1"/>
  <c r="B12" i="13"/>
  <c r="B30" i="13"/>
  <c r="B35" i="13"/>
  <c r="B42" i="13"/>
  <c r="B43" i="13"/>
  <c r="B9" i="12"/>
  <c r="Q100" i="2"/>
  <c r="R100" i="2"/>
  <c r="T100" i="2"/>
  <c r="W100" i="2"/>
  <c r="Y100" i="2"/>
  <c r="AB100" i="2"/>
  <c r="AE100" i="2"/>
  <c r="AF100" i="2"/>
  <c r="AG100" i="2"/>
  <c r="AK100" i="2"/>
  <c r="AL100" i="2"/>
  <c r="AP100" i="2"/>
  <c r="AY100" i="2"/>
  <c r="AZ100" i="2"/>
  <c r="BB18" i="2"/>
  <c r="BB66" i="2" s="1"/>
  <c r="B117" i="2"/>
  <c r="B125" i="2" s="1"/>
  <c r="P101" i="2"/>
  <c r="U101" i="2"/>
  <c r="W101" i="2"/>
  <c r="Z101" i="2"/>
  <c r="AB101" i="2"/>
  <c r="AD101" i="2"/>
  <c r="AL101" i="2"/>
  <c r="AQ101" i="2"/>
  <c r="AZ101" i="2"/>
  <c r="C65" i="2"/>
  <c r="D65" i="2"/>
  <c r="E65" i="2"/>
  <c r="F65" i="2"/>
  <c r="G65" i="2"/>
  <c r="H65" i="2"/>
  <c r="I65" i="2"/>
  <c r="J65" i="2"/>
  <c r="K65" i="2"/>
  <c r="L65" i="2"/>
  <c r="M65" i="2"/>
  <c r="N65" i="2"/>
  <c r="O65" i="2"/>
  <c r="P65" i="2"/>
  <c r="Q65" i="2"/>
  <c r="R65" i="2"/>
  <c r="S65" i="2"/>
  <c r="T65" i="2"/>
  <c r="U65" i="2"/>
  <c r="V65" i="2"/>
  <c r="W65" i="2"/>
  <c r="X65" i="2"/>
  <c r="Y65" i="2"/>
  <c r="Z65" i="2"/>
  <c r="AA65" i="2"/>
  <c r="AB65" i="2"/>
  <c r="AC65" i="2"/>
  <c r="AD65" i="2"/>
  <c r="AE65" i="2"/>
  <c r="AF65" i="2"/>
  <c r="AG65" i="2"/>
  <c r="AH65" i="2"/>
  <c r="AI65" i="2"/>
  <c r="AJ65" i="2"/>
  <c r="AK65" i="2"/>
  <c r="AL65" i="2"/>
  <c r="AM65" i="2"/>
  <c r="AN65" i="2"/>
  <c r="AO65" i="2"/>
  <c r="AP65" i="2"/>
  <c r="AQ65" i="2"/>
  <c r="AR65" i="2"/>
  <c r="AS65" i="2"/>
  <c r="AT65" i="2"/>
  <c r="AU65" i="2"/>
  <c r="AV65" i="2"/>
  <c r="AW65" i="2"/>
  <c r="AX65" i="2"/>
  <c r="AY65" i="2"/>
  <c r="C66" i="2"/>
  <c r="D66" i="2"/>
  <c r="E66" i="2"/>
  <c r="F66" i="2"/>
  <c r="G66" i="2"/>
  <c r="H66" i="2"/>
  <c r="I66" i="2"/>
  <c r="J66" i="2"/>
  <c r="K66" i="2"/>
  <c r="L66" i="2"/>
  <c r="M66" i="2"/>
  <c r="N66" i="2"/>
  <c r="O66" i="2"/>
  <c r="P66" i="2"/>
  <c r="Q66" i="2"/>
  <c r="R66" i="2"/>
  <c r="S66" i="2"/>
  <c r="T66" i="2"/>
  <c r="U66" i="2"/>
  <c r="V66" i="2"/>
  <c r="W66" i="2"/>
  <c r="X66" i="2"/>
  <c r="Y66" i="2"/>
  <c r="Z66" i="2"/>
  <c r="AA66" i="2"/>
  <c r="AB66" i="2"/>
  <c r="AC66" i="2"/>
  <c r="AD66" i="2"/>
  <c r="AE66" i="2"/>
  <c r="AF66" i="2"/>
  <c r="AG66" i="2"/>
  <c r="AH66" i="2"/>
  <c r="AI66" i="2"/>
  <c r="AJ66" i="2"/>
  <c r="AK66" i="2"/>
  <c r="AL66" i="2"/>
  <c r="AM66" i="2"/>
  <c r="AN66" i="2"/>
  <c r="AO66" i="2"/>
  <c r="AP66" i="2"/>
  <c r="AQ66" i="2"/>
  <c r="AR66" i="2"/>
  <c r="AS66" i="2"/>
  <c r="AT66" i="2"/>
  <c r="AU66" i="2"/>
  <c r="AV66" i="2"/>
  <c r="AW66" i="2"/>
  <c r="AX66" i="2"/>
  <c r="AY66" i="2"/>
  <c r="C73" i="2"/>
  <c r="D73" i="2"/>
  <c r="E73" i="2"/>
  <c r="F73" i="2"/>
  <c r="G73" i="2"/>
  <c r="H73" i="2"/>
  <c r="I73" i="2"/>
  <c r="J73" i="2"/>
  <c r="K73" i="2"/>
  <c r="L73" i="2"/>
  <c r="M73" i="2"/>
  <c r="N73" i="2"/>
  <c r="O73" i="2"/>
  <c r="P73" i="2"/>
  <c r="Q73" i="2"/>
  <c r="R73" i="2"/>
  <c r="S73" i="2"/>
  <c r="T73" i="2"/>
  <c r="U73" i="2"/>
  <c r="V73" i="2"/>
  <c r="W73" i="2"/>
  <c r="X73" i="2"/>
  <c r="Y73" i="2"/>
  <c r="Z73" i="2"/>
  <c r="AA73" i="2"/>
  <c r="AB73" i="2"/>
  <c r="AC73" i="2"/>
  <c r="AD73" i="2"/>
  <c r="AE73" i="2"/>
  <c r="AF73" i="2"/>
  <c r="AG73" i="2"/>
  <c r="AH73" i="2"/>
  <c r="AI73" i="2"/>
  <c r="AJ73" i="2"/>
  <c r="AK73" i="2"/>
  <c r="AL73" i="2"/>
  <c r="AM73" i="2"/>
  <c r="AN73" i="2"/>
  <c r="AO73" i="2"/>
  <c r="AP73" i="2"/>
  <c r="AQ73" i="2"/>
  <c r="AR73" i="2"/>
  <c r="AS73" i="2"/>
  <c r="AT73" i="2"/>
  <c r="AU73" i="2"/>
  <c r="AV73" i="2"/>
  <c r="AW73" i="2"/>
  <c r="AX73" i="2"/>
  <c r="AY73" i="2"/>
  <c r="C74" i="2"/>
  <c r="D74" i="2"/>
  <c r="E74" i="2"/>
  <c r="F74" i="2"/>
  <c r="G74" i="2"/>
  <c r="H74" i="2"/>
  <c r="I74" i="2"/>
  <c r="J74" i="2"/>
  <c r="K74" i="2"/>
  <c r="L74" i="2"/>
  <c r="M74" i="2"/>
  <c r="N74" i="2"/>
  <c r="O74" i="2"/>
  <c r="P74" i="2"/>
  <c r="Q74" i="2"/>
  <c r="R74" i="2"/>
  <c r="S74" i="2"/>
  <c r="T74" i="2"/>
  <c r="U74" i="2"/>
  <c r="V74" i="2"/>
  <c r="W74" i="2"/>
  <c r="X74" i="2"/>
  <c r="Y74" i="2"/>
  <c r="Z74" i="2"/>
  <c r="AA74" i="2"/>
  <c r="AB74" i="2"/>
  <c r="AC74" i="2"/>
  <c r="AD74" i="2"/>
  <c r="AE74" i="2"/>
  <c r="AF74" i="2"/>
  <c r="AG74" i="2"/>
  <c r="AH74" i="2"/>
  <c r="AI74" i="2"/>
  <c r="AJ74" i="2"/>
  <c r="AK74" i="2"/>
  <c r="AL74" i="2"/>
  <c r="AM74" i="2"/>
  <c r="AN74" i="2"/>
  <c r="AO74" i="2"/>
  <c r="AP74" i="2"/>
  <c r="AQ74" i="2"/>
  <c r="AR74" i="2"/>
  <c r="AS74" i="2"/>
  <c r="AT74" i="2"/>
  <c r="AU74" i="2"/>
  <c r="AV74" i="2"/>
  <c r="AW74" i="2"/>
  <c r="AX74" i="2"/>
  <c r="AY74" i="2"/>
  <c r="B108" i="2"/>
  <c r="B109" i="2"/>
  <c r="B116" i="2"/>
  <c r="B124" i="2" s="1"/>
  <c r="L168" i="2"/>
  <c r="M168" i="2"/>
  <c r="P207" i="2"/>
  <c r="T207" i="2"/>
  <c r="U207" i="2"/>
  <c r="W168" i="2"/>
  <c r="AD207" i="2"/>
  <c r="AI168" i="2"/>
  <c r="AJ207" i="2"/>
  <c r="AK207" i="2"/>
  <c r="AP168" i="2"/>
  <c r="AS207" i="2"/>
  <c r="AT207" i="2"/>
  <c r="I169" i="2"/>
  <c r="J169" i="2"/>
  <c r="K169" i="2"/>
  <c r="M169" i="2"/>
  <c r="O169" i="2"/>
  <c r="P169" i="2"/>
  <c r="T169" i="2"/>
  <c r="V169" i="2"/>
  <c r="W169" i="2"/>
  <c r="Y169" i="2"/>
  <c r="AI208" i="2"/>
  <c r="AT208" i="2"/>
  <c r="AV169" i="2"/>
  <c r="AX208" i="2"/>
  <c r="AY208" i="2"/>
  <c r="B156" i="2"/>
  <c r="X156" i="2"/>
  <c r="AC156" i="2"/>
  <c r="AH156" i="2"/>
  <c r="AM156" i="2"/>
  <c r="AR156" i="2"/>
  <c r="AW156" i="2"/>
  <c r="BB156" i="2"/>
  <c r="B157" i="2"/>
  <c r="X157" i="2"/>
  <c r="AC157" i="2"/>
  <c r="AH157" i="2"/>
  <c r="AM157" i="2"/>
  <c r="AR157" i="2"/>
  <c r="AW157" i="2"/>
  <c r="BB157" i="2"/>
  <c r="BG157" i="2"/>
  <c r="BL157" i="2"/>
  <c r="B161" i="2"/>
  <c r="T161" i="2"/>
  <c r="U161" i="2"/>
  <c r="V161" i="2"/>
  <c r="W161" i="2"/>
  <c r="Y161" i="2"/>
  <c r="Z161" i="2"/>
  <c r="AA161" i="2"/>
  <c r="AB161" i="2"/>
  <c r="AD161" i="2"/>
  <c r="AE161" i="2"/>
  <c r="AF161" i="2"/>
  <c r="AG161" i="2"/>
  <c r="AI161" i="2"/>
  <c r="AJ161" i="2"/>
  <c r="AK161" i="2"/>
  <c r="AL161" i="2"/>
  <c r="AN161" i="2"/>
  <c r="AO161" i="2"/>
  <c r="AP161" i="2"/>
  <c r="AQ161" i="2"/>
  <c r="AS161" i="2"/>
  <c r="AT161" i="2"/>
  <c r="AU161" i="2"/>
  <c r="AV161" i="2"/>
  <c r="AX161" i="2"/>
  <c r="AY161" i="2"/>
  <c r="AZ161" i="2"/>
  <c r="AZ173" i="2" s="1"/>
  <c r="AM163" i="2"/>
  <c r="AR163" i="2"/>
  <c r="AW163" i="2"/>
  <c r="AZ163" i="2"/>
  <c r="BG163" i="2"/>
  <c r="BL163" i="2"/>
  <c r="B168" i="2"/>
  <c r="B169" i="2"/>
  <c r="B173" i="2"/>
  <c r="B181" i="2"/>
  <c r="B182" i="2"/>
  <c r="B29" i="1"/>
  <c r="B30" i="1"/>
  <c r="N146" i="1"/>
  <c r="S146" i="1"/>
  <c r="X146" i="1"/>
  <c r="AC146" i="1"/>
  <c r="AH146" i="1"/>
  <c r="AM146" i="1"/>
  <c r="AR146" i="1"/>
  <c r="AW146" i="1"/>
  <c r="N147" i="1"/>
  <c r="S147" i="1"/>
  <c r="X147" i="1"/>
  <c r="AC147" i="1"/>
  <c r="AH147" i="1"/>
  <c r="AM147" i="1"/>
  <c r="AR147" i="1"/>
  <c r="AW147" i="1"/>
  <c r="N148" i="1"/>
  <c r="S148" i="1"/>
  <c r="X148" i="1"/>
  <c r="AC148" i="1"/>
  <c r="AH148" i="1"/>
  <c r="AM148" i="1"/>
  <c r="AR148" i="1"/>
  <c r="AW148" i="1"/>
  <c r="N149" i="1"/>
  <c r="S149" i="1"/>
  <c r="X149" i="1"/>
  <c r="AC149" i="1"/>
  <c r="AH149" i="1"/>
  <c r="AM149" i="1"/>
  <c r="AR149" i="1"/>
  <c r="AW149" i="1"/>
  <c r="N150" i="1"/>
  <c r="S150" i="1"/>
  <c r="X150" i="1"/>
  <c r="AC150" i="1"/>
  <c r="AH150" i="1"/>
  <c r="AM150" i="1"/>
  <c r="AR150" i="1"/>
  <c r="AW150" i="1"/>
  <c r="N151" i="1"/>
  <c r="S151" i="1"/>
  <c r="X151" i="1"/>
  <c r="AC151" i="1"/>
  <c r="AH151" i="1"/>
  <c r="AM151" i="1"/>
  <c r="AR151" i="1"/>
  <c r="N177" i="1"/>
  <c r="S177" i="1"/>
  <c r="X177" i="1"/>
  <c r="AC177" i="1"/>
  <c r="AH177" i="1"/>
  <c r="AM177" i="1"/>
  <c r="AR177" i="1"/>
  <c r="AW177" i="1"/>
  <c r="R178" i="1"/>
  <c r="W178" i="1"/>
  <c r="AB178" i="1"/>
  <c r="AG178" i="1"/>
  <c r="AL178" i="1"/>
  <c r="R179" i="1"/>
  <c r="W179" i="1"/>
  <c r="AB179" i="1"/>
  <c r="AG179" i="1"/>
  <c r="AL179" i="1"/>
  <c r="N180" i="1"/>
  <c r="S180" i="1"/>
  <c r="X180" i="1"/>
  <c r="AC180" i="1"/>
  <c r="AH180" i="1"/>
  <c r="AM180" i="1"/>
  <c r="AR180" i="1"/>
  <c r="AW180" i="1"/>
  <c r="N181" i="1"/>
  <c r="S181" i="1"/>
  <c r="X181" i="1"/>
  <c r="AC181" i="1"/>
  <c r="AH181" i="1"/>
  <c r="AM181" i="1"/>
  <c r="AR181" i="1"/>
  <c r="AW181" i="1"/>
  <c r="N182" i="1"/>
  <c r="S182" i="1"/>
  <c r="X182" i="1"/>
  <c r="AC182" i="1"/>
  <c r="AH182" i="1"/>
  <c r="AM182" i="1"/>
  <c r="AR182" i="1"/>
  <c r="AW182" i="1"/>
  <c r="N183" i="1"/>
  <c r="S183" i="1"/>
  <c r="X183" i="1"/>
  <c r="AC183" i="1"/>
  <c r="AH183" i="1"/>
  <c r="AM183" i="1"/>
  <c r="AR183" i="1"/>
  <c r="AW183" i="1"/>
  <c r="N184" i="1"/>
  <c r="S184" i="1"/>
  <c r="X184" i="1"/>
  <c r="AC184" i="1"/>
  <c r="AH184" i="1"/>
  <c r="AM184" i="1"/>
  <c r="AR184" i="1"/>
  <c r="AW184" i="1"/>
  <c r="N185" i="1"/>
  <c r="S185" i="1"/>
  <c r="X185" i="1"/>
  <c r="AC185" i="1"/>
  <c r="AH185" i="1"/>
  <c r="AM185" i="1"/>
  <c r="AR185" i="1"/>
  <c r="N186" i="1"/>
  <c r="S186" i="1"/>
  <c r="X186" i="1"/>
  <c r="AC186" i="1"/>
  <c r="AH186" i="1"/>
  <c r="AM186" i="1"/>
  <c r="AR186" i="1"/>
  <c r="AW186" i="1"/>
  <c r="CE147" i="2"/>
  <c r="CD216" i="2"/>
  <c r="CE207" i="2"/>
  <c r="CF31" i="14"/>
  <c r="CG116" i="2"/>
  <c r="CH101" i="2"/>
  <c r="CH221" i="2"/>
  <c r="CG100" i="2"/>
  <c r="CL47" i="14" l="1"/>
  <c r="CF70" i="2"/>
  <c r="CK70" i="2"/>
  <c r="F6" i="47"/>
  <c r="F25" i="47" s="1"/>
  <c r="F28" i="47" s="1"/>
  <c r="F30" i="47" s="1"/>
  <c r="CU29" i="13"/>
  <c r="BG70" i="2"/>
  <c r="CJ47" i="14"/>
  <c r="CJ51" i="14" s="1"/>
  <c r="CU15" i="13"/>
  <c r="CU40" i="13"/>
  <c r="CP27" i="13"/>
  <c r="CP46" i="14"/>
  <c r="CP59" i="14" s="1"/>
  <c r="CO47" i="14"/>
  <c r="BL78" i="2"/>
  <c r="BV138" i="1"/>
  <c r="BV61" i="2" s="1"/>
  <c r="BB138" i="1"/>
  <c r="BB61" i="2" s="1"/>
  <c r="BQ138" i="1"/>
  <c r="BQ61" i="2" s="1"/>
  <c r="CA138" i="1"/>
  <c r="CA61" i="2" s="1"/>
  <c r="BG138" i="1"/>
  <c r="BG61" i="2" s="1"/>
  <c r="BL138" i="1"/>
  <c r="BL61" i="2" s="1"/>
  <c r="CF61" i="2"/>
  <c r="CF26" i="2"/>
  <c r="CF234" i="2" s="1"/>
  <c r="CF241" i="2" s="1"/>
  <c r="F46" i="47"/>
  <c r="CG27" i="12"/>
  <c r="CH27" i="12"/>
  <c r="CI27" i="12"/>
  <c r="CJ27" i="12"/>
  <c r="L2" i="47"/>
  <c r="L21" i="47" s="1"/>
  <c r="K20" i="47"/>
  <c r="G17" i="47"/>
  <c r="H16" i="47"/>
  <c r="K21" i="47"/>
  <c r="K19" i="47"/>
  <c r="L19" i="47" s="1"/>
  <c r="I45" i="47"/>
  <c r="BV201" i="1"/>
  <c r="CP161" i="2"/>
  <c r="AU144" i="2"/>
  <c r="AU153" i="2" s="1"/>
  <c r="AU201" i="1"/>
  <c r="AU139" i="2"/>
  <c r="AS201" i="1"/>
  <c r="AS139" i="2"/>
  <c r="AS144" i="2"/>
  <c r="AS153" i="2" s="1"/>
  <c r="CE69" i="13"/>
  <c r="AZ194" i="2"/>
  <c r="CK161" i="2"/>
  <c r="CK165" i="2" s="1"/>
  <c r="BK173" i="2"/>
  <c r="BK178" i="2" s="1"/>
  <c r="BZ173" i="2"/>
  <c r="BZ178" i="2" s="1"/>
  <c r="BZ43" i="12" s="1"/>
  <c r="BV163" i="2"/>
  <c r="BU175" i="2"/>
  <c r="CS212" i="2"/>
  <c r="BF173" i="2"/>
  <c r="BF178" i="2" s="1"/>
  <c r="BQ163" i="2"/>
  <c r="BP175" i="2"/>
  <c r="CL24" i="12"/>
  <c r="CL27" i="12" s="1"/>
  <c r="BB163" i="2"/>
  <c r="AZ175" i="2"/>
  <c r="AZ178" i="2" s="1"/>
  <c r="AY165" i="2"/>
  <c r="AY173" i="2"/>
  <c r="AY178" i="2" s="1"/>
  <c r="AJ165" i="2"/>
  <c r="AJ173" i="2"/>
  <c r="U165" i="2"/>
  <c r="U173" i="2"/>
  <c r="AX165" i="2"/>
  <c r="AX173" i="2"/>
  <c r="AX178" i="2" s="1"/>
  <c r="AS165" i="2"/>
  <c r="AS173" i="2"/>
  <c r="AN165" i="2"/>
  <c r="AN173" i="2"/>
  <c r="AI165" i="2"/>
  <c r="AI173" i="2"/>
  <c r="AD165" i="2"/>
  <c r="AD173" i="2"/>
  <c r="Y165" i="2"/>
  <c r="Y173" i="2"/>
  <c r="T165" i="2"/>
  <c r="T173" i="2"/>
  <c r="BB161" i="2"/>
  <c r="AO165" i="2"/>
  <c r="AO173" i="2"/>
  <c r="AE165" i="2"/>
  <c r="AE173" i="2"/>
  <c r="BQ156" i="2"/>
  <c r="BQ161" i="2" s="1"/>
  <c r="BP161" i="2"/>
  <c r="BP165" i="2" s="1"/>
  <c r="AV165" i="2"/>
  <c r="AV173" i="2"/>
  <c r="AQ165" i="2"/>
  <c r="AQ173" i="2"/>
  <c r="AL165" i="2"/>
  <c r="AL173" i="2"/>
  <c r="AG165" i="2"/>
  <c r="AG173" i="2"/>
  <c r="AB165" i="2"/>
  <c r="AB173" i="2"/>
  <c r="W165" i="2"/>
  <c r="W173" i="2"/>
  <c r="BA165" i="2"/>
  <c r="BA173" i="2"/>
  <c r="BA178" i="2" s="1"/>
  <c r="BI161" i="2"/>
  <c r="BI165" i="2" s="1"/>
  <c r="CE168" i="2"/>
  <c r="CE161" i="2"/>
  <c r="CE165" i="2" s="1"/>
  <c r="AT165" i="2"/>
  <c r="AT173" i="2"/>
  <c r="Z165" i="2"/>
  <c r="Z173" i="2"/>
  <c r="AU165" i="2"/>
  <c r="AU173" i="2"/>
  <c r="AP165" i="2"/>
  <c r="AP173" i="2"/>
  <c r="AK165" i="2"/>
  <c r="AK173" i="2"/>
  <c r="AF165" i="2"/>
  <c r="AF173" i="2"/>
  <c r="AA165" i="2"/>
  <c r="AA173" i="2"/>
  <c r="V165" i="2"/>
  <c r="V173" i="2"/>
  <c r="BD161" i="2"/>
  <c r="BD165" i="2" s="1"/>
  <c r="BE161" i="2"/>
  <c r="BE165" i="2" s="1"/>
  <c r="BV156" i="2"/>
  <c r="BV161" i="2" s="1"/>
  <c r="BT161" i="2"/>
  <c r="BT165" i="2" s="1"/>
  <c r="CD161" i="2"/>
  <c r="CD165" i="2" s="1"/>
  <c r="CA201" i="1"/>
  <c r="BB201" i="1"/>
  <c r="AC201" i="1"/>
  <c r="AC144" i="2"/>
  <c r="AR201" i="1"/>
  <c r="X201" i="1"/>
  <c r="AR144" i="2"/>
  <c r="X144" i="2"/>
  <c r="AM201" i="1"/>
  <c r="S201" i="1"/>
  <c r="AM144" i="2"/>
  <c r="S144" i="2"/>
  <c r="AH201" i="1"/>
  <c r="N201" i="1"/>
  <c r="AH144" i="2"/>
  <c r="N144" i="2"/>
  <c r="AC139" i="2"/>
  <c r="AR139" i="2"/>
  <c r="X139" i="2"/>
  <c r="AM139" i="2"/>
  <c r="S139" i="2"/>
  <c r="AH139" i="2"/>
  <c r="N139" i="2"/>
  <c r="BG201" i="1"/>
  <c r="AC139" i="1"/>
  <c r="AC62" i="2" s="1"/>
  <c r="AR139" i="1"/>
  <c r="AR62" i="2" s="1"/>
  <c r="X139" i="1"/>
  <c r="X62" i="2" s="1"/>
  <c r="AW139" i="1"/>
  <c r="AW62" i="2" s="1"/>
  <c r="AM139" i="1"/>
  <c r="AM62" i="2" s="1"/>
  <c r="S139" i="1"/>
  <c r="S62" i="2" s="1"/>
  <c r="AH139" i="1"/>
  <c r="AH62" i="2" s="1"/>
  <c r="N139" i="1"/>
  <c r="N62" i="2" s="1"/>
  <c r="N105" i="2" s="1"/>
  <c r="AY78" i="2"/>
  <c r="AY70" i="2"/>
  <c r="AX70" i="2"/>
  <c r="AX78" i="2"/>
  <c r="BB70" i="2"/>
  <c r="CB117" i="2"/>
  <c r="P100" i="2"/>
  <c r="AT100" i="2"/>
  <c r="R101" i="2"/>
  <c r="AL208" i="2"/>
  <c r="AE101" i="2"/>
  <c r="AG101" i="2"/>
  <c r="AT101" i="2"/>
  <c r="BC101" i="2"/>
  <c r="AT168" i="2"/>
  <c r="AT189" i="2" s="1"/>
  <c r="BK116" i="2"/>
  <c r="T78" i="2"/>
  <c r="AS221" i="2"/>
  <c r="BO117" i="2"/>
  <c r="CC165" i="2"/>
  <c r="O100" i="2"/>
  <c r="BD101" i="2"/>
  <c r="BN207" i="2"/>
  <c r="BF208" i="2"/>
  <c r="AN70" i="2"/>
  <c r="BJ168" i="2"/>
  <c r="BZ190" i="2"/>
  <c r="BH101" i="2"/>
  <c r="BI100" i="2"/>
  <c r="BF217" i="2"/>
  <c r="BF148" i="2"/>
  <c r="BR217" i="2"/>
  <c r="AY147" i="2"/>
  <c r="BJ148" i="2"/>
  <c r="AF116" i="2"/>
  <c r="Q78" i="2"/>
  <c r="AE70" i="2"/>
  <c r="AN78" i="2"/>
  <c r="BO116" i="2"/>
  <c r="BP117" i="2"/>
  <c r="BP216" i="2"/>
  <c r="BP169" i="2"/>
  <c r="AU100" i="2"/>
  <c r="AP189" i="2"/>
  <c r="V147" i="2"/>
  <c r="BR208" i="2"/>
  <c r="AL78" i="2"/>
  <c r="Z78" i="2"/>
  <c r="R78" i="2"/>
  <c r="AQ70" i="2"/>
  <c r="O70" i="2"/>
  <c r="K70" i="2"/>
  <c r="G70" i="2"/>
  <c r="BA116" i="2"/>
  <c r="BI117" i="2"/>
  <c r="BU117" i="2"/>
  <c r="AP70" i="2"/>
  <c r="BK217" i="2"/>
  <c r="Z221" i="2"/>
  <c r="BL156" i="2"/>
  <c r="E78" i="2"/>
  <c r="BE169" i="2"/>
  <c r="BC148" i="2"/>
  <c r="BM169" i="2"/>
  <c r="AQ78" i="2"/>
  <c r="P221" i="2"/>
  <c r="BG133" i="2"/>
  <c r="BG169" i="2" s="1"/>
  <c r="BI168" i="2"/>
  <c r="BA221" i="2"/>
  <c r="AB208" i="2"/>
  <c r="BZ101" i="2"/>
  <c r="BJ116" i="2"/>
  <c r="BE208" i="2"/>
  <c r="BM148" i="2"/>
  <c r="BI207" i="2"/>
  <c r="BP208" i="2"/>
  <c r="W208" i="2"/>
  <c r="CD217" i="2"/>
  <c r="CE148" i="2"/>
  <c r="C70" i="2"/>
  <c r="AO70" i="2"/>
  <c r="AG70" i="2"/>
  <c r="AC70" i="2"/>
  <c r="Y70" i="2"/>
  <c r="I70" i="2"/>
  <c r="E70" i="2"/>
  <c r="BK189" i="2"/>
  <c r="D208" i="2"/>
  <c r="BQ133" i="2"/>
  <c r="BQ169" i="2" s="1"/>
  <c r="F119" i="47" s="1"/>
  <c r="BR117" i="2"/>
  <c r="BR216" i="2"/>
  <c r="BY116" i="2"/>
  <c r="BZ189" i="2"/>
  <c r="Z216" i="2"/>
  <c r="BP100" i="2"/>
  <c r="BS207" i="2"/>
  <c r="BF147" i="2"/>
  <c r="CB116" i="2"/>
  <c r="AT216" i="2"/>
  <c r="BA101" i="2"/>
  <c r="M190" i="2"/>
  <c r="BH208" i="2"/>
  <c r="AV221" i="2"/>
  <c r="BK208" i="2"/>
  <c r="BD148" i="2"/>
  <c r="BE217" i="2"/>
  <c r="BO169" i="2"/>
  <c r="BZ116" i="2"/>
  <c r="CE100" i="2"/>
  <c r="BP217" i="2"/>
  <c r="BO208" i="2"/>
  <c r="BO217" i="2"/>
  <c r="BN100" i="2"/>
  <c r="AZ221" i="2"/>
  <c r="AQ100" i="2"/>
  <c r="AG116" i="2"/>
  <c r="CE208" i="2"/>
  <c r="BT208" i="2"/>
  <c r="BY100" i="2"/>
  <c r="AG221" i="2"/>
  <c r="AM161" i="2"/>
  <c r="AM165" i="2" s="1"/>
  <c r="BD168" i="2"/>
  <c r="BJ221" i="2"/>
  <c r="BU101" i="2"/>
  <c r="BU216" i="2"/>
  <c r="BY208" i="2"/>
  <c r="BE153" i="2"/>
  <c r="BP168" i="2"/>
  <c r="BF207" i="2"/>
  <c r="BK100" i="2"/>
  <c r="T221" i="2"/>
  <c r="W221" i="2"/>
  <c r="AB221" i="2"/>
  <c r="BK207" i="2"/>
  <c r="BR116" i="2"/>
  <c r="BV133" i="2"/>
  <c r="BV169" i="2" s="1"/>
  <c r="G119" i="47" s="1"/>
  <c r="BT168" i="2"/>
  <c r="AC161" i="2"/>
  <c r="AC165" i="2" s="1"/>
  <c r="BK82" i="2"/>
  <c r="BK95" i="2" s="1"/>
  <c r="BH148" i="2"/>
  <c r="AB116" i="2"/>
  <c r="Q221" i="2"/>
  <c r="CB217" i="2"/>
  <c r="BU207" i="2"/>
  <c r="BP207" i="2"/>
  <c r="BW117" i="2"/>
  <c r="BM208" i="2"/>
  <c r="BT101" i="2"/>
  <c r="BT207" i="2"/>
  <c r="BJ101" i="2"/>
  <c r="BO168" i="2"/>
  <c r="BH217" i="2"/>
  <c r="AL221" i="2"/>
  <c r="BA208" i="2"/>
  <c r="V221" i="2"/>
  <c r="BW216" i="2"/>
  <c r="BT190" i="2"/>
  <c r="BT217" i="2"/>
  <c r="BT117" i="2"/>
  <c r="BT216" i="2"/>
  <c r="BO101" i="2"/>
  <c r="BH169" i="2"/>
  <c r="CA163" i="2"/>
  <c r="BZ165" i="2"/>
  <c r="BN153" i="2"/>
  <c r="BZ207" i="2"/>
  <c r="BT153" i="2"/>
  <c r="BE168" i="2"/>
  <c r="BG156" i="2"/>
  <c r="BG161" i="2" s="1"/>
  <c r="AU221" i="2"/>
  <c r="BM189" i="2"/>
  <c r="BE207" i="2"/>
  <c r="AQ116" i="2"/>
  <c r="CB165" i="2"/>
  <c r="CF163" i="2"/>
  <c r="AK70" i="2"/>
  <c r="AW161" i="2"/>
  <c r="AW165" i="2" s="1"/>
  <c r="K78" i="2"/>
  <c r="AK78" i="2"/>
  <c r="AH70" i="2"/>
  <c r="AS70" i="2"/>
  <c r="H70" i="2"/>
  <c r="Y78" i="2"/>
  <c r="V78" i="2"/>
  <c r="J78" i="2"/>
  <c r="AI70" i="2"/>
  <c r="Z70" i="2"/>
  <c r="AO221" i="2"/>
  <c r="BN101" i="2"/>
  <c r="BQ201" i="1"/>
  <c r="BU217" i="2"/>
  <c r="BM101" i="2"/>
  <c r="BO216" i="2"/>
  <c r="BN168" i="2"/>
  <c r="BO100" i="2"/>
  <c r="BP116" i="2"/>
  <c r="BN124" i="2"/>
  <c r="BP153" i="2"/>
  <c r="BX207" i="2"/>
  <c r="BV132" i="2"/>
  <c r="BT116" i="2"/>
  <c r="BT100" i="2"/>
  <c r="CC207" i="2"/>
  <c r="BX216" i="2"/>
  <c r="BY169" i="2"/>
  <c r="BZ217" i="2"/>
  <c r="BY217" i="2"/>
  <c r="BQ132" i="2"/>
  <c r="BE101" i="2"/>
  <c r="E100" i="2"/>
  <c r="BF116" i="2"/>
  <c r="BE100" i="2"/>
  <c r="BJ100" i="2"/>
  <c r="BE116" i="2"/>
  <c r="BG134" i="2"/>
  <c r="BH168" i="2"/>
  <c r="BL132" i="2"/>
  <c r="BI216" i="2"/>
  <c r="BI199" i="2"/>
  <c r="U221" i="2"/>
  <c r="BO207" i="2"/>
  <c r="BJ207" i="2"/>
  <c r="BP101" i="2"/>
  <c r="BK153" i="2"/>
  <c r="AF168" i="2"/>
  <c r="AF189" i="2" s="1"/>
  <c r="AF147" i="2"/>
  <c r="BA147" i="2"/>
  <c r="BF100" i="2"/>
  <c r="BL201" i="1"/>
  <c r="CF134" i="2"/>
  <c r="BB134" i="2"/>
  <c r="BQ134" i="2"/>
  <c r="CA134" i="2"/>
  <c r="BL134" i="2"/>
  <c r="BV134" i="2"/>
  <c r="Y190" i="2"/>
  <c r="BB26" i="2"/>
  <c r="BB234" i="2" s="1"/>
  <c r="BB41" i="2"/>
  <c r="BG26" i="2"/>
  <c r="BG234" i="2" s="1"/>
  <c r="BG41" i="2"/>
  <c r="BL26" i="2"/>
  <c r="BL41" i="2"/>
  <c r="CF41" i="2"/>
  <c r="V168" i="2"/>
  <c r="V189" i="2" s="1"/>
  <c r="BQ26" i="2"/>
  <c r="BQ41" i="2"/>
  <c r="BV26" i="2"/>
  <c r="BV41" i="2"/>
  <c r="CA26" i="2"/>
  <c r="CA41" i="2"/>
  <c r="AP116" i="2"/>
  <c r="BI116" i="2"/>
  <c r="W189" i="2"/>
  <c r="F148" i="2"/>
  <c r="AI207" i="2"/>
  <c r="AS116" i="2"/>
  <c r="AI116" i="2"/>
  <c r="K116" i="2"/>
  <c r="CC117" i="2"/>
  <c r="BA189" i="2"/>
  <c r="AQ221" i="2"/>
  <c r="AJ148" i="2"/>
  <c r="Z148" i="2"/>
  <c r="K190" i="2"/>
  <c r="C148" i="2"/>
  <c r="M148" i="2"/>
  <c r="AT78" i="2"/>
  <c r="BZ148" i="2"/>
  <c r="AZ147" i="2"/>
  <c r="W116" i="2"/>
  <c r="R116" i="2"/>
  <c r="M116" i="2"/>
  <c r="I100" i="2"/>
  <c r="BC147" i="2"/>
  <c r="BD190" i="2"/>
  <c r="AE221" i="2"/>
  <c r="R217" i="2"/>
  <c r="I208" i="2"/>
  <c r="AE216" i="2"/>
  <c r="G207" i="2"/>
  <c r="AK116" i="2"/>
  <c r="AA116" i="2"/>
  <c r="V116" i="2"/>
  <c r="L116" i="2"/>
  <c r="D100" i="2"/>
  <c r="G208" i="2"/>
  <c r="H208" i="2"/>
  <c r="G148" i="2"/>
  <c r="AG216" i="2"/>
  <c r="BL133" i="2"/>
  <c r="BL169" i="2" s="1"/>
  <c r="BI153" i="2"/>
  <c r="AC133" i="2"/>
  <c r="AX147" i="2"/>
  <c r="U78" i="2"/>
  <c r="G169" i="2"/>
  <c r="G190" i="2" s="1"/>
  <c r="BN208" i="2"/>
  <c r="AT169" i="2"/>
  <c r="AT190" i="2" s="1"/>
  <c r="AT217" i="2"/>
  <c r="AT148" i="2"/>
  <c r="BA207" i="2"/>
  <c r="AV216" i="2"/>
  <c r="AB147" i="2"/>
  <c r="BB132" i="2"/>
  <c r="AL116" i="2"/>
  <c r="AY221" i="2"/>
  <c r="AX221" i="2"/>
  <c r="CC147" i="2"/>
  <c r="AU217" i="2"/>
  <c r="AK148" i="2"/>
  <c r="AX216" i="2"/>
  <c r="Y147" i="2"/>
  <c r="AY116" i="2"/>
  <c r="AU78" i="2"/>
  <c r="AS78" i="2"/>
  <c r="BH216" i="2"/>
  <c r="BI101" i="2"/>
  <c r="AA221" i="2"/>
  <c r="AP169" i="2"/>
  <c r="AP190" i="2" s="1"/>
  <c r="AA208" i="2"/>
  <c r="AA169" i="2"/>
  <c r="AA190" i="2" s="1"/>
  <c r="W217" i="2"/>
  <c r="D148" i="2"/>
  <c r="E208" i="2"/>
  <c r="AN168" i="2"/>
  <c r="AN198" i="2" s="1"/>
  <c r="AN207" i="2"/>
  <c r="AO216" i="2"/>
  <c r="O221" i="2"/>
  <c r="AI221" i="2"/>
  <c r="AJ221" i="2"/>
  <c r="CC217" i="2"/>
  <c r="CC208" i="2"/>
  <c r="AA70" i="2"/>
  <c r="S70" i="2"/>
  <c r="AJ100" i="2"/>
  <c r="AO100" i="2"/>
  <c r="G101" i="2"/>
  <c r="AD147" i="2"/>
  <c r="P147" i="2"/>
  <c r="H169" i="2"/>
  <c r="AO208" i="2"/>
  <c r="AF217" i="2"/>
  <c r="N101" i="2"/>
  <c r="AT116" i="2"/>
  <c r="AE116" i="2"/>
  <c r="K124" i="2"/>
  <c r="O78" i="2"/>
  <c r="L70" i="2"/>
  <c r="AB124" i="2"/>
  <c r="AG124" i="2"/>
  <c r="AY216" i="2"/>
  <c r="BJ208" i="2"/>
  <c r="BM207" i="2"/>
  <c r="AS124" i="2"/>
  <c r="H100" i="2"/>
  <c r="P116" i="2"/>
  <c r="U100" i="2"/>
  <c r="Z100" i="2"/>
  <c r="AN116" i="2"/>
  <c r="AG148" i="2"/>
  <c r="AJ216" i="2"/>
  <c r="Q116" i="2"/>
  <c r="AS168" i="2"/>
  <c r="AS189" i="2" s="1"/>
  <c r="J190" i="2"/>
  <c r="AD221" i="2"/>
  <c r="AX168" i="2"/>
  <c r="AX207" i="2"/>
  <c r="AB216" i="2"/>
  <c r="G147" i="2"/>
  <c r="Q208" i="2"/>
  <c r="Y221" i="2"/>
  <c r="AN221" i="2"/>
  <c r="CC169" i="2"/>
  <c r="BA216" i="2"/>
  <c r="BX168" i="2"/>
  <c r="CB190" i="2"/>
  <c r="BL151" i="1"/>
  <c r="BZ147" i="2"/>
  <c r="Z169" i="2"/>
  <c r="Z190" i="2" s="1"/>
  <c r="AF208" i="2"/>
  <c r="AF169" i="2"/>
  <c r="U148" i="2"/>
  <c r="AR132" i="2"/>
  <c r="AD116" i="2"/>
  <c r="AO116" i="2"/>
  <c r="AB148" i="2"/>
  <c r="T208" i="2"/>
  <c r="AP147" i="2"/>
  <c r="AZ168" i="2"/>
  <c r="T217" i="2"/>
  <c r="F208" i="2"/>
  <c r="AO147" i="2"/>
  <c r="AJ147" i="2"/>
  <c r="AE147" i="2"/>
  <c r="Z147" i="2"/>
  <c r="L216" i="2"/>
  <c r="C147" i="2"/>
  <c r="Y199" i="2"/>
  <c r="N78" i="2"/>
  <c r="N132" i="2"/>
  <c r="N133" i="2"/>
  <c r="P217" i="2"/>
  <c r="P148" i="2"/>
  <c r="W147" i="2"/>
  <c r="AE217" i="2"/>
  <c r="BB151" i="1"/>
  <c r="AW151" i="1"/>
  <c r="BB186" i="1"/>
  <c r="BL186" i="1"/>
  <c r="K221" i="2"/>
  <c r="AT221" i="2"/>
  <c r="M78" i="2"/>
  <c r="O116" i="2"/>
  <c r="T116" i="2"/>
  <c r="R124" i="2"/>
  <c r="T124" i="2"/>
  <c r="Z116" i="2"/>
  <c r="AJ116" i="2"/>
  <c r="AQ148" i="2"/>
  <c r="AL168" i="2"/>
  <c r="AL189" i="2" s="1"/>
  <c r="AV168" i="2"/>
  <c r="AV189" i="2" s="1"/>
  <c r="K217" i="2"/>
  <c r="U208" i="2"/>
  <c r="S133" i="2"/>
  <c r="S169" i="2" s="1"/>
  <c r="R147" i="2"/>
  <c r="G100" i="2"/>
  <c r="U116" i="2"/>
  <c r="Y116" i="2"/>
  <c r="AK124" i="2"/>
  <c r="AL148" i="2"/>
  <c r="O147" i="2"/>
  <c r="K148" i="2"/>
  <c r="P208" i="2"/>
  <c r="R148" i="2"/>
  <c r="AO169" i="2"/>
  <c r="BV186" i="1"/>
  <c r="J147" i="2"/>
  <c r="AB217" i="2"/>
  <c r="AO217" i="2"/>
  <c r="AB169" i="2"/>
  <c r="CC116" i="2"/>
  <c r="AG147" i="2"/>
  <c r="BY153" i="2"/>
  <c r="CD207" i="2"/>
  <c r="BY207" i="2"/>
  <c r="BY216" i="2"/>
  <c r="CA132" i="2"/>
  <c r="CB207" i="2"/>
  <c r="CB168" i="2"/>
  <c r="CB216" i="2"/>
  <c r="CC216" i="2"/>
  <c r="BZ100" i="2"/>
  <c r="BW100" i="2"/>
  <c r="CB100" i="2"/>
  <c r="BY124" i="2"/>
  <c r="BY117" i="2"/>
  <c r="BZ117" i="2"/>
  <c r="BY101" i="2"/>
  <c r="CD101" i="2"/>
  <c r="CE56" i="13"/>
  <c r="CE62" i="13" s="1"/>
  <c r="CE63" i="13" s="1"/>
  <c r="F32" i="47"/>
  <c r="I32" i="47"/>
  <c r="BZ216" i="2"/>
  <c r="CD117" i="2"/>
  <c r="BY168" i="2"/>
  <c r="W78" i="2"/>
  <c r="AE148" i="2"/>
  <c r="AO148" i="2"/>
  <c r="M216" i="2"/>
  <c r="AF221" i="2"/>
  <c r="AK221" i="2"/>
  <c r="CE54" i="13"/>
  <c r="BD208" i="2"/>
  <c r="AY169" i="2"/>
  <c r="BD199" i="2" s="1"/>
  <c r="AK217" i="2"/>
  <c r="AJ169" i="2"/>
  <c r="AE208" i="2"/>
  <c r="AE169" i="2"/>
  <c r="Z208" i="2"/>
  <c r="AA217" i="2"/>
  <c r="AQ168" i="2"/>
  <c r="AQ189" i="2" s="1"/>
  <c r="AQ147" i="2"/>
  <c r="AN216" i="2"/>
  <c r="AL147" i="2"/>
  <c r="AB207" i="2"/>
  <c r="AB168" i="2"/>
  <c r="I168" i="2"/>
  <c r="I189" i="2" s="1"/>
  <c r="I147" i="2"/>
  <c r="F207" i="2"/>
  <c r="E147" i="2"/>
  <c r="M147" i="2"/>
  <c r="BD217" i="2"/>
  <c r="BC169" i="2"/>
  <c r="AW185" i="1"/>
  <c r="AW139" i="2" s="1"/>
  <c r="CA151" i="1"/>
  <c r="AQ217" i="2"/>
  <c r="AG217" i="2"/>
  <c r="W190" i="2"/>
  <c r="I148" i="2"/>
  <c r="Q70" i="2"/>
  <c r="BG151" i="1"/>
  <c r="BV151" i="1"/>
  <c r="BS221" i="2"/>
  <c r="BG186" i="1"/>
  <c r="CN47" i="14"/>
  <c r="AW70" i="2"/>
  <c r="AD78" i="2"/>
  <c r="O199" i="2"/>
  <c r="U70" i="2"/>
  <c r="BK199" i="2"/>
  <c r="E207" i="2"/>
  <c r="M70" i="2"/>
  <c r="W70" i="2"/>
  <c r="X70" i="2"/>
  <c r="BK148" i="2"/>
  <c r="BY221" i="2"/>
  <c r="CA186" i="1"/>
  <c r="BS117" i="2"/>
  <c r="CD168" i="2"/>
  <c r="BR101" i="2"/>
  <c r="BR207" i="2"/>
  <c r="BW116" i="2"/>
  <c r="BU165" i="2"/>
  <c r="CE117" i="2"/>
  <c r="BZ153" i="2"/>
  <c r="BU100" i="2"/>
  <c r="CB208" i="2"/>
  <c r="BW169" i="2"/>
  <c r="CA133" i="2"/>
  <c r="BX217" i="2"/>
  <c r="CD100" i="2"/>
  <c r="BU116" i="2"/>
  <c r="BW221" i="2"/>
  <c r="CD169" i="2"/>
  <c r="CD153" i="2"/>
  <c r="CE217" i="2"/>
  <c r="CE101" i="2"/>
  <c r="CG221" i="2"/>
  <c r="CE116" i="2"/>
  <c r="CD208" i="2"/>
  <c r="CD116" i="2"/>
  <c r="BK101" i="2"/>
  <c r="BH117" i="2"/>
  <c r="BF101" i="2"/>
  <c r="BF165" i="2"/>
  <c r="K147" i="2"/>
  <c r="U147" i="2"/>
  <c r="W148" i="2"/>
  <c r="O217" i="2"/>
  <c r="U168" i="2"/>
  <c r="AP216" i="2"/>
  <c r="BS116" i="2"/>
  <c r="BX208" i="2"/>
  <c r="BS217" i="2"/>
  <c r="CC221" i="2"/>
  <c r="AG208" i="2"/>
  <c r="AG169" i="2"/>
  <c r="AF216" i="2"/>
  <c r="AE168" i="2"/>
  <c r="AE189" i="2" s="1"/>
  <c r="P168" i="2"/>
  <c r="P189" i="2" s="1"/>
  <c r="S132" i="2"/>
  <c r="H168" i="2"/>
  <c r="H189" i="2" s="1"/>
  <c r="H147" i="2"/>
  <c r="I207" i="2"/>
  <c r="AS100" i="2"/>
  <c r="AS147" i="2"/>
  <c r="AN147" i="2"/>
  <c r="AN100" i="2"/>
  <c r="AI100" i="2"/>
  <c r="AI147" i="2"/>
  <c r="BA169" i="2"/>
  <c r="BA199" i="2" s="1"/>
  <c r="BC217" i="2"/>
  <c r="BA148" i="2"/>
  <c r="M221" i="2"/>
  <c r="L221" i="2"/>
  <c r="R221" i="2"/>
  <c r="AP221" i="2"/>
  <c r="BU189" i="2"/>
  <c r="K168" i="2"/>
  <c r="AJ168" i="2"/>
  <c r="AJ189" i="2" s="1"/>
  <c r="AO168" i="2"/>
  <c r="E148" i="2"/>
  <c r="M217" i="2"/>
  <c r="R208" i="2"/>
  <c r="R169" i="2"/>
  <c r="R199" i="2" s="1"/>
  <c r="F100" i="2"/>
  <c r="F147" i="2"/>
  <c r="BX147" i="2"/>
  <c r="CC100" i="2"/>
  <c r="BY165" i="2"/>
  <c r="CA156" i="2"/>
  <c r="CA161" i="2" s="1"/>
  <c r="BK83" i="2"/>
  <c r="BK96" i="2" s="1"/>
  <c r="M189" i="2"/>
  <c r="BM117" i="2"/>
  <c r="BR168" i="2"/>
  <c r="BS216" i="2"/>
  <c r="BX116" i="2"/>
  <c r="AI189" i="2"/>
  <c r="BN217" i="2"/>
  <c r="BW165" i="2"/>
  <c r="BE148" i="2"/>
  <c r="BP147" i="2"/>
  <c r="CF156" i="2"/>
  <c r="CP163" i="2"/>
  <c r="CF157" i="2"/>
  <c r="T199" i="2"/>
  <c r="BI147" i="2"/>
  <c r="BJ165" i="2"/>
  <c r="G32" i="47"/>
  <c r="AW78" i="2"/>
  <c r="AZ165" i="2"/>
  <c r="BY148" i="2"/>
  <c r="F7" i="47"/>
  <c r="K52" i="47"/>
  <c r="H12" i="47"/>
  <c r="I12" i="47" s="1"/>
  <c r="J12" i="47" s="1"/>
  <c r="K12" i="47" s="1"/>
  <c r="G13" i="47"/>
  <c r="H13" i="47" s="1"/>
  <c r="I13" i="47" s="1"/>
  <c r="J13" i="47" s="1"/>
  <c r="K13" i="47" s="1"/>
  <c r="L13" i="47" s="1"/>
  <c r="M13" i="47" s="1"/>
  <c r="N13" i="47" s="1"/>
  <c r="O13" i="47" s="1"/>
  <c r="P13" i="47" s="1"/>
  <c r="Q13" i="47" s="1"/>
  <c r="R13" i="47" s="1"/>
  <c r="S13" i="47" s="1"/>
  <c r="H45" i="47"/>
  <c r="BQ151" i="1"/>
  <c r="M2" i="47"/>
  <c r="M20" i="47" s="1"/>
  <c r="K44" i="47"/>
  <c r="L45" i="47" s="1"/>
  <c r="L20" i="47"/>
  <c r="CE169" i="2"/>
  <c r="CB148" i="2"/>
  <c r="CD147" i="2"/>
  <c r="AT70" i="2"/>
  <c r="AD70" i="2"/>
  <c r="F70" i="2"/>
  <c r="CK46" i="14"/>
  <c r="CK24" i="12"/>
  <c r="BZ198" i="2"/>
  <c r="BJ190" i="2"/>
  <c r="BT148" i="2"/>
  <c r="CH45" i="14"/>
  <c r="CH47" i="14" s="1"/>
  <c r="BF216" i="2"/>
  <c r="BE216" i="2"/>
  <c r="BC221" i="2"/>
  <c r="CP30" i="14"/>
  <c r="CG47" i="14"/>
  <c r="BK198" i="2"/>
  <c r="AZ208" i="2"/>
  <c r="AZ148" i="2"/>
  <c r="AV217" i="2"/>
  <c r="AU169" i="2"/>
  <c r="AP148" i="2"/>
  <c r="AP217" i="2"/>
  <c r="AP208" i="2"/>
  <c r="AK208" i="2"/>
  <c r="AK169" i="2"/>
  <c r="Y168" i="2"/>
  <c r="Y216" i="2"/>
  <c r="Y207" i="2"/>
  <c r="AC132" i="2"/>
  <c r="T168" i="2"/>
  <c r="X132" i="2"/>
  <c r="U216" i="2"/>
  <c r="T147" i="2"/>
  <c r="O216" i="2"/>
  <c r="O168" i="2"/>
  <c r="P216" i="2"/>
  <c r="O207" i="2"/>
  <c r="Y101" i="2"/>
  <c r="T101" i="2"/>
  <c r="T148" i="2"/>
  <c r="O101" i="2"/>
  <c r="O117" i="2"/>
  <c r="O148" i="2"/>
  <c r="K117" i="2"/>
  <c r="J148" i="2"/>
  <c r="F101" i="2"/>
  <c r="BD100" i="2"/>
  <c r="AZ116" i="2"/>
  <c r="AU116" i="2"/>
  <c r="AT147" i="2"/>
  <c r="BD216" i="2"/>
  <c r="BC216" i="2"/>
  <c r="BC207" i="2"/>
  <c r="BG132" i="2"/>
  <c r="BH207" i="2"/>
  <c r="BI208" i="2"/>
  <c r="BI217" i="2"/>
  <c r="BI148" i="2"/>
  <c r="AX148" i="2"/>
  <c r="AY217" i="2"/>
  <c r="BC208" i="2"/>
  <c r="AX169" i="2"/>
  <c r="AX217" i="2"/>
  <c r="AS169" i="2"/>
  <c r="AS208" i="2"/>
  <c r="AW133" i="2"/>
  <c r="AN208" i="2"/>
  <c r="AR133" i="2"/>
  <c r="AR169" i="2" s="1"/>
  <c r="AN169" i="2"/>
  <c r="AN190" i="2" s="1"/>
  <c r="AI169" i="2"/>
  <c r="AI190" i="2" s="1"/>
  <c r="AI217" i="2"/>
  <c r="AJ217" i="2"/>
  <c r="AA168" i="2"/>
  <c r="AA147" i="2"/>
  <c r="AA207" i="2"/>
  <c r="AF207" i="2"/>
  <c r="W216" i="2"/>
  <c r="V207" i="2"/>
  <c r="Q207" i="2"/>
  <c r="Q147" i="2"/>
  <c r="Q216" i="2"/>
  <c r="R216" i="2"/>
  <c r="Q168" i="2"/>
  <c r="AY101" i="2"/>
  <c r="AY148" i="2"/>
  <c r="AP101" i="2"/>
  <c r="AK101" i="2"/>
  <c r="AF148" i="2"/>
  <c r="Q101" i="2"/>
  <c r="M117" i="2"/>
  <c r="L148" i="2"/>
  <c r="L117" i="2"/>
  <c r="H101" i="2"/>
  <c r="D101" i="2"/>
  <c r="AV116" i="2"/>
  <c r="BA100" i="2"/>
  <c r="AV100" i="2"/>
  <c r="AV147" i="2"/>
  <c r="AX116" i="2"/>
  <c r="AO78" i="2"/>
  <c r="AR78" i="2"/>
  <c r="AJ78" i="2"/>
  <c r="AH78" i="2"/>
  <c r="BC116" i="2"/>
  <c r="BD116" i="2"/>
  <c r="BH100" i="2"/>
  <c r="BM100" i="2"/>
  <c r="BH116" i="2"/>
  <c r="AC78" i="2"/>
  <c r="BK147" i="2"/>
  <c r="BK216" i="2"/>
  <c r="BM216" i="2"/>
  <c r="BM221" i="2"/>
  <c r="BK221" i="2"/>
  <c r="BJ217" i="2"/>
  <c r="O190" i="2"/>
  <c r="T190" i="2"/>
  <c r="BK117" i="2"/>
  <c r="BJ117" i="2"/>
  <c r="BD147" i="2"/>
  <c r="BF221" i="2"/>
  <c r="BH221" i="2"/>
  <c r="BI221" i="2"/>
  <c r="H148" i="2"/>
  <c r="AU101" i="2"/>
  <c r="E101" i="2"/>
  <c r="BO221" i="2"/>
  <c r="BN221" i="2"/>
  <c r="BR221" i="2"/>
  <c r="BP221" i="2"/>
  <c r="CC148" i="2"/>
  <c r="CC101" i="2"/>
  <c r="BS208" i="2"/>
  <c r="BS169" i="2"/>
  <c r="BJ216" i="2"/>
  <c r="BJ147" i="2"/>
  <c r="BQ186" i="1"/>
  <c r="BW208" i="2"/>
  <c r="BR169" i="2"/>
  <c r="BT147" i="2"/>
  <c r="BW101" i="2"/>
  <c r="BX117" i="2"/>
  <c r="CB101" i="2"/>
  <c r="BW207" i="2"/>
  <c r="BW168" i="2"/>
  <c r="BR148" i="2"/>
  <c r="CF151" i="1"/>
  <c r="CF186" i="1"/>
  <c r="E32" i="47"/>
  <c r="AJ208" i="2"/>
  <c r="D207" i="2"/>
  <c r="V216" i="2"/>
  <c r="F78" i="2"/>
  <c r="CD148" i="2"/>
  <c r="BO148" i="2"/>
  <c r="I101" i="2"/>
  <c r="L147" i="2"/>
  <c r="BH147" i="2"/>
  <c r="BR147" i="2"/>
  <c r="BY147" i="2"/>
  <c r="AA78" i="2"/>
  <c r="AD100" i="2"/>
  <c r="BO147" i="2"/>
  <c r="CP32" i="13"/>
  <c r="AM70" i="2"/>
  <c r="AU70" i="2"/>
  <c r="AG78" i="2"/>
  <c r="I78" i="2"/>
  <c r="BF189" i="2"/>
  <c r="BF198" i="2"/>
  <c r="BN190" i="2"/>
  <c r="BN199" i="2"/>
  <c r="BF190" i="2"/>
  <c r="I190" i="2"/>
  <c r="V190" i="2"/>
  <c r="AH161" i="2"/>
  <c r="AH165" i="2" s="1"/>
  <c r="AR161" i="2"/>
  <c r="AR165" i="2" s="1"/>
  <c r="X161" i="2"/>
  <c r="X165" i="2" s="1"/>
  <c r="P199" i="2"/>
  <c r="P190" i="2"/>
  <c r="BC189" i="2"/>
  <c r="BK190" i="2"/>
  <c r="BI190" i="2"/>
  <c r="CC189" i="2"/>
  <c r="CI221" i="2"/>
  <c r="CJ221" i="2"/>
  <c r="CI100" i="2"/>
  <c r="AV70" i="2"/>
  <c r="AF70" i="2"/>
  <c r="D70" i="2"/>
  <c r="AP78" i="2"/>
  <c r="AI78" i="2"/>
  <c r="G78" i="2"/>
  <c r="C78" i="2"/>
  <c r="CK30" i="14"/>
  <c r="AY207" i="2"/>
  <c r="BD207" i="2"/>
  <c r="AZ216" i="2"/>
  <c r="AY168" i="2"/>
  <c r="AM132" i="2"/>
  <c r="AK147" i="2"/>
  <c r="AP207" i="2"/>
  <c r="AK216" i="2"/>
  <c r="AK168" i="2"/>
  <c r="AL216" i="2"/>
  <c r="AV101" i="2"/>
  <c r="AV148" i="2"/>
  <c r="AS148" i="2"/>
  <c r="AS101" i="2"/>
  <c r="AN101" i="2"/>
  <c r="AN148" i="2"/>
  <c r="AI148" i="2"/>
  <c r="BU148" i="2"/>
  <c r="BW217" i="2"/>
  <c r="BU169" i="2"/>
  <c r="BZ208" i="2"/>
  <c r="BU208" i="2"/>
  <c r="Q169" i="2"/>
  <c r="Q217" i="2"/>
  <c r="V208" i="2"/>
  <c r="Q148" i="2"/>
  <c r="L217" i="2"/>
  <c r="L169" i="2"/>
  <c r="U169" i="2"/>
  <c r="V217" i="2"/>
  <c r="U217" i="2"/>
  <c r="X133" i="2"/>
  <c r="AQ207" i="2"/>
  <c r="AV207" i="2"/>
  <c r="AQ216" i="2"/>
  <c r="AS216" i="2"/>
  <c r="AD168" i="2"/>
  <c r="AD216" i="2"/>
  <c r="AH132" i="2"/>
  <c r="Z168" i="2"/>
  <c r="AE207" i="2"/>
  <c r="AA216" i="2"/>
  <c r="R207" i="2"/>
  <c r="W207" i="2"/>
  <c r="R168" i="2"/>
  <c r="T216" i="2"/>
  <c r="J168" i="2"/>
  <c r="K216" i="2"/>
  <c r="G168" i="2"/>
  <c r="H207" i="2"/>
  <c r="AA101" i="2"/>
  <c r="AA148" i="2"/>
  <c r="AF101" i="2"/>
  <c r="V101" i="2"/>
  <c r="V148" i="2"/>
  <c r="BC100" i="2"/>
  <c r="AX100" i="2"/>
  <c r="AA100" i="2"/>
  <c r="V100" i="2"/>
  <c r="D147" i="2"/>
  <c r="BA217" i="2"/>
  <c r="AZ217" i="2"/>
  <c r="BB133" i="2"/>
  <c r="AZ169" i="2"/>
  <c r="AU148" i="2"/>
  <c r="AS217" i="2"/>
  <c r="AQ169" i="2"/>
  <c r="AV208" i="2"/>
  <c r="AQ208" i="2"/>
  <c r="AN217" i="2"/>
  <c r="AL217" i="2"/>
  <c r="AL169" i="2"/>
  <c r="AM133" i="2"/>
  <c r="AD208" i="2"/>
  <c r="AD169" i="2"/>
  <c r="AH133" i="2"/>
  <c r="AD148" i="2"/>
  <c r="AD217" i="2"/>
  <c r="Y208" i="2"/>
  <c r="Y148" i="2"/>
  <c r="Y217" i="2"/>
  <c r="Z217" i="2"/>
  <c r="AU207" i="2"/>
  <c r="AU216" i="2"/>
  <c r="AW132" i="2"/>
  <c r="AZ207" i="2"/>
  <c r="AU168" i="2"/>
  <c r="AU147" i="2"/>
  <c r="AG168" i="2"/>
  <c r="AG207" i="2"/>
  <c r="AI216" i="2"/>
  <c r="AU208" i="2"/>
  <c r="Z207" i="2"/>
  <c r="AI101" i="2"/>
  <c r="BR100" i="2"/>
  <c r="BM116" i="2"/>
  <c r="BN116" i="2"/>
  <c r="BM147" i="2"/>
  <c r="AV190" i="2"/>
  <c r="O208" i="2"/>
  <c r="L189" i="2"/>
  <c r="V70" i="2"/>
  <c r="BE147" i="2"/>
  <c r="AO207" i="2"/>
  <c r="AL207" i="2"/>
  <c r="AX101" i="2"/>
  <c r="AO101" i="2"/>
  <c r="BE221" i="2"/>
  <c r="BD221" i="2"/>
  <c r="BM217" i="2"/>
  <c r="BS101" i="2"/>
  <c r="BN148" i="2"/>
  <c r="BN117" i="2"/>
  <c r="BN147" i="2"/>
  <c r="BN216" i="2"/>
  <c r="BX221" i="2"/>
  <c r="CB221" i="2"/>
  <c r="BZ221" i="2"/>
  <c r="CK36" i="13"/>
  <c r="CL36" i="13" s="1"/>
  <c r="CP36" i="13" s="1"/>
  <c r="BS168" i="2"/>
  <c r="BW147" i="2"/>
  <c r="BX148" i="2"/>
  <c r="BX190" i="2"/>
  <c r="BX101" i="2"/>
  <c r="CB147" i="2"/>
  <c r="BS147" i="2"/>
  <c r="BX100" i="2"/>
  <c r="BS100" i="2"/>
  <c r="BU221" i="2"/>
  <c r="BT221" i="2"/>
  <c r="CE221" i="2"/>
  <c r="CD221" i="2"/>
  <c r="CF133" i="2"/>
  <c r="BW148" i="2"/>
  <c r="BP148" i="2"/>
  <c r="BS148" i="2"/>
  <c r="BU147" i="2"/>
  <c r="CF132" i="2"/>
  <c r="AJ70" i="2"/>
  <c r="AB70" i="2"/>
  <c r="T70" i="2"/>
  <c r="P70" i="2"/>
  <c r="AV78" i="2"/>
  <c r="AF78" i="2"/>
  <c r="AB78" i="2"/>
  <c r="P78" i="2"/>
  <c r="L78" i="2"/>
  <c r="H78" i="2"/>
  <c r="D78" i="2"/>
  <c r="AJ101" i="2"/>
  <c r="AE78" i="2"/>
  <c r="AL70" i="2"/>
  <c r="R70" i="2"/>
  <c r="J70" i="2"/>
  <c r="CJ100" i="2"/>
  <c r="CJ116" i="2"/>
  <c r="S78" i="2"/>
  <c r="CI101" i="2"/>
  <c r="CH116" i="2"/>
  <c r="CH100" i="2"/>
  <c r="CI116" i="2"/>
  <c r="CH198" i="2"/>
  <c r="CG147" i="2"/>
  <c r="CG207" i="2"/>
  <c r="CG216" i="2"/>
  <c r="BV235" i="2" l="1"/>
  <c r="BV242" i="2" s="1"/>
  <c r="BL235" i="2"/>
  <c r="BL242" i="2" s="1"/>
  <c r="BQ235" i="2"/>
  <c r="BQ242" i="2" s="1"/>
  <c r="BG235" i="2"/>
  <c r="BG242" i="2" s="1"/>
  <c r="CA235" i="2"/>
  <c r="CA242" i="2" s="1"/>
  <c r="BB235" i="2"/>
  <c r="BB242" i="2" s="1"/>
  <c r="H100" i="47"/>
  <c r="L22" i="47"/>
  <c r="L108" i="47" s="1"/>
  <c r="L75" i="47"/>
  <c r="L12" i="47"/>
  <c r="M12" i="47" s="1"/>
  <c r="N12" i="47" s="1"/>
  <c r="O12" i="47" s="1"/>
  <c r="P12" i="47" s="1"/>
  <c r="Q12" i="47" s="1"/>
  <c r="K75" i="47"/>
  <c r="CZ40" i="13"/>
  <c r="CZ29" i="13"/>
  <c r="CU36" i="13"/>
  <c r="CT212" i="2"/>
  <c r="CQ221" i="2"/>
  <c r="CL51" i="14"/>
  <c r="CH51" i="14"/>
  <c r="CO51" i="14"/>
  <c r="CN51" i="14"/>
  <c r="CG51" i="14"/>
  <c r="CN212" i="2"/>
  <c r="CO212" i="2"/>
  <c r="CP20" i="14"/>
  <c r="BB165" i="2"/>
  <c r="CF235" i="2"/>
  <c r="CF242" i="2" s="1"/>
  <c r="CK84" i="2"/>
  <c r="CP165" i="2"/>
  <c r="CM212" i="2"/>
  <c r="AW137" i="2"/>
  <c r="AW152" i="2" s="1"/>
  <c r="CD125" i="2"/>
  <c r="BV175" i="2"/>
  <c r="CA212" i="2"/>
  <c r="I100" i="47"/>
  <c r="G24" i="47"/>
  <c r="G6" i="47" s="1"/>
  <c r="G106" i="47"/>
  <c r="K22" i="47"/>
  <c r="K108" i="47" s="1"/>
  <c r="CK27" i="12"/>
  <c r="BQ165" i="2"/>
  <c r="CJ195" i="2"/>
  <c r="BQ234" i="2"/>
  <c r="BQ241" i="2" s="1"/>
  <c r="F100" i="47"/>
  <c r="BL234" i="2"/>
  <c r="BL241" i="2" s="1"/>
  <c r="E100" i="47"/>
  <c r="BV234" i="2"/>
  <c r="BV241" i="2" s="1"/>
  <c r="G100" i="47"/>
  <c r="I16" i="47"/>
  <c r="CK59" i="14"/>
  <c r="BG241" i="2"/>
  <c r="BB241" i="2"/>
  <c r="BY125" i="2"/>
  <c r="CA234" i="2"/>
  <c r="AC137" i="2"/>
  <c r="AC152" i="2" s="1"/>
  <c r="CO221" i="2"/>
  <c r="BL209" i="2"/>
  <c r="BV209" i="2"/>
  <c r="BB139" i="1"/>
  <c r="AX212" i="2"/>
  <c r="AS175" i="2"/>
  <c r="AS212" i="2"/>
  <c r="AU212" i="2"/>
  <c r="AZ212" i="2"/>
  <c r="AU175" i="2"/>
  <c r="CA209" i="2"/>
  <c r="AH175" i="2"/>
  <c r="AH212" i="2"/>
  <c r="X175" i="2"/>
  <c r="X212" i="2"/>
  <c r="CL221" i="2"/>
  <c r="CL212" i="2"/>
  <c r="AW175" i="2"/>
  <c r="AW212" i="2"/>
  <c r="CF209" i="2"/>
  <c r="CK209" i="2"/>
  <c r="AR175" i="2"/>
  <c r="AR212" i="2"/>
  <c r="BB212" i="2"/>
  <c r="BQ209" i="2"/>
  <c r="BL175" i="2"/>
  <c r="BL212" i="2"/>
  <c r="CF212" i="2"/>
  <c r="CK212" i="2"/>
  <c r="S175" i="2"/>
  <c r="S212" i="2"/>
  <c r="AC175" i="2"/>
  <c r="AC212" i="2"/>
  <c r="BG209" i="2"/>
  <c r="BQ175" i="2"/>
  <c r="BQ212" i="2"/>
  <c r="BG175" i="2"/>
  <c r="BG212" i="2"/>
  <c r="N175" i="2"/>
  <c r="N212" i="2"/>
  <c r="AM175" i="2"/>
  <c r="AM212" i="2"/>
  <c r="BV212" i="2"/>
  <c r="V194" i="2"/>
  <c r="V203" i="2"/>
  <c r="AF194" i="2"/>
  <c r="AF203" i="2"/>
  <c r="AP194" i="2"/>
  <c r="AP203" i="2"/>
  <c r="Z194" i="2"/>
  <c r="Z203" i="2"/>
  <c r="T194" i="2"/>
  <c r="T203" i="2"/>
  <c r="AD194" i="2"/>
  <c r="AD203" i="2"/>
  <c r="AN194" i="2"/>
  <c r="AN203" i="2"/>
  <c r="AX194" i="2"/>
  <c r="AX203" i="2"/>
  <c r="AJ194" i="2"/>
  <c r="AJ203" i="2"/>
  <c r="BK194" i="2"/>
  <c r="BK203" i="2"/>
  <c r="W194" i="2"/>
  <c r="W203" i="2"/>
  <c r="AG194" i="2"/>
  <c r="AG203" i="2"/>
  <c r="AQ194" i="2"/>
  <c r="AQ203" i="2"/>
  <c r="AO194" i="2"/>
  <c r="AO203" i="2"/>
  <c r="AA194" i="2"/>
  <c r="AA203" i="2"/>
  <c r="AK194" i="2"/>
  <c r="AK203" i="2"/>
  <c r="AU194" i="2"/>
  <c r="AU203" i="2"/>
  <c r="AT194" i="2"/>
  <c r="AT203" i="2"/>
  <c r="Y194" i="2"/>
  <c r="Y203" i="2"/>
  <c r="AI194" i="2"/>
  <c r="AI203" i="2"/>
  <c r="AS194" i="2"/>
  <c r="AS203" i="2"/>
  <c r="U194" i="2"/>
  <c r="U203" i="2"/>
  <c r="AY194" i="2"/>
  <c r="AY203" i="2"/>
  <c r="BF194" i="2"/>
  <c r="BF203" i="2"/>
  <c r="AZ203" i="2"/>
  <c r="BA194" i="2"/>
  <c r="BA203" i="2"/>
  <c r="AB194" i="2"/>
  <c r="AB203" i="2"/>
  <c r="AL194" i="2"/>
  <c r="AL203" i="2"/>
  <c r="AV194" i="2"/>
  <c r="AV203" i="2"/>
  <c r="AE194" i="2"/>
  <c r="AE203" i="2"/>
  <c r="BZ194" i="2"/>
  <c r="BV165" i="2"/>
  <c r="BB175" i="2"/>
  <c r="BG137" i="2"/>
  <c r="BG144" i="2" s="1"/>
  <c r="AH153" i="2"/>
  <c r="AM153" i="2"/>
  <c r="CN221" i="2"/>
  <c r="BZ182" i="2"/>
  <c r="AR153" i="2"/>
  <c r="CP139" i="2"/>
  <c r="CU212" i="2" s="1"/>
  <c r="CM221" i="2"/>
  <c r="N153" i="2"/>
  <c r="S153" i="2"/>
  <c r="X153" i="2"/>
  <c r="AC153" i="2"/>
  <c r="BS190" i="2"/>
  <c r="CF161" i="2"/>
  <c r="CF165" i="2" s="1"/>
  <c r="CF24" i="12" s="1"/>
  <c r="BY173" i="2"/>
  <c r="BY178" i="2" s="1"/>
  <c r="BY43" i="12" s="1"/>
  <c r="BL170" i="2"/>
  <c r="BL149" i="2"/>
  <c r="BH190" i="2"/>
  <c r="BM173" i="2"/>
  <c r="BM178" i="2" s="1"/>
  <c r="BM43" i="12" s="1"/>
  <c r="BP190" i="2"/>
  <c r="BF184" i="2"/>
  <c r="BF183" i="2"/>
  <c r="BZ183" i="2"/>
  <c r="BZ184" i="2"/>
  <c r="BK184" i="2"/>
  <c r="BK183" i="2"/>
  <c r="BS173" i="2"/>
  <c r="BS178" i="2" s="1"/>
  <c r="BS43" i="12" s="1"/>
  <c r="CB199" i="2"/>
  <c r="BV170" i="2"/>
  <c r="BV149" i="2"/>
  <c r="CA170" i="2"/>
  <c r="CA149" i="2"/>
  <c r="BB170" i="2"/>
  <c r="BB149" i="2"/>
  <c r="BY199" i="2"/>
  <c r="BO190" i="2"/>
  <c r="BF181" i="2"/>
  <c r="BU173" i="2"/>
  <c r="BU178" i="2" s="1"/>
  <c r="BU43" i="12" s="1"/>
  <c r="BW173" i="2"/>
  <c r="BW178" i="2" s="1"/>
  <c r="BW43" i="12" s="1"/>
  <c r="S137" i="2"/>
  <c r="BC190" i="2"/>
  <c r="CF170" i="2"/>
  <c r="CF149" i="2"/>
  <c r="BE190" i="2"/>
  <c r="BK182" i="2"/>
  <c r="BF182" i="2"/>
  <c r="CD190" i="2"/>
  <c r="CH199" i="2"/>
  <c r="BQ170" i="2"/>
  <c r="BQ149" i="2"/>
  <c r="BG170" i="2"/>
  <c r="BG149" i="2"/>
  <c r="BZ181" i="2"/>
  <c r="BK181" i="2"/>
  <c r="AH137" i="2"/>
  <c r="AM137" i="2"/>
  <c r="BN189" i="2"/>
  <c r="BN173" i="2"/>
  <c r="BN178" i="2" s="1"/>
  <c r="BN43" i="12" s="1"/>
  <c r="BP189" i="2"/>
  <c r="BP173" i="2"/>
  <c r="BP178" i="2" s="1"/>
  <c r="BP43" i="12" s="1"/>
  <c r="BI189" i="2"/>
  <c r="BI173" i="2"/>
  <c r="BI178" i="2" s="1"/>
  <c r="BJ189" i="2"/>
  <c r="BJ173" i="2"/>
  <c r="CF175" i="2"/>
  <c r="CA175" i="2"/>
  <c r="CE198" i="2"/>
  <c r="CE173" i="2"/>
  <c r="CE178" i="2" s="1"/>
  <c r="CE43" i="12" s="1"/>
  <c r="CC173" i="2"/>
  <c r="CC178" i="2" s="1"/>
  <c r="CC43" i="12" s="1"/>
  <c r="BE189" i="2"/>
  <c r="BE173" i="2"/>
  <c r="BT189" i="2"/>
  <c r="BT173" i="2"/>
  <c r="BT178" i="2" s="1"/>
  <c r="BT43" i="12" s="1"/>
  <c r="BR198" i="2"/>
  <c r="BR173" i="2"/>
  <c r="CD173" i="2"/>
  <c r="CD178" i="2" s="1"/>
  <c r="CD43" i="12" s="1"/>
  <c r="CG198" i="2"/>
  <c r="CB173" i="2"/>
  <c r="CB178" i="2" s="1"/>
  <c r="CB43" i="12" s="1"/>
  <c r="BH198" i="2"/>
  <c r="BH173" i="2"/>
  <c r="BH178" i="2" s="1"/>
  <c r="BO189" i="2"/>
  <c r="BO173" i="2"/>
  <c r="BO178" i="2" s="1"/>
  <c r="BO43" i="12" s="1"/>
  <c r="BC173" i="2"/>
  <c r="BC178" i="2" s="1"/>
  <c r="CC198" i="2"/>
  <c r="BX173" i="2"/>
  <c r="BX178" i="2" s="1"/>
  <c r="BX43" i="12" s="1"/>
  <c r="BD189" i="2"/>
  <c r="BD173" i="2"/>
  <c r="CJ198" i="2"/>
  <c r="CE189" i="2"/>
  <c r="BL161" i="2"/>
  <c r="BL165" i="2" s="1"/>
  <c r="S105" i="2"/>
  <c r="N137" i="2"/>
  <c r="AR168" i="2"/>
  <c r="AR189" i="2" s="1"/>
  <c r="AR137" i="2"/>
  <c r="X137" i="2"/>
  <c r="AW144" i="2"/>
  <c r="AW153" i="2" s="1"/>
  <c r="AW201" i="1"/>
  <c r="AM105" i="2"/>
  <c r="BY126" i="2"/>
  <c r="BW126" i="2"/>
  <c r="BZ126" i="2"/>
  <c r="BX126" i="2"/>
  <c r="CF110" i="2"/>
  <c r="CC126" i="2"/>
  <c r="CE126" i="2"/>
  <c r="CB126" i="2"/>
  <c r="CD126" i="2"/>
  <c r="BQ168" i="2"/>
  <c r="BQ137" i="2"/>
  <c r="BQ144" i="2" s="1"/>
  <c r="CF137" i="2"/>
  <c r="CF144" i="2" s="1"/>
  <c r="CA137" i="2"/>
  <c r="CA144" i="2" s="1"/>
  <c r="BQ110" i="2"/>
  <c r="BO126" i="2"/>
  <c r="BN126" i="2"/>
  <c r="BP126" i="2"/>
  <c r="BM126" i="2"/>
  <c r="BL110" i="2"/>
  <c r="BI126" i="2"/>
  <c r="BK126" i="2"/>
  <c r="BH126" i="2"/>
  <c r="BJ126" i="2"/>
  <c r="BL137" i="2"/>
  <c r="BL144" i="2" s="1"/>
  <c r="BV168" i="2"/>
  <c r="BV137" i="2"/>
  <c r="BV144" i="2" s="1"/>
  <c r="BB168" i="2"/>
  <c r="BB189" i="2" s="1"/>
  <c r="BB137" i="2"/>
  <c r="BB144" i="2" s="1"/>
  <c r="BR126" i="2"/>
  <c r="BU126" i="2"/>
  <c r="BS126" i="2"/>
  <c r="BT126" i="2"/>
  <c r="BC125" i="2"/>
  <c r="BD125" i="2"/>
  <c r="BF125" i="2"/>
  <c r="BE125" i="2"/>
  <c r="AY125" i="2"/>
  <c r="AX125" i="2"/>
  <c r="AZ125" i="2"/>
  <c r="BA125" i="2"/>
  <c r="BC126" i="2"/>
  <c r="BD126" i="2"/>
  <c r="BF126" i="2"/>
  <c r="BE126" i="2"/>
  <c r="X105" i="2"/>
  <c r="AR105" i="2"/>
  <c r="AC105" i="2"/>
  <c r="AW105" i="2"/>
  <c r="AH105" i="2"/>
  <c r="BG110" i="2"/>
  <c r="BB110" i="2"/>
  <c r="CF108" i="2"/>
  <c r="BV102" i="2"/>
  <c r="BV110" i="2"/>
  <c r="BQ108" i="2"/>
  <c r="BQ109" i="2"/>
  <c r="BQ111" i="2"/>
  <c r="BL108" i="2"/>
  <c r="BL109" i="2"/>
  <c r="BL111" i="2"/>
  <c r="BV109" i="2"/>
  <c r="BV108" i="2"/>
  <c r="BV111" i="2"/>
  <c r="CF111" i="2"/>
  <c r="CA102" i="2"/>
  <c r="CA110" i="2"/>
  <c r="BG62" i="2"/>
  <c r="BG109" i="2"/>
  <c r="BG108" i="2"/>
  <c r="BG111" i="2"/>
  <c r="BB62" i="2"/>
  <c r="BB105" i="2" s="1"/>
  <c r="BB109" i="2"/>
  <c r="BB108" i="2"/>
  <c r="BB111" i="2"/>
  <c r="CF109" i="2"/>
  <c r="CA108" i="2"/>
  <c r="CA109" i="2"/>
  <c r="CA111" i="2"/>
  <c r="BG84" i="2"/>
  <c r="BG102" i="2"/>
  <c r="CF102" i="2"/>
  <c r="CK102" i="2"/>
  <c r="CA62" i="2"/>
  <c r="CA6" i="12" s="1"/>
  <c r="CF59" i="12" s="1"/>
  <c r="BQ84" i="2"/>
  <c r="BQ102" i="2"/>
  <c r="BL84" i="2"/>
  <c r="BL102" i="2"/>
  <c r="BV84" i="2"/>
  <c r="BQ62" i="2"/>
  <c r="BQ6" i="12" s="1"/>
  <c r="BL62" i="2"/>
  <c r="BL6" i="12" s="1"/>
  <c r="BP125" i="2"/>
  <c r="BV62" i="2"/>
  <c r="BV6" i="12" s="1"/>
  <c r="BR125" i="2"/>
  <c r="CA84" i="2"/>
  <c r="CF84" i="2"/>
  <c r="CF62" i="2"/>
  <c r="CL116" i="2"/>
  <c r="CM62" i="2"/>
  <c r="CR87" i="2" s="1"/>
  <c r="CN100" i="2"/>
  <c r="CN62" i="2"/>
  <c r="I178" i="2"/>
  <c r="BF199" i="2"/>
  <c r="BY198" i="2"/>
  <c r="BM199" i="2"/>
  <c r="BM190" i="2"/>
  <c r="L124" i="2"/>
  <c r="CG105" i="2"/>
  <c r="BR199" i="2"/>
  <c r="BC199" i="2"/>
  <c r="BL168" i="2"/>
  <c r="T222" i="2"/>
  <c r="BP121" i="2"/>
  <c r="BG148" i="2"/>
  <c r="BJ198" i="2"/>
  <c r="BV207" i="2"/>
  <c r="BT198" i="2"/>
  <c r="BA121" i="2"/>
  <c r="W178" i="2"/>
  <c r="W195" i="2" s="1"/>
  <c r="BA190" i="2"/>
  <c r="BM198" i="2"/>
  <c r="BR189" i="2"/>
  <c r="BO198" i="2"/>
  <c r="AJ124" i="2"/>
  <c r="CA165" i="2"/>
  <c r="BG165" i="2"/>
  <c r="BP199" i="2"/>
  <c r="BV83" i="2"/>
  <c r="BV96" i="2" s="1"/>
  <c r="BI198" i="2"/>
  <c r="BY189" i="2"/>
  <c r="BN198" i="2"/>
  <c r="V178" i="2"/>
  <c r="V195" i="2" s="1"/>
  <c r="BO105" i="2"/>
  <c r="BP198" i="2"/>
  <c r="BU198" i="2"/>
  <c r="BJ199" i="2"/>
  <c r="BO153" i="2"/>
  <c r="AT178" i="2"/>
  <c r="AT195" i="2" s="1"/>
  <c r="CP140" i="2"/>
  <c r="BL83" i="2"/>
  <c r="BL96" i="2" s="1"/>
  <c r="BG190" i="2"/>
  <c r="BZ124" i="2"/>
  <c r="BO199" i="2"/>
  <c r="BY190" i="2"/>
  <c r="BH189" i="2"/>
  <c r="BT199" i="2"/>
  <c r="BV190" i="2"/>
  <c r="BG101" i="2"/>
  <c r="BU125" i="2"/>
  <c r="BQ101" i="2"/>
  <c r="BV208" i="2"/>
  <c r="CA83" i="2"/>
  <c r="CA96" i="2" s="1"/>
  <c r="BP124" i="2"/>
  <c r="BV148" i="2"/>
  <c r="CL100" i="2"/>
  <c r="F5" i="47"/>
  <c r="CO116" i="2"/>
  <c r="BS125" i="2"/>
  <c r="BT125" i="2"/>
  <c r="BL199" i="2"/>
  <c r="BO124" i="2"/>
  <c r="BP105" i="2"/>
  <c r="BQ148" i="2"/>
  <c r="BM124" i="2"/>
  <c r="CD199" i="2"/>
  <c r="AA199" i="2"/>
  <c r="BV101" i="2"/>
  <c r="CB189" i="2"/>
  <c r="BQ147" i="2"/>
  <c r="BK105" i="2"/>
  <c r="BN125" i="2"/>
  <c r="BH199" i="2"/>
  <c r="BQ207" i="2"/>
  <c r="BK121" i="2"/>
  <c r="BH125" i="2"/>
  <c r="BK125" i="2"/>
  <c r="BJ125" i="2"/>
  <c r="BL101" i="2"/>
  <c r="BI125" i="2"/>
  <c r="BO125" i="2"/>
  <c r="BM125" i="2"/>
  <c r="BQ83" i="2"/>
  <c r="BQ96" i="2" s="1"/>
  <c r="BB147" i="2"/>
  <c r="CA147" i="2"/>
  <c r="BA124" i="2"/>
  <c r="BB100" i="2"/>
  <c r="AX124" i="2"/>
  <c r="CA207" i="2"/>
  <c r="AY124" i="2"/>
  <c r="AZ124" i="2"/>
  <c r="BQ208" i="2"/>
  <c r="G199" i="2"/>
  <c r="M124" i="2"/>
  <c r="BX189" i="2"/>
  <c r="H32" i="47"/>
  <c r="CA168" i="2"/>
  <c r="H111" i="47" s="1"/>
  <c r="J124" i="2"/>
  <c r="CB125" i="2"/>
  <c r="P124" i="2"/>
  <c r="N100" i="2"/>
  <c r="CA139" i="1"/>
  <c r="BQ139" i="1"/>
  <c r="BL139" i="1"/>
  <c r="BW124" i="2"/>
  <c r="BV139" i="1"/>
  <c r="CF139" i="1"/>
  <c r="BG139" i="1"/>
  <c r="S208" i="2"/>
  <c r="X100" i="2"/>
  <c r="CI198" i="2"/>
  <c r="BL148" i="2"/>
  <c r="V121" i="2"/>
  <c r="AF124" i="2"/>
  <c r="R121" i="2"/>
  <c r="T121" i="2"/>
  <c r="AE124" i="2"/>
  <c r="AD124" i="2"/>
  <c r="CA148" i="2"/>
  <c r="CF83" i="2"/>
  <c r="CF96" i="2" s="1"/>
  <c r="AS198" i="2"/>
  <c r="U121" i="2"/>
  <c r="AM100" i="2"/>
  <c r="BZ125" i="2"/>
  <c r="CD189" i="2"/>
  <c r="CC190" i="2"/>
  <c r="BL208" i="2"/>
  <c r="BW105" i="2"/>
  <c r="AU124" i="2"/>
  <c r="CD198" i="2"/>
  <c r="BL190" i="2"/>
  <c r="D213" i="2"/>
  <c r="AQ121" i="2"/>
  <c r="BB82" i="2"/>
  <c r="BW190" i="2"/>
  <c r="CB105" i="2"/>
  <c r="CC199" i="2"/>
  <c r="AW100" i="2"/>
  <c r="AN189" i="2"/>
  <c r="AV124" i="2"/>
  <c r="S100" i="2"/>
  <c r="G213" i="2"/>
  <c r="K178" i="2"/>
  <c r="K195" i="2" s="1"/>
  <c r="CD124" i="2"/>
  <c r="CE124" i="2"/>
  <c r="CC124" i="2"/>
  <c r="CF82" i="2"/>
  <c r="CF95" i="2" s="1"/>
  <c r="P198" i="2"/>
  <c r="K189" i="2"/>
  <c r="BF121" i="2"/>
  <c r="BJ105" i="2"/>
  <c r="Z124" i="2"/>
  <c r="AH100" i="2"/>
  <c r="Y124" i="2"/>
  <c r="AA124" i="2"/>
  <c r="AC100" i="2"/>
  <c r="AN124" i="2"/>
  <c r="AR100" i="2"/>
  <c r="AR147" i="2"/>
  <c r="AP124" i="2"/>
  <c r="AQ124" i="2"/>
  <c r="AO124" i="2"/>
  <c r="CC121" i="2"/>
  <c r="AB189" i="2"/>
  <c r="AB198" i="2"/>
  <c r="AE199" i="2"/>
  <c r="AE190" i="2"/>
  <c r="AY199" i="2"/>
  <c r="AY190" i="2"/>
  <c r="AV198" i="2"/>
  <c r="BA198" i="2"/>
  <c r="U124" i="2"/>
  <c r="V124" i="2"/>
  <c r="W124" i="2"/>
  <c r="N168" i="2"/>
  <c r="N207" i="2"/>
  <c r="N147" i="2"/>
  <c r="AE121" i="2"/>
  <c r="AZ189" i="2"/>
  <c r="BE198" i="2"/>
  <c r="CF100" i="2"/>
  <c r="CF50" i="12"/>
  <c r="BY105" i="2"/>
  <c r="AF121" i="2"/>
  <c r="AC169" i="2"/>
  <c r="AC190" i="2" s="1"/>
  <c r="AC148" i="2"/>
  <c r="CF51" i="12"/>
  <c r="AX189" i="2"/>
  <c r="AX198" i="2"/>
  <c r="BC198" i="2"/>
  <c r="AI213" i="2"/>
  <c r="K125" i="2"/>
  <c r="J125" i="2"/>
  <c r="N148" i="2"/>
  <c r="L125" i="2"/>
  <c r="CE57" i="13"/>
  <c r="M125" i="2"/>
  <c r="AF190" i="2"/>
  <c r="AF199" i="2"/>
  <c r="BG83" i="2"/>
  <c r="BG96" i="2" s="1"/>
  <c r="W199" i="2"/>
  <c r="R190" i="2"/>
  <c r="S168" i="2"/>
  <c r="S189" i="2" s="1"/>
  <c r="S147" i="2"/>
  <c r="CE78" i="13"/>
  <c r="E213" i="2"/>
  <c r="F213" i="2"/>
  <c r="AJ190" i="2"/>
  <c r="AO199" i="2"/>
  <c r="AJ199" i="2"/>
  <c r="BU105" i="2"/>
  <c r="BW121" i="2"/>
  <c r="AG121" i="2"/>
  <c r="BB101" i="2"/>
  <c r="H190" i="2"/>
  <c r="CA169" i="2"/>
  <c r="H119" i="47" s="1"/>
  <c r="BW153" i="2"/>
  <c r="M121" i="2"/>
  <c r="BG82" i="2"/>
  <c r="BG95" i="2" s="1"/>
  <c r="BW125" i="2"/>
  <c r="BX125" i="2"/>
  <c r="CA101" i="2"/>
  <c r="AI124" i="2"/>
  <c r="AL124" i="2"/>
  <c r="AO190" i="2"/>
  <c r="AT199" i="2"/>
  <c r="Q124" i="2"/>
  <c r="O124" i="2"/>
  <c r="N208" i="2"/>
  <c r="N169" i="2"/>
  <c r="S199" i="2" s="1"/>
  <c r="AB199" i="2"/>
  <c r="AB190" i="2"/>
  <c r="AQ198" i="2"/>
  <c r="X78" i="2"/>
  <c r="BX124" i="2"/>
  <c r="H5" i="47"/>
  <c r="CE199" i="2"/>
  <c r="N70" i="2"/>
  <c r="G5" i="47"/>
  <c r="G77" i="47" s="1"/>
  <c r="BT124" i="2"/>
  <c r="BV100" i="2"/>
  <c r="CA82" i="2"/>
  <c r="CA95" i="2" s="1"/>
  <c r="AJ198" i="2"/>
  <c r="CA208" i="2"/>
  <c r="BS124" i="2"/>
  <c r="BP213" i="2"/>
  <c r="BV82" i="2"/>
  <c r="BV95" i="2" s="1"/>
  <c r="BJ153" i="2"/>
  <c r="CB124" i="2"/>
  <c r="I5" i="47"/>
  <c r="S207" i="2"/>
  <c r="AG190" i="2"/>
  <c r="AG199" i="2"/>
  <c r="BB83" i="2"/>
  <c r="BV147" i="2"/>
  <c r="CD121" i="2"/>
  <c r="CE121" i="2"/>
  <c r="BR124" i="2"/>
  <c r="CA100" i="2"/>
  <c r="BE121" i="2"/>
  <c r="U189" i="2"/>
  <c r="U198" i="2"/>
  <c r="CE125" i="2"/>
  <c r="CC125" i="2"/>
  <c r="CF101" i="2"/>
  <c r="CB153" i="2"/>
  <c r="BU124" i="2"/>
  <c r="AO189" i="2"/>
  <c r="AO198" i="2"/>
  <c r="AT198" i="2"/>
  <c r="AI199" i="2"/>
  <c r="CE190" i="2"/>
  <c r="BL82" i="2"/>
  <c r="BL95" i="2" s="1"/>
  <c r="BA213" i="2"/>
  <c r="N2" i="47"/>
  <c r="M21" i="47"/>
  <c r="M22" i="47" s="1"/>
  <c r="M108" i="47" s="1"/>
  <c r="M19" i="47"/>
  <c r="L52" i="47"/>
  <c r="L53" i="47" s="1"/>
  <c r="AN199" i="2"/>
  <c r="CI207" i="2"/>
  <c r="CD213" i="2"/>
  <c r="BN213" i="2"/>
  <c r="CJ207" i="2"/>
  <c r="BL147" i="2"/>
  <c r="BJ124" i="2"/>
  <c r="BL100" i="2"/>
  <c r="BQ100" i="2"/>
  <c r="BI124" i="2"/>
  <c r="E5" i="47"/>
  <c r="BQ82" i="2"/>
  <c r="BQ95" i="2" s="1"/>
  <c r="BK124" i="2"/>
  <c r="BH124" i="2"/>
  <c r="BH105" i="2"/>
  <c r="BH121" i="2"/>
  <c r="BC124" i="2"/>
  <c r="BG100" i="2"/>
  <c r="BF124" i="2"/>
  <c r="BD124" i="2"/>
  <c r="BE124" i="2"/>
  <c r="AJ129" i="2"/>
  <c r="AP121" i="2"/>
  <c r="Q189" i="2"/>
  <c r="V198" i="2"/>
  <c r="Q198" i="2"/>
  <c r="AW169" i="2"/>
  <c r="AW190" i="2" s="1"/>
  <c r="AW208" i="2"/>
  <c r="AW148" i="2"/>
  <c r="AX190" i="2"/>
  <c r="AX199" i="2"/>
  <c r="BI121" i="2"/>
  <c r="BJ121" i="2"/>
  <c r="BI105" i="2"/>
  <c r="X147" i="2"/>
  <c r="X207" i="2"/>
  <c r="AN222" i="2"/>
  <c r="AO222" i="2"/>
  <c r="AZ121" i="2"/>
  <c r="T198" i="2"/>
  <c r="T189" i="2"/>
  <c r="BW198" i="2"/>
  <c r="BW189" i="2"/>
  <c r="CB198" i="2"/>
  <c r="BS199" i="2"/>
  <c r="BX199" i="2"/>
  <c r="BR153" i="2"/>
  <c r="BC153" i="2"/>
  <c r="Q121" i="2"/>
  <c r="AU121" i="2"/>
  <c r="AT129" i="2"/>
  <c r="AY121" i="2"/>
  <c r="AS190" i="2"/>
  <c r="AS199" i="2"/>
  <c r="AF222" i="2"/>
  <c r="AE213" i="2"/>
  <c r="BD121" i="2"/>
  <c r="AD121" i="2"/>
  <c r="AB121" i="2"/>
  <c r="S101" i="2"/>
  <c r="S148" i="2"/>
  <c r="S190" i="2"/>
  <c r="X101" i="2"/>
  <c r="AS121" i="2"/>
  <c r="O189" i="2"/>
  <c r="O178" i="2"/>
  <c r="O195" i="2" s="1"/>
  <c r="AC168" i="2"/>
  <c r="AC189" i="2" s="1"/>
  <c r="AC207" i="2"/>
  <c r="AC147" i="2"/>
  <c r="Y189" i="2"/>
  <c r="Y198" i="2"/>
  <c r="AH101" i="2"/>
  <c r="AV222" i="2"/>
  <c r="AX222" i="2"/>
  <c r="AJ213" i="2"/>
  <c r="AJ222" i="2"/>
  <c r="AO213" i="2"/>
  <c r="AM101" i="2"/>
  <c r="AK125" i="2"/>
  <c r="AL125" i="2"/>
  <c r="AJ125" i="2"/>
  <c r="AI125" i="2"/>
  <c r="AK199" i="2"/>
  <c r="AP199" i="2"/>
  <c r="AK190" i="2"/>
  <c r="AN213" i="2"/>
  <c r="X168" i="2"/>
  <c r="X189" i="2" s="1"/>
  <c r="BW199" i="2"/>
  <c r="BR190" i="2"/>
  <c r="BR121" i="2"/>
  <c r="BH153" i="2"/>
  <c r="AM78" i="2"/>
  <c r="AA189" i="2"/>
  <c r="AA198" i="2"/>
  <c r="AF198" i="2"/>
  <c r="BG207" i="2"/>
  <c r="BG168" i="2"/>
  <c r="BL207" i="2"/>
  <c r="BG147" i="2"/>
  <c r="AL121" i="2"/>
  <c r="L121" i="2"/>
  <c r="AP222" i="2"/>
  <c r="AU190" i="2"/>
  <c r="AU199" i="2"/>
  <c r="W213" i="2"/>
  <c r="AC101" i="2"/>
  <c r="CK26" i="13"/>
  <c r="CJ101" i="2"/>
  <c r="CO100" i="2"/>
  <c r="CI117" i="2"/>
  <c r="CJ117" i="2"/>
  <c r="CJ147" i="2"/>
  <c r="BQ190" i="2"/>
  <c r="BV199" i="2"/>
  <c r="BQ199" i="2"/>
  <c r="CI147" i="2"/>
  <c r="CH105" i="2"/>
  <c r="CJ216" i="2"/>
  <c r="BT105" i="2"/>
  <c r="BU121" i="2"/>
  <c r="BZ222" i="2"/>
  <c r="BY213" i="2"/>
  <c r="CK13" i="13"/>
  <c r="BS189" i="2"/>
  <c r="BS198" i="2"/>
  <c r="BX198" i="2"/>
  <c r="AD199" i="2"/>
  <c r="AD190" i="2"/>
  <c r="AV199" i="2"/>
  <c r="AQ199" i="2"/>
  <c r="AQ190" i="2"/>
  <c r="AZ190" i="2"/>
  <c r="AZ199" i="2"/>
  <c r="AA121" i="2"/>
  <c r="Z121" i="2"/>
  <c r="L190" i="2"/>
  <c r="CC153" i="2"/>
  <c r="BZ199" i="2"/>
  <c r="BU199" i="2"/>
  <c r="BU190" i="2"/>
  <c r="K121" i="2"/>
  <c r="O121" i="2"/>
  <c r="P121" i="2"/>
  <c r="Z129" i="2"/>
  <c r="BD198" i="2"/>
  <c r="AY189" i="2"/>
  <c r="AY198" i="2"/>
  <c r="CF207" i="2"/>
  <c r="CF147" i="2"/>
  <c r="CF168" i="2"/>
  <c r="I111" i="47" s="1"/>
  <c r="CE153" i="2"/>
  <c r="BS153" i="2"/>
  <c r="AV121" i="2"/>
  <c r="AX121" i="2"/>
  <c r="AU189" i="2"/>
  <c r="AU198" i="2"/>
  <c r="AZ198" i="2"/>
  <c r="BB169" i="2"/>
  <c r="BB208" i="2"/>
  <c r="BG208" i="2"/>
  <c r="BB148" i="2"/>
  <c r="G198" i="2"/>
  <c r="G189" i="2"/>
  <c r="R189" i="2"/>
  <c r="W198" i="2"/>
  <c r="R198" i="2"/>
  <c r="AD189" i="2"/>
  <c r="AI198" i="2"/>
  <c r="AD198" i="2"/>
  <c r="U190" i="2"/>
  <c r="U199" i="2"/>
  <c r="Z199" i="2"/>
  <c r="BU153" i="2"/>
  <c r="W121" i="2"/>
  <c r="Y121" i="2"/>
  <c r="W129" i="2"/>
  <c r="AK189" i="2"/>
  <c r="AK198" i="2"/>
  <c r="AP198" i="2"/>
  <c r="BX153" i="2"/>
  <c r="BM153" i="2"/>
  <c r="AM169" i="2"/>
  <c r="AM208" i="2"/>
  <c r="AM148" i="2"/>
  <c r="AR208" i="2"/>
  <c r="AJ121" i="2"/>
  <c r="AK121" i="2"/>
  <c r="Z189" i="2"/>
  <c r="AE198" i="2"/>
  <c r="Z198" i="2"/>
  <c r="X169" i="2"/>
  <c r="X148" i="2"/>
  <c r="X208" i="2"/>
  <c r="AC208" i="2"/>
  <c r="BE199" i="2"/>
  <c r="AR148" i="2"/>
  <c r="AR101" i="2"/>
  <c r="AW101" i="2"/>
  <c r="AR190" i="2"/>
  <c r="AM168" i="2"/>
  <c r="AM207" i="2"/>
  <c r="AR207" i="2"/>
  <c r="AM147" i="2"/>
  <c r="CF148" i="2"/>
  <c r="CF169" i="2"/>
  <c r="CF208" i="2"/>
  <c r="CE55" i="13"/>
  <c r="BF153" i="2"/>
  <c r="AG189" i="2"/>
  <c r="AL198" i="2"/>
  <c r="AG198" i="2"/>
  <c r="AW168" i="2"/>
  <c r="AW147" i="2"/>
  <c r="BB207" i="2"/>
  <c r="AW207" i="2"/>
  <c r="AH169" i="2"/>
  <c r="AH208" i="2"/>
  <c r="AH148" i="2"/>
  <c r="AL190" i="2"/>
  <c r="AL199" i="2"/>
  <c r="J189" i="2"/>
  <c r="O198" i="2"/>
  <c r="AH147" i="2"/>
  <c r="AH168" i="2"/>
  <c r="AH207" i="2"/>
  <c r="V199" i="2"/>
  <c r="Q199" i="2"/>
  <c r="Q190" i="2"/>
  <c r="AI121" i="2"/>
  <c r="AO121" i="2"/>
  <c r="AN121" i="2"/>
  <c r="O129" i="2"/>
  <c r="CI105" i="2"/>
  <c r="CH216" i="2"/>
  <c r="CN101" i="2"/>
  <c r="CI121" i="2"/>
  <c r="CM100" i="2"/>
  <c r="CM116" i="2"/>
  <c r="CN116" i="2"/>
  <c r="CK100" i="2"/>
  <c r="J5" i="47"/>
  <c r="CK82" i="2"/>
  <c r="CK95" i="2" s="1"/>
  <c r="CJ124" i="2"/>
  <c r="CG124" i="2"/>
  <c r="CI124" i="2"/>
  <c r="CH124" i="2"/>
  <c r="CP14" i="2"/>
  <c r="CH121" i="2"/>
  <c r="CL62" i="2"/>
  <c r="CH117" i="2"/>
  <c r="CG101" i="2"/>
  <c r="CG117" i="2"/>
  <c r="CM101" i="2"/>
  <c r="CN117" i="2"/>
  <c r="CK132" i="2"/>
  <c r="CH147" i="2"/>
  <c r="CH207" i="2"/>
  <c r="CI216" i="2"/>
  <c r="CH59" i="12"/>
  <c r="CI59" i="12"/>
  <c r="CG59" i="12"/>
  <c r="BG237" i="2" l="1"/>
  <c r="BG244" i="2" s="1"/>
  <c r="R12" i="47"/>
  <c r="Q14" i="47"/>
  <c r="BB237" i="2"/>
  <c r="BB244" i="2" s="1"/>
  <c r="L76" i="47"/>
  <c r="M75" i="47"/>
  <c r="M76" i="47" s="1"/>
  <c r="DE29" i="13"/>
  <c r="DE40" i="13"/>
  <c r="CZ36" i="13"/>
  <c r="CT198" i="2"/>
  <c r="CS199" i="2"/>
  <c r="CS198" i="2"/>
  <c r="CQ87" i="2"/>
  <c r="CQ105" i="2"/>
  <c r="CR105" i="2"/>
  <c r="CK87" i="2"/>
  <c r="CU100" i="2"/>
  <c r="CU82" i="2"/>
  <c r="CS59" i="12"/>
  <c r="CS87" i="2"/>
  <c r="CS105" i="2"/>
  <c r="AW173" i="2"/>
  <c r="AW194" i="2" s="1"/>
  <c r="CF237" i="2"/>
  <c r="CF244" i="2" s="1"/>
  <c r="CL26" i="13"/>
  <c r="CM105" i="2"/>
  <c r="CM87" i="2"/>
  <c r="BJ178" i="2"/>
  <c r="BJ195" i="2" s="1"/>
  <c r="BD203" i="2"/>
  <c r="BD178" i="2"/>
  <c r="BD195" i="2" s="1"/>
  <c r="BR203" i="2"/>
  <c r="BR178" i="2"/>
  <c r="BR43" i="12" s="1"/>
  <c r="BE178" i="2"/>
  <c r="BE195" i="2" s="1"/>
  <c r="AC173" i="2"/>
  <c r="AC194" i="2" s="1"/>
  <c r="BL237" i="2"/>
  <c r="BL244" i="2" s="1"/>
  <c r="BV237" i="2"/>
  <c r="BV244" i="2" s="1"/>
  <c r="BV189" i="2"/>
  <c r="G111" i="47"/>
  <c r="BQ189" i="2"/>
  <c r="F111" i="47"/>
  <c r="G25" i="47"/>
  <c r="G28" i="47" s="1"/>
  <c r="G30" i="47" s="1"/>
  <c r="G7" i="47"/>
  <c r="CP141" i="2"/>
  <c r="CF27" i="12"/>
  <c r="CP24" i="12"/>
  <c r="BQ237" i="2"/>
  <c r="BQ244" i="2" s="1"/>
  <c r="CH195" i="2"/>
  <c r="J16" i="47"/>
  <c r="G69" i="47"/>
  <c r="G105" i="47" s="1"/>
  <c r="CE68" i="13"/>
  <c r="CA241" i="2"/>
  <c r="CA237" i="2"/>
  <c r="CA244" i="2" s="1"/>
  <c r="BX203" i="2"/>
  <c r="CP212" i="2"/>
  <c r="BO203" i="2"/>
  <c r="CB203" i="2"/>
  <c r="CG203" i="2"/>
  <c r="BI194" i="2"/>
  <c r="BI203" i="2"/>
  <c r="BN194" i="2"/>
  <c r="BN203" i="2"/>
  <c r="BU194" i="2"/>
  <c r="BU203" i="2"/>
  <c r="BT203" i="2"/>
  <c r="CC203" i="2"/>
  <c r="CH203" i="2"/>
  <c r="BH194" i="2"/>
  <c r="BH203" i="2"/>
  <c r="CD194" i="2"/>
  <c r="CD203" i="2"/>
  <c r="CI203" i="2"/>
  <c r="CE194" i="2"/>
  <c r="CE203" i="2"/>
  <c r="CJ203" i="2"/>
  <c r="BJ194" i="2"/>
  <c r="BJ203" i="2"/>
  <c r="BP194" i="2"/>
  <c r="BP203" i="2"/>
  <c r="BV153" i="2"/>
  <c r="BC194" i="2"/>
  <c r="BC203" i="2"/>
  <c r="BE194" i="2"/>
  <c r="BE203" i="2"/>
  <c r="BW203" i="2"/>
  <c r="BS203" i="2"/>
  <c r="BM195" i="2"/>
  <c r="BM203" i="2"/>
  <c r="BY182" i="2"/>
  <c r="BY203" i="2"/>
  <c r="BZ203" i="2"/>
  <c r="BG191" i="2"/>
  <c r="BG200" i="2"/>
  <c r="CA191" i="2"/>
  <c r="CA200" i="2"/>
  <c r="CF191" i="2"/>
  <c r="CF200" i="2"/>
  <c r="CK200" i="2"/>
  <c r="BQ191" i="2"/>
  <c r="BQ200" i="2"/>
  <c r="BB191" i="2"/>
  <c r="BB200" i="2"/>
  <c r="BV191" i="2"/>
  <c r="BV200" i="2"/>
  <c r="BV198" i="2"/>
  <c r="BL191" i="2"/>
  <c r="BL200" i="2"/>
  <c r="BG152" i="2"/>
  <c r="BN195" i="2"/>
  <c r="BX181" i="2"/>
  <c r="BX194" i="2"/>
  <c r="BT181" i="2"/>
  <c r="BT194" i="2"/>
  <c r="CC182" i="2"/>
  <c r="CC194" i="2"/>
  <c r="BQ152" i="2"/>
  <c r="I195" i="2"/>
  <c r="BV152" i="2"/>
  <c r="BD181" i="2"/>
  <c r="BD194" i="2"/>
  <c r="BR181" i="2"/>
  <c r="BR194" i="2"/>
  <c r="BW181" i="2"/>
  <c r="BW194" i="2"/>
  <c r="BO181" i="2"/>
  <c r="BO194" i="2"/>
  <c r="CB181" i="2"/>
  <c r="CB194" i="2"/>
  <c r="BS182" i="2"/>
  <c r="BS194" i="2"/>
  <c r="BM182" i="2"/>
  <c r="BM194" i="2"/>
  <c r="BY181" i="2"/>
  <c r="BY194" i="2"/>
  <c r="AM173" i="2"/>
  <c r="AM152" i="2"/>
  <c r="S173" i="2"/>
  <c r="S152" i="2"/>
  <c r="AR173" i="2"/>
  <c r="AR152" i="2"/>
  <c r="AH173" i="2"/>
  <c r="AH152" i="2"/>
  <c r="X173" i="2"/>
  <c r="X152" i="2"/>
  <c r="CA153" i="2"/>
  <c r="BI213" i="2"/>
  <c r="BD153" i="2"/>
  <c r="CA152" i="2"/>
  <c r="BG153" i="2"/>
  <c r="BA129" i="2"/>
  <c r="BB152" i="2"/>
  <c r="BL152" i="2"/>
  <c r="CF152" i="2"/>
  <c r="N173" i="2"/>
  <c r="N194" i="2" s="1"/>
  <c r="N152" i="2"/>
  <c r="BZ186" i="2"/>
  <c r="BS181" i="2"/>
  <c r="BQ153" i="2"/>
  <c r="BH184" i="2"/>
  <c r="BH183" i="2"/>
  <c r="CD183" i="2"/>
  <c r="CD184" i="2"/>
  <c r="CE184" i="2"/>
  <c r="CE183" i="2"/>
  <c r="BJ183" i="2"/>
  <c r="BJ184" i="2"/>
  <c r="BJ182" i="2"/>
  <c r="BP184" i="2"/>
  <c r="BP183" i="2"/>
  <c r="CD182" i="2"/>
  <c r="BU184" i="2"/>
  <c r="BU183" i="2"/>
  <c r="BU181" i="2"/>
  <c r="BH181" i="2"/>
  <c r="BQ173" i="2"/>
  <c r="BQ178" i="2" s="1"/>
  <c r="BQ43" i="12" s="1"/>
  <c r="BD183" i="2"/>
  <c r="BD184" i="2"/>
  <c r="BD182" i="2"/>
  <c r="BC184" i="2"/>
  <c r="BC183" i="2"/>
  <c r="BC181" i="2"/>
  <c r="BR184" i="2"/>
  <c r="BR183" i="2"/>
  <c r="BE183" i="2"/>
  <c r="BE184" i="2"/>
  <c r="BE181" i="2"/>
  <c r="BF186" i="2"/>
  <c r="BP181" i="2"/>
  <c r="BR182" i="2"/>
  <c r="CA190" i="2"/>
  <c r="BV173" i="2"/>
  <c r="BV178" i="2" s="1"/>
  <c r="BV43" i="12" s="1"/>
  <c r="BO183" i="2"/>
  <c r="BO184" i="2"/>
  <c r="CB183" i="2"/>
  <c r="CB184" i="2"/>
  <c r="CB182" i="2"/>
  <c r="BI183" i="2"/>
  <c r="BI184" i="2"/>
  <c r="BI182" i="2"/>
  <c r="BN184" i="2"/>
  <c r="BN183" i="2"/>
  <c r="BN182" i="2"/>
  <c r="BK186" i="2"/>
  <c r="CE182" i="2"/>
  <c r="CE181" i="2"/>
  <c r="BC182" i="2"/>
  <c r="BW183" i="2"/>
  <c r="BW184" i="2"/>
  <c r="BJ181" i="2"/>
  <c r="BM184" i="2"/>
  <c r="BM183" i="2"/>
  <c r="BM181" i="2"/>
  <c r="BH182" i="2"/>
  <c r="BY183" i="2"/>
  <c r="BY184" i="2"/>
  <c r="BX183" i="2"/>
  <c r="BX184" i="2"/>
  <c r="BX182" i="2"/>
  <c r="BT184" i="2"/>
  <c r="BT183" i="2"/>
  <c r="BT182" i="2"/>
  <c r="CC184" i="2"/>
  <c r="CC183" i="2"/>
  <c r="CC181" i="2"/>
  <c r="BE182" i="2"/>
  <c r="BN181" i="2"/>
  <c r="BU182" i="2"/>
  <c r="BO182" i="2"/>
  <c r="BW182" i="2"/>
  <c r="BS184" i="2"/>
  <c r="BS183" i="2"/>
  <c r="BP182" i="2"/>
  <c r="BI181" i="2"/>
  <c r="CD181" i="2"/>
  <c r="BB173" i="2"/>
  <c r="BB178" i="2" s="1"/>
  <c r="CM178" i="2"/>
  <c r="BL173" i="2"/>
  <c r="BL178" i="2" s="1"/>
  <c r="BL43" i="12" s="1"/>
  <c r="CF173" i="2"/>
  <c r="CF178" i="2" s="1"/>
  <c r="CF43" i="12" s="1"/>
  <c r="CS203" i="2"/>
  <c r="BG198" i="2"/>
  <c r="BG173" i="2"/>
  <c r="BG178" i="2" s="1"/>
  <c r="CA173" i="2"/>
  <c r="CA178" i="2" s="1"/>
  <c r="CA43" i="12" s="1"/>
  <c r="CF113" i="2"/>
  <c r="BW129" i="2"/>
  <c r="BX129" i="2"/>
  <c r="BY129" i="2"/>
  <c r="BZ129" i="2"/>
  <c r="BL87" i="2"/>
  <c r="BH129" i="2"/>
  <c r="BK129" i="2"/>
  <c r="BI129" i="2"/>
  <c r="BJ129" i="2"/>
  <c r="CK168" i="2"/>
  <c r="J111" i="47" s="1"/>
  <c r="CL198" i="2"/>
  <c r="CN198" i="2"/>
  <c r="CE129" i="2"/>
  <c r="CB129" i="2"/>
  <c r="CC129" i="2"/>
  <c r="CD129" i="2"/>
  <c r="BN129" i="2"/>
  <c r="BP129" i="2"/>
  <c r="BM129" i="2"/>
  <c r="BO129" i="2"/>
  <c r="BS129" i="2"/>
  <c r="BU129" i="2"/>
  <c r="BR129" i="2"/>
  <c r="BT129" i="2"/>
  <c r="BD129" i="2"/>
  <c r="BC129" i="2"/>
  <c r="BF129" i="2"/>
  <c r="BE129" i="2"/>
  <c r="CL87" i="2"/>
  <c r="CL121" i="2"/>
  <c r="BQ113" i="2"/>
  <c r="CA113" i="2"/>
  <c r="BV113" i="2"/>
  <c r="BL113" i="2"/>
  <c r="BG113" i="2"/>
  <c r="CP82" i="2"/>
  <c r="BQ87" i="2"/>
  <c r="BV87" i="2"/>
  <c r="CN87" i="2"/>
  <c r="CF87" i="2"/>
  <c r="CA87" i="2"/>
  <c r="CN105" i="2"/>
  <c r="BP222" i="2"/>
  <c r="BT213" i="2"/>
  <c r="BI195" i="2"/>
  <c r="BQ198" i="2"/>
  <c r="CA198" i="2"/>
  <c r="CA189" i="2"/>
  <c r="BO222" i="2"/>
  <c r="BF195" i="2"/>
  <c r="BP195" i="2"/>
  <c r="BQ105" i="2"/>
  <c r="BT195" i="2"/>
  <c r="BO195" i="2"/>
  <c r="BL189" i="2"/>
  <c r="CD105" i="2"/>
  <c r="BE222" i="2"/>
  <c r="BA195" i="2"/>
  <c r="CC222" i="2"/>
  <c r="BY195" i="2"/>
  <c r="AE222" i="2"/>
  <c r="BK195" i="2"/>
  <c r="CB222" i="2"/>
  <c r="BH195" i="2"/>
  <c r="AY129" i="2"/>
  <c r="AJ178" i="2"/>
  <c r="AJ195" i="2" s="1"/>
  <c r="BC121" i="2"/>
  <c r="CB213" i="2"/>
  <c r="CA199" i="2"/>
  <c r="AW199" i="2"/>
  <c r="CD195" i="2"/>
  <c r="S198" i="2"/>
  <c r="BC195" i="2"/>
  <c r="AP178" i="2"/>
  <c r="AP195" i="2" s="1"/>
  <c r="N189" i="2"/>
  <c r="BW195" i="2"/>
  <c r="AI129" i="2"/>
  <c r="AV129" i="2"/>
  <c r="P178" i="2"/>
  <c r="P195" i="2" s="1"/>
  <c r="X198" i="2"/>
  <c r="AS129" i="2"/>
  <c r="N190" i="2"/>
  <c r="BG87" i="2"/>
  <c r="M222" i="2"/>
  <c r="R213" i="2"/>
  <c r="BJ213" i="2"/>
  <c r="BJ222" i="2"/>
  <c r="BO213" i="2"/>
  <c r="BK222" i="2"/>
  <c r="CB195" i="2"/>
  <c r="AX129" i="2"/>
  <c r="AZ129" i="2"/>
  <c r="CE195" i="2"/>
  <c r="M52" i="47"/>
  <c r="M53" i="47" s="1"/>
  <c r="N21" i="47"/>
  <c r="N20" i="47"/>
  <c r="O2" i="47"/>
  <c r="CJ199" i="2"/>
  <c r="AN129" i="2"/>
  <c r="CF32" i="14"/>
  <c r="AQ222" i="2"/>
  <c r="AQ213" i="2"/>
  <c r="AV213" i="2"/>
  <c r="V213" i="2"/>
  <c r="W222" i="2"/>
  <c r="AK129" i="2"/>
  <c r="BL153" i="2"/>
  <c r="AL129" i="2"/>
  <c r="AC198" i="2"/>
  <c r="AY213" i="2"/>
  <c r="AY222" i="2"/>
  <c r="BD213" i="2"/>
  <c r="Y178" i="2"/>
  <c r="Y195" i="2" s="1"/>
  <c r="AF213" i="2"/>
  <c r="AA213" i="2"/>
  <c r="AA222" i="2"/>
  <c r="BC222" i="2"/>
  <c r="BD222" i="2"/>
  <c r="BC213" i="2"/>
  <c r="BW213" i="2"/>
  <c r="BR222" i="2"/>
  <c r="AU129" i="2"/>
  <c r="P213" i="2"/>
  <c r="L222" i="2"/>
  <c r="K222" i="2"/>
  <c r="AO178" i="2"/>
  <c r="R222" i="2"/>
  <c r="Q213" i="2"/>
  <c r="Q222" i="2"/>
  <c r="AU213" i="2"/>
  <c r="AU222" i="2"/>
  <c r="T178" i="2"/>
  <c r="T195" i="2" s="1"/>
  <c r="AZ213" i="2"/>
  <c r="AZ222" i="2"/>
  <c r="BA222" i="2"/>
  <c r="BE213" i="2"/>
  <c r="BG189" i="2"/>
  <c r="BL198" i="2"/>
  <c r="BH213" i="2"/>
  <c r="BI222" i="2"/>
  <c r="AD213" i="2"/>
  <c r="Y222" i="2"/>
  <c r="Z222" i="2"/>
  <c r="Y213" i="2"/>
  <c r="AT213" i="2"/>
  <c r="BL105" i="2"/>
  <c r="AG222" i="2"/>
  <c r="AL213" i="2"/>
  <c r="AI222" i="2"/>
  <c r="BG105" i="2"/>
  <c r="CI208" i="2"/>
  <c r="BV105" i="2"/>
  <c r="CI199" i="2"/>
  <c r="CM69" i="13"/>
  <c r="CN121" i="2"/>
  <c r="CO198" i="2"/>
  <c r="CH148" i="2"/>
  <c r="CH208" i="2"/>
  <c r="CI66" i="12"/>
  <c r="CL13" i="13"/>
  <c r="CK43" i="13"/>
  <c r="AX195" i="2"/>
  <c r="AK213" i="2"/>
  <c r="AL222" i="2"/>
  <c r="AK222" i="2"/>
  <c r="AP213" i="2"/>
  <c r="AM199" i="2"/>
  <c r="AH190" i="2"/>
  <c r="AH199" i="2"/>
  <c r="AL178" i="2"/>
  <c r="AL195" i="2" s="1"/>
  <c r="AM190" i="2"/>
  <c r="AR199" i="2"/>
  <c r="BX222" i="2"/>
  <c r="BY222" i="2"/>
  <c r="BX213" i="2"/>
  <c r="AB178" i="2"/>
  <c r="AB195" i="2" s="1"/>
  <c r="AG213" i="2"/>
  <c r="AD222" i="2"/>
  <c r="AB222" i="2"/>
  <c r="AB213" i="2"/>
  <c r="AD178" i="2"/>
  <c r="AD195" i="2" s="1"/>
  <c r="CF189" i="2"/>
  <c r="CF198" i="2"/>
  <c r="AY195" i="2"/>
  <c r="I213" i="2"/>
  <c r="H213" i="2"/>
  <c r="Q178" i="2"/>
  <c r="Q195" i="2" s="1"/>
  <c r="AZ195" i="2"/>
  <c r="R129" i="2"/>
  <c r="Q129" i="2"/>
  <c r="P129" i="2"/>
  <c r="O222" i="2"/>
  <c r="P222" i="2"/>
  <c r="O213" i="2"/>
  <c r="T213" i="2"/>
  <c r="AG178" i="2"/>
  <c r="AG195" i="2" s="1"/>
  <c r="V222" i="2"/>
  <c r="Z213" i="2"/>
  <c r="U213" i="2"/>
  <c r="U222" i="2"/>
  <c r="BO121" i="2"/>
  <c r="BN121" i="2"/>
  <c r="BN105" i="2"/>
  <c r="CE61" i="13"/>
  <c r="CE58" i="13"/>
  <c r="CE59" i="13"/>
  <c r="BX195" i="2"/>
  <c r="AM189" i="2"/>
  <c r="AR198" i="2"/>
  <c r="AM198" i="2"/>
  <c r="AO129" i="2"/>
  <c r="AT121" i="2"/>
  <c r="AQ129" i="2"/>
  <c r="AP129" i="2"/>
  <c r="H178" i="2"/>
  <c r="H195" i="2" s="1"/>
  <c r="Z178" i="2"/>
  <c r="AF178" i="2"/>
  <c r="AF195" i="2" s="1"/>
  <c r="T129" i="2"/>
  <c r="V129" i="2"/>
  <c r="U129" i="2"/>
  <c r="BU213" i="2"/>
  <c r="BZ213" i="2"/>
  <c r="BU222" i="2"/>
  <c r="BW222" i="2"/>
  <c r="BB190" i="2"/>
  <c r="BB199" i="2"/>
  <c r="BG199" i="2"/>
  <c r="AU178" i="2"/>
  <c r="AU195" i="2" s="1"/>
  <c r="BR105" i="2"/>
  <c r="BM105" i="2"/>
  <c r="BM121" i="2"/>
  <c r="BS195" i="2"/>
  <c r="CE213" i="2"/>
  <c r="CE222" i="2"/>
  <c r="AN178" i="2"/>
  <c r="AN195" i="2" s="1"/>
  <c r="AF129" i="2"/>
  <c r="AG129" i="2"/>
  <c r="AE129" i="2"/>
  <c r="AD129" i="2"/>
  <c r="L178" i="2"/>
  <c r="L195" i="2" s="1"/>
  <c r="AE178" i="2"/>
  <c r="AE195" i="2" s="1"/>
  <c r="M178" i="2"/>
  <c r="M195" i="2" s="1"/>
  <c r="AI178" i="2"/>
  <c r="AI195" i="2" s="1"/>
  <c r="J178" i="2"/>
  <c r="J195" i="2" s="1"/>
  <c r="AH198" i="2"/>
  <c r="AH189" i="2"/>
  <c r="AV178" i="2"/>
  <c r="AV195" i="2" s="1"/>
  <c r="AQ178" i="2"/>
  <c r="AQ195" i="2" s="1"/>
  <c r="CF199" i="2"/>
  <c r="CF190" i="2"/>
  <c r="AK178" i="2"/>
  <c r="AK195" i="2" s="1"/>
  <c r="R178" i="2"/>
  <c r="R195" i="2" s="1"/>
  <c r="G178" i="2"/>
  <c r="G195" i="2" s="1"/>
  <c r="CA213" i="2"/>
  <c r="AA178" i="2"/>
  <c r="AA195" i="2" s="1"/>
  <c r="CE105" i="2"/>
  <c r="BZ121" i="2"/>
  <c r="BZ105" i="2"/>
  <c r="CB121" i="2"/>
  <c r="AW189" i="2"/>
  <c r="AW198" i="2"/>
  <c r="BB198" i="2"/>
  <c r="BK213" i="2"/>
  <c r="BF222" i="2"/>
  <c r="BF213" i="2"/>
  <c r="BH222" i="2"/>
  <c r="L129" i="2"/>
  <c r="K129" i="2"/>
  <c r="M129" i="2"/>
  <c r="X190" i="2"/>
  <c r="X199" i="2"/>
  <c r="AC199" i="2"/>
  <c r="BM213" i="2"/>
  <c r="BM222" i="2"/>
  <c r="BN222" i="2"/>
  <c r="BR213" i="2"/>
  <c r="BZ195" i="2"/>
  <c r="AT222" i="2"/>
  <c r="AS222" i="2"/>
  <c r="AS213" i="2"/>
  <c r="AX213" i="2"/>
  <c r="U178" i="2"/>
  <c r="U195" i="2" s="1"/>
  <c r="BS222" i="2"/>
  <c r="BT222" i="2"/>
  <c r="BS213" i="2"/>
  <c r="BY121" i="2"/>
  <c r="BX121" i="2"/>
  <c r="CC105" i="2"/>
  <c r="BX105" i="2"/>
  <c r="AS178" i="2"/>
  <c r="AS195" i="2" s="1"/>
  <c r="AB129" i="2"/>
  <c r="Y129" i="2"/>
  <c r="AA129" i="2"/>
  <c r="J129" i="2"/>
  <c r="BU195" i="2"/>
  <c r="CC213" i="2"/>
  <c r="CD222" i="2"/>
  <c r="BS121" i="2"/>
  <c r="BS105" i="2"/>
  <c r="BT121" i="2"/>
  <c r="CI148" i="2"/>
  <c r="CF46" i="14"/>
  <c r="CI217" i="2"/>
  <c r="CK18" i="13"/>
  <c r="J32" i="47"/>
  <c r="CH53" i="13"/>
  <c r="CK147" i="2"/>
  <c r="CK207" i="2"/>
  <c r="CH66" i="12"/>
  <c r="CG66" i="12"/>
  <c r="CN199" i="2"/>
  <c r="K5" i="47"/>
  <c r="CP100" i="2"/>
  <c r="CN124" i="2"/>
  <c r="CO124" i="2"/>
  <c r="CL124" i="2"/>
  <c r="CM124" i="2"/>
  <c r="CM198" i="2"/>
  <c r="CL101" i="2"/>
  <c r="CM117" i="2"/>
  <c r="CL117" i="2"/>
  <c r="CG199" i="2"/>
  <c r="CM199" i="2"/>
  <c r="CI125" i="2"/>
  <c r="CK101" i="2"/>
  <c r="CK83" i="2"/>
  <c r="CK96" i="2" s="1"/>
  <c r="CH125" i="2"/>
  <c r="CJ125" i="2"/>
  <c r="CG125" i="2"/>
  <c r="CJ217" i="2"/>
  <c r="CJ148" i="2"/>
  <c r="CJ208" i="2"/>
  <c r="CK105" i="2"/>
  <c r="R14" i="47" l="1"/>
  <c r="S12" i="47"/>
  <c r="S14" i="47" s="1"/>
  <c r="DJ29" i="13"/>
  <c r="DJ40" i="13"/>
  <c r="N75" i="47"/>
  <c r="N76" i="47" s="1"/>
  <c r="DE36" i="13"/>
  <c r="AW203" i="2"/>
  <c r="CS208" i="2"/>
  <c r="CS207" i="2"/>
  <c r="CR203" i="2"/>
  <c r="CM43" i="12"/>
  <c r="CR61" i="12" s="1"/>
  <c r="CR204" i="2"/>
  <c r="CQ216" i="2"/>
  <c r="CT207" i="2"/>
  <c r="CN59" i="12"/>
  <c r="BJ204" i="2"/>
  <c r="CS213" i="2"/>
  <c r="CM144" i="2"/>
  <c r="CM13" i="12" s="1"/>
  <c r="CM8" i="12" s="1"/>
  <c r="CM7" i="12" s="1"/>
  <c r="CN178" i="2"/>
  <c r="CK189" i="2"/>
  <c r="BG203" i="2"/>
  <c r="CK198" i="2"/>
  <c r="CL147" i="2"/>
  <c r="CL18" i="13"/>
  <c r="CP27" i="12"/>
  <c r="CM203" i="2"/>
  <c r="CM59" i="12"/>
  <c r="G65" i="47"/>
  <c r="G67" i="47"/>
  <c r="K16" i="47"/>
  <c r="L16" i="47" s="1"/>
  <c r="M16" i="47" s="1"/>
  <c r="N16" i="47" s="1"/>
  <c r="O16" i="47" s="1"/>
  <c r="P16" i="47" s="1"/>
  <c r="Q16" i="47" s="1"/>
  <c r="R16" i="47" s="1"/>
  <c r="CF59" i="14"/>
  <c r="CF153" i="2"/>
  <c r="CF13" i="12"/>
  <c r="CA203" i="2"/>
  <c r="BV203" i="2"/>
  <c r="AH194" i="2"/>
  <c r="AH203" i="2"/>
  <c r="S194" i="2"/>
  <c r="S203" i="2"/>
  <c r="CN194" i="2"/>
  <c r="CN203" i="2"/>
  <c r="BQ194" i="2"/>
  <c r="BQ203" i="2"/>
  <c r="CF203" i="2"/>
  <c r="X194" i="2"/>
  <c r="X203" i="2"/>
  <c r="AR194" i="2"/>
  <c r="AR203" i="2"/>
  <c r="AM194" i="2"/>
  <c r="AM203" i="2"/>
  <c r="AC203" i="2"/>
  <c r="BL203" i="2"/>
  <c r="BB194" i="2"/>
  <c r="BB203" i="2"/>
  <c r="BO186" i="2"/>
  <c r="CN207" i="2"/>
  <c r="BY186" i="2"/>
  <c r="CB186" i="2"/>
  <c r="BR186" i="2"/>
  <c r="CA184" i="2"/>
  <c r="CA194" i="2"/>
  <c r="CH204" i="2"/>
  <c r="CC195" i="2"/>
  <c r="AO195" i="2"/>
  <c r="CF184" i="2"/>
  <c r="CF194" i="2"/>
  <c r="BR204" i="2"/>
  <c r="BR195" i="2"/>
  <c r="BG195" i="2"/>
  <c r="BG194" i="2"/>
  <c r="BL194" i="2"/>
  <c r="Z195" i="2"/>
  <c r="BV183" i="2"/>
  <c r="BV194" i="2"/>
  <c r="CM182" i="2"/>
  <c r="CM194" i="2"/>
  <c r="BV213" i="2"/>
  <c r="BB153" i="2"/>
  <c r="CD186" i="2"/>
  <c r="BX186" i="2"/>
  <c r="CH153" i="2"/>
  <c r="BW186" i="2"/>
  <c r="BS186" i="2"/>
  <c r="BH186" i="2"/>
  <c r="BT186" i="2"/>
  <c r="CC186" i="2"/>
  <c r="BD186" i="2"/>
  <c r="BG184" i="2"/>
  <c r="BG182" i="2"/>
  <c r="BL184" i="2"/>
  <c r="BL182" i="2"/>
  <c r="CA183" i="2"/>
  <c r="BM186" i="2"/>
  <c r="CE186" i="2"/>
  <c r="BV184" i="2"/>
  <c r="BV182" i="2"/>
  <c r="BE186" i="2"/>
  <c r="BQ184" i="2"/>
  <c r="BQ182" i="2"/>
  <c r="BG181" i="2"/>
  <c r="BG183" i="2"/>
  <c r="CF181" i="2"/>
  <c r="BC186" i="2"/>
  <c r="CF182" i="2"/>
  <c r="CN184" i="2"/>
  <c r="CN183" i="2"/>
  <c r="CM184" i="2"/>
  <c r="CM183" i="2"/>
  <c r="CN181" i="2"/>
  <c r="BL183" i="2"/>
  <c r="CA181" i="2"/>
  <c r="CN182" i="2"/>
  <c r="CF183" i="2"/>
  <c r="BL181" i="2"/>
  <c r="BI186" i="2"/>
  <c r="BN186" i="2"/>
  <c r="CM181" i="2"/>
  <c r="BJ186" i="2"/>
  <c r="BV181" i="2"/>
  <c r="CA182" i="2"/>
  <c r="BP186" i="2"/>
  <c r="BQ183" i="2"/>
  <c r="BQ181" i="2"/>
  <c r="BU186" i="2"/>
  <c r="BB184" i="2"/>
  <c r="BB183" i="2"/>
  <c r="BB181" i="2"/>
  <c r="BB182" i="2"/>
  <c r="L100" i="47"/>
  <c r="BN204" i="2"/>
  <c r="BF204" i="2"/>
  <c r="CO216" i="2"/>
  <c r="BK204" i="2"/>
  <c r="CL216" i="2"/>
  <c r="CL207" i="2"/>
  <c r="BO204" i="2"/>
  <c r="BI204" i="2"/>
  <c r="BT204" i="2"/>
  <c r="CN147" i="2"/>
  <c r="BY204" i="2"/>
  <c r="CF213" i="2"/>
  <c r="BP204" i="2"/>
  <c r="BM204" i="2"/>
  <c r="BH204" i="2"/>
  <c r="BB113" i="2"/>
  <c r="CD204" i="2"/>
  <c r="P204" i="2"/>
  <c r="CI204" i="2"/>
  <c r="BW204" i="2"/>
  <c r="CH213" i="2"/>
  <c r="CB204" i="2"/>
  <c r="CJ105" i="2"/>
  <c r="CF38" i="14"/>
  <c r="BQ213" i="2"/>
  <c r="CN66" i="12"/>
  <c r="BG213" i="2"/>
  <c r="N53" i="47"/>
  <c r="P2" i="47"/>
  <c r="Q2" i="47" s="1"/>
  <c r="O21" i="47"/>
  <c r="O20" i="47"/>
  <c r="N22" i="47"/>
  <c r="N108" i="47" s="1"/>
  <c r="N19" i="47"/>
  <c r="O19" i="47" s="1"/>
  <c r="BL213" i="2"/>
  <c r="CE75" i="13"/>
  <c r="CF14" i="14"/>
  <c r="AT204" i="2"/>
  <c r="AO204" i="2"/>
  <c r="T204" i="2"/>
  <c r="Y204" i="2"/>
  <c r="CO147" i="2"/>
  <c r="CO207" i="2"/>
  <c r="CL43" i="13"/>
  <c r="CK31" i="13"/>
  <c r="AW178" i="2"/>
  <c r="AW195" i="2" s="1"/>
  <c r="AS204" i="2"/>
  <c r="CC204" i="2"/>
  <c r="U204" i="2"/>
  <c r="AM213" i="2"/>
  <c r="AC213" i="2"/>
  <c r="AK204" i="2"/>
  <c r="AP204" i="2"/>
  <c r="AV204" i="2"/>
  <c r="BA204" i="2"/>
  <c r="AI204" i="2"/>
  <c r="BS204" i="2"/>
  <c r="AU204" i="2"/>
  <c r="Z204" i="2"/>
  <c r="AZ204" i="2"/>
  <c r="BE204" i="2"/>
  <c r="AL204" i="2"/>
  <c r="AF204" i="2"/>
  <c r="AM178" i="2"/>
  <c r="AM195" i="2" s="1"/>
  <c r="BX204" i="2"/>
  <c r="AG204" i="2"/>
  <c r="AY204" i="2"/>
  <c r="BD204" i="2"/>
  <c r="X213" i="2"/>
  <c r="AD204" i="2"/>
  <c r="AB204" i="2"/>
  <c r="CF25" i="14"/>
  <c r="S213" i="2"/>
  <c r="BU204" i="2"/>
  <c r="BZ204" i="2"/>
  <c r="CE204" i="2"/>
  <c r="N213" i="2"/>
  <c r="AA204" i="2"/>
  <c r="CF105" i="2"/>
  <c r="CA105" i="2"/>
  <c r="W204" i="2"/>
  <c r="R204" i="2"/>
  <c r="AQ204" i="2"/>
  <c r="O204" i="2"/>
  <c r="AR178" i="2"/>
  <c r="AR195" i="2" s="1"/>
  <c r="AR213" i="2"/>
  <c r="AN204" i="2"/>
  <c r="AH178" i="2"/>
  <c r="AH195" i="2" s="1"/>
  <c r="CE64" i="13"/>
  <c r="CE65" i="13"/>
  <c r="V204" i="2"/>
  <c r="Q204" i="2"/>
  <c r="BB213" i="2"/>
  <c r="AC178" i="2"/>
  <c r="AC195" i="2" s="1"/>
  <c r="S178" i="2"/>
  <c r="S195" i="2" s="1"/>
  <c r="G204" i="2"/>
  <c r="AH213" i="2"/>
  <c r="N178" i="2"/>
  <c r="N195" i="2" s="1"/>
  <c r="AJ204" i="2"/>
  <c r="AE204" i="2"/>
  <c r="X178" i="2"/>
  <c r="X195" i="2" s="1"/>
  <c r="BB195" i="2"/>
  <c r="AW213" i="2"/>
  <c r="AX204" i="2"/>
  <c r="BC204" i="2"/>
  <c r="CH56" i="13"/>
  <c r="CH57" i="13" s="1"/>
  <c r="CH54" i="13"/>
  <c r="CN148" i="2"/>
  <c r="CN208" i="2"/>
  <c r="CM207" i="2"/>
  <c r="CM147" i="2"/>
  <c r="CM216" i="2"/>
  <c r="CP132" i="2"/>
  <c r="CN216" i="2"/>
  <c r="L5" i="47"/>
  <c r="L111" i="47"/>
  <c r="CG217" i="2"/>
  <c r="CK133" i="2"/>
  <c r="CK137" i="2" s="1"/>
  <c r="CK144" i="2" s="1"/>
  <c r="CG208" i="2"/>
  <c r="CG148" i="2"/>
  <c r="CH217" i="2"/>
  <c r="CM208" i="2"/>
  <c r="CM148" i="2"/>
  <c r="CN217" i="2"/>
  <c r="CL199" i="2"/>
  <c r="CH53" i="12"/>
  <c r="CJ204" i="2"/>
  <c r="CJ59" i="12"/>
  <c r="CK6" i="12"/>
  <c r="CJ66" i="12"/>
  <c r="R17" i="47" l="1"/>
  <c r="R106" i="47" s="1"/>
  <c r="S16" i="47"/>
  <c r="S17" i="47"/>
  <c r="S106" i="47" s="1"/>
  <c r="Q20" i="47"/>
  <c r="Q21" i="47"/>
  <c r="R2" i="47"/>
  <c r="S2" i="47" s="1"/>
  <c r="DN29" i="13"/>
  <c r="DO29" i="13" s="1"/>
  <c r="DN40" i="13"/>
  <c r="DO40" i="13" s="1"/>
  <c r="Q17" i="47"/>
  <c r="CU207" i="2"/>
  <c r="DJ36" i="13"/>
  <c r="DG124" i="2"/>
  <c r="DH124" i="2"/>
  <c r="DI124" i="2"/>
  <c r="O75" i="47"/>
  <c r="O76" i="47" s="1"/>
  <c r="CZ15" i="13"/>
  <c r="CU27" i="13"/>
  <c r="CU34" i="13"/>
  <c r="CU32" i="13"/>
  <c r="CL178" i="2"/>
  <c r="CL43" i="12" s="1"/>
  <c r="CQ61" i="12" s="1"/>
  <c r="CQ203" i="2"/>
  <c r="CM153" i="2"/>
  <c r="CR213" i="2"/>
  <c r="CQ217" i="2"/>
  <c r="CT208" i="2"/>
  <c r="CQ66" i="12"/>
  <c r="CT59" i="12"/>
  <c r="CN43" i="12"/>
  <c r="CS61" i="12" s="1"/>
  <c r="CS204" i="2"/>
  <c r="CO178" i="2"/>
  <c r="CO144" i="2"/>
  <c r="CN195" i="2"/>
  <c r="CN152" i="2"/>
  <c r="CM152" i="2"/>
  <c r="CK152" i="2"/>
  <c r="CK153" i="2"/>
  <c r="BV195" i="2"/>
  <c r="BV45" i="12"/>
  <c r="BV52" i="12" s="1"/>
  <c r="CA195" i="2"/>
  <c r="CA45" i="12"/>
  <c r="CA52" i="12" s="1"/>
  <c r="BL195" i="2"/>
  <c r="BL45" i="12"/>
  <c r="BL52" i="12" s="1"/>
  <c r="BQ195" i="2"/>
  <c r="BQ45" i="12"/>
  <c r="BQ52" i="12" s="1"/>
  <c r="CF195" i="2"/>
  <c r="CG195" i="2"/>
  <c r="CL203" i="2"/>
  <c r="CO66" i="12"/>
  <c r="O22" i="47"/>
  <c r="O108" i="47" s="1"/>
  <c r="H67" i="47"/>
  <c r="I67" i="47" s="1"/>
  <c r="J67" i="47" s="1"/>
  <c r="K67" i="47" s="1"/>
  <c r="L67" i="47" s="1"/>
  <c r="M67" i="47" s="1"/>
  <c r="N67" i="47" s="1"/>
  <c r="O67" i="47" s="1"/>
  <c r="P67" i="47" s="1"/>
  <c r="Q67" i="47" s="1"/>
  <c r="R67" i="47" s="1"/>
  <c r="S67" i="47" s="1"/>
  <c r="F67" i="47"/>
  <c r="E67" i="47" s="1"/>
  <c r="H65" i="47"/>
  <c r="F65" i="47"/>
  <c r="CO208" i="2"/>
  <c r="BL204" i="2"/>
  <c r="CF16" i="12"/>
  <c r="CF19" i="12" s="1"/>
  <c r="CF28" i="12" s="1"/>
  <c r="CF8" i="12"/>
  <c r="CF7" i="12" s="1"/>
  <c r="CO217" i="2"/>
  <c r="CM204" i="2"/>
  <c r="CM195" i="2"/>
  <c r="CL182" i="2"/>
  <c r="CL194" i="2"/>
  <c r="CO182" i="2"/>
  <c r="CJ13" i="12"/>
  <c r="CJ8" i="12" s="1"/>
  <c r="CJ7" i="12" s="1"/>
  <c r="CJ153" i="2"/>
  <c r="CA204" i="2"/>
  <c r="CL183" i="2"/>
  <c r="CL184" i="2"/>
  <c r="CL181" i="2"/>
  <c r="CM186" i="2"/>
  <c r="CP133" i="2"/>
  <c r="CU208" i="2" s="1"/>
  <c r="CA186" i="2"/>
  <c r="CO183" i="2"/>
  <c r="CO184" i="2"/>
  <c r="CO181" i="2"/>
  <c r="BL186" i="2"/>
  <c r="BQ186" i="2"/>
  <c r="BV186" i="2"/>
  <c r="CN186" i="2"/>
  <c r="CF186" i="2"/>
  <c r="BG186" i="2"/>
  <c r="BQ204" i="2"/>
  <c r="BV204" i="2"/>
  <c r="CN153" i="2"/>
  <c r="P21" i="47"/>
  <c r="P20" i="47"/>
  <c r="O52" i="47"/>
  <c r="P53" i="47" s="1"/>
  <c r="CO59" i="12"/>
  <c r="CN204" i="2"/>
  <c r="CH72" i="13"/>
  <c r="CH73" i="13" s="1"/>
  <c r="CH70" i="13"/>
  <c r="CH19" i="12"/>
  <c r="CH28" i="12" s="1"/>
  <c r="CH54" i="12"/>
  <c r="CK33" i="13"/>
  <c r="CL31" i="13"/>
  <c r="BB186" i="2"/>
  <c r="AH204" i="2"/>
  <c r="AW204" i="2"/>
  <c r="AC204" i="2"/>
  <c r="CE71" i="13"/>
  <c r="AM204" i="2"/>
  <c r="BG204" i="2"/>
  <c r="BB204" i="2"/>
  <c r="X204" i="2"/>
  <c r="S204" i="2"/>
  <c r="CK18" i="14"/>
  <c r="AR204" i="2"/>
  <c r="CF53" i="12"/>
  <c r="CJ56" i="13"/>
  <c r="CF204" i="2"/>
  <c r="CH62" i="13"/>
  <c r="CH63" i="13" s="1"/>
  <c r="CP39" i="12"/>
  <c r="CN21" i="12"/>
  <c r="M5" i="47"/>
  <c r="CP147" i="2"/>
  <c r="CP168" i="2"/>
  <c r="CP207" i="2"/>
  <c r="L119" i="47"/>
  <c r="CM121" i="2"/>
  <c r="CL105" i="2"/>
  <c r="CM217" i="2"/>
  <c r="CL148" i="2"/>
  <c r="CL217" i="2"/>
  <c r="CL208" i="2"/>
  <c r="CG204" i="2"/>
  <c r="CK148" i="2"/>
  <c r="CK169" i="2"/>
  <c r="J119" i="47" s="1"/>
  <c r="CK208" i="2"/>
  <c r="CK59" i="12"/>
  <c r="CK9" i="12"/>
  <c r="CH49" i="12"/>
  <c r="CJ213" i="2"/>
  <c r="CH61" i="12"/>
  <c r="CH45" i="12"/>
  <c r="CK10" i="12"/>
  <c r="CM213" i="2"/>
  <c r="DP29" i="13" l="1"/>
  <c r="DQ29" i="13" s="1"/>
  <c r="DR29" i="13" s="1"/>
  <c r="DS29" i="13" s="1"/>
  <c r="DT29" i="13" s="1"/>
  <c r="DU29" i="13" s="1"/>
  <c r="DV29" i="13" s="1"/>
  <c r="DP40" i="13"/>
  <c r="DQ40" i="13" s="1"/>
  <c r="DR40" i="13" s="1"/>
  <c r="DS40" i="13" s="1"/>
  <c r="DT40" i="13" s="1"/>
  <c r="DU40" i="13" s="1"/>
  <c r="DV40" i="13" s="1"/>
  <c r="S21" i="47"/>
  <c r="S20" i="47"/>
  <c r="Q22" i="47"/>
  <c r="Q108" i="47" s="1"/>
  <c r="Q75" i="47"/>
  <c r="R21" i="47"/>
  <c r="R20" i="47"/>
  <c r="DN36" i="13"/>
  <c r="DO36" i="13" s="1"/>
  <c r="Q106" i="47"/>
  <c r="CP137" i="2"/>
  <c r="CP144" i="2" s="1"/>
  <c r="CU213" i="2" s="1"/>
  <c r="CP173" i="2"/>
  <c r="P75" i="47"/>
  <c r="P76" i="47" s="1"/>
  <c r="CQ204" i="2"/>
  <c r="CU20" i="14"/>
  <c r="CL8" i="13"/>
  <c r="CQ59" i="12"/>
  <c r="K111" i="47"/>
  <c r="CU198" i="2"/>
  <c r="CO43" i="12"/>
  <c r="CQ222" i="2"/>
  <c r="CT213" i="2"/>
  <c r="CF45" i="12"/>
  <c r="CF49" i="12"/>
  <c r="CL195" i="2"/>
  <c r="CH7" i="14"/>
  <c r="CH22" i="14" s="1"/>
  <c r="CF7" i="14"/>
  <c r="CL152" i="2"/>
  <c r="CL153" i="2"/>
  <c r="O53" i="47"/>
  <c r="M100" i="47"/>
  <c r="P22" i="47"/>
  <c r="P108" i="47" s="1"/>
  <c r="E65" i="47"/>
  <c r="E69" i="47" s="1"/>
  <c r="F69" i="47"/>
  <c r="F105" i="47" s="1"/>
  <c r="I65" i="47"/>
  <c r="H69" i="47"/>
  <c r="H105" i="47" s="1"/>
  <c r="CJ16" i="12"/>
  <c r="CJ19" i="12" s="1"/>
  <c r="CJ28" i="12" s="1"/>
  <c r="CG153" i="2"/>
  <c r="CI13" i="12"/>
  <c r="CI153" i="2"/>
  <c r="CL186" i="2"/>
  <c r="CK173" i="2"/>
  <c r="CO186" i="2"/>
  <c r="CO222" i="2"/>
  <c r="CN222" i="2"/>
  <c r="CP8" i="13"/>
  <c r="CN213" i="2"/>
  <c r="CJ222" i="2"/>
  <c r="CF30" i="14"/>
  <c r="P19" i="47"/>
  <c r="Q19" i="47" s="1"/>
  <c r="R19" i="47" s="1"/>
  <c r="S19" i="47" s="1"/>
  <c r="CI222" i="2"/>
  <c r="CI213" i="2"/>
  <c r="CH74" i="13"/>
  <c r="CP26" i="13"/>
  <c r="CL33" i="13"/>
  <c r="CE70" i="13"/>
  <c r="CE72" i="13"/>
  <c r="CE73" i="13" s="1"/>
  <c r="CE83" i="13"/>
  <c r="CE85" i="13"/>
  <c r="CE86" i="13"/>
  <c r="CE80" i="13"/>
  <c r="CF61" i="12"/>
  <c r="CF54" i="12"/>
  <c r="CK11" i="13"/>
  <c r="CK23" i="13"/>
  <c r="K32" i="47"/>
  <c r="N5" i="47"/>
  <c r="N111" i="47"/>
  <c r="CP189" i="2"/>
  <c r="CP198" i="2"/>
  <c r="CL204" i="2"/>
  <c r="CH222" i="2"/>
  <c r="CG222" i="2"/>
  <c r="CG213" i="2"/>
  <c r="CL10" i="12"/>
  <c r="CP6" i="12"/>
  <c r="CU59" i="12" s="1"/>
  <c r="CL66" i="12"/>
  <c r="CL59" i="12"/>
  <c r="CM66" i="12"/>
  <c r="CL9" i="12"/>
  <c r="CP208" i="2"/>
  <c r="CK199" i="2"/>
  <c r="CK190" i="2"/>
  <c r="CK213" i="2"/>
  <c r="CO213" i="2"/>
  <c r="CH52" i="12"/>
  <c r="CH60" i="12"/>
  <c r="CK51" i="12"/>
  <c r="CK50" i="12"/>
  <c r="CJ53" i="12"/>
  <c r="CM53" i="12"/>
  <c r="DP36" i="13" l="1"/>
  <c r="DQ36" i="13" s="1"/>
  <c r="DR36" i="13" s="1"/>
  <c r="DS36" i="13" s="1"/>
  <c r="DT36" i="13" s="1"/>
  <c r="DU36" i="13" s="1"/>
  <c r="DV36" i="13" s="1"/>
  <c r="S22" i="47"/>
  <c r="S75" i="47"/>
  <c r="Q24" i="47"/>
  <c r="R75" i="47"/>
  <c r="R76" i="47" s="1"/>
  <c r="R22" i="47"/>
  <c r="Q76" i="47"/>
  <c r="N100" i="47"/>
  <c r="CQ68" i="12"/>
  <c r="CT61" i="12"/>
  <c r="CK203" i="2"/>
  <c r="CK178" i="2"/>
  <c r="CK43" i="12" s="1"/>
  <c r="CJ54" i="12"/>
  <c r="CP69" i="13"/>
  <c r="I33" i="47"/>
  <c r="CF39" i="12"/>
  <c r="CF56" i="14"/>
  <c r="K119" i="47"/>
  <c r="CJ7" i="14"/>
  <c r="CN53" i="12"/>
  <c r="CN45" i="12"/>
  <c r="F70" i="47"/>
  <c r="G70" i="47"/>
  <c r="H70" i="47"/>
  <c r="J65" i="47"/>
  <c r="I69" i="47"/>
  <c r="I105" i="47" s="1"/>
  <c r="CK13" i="12"/>
  <c r="CK53" i="12" s="1"/>
  <c r="CI8" i="12"/>
  <c r="CI7" i="12" s="1"/>
  <c r="CI16" i="12"/>
  <c r="CI19" i="12" s="1"/>
  <c r="CI28" i="12" s="1"/>
  <c r="CK182" i="2"/>
  <c r="CK194" i="2"/>
  <c r="CK183" i="2"/>
  <c r="CK184" i="2"/>
  <c r="CK181" i="2"/>
  <c r="CJ21" i="12"/>
  <c r="CJ22" i="12"/>
  <c r="CI53" i="12"/>
  <c r="CJ68" i="12"/>
  <c r="CG19" i="12"/>
  <c r="CG28" i="12" s="1"/>
  <c r="CG54" i="12"/>
  <c r="CE74" i="13"/>
  <c r="CP13" i="13"/>
  <c r="CL11" i="13"/>
  <c r="CF52" i="12"/>
  <c r="CF60" i="12"/>
  <c r="CF21" i="12"/>
  <c r="CF62" i="12"/>
  <c r="CF56" i="12"/>
  <c r="CF22" i="12"/>
  <c r="CJ62" i="13"/>
  <c r="CL23" i="13"/>
  <c r="CK56" i="13"/>
  <c r="CK62" i="13" s="1"/>
  <c r="L32" i="47"/>
  <c r="O5" i="47"/>
  <c r="CP9" i="12"/>
  <c r="CP59" i="12"/>
  <c r="N119" i="47"/>
  <c r="CP10" i="12"/>
  <c r="CG53" i="12"/>
  <c r="CL213" i="2"/>
  <c r="CM222" i="2"/>
  <c r="CL13" i="12"/>
  <c r="CL222" i="2"/>
  <c r="CH22" i="12"/>
  <c r="CO53" i="12"/>
  <c r="CJ61" i="12"/>
  <c r="CJ45" i="12"/>
  <c r="CJ49" i="12"/>
  <c r="CN49" i="12"/>
  <c r="CM49" i="12"/>
  <c r="CM61" i="12"/>
  <c r="CM45" i="12"/>
  <c r="CR60" i="12" s="1"/>
  <c r="S76" i="47" l="1"/>
  <c r="S24" i="47"/>
  <c r="S108" i="47"/>
  <c r="R108" i="47"/>
  <c r="R24" i="47"/>
  <c r="DG125" i="2"/>
  <c r="DI125" i="2"/>
  <c r="DH125" i="2"/>
  <c r="O100" i="47"/>
  <c r="CU15" i="14"/>
  <c r="CS60" i="12"/>
  <c r="CM72" i="13"/>
  <c r="CM73" i="13" s="1"/>
  <c r="CM71" i="13"/>
  <c r="CM70" i="13"/>
  <c r="CP178" i="2"/>
  <c r="CF67" i="14"/>
  <c r="CK28" i="12"/>
  <c r="CI54" i="12"/>
  <c r="CP183" i="2"/>
  <c r="CP184" i="2"/>
  <c r="CP181" i="2"/>
  <c r="CP182" i="2"/>
  <c r="CG7" i="14"/>
  <c r="CG22" i="14" s="1"/>
  <c r="CI7" i="14"/>
  <c r="CK195" i="2"/>
  <c r="CO68" i="12"/>
  <c r="CN68" i="12"/>
  <c r="CK204" i="2"/>
  <c r="K65" i="47"/>
  <c r="J69" i="47"/>
  <c r="I70" i="47"/>
  <c r="CI24" i="13"/>
  <c r="CJ70" i="13" s="1"/>
  <c r="CI9" i="13"/>
  <c r="CJ71" i="13" s="1"/>
  <c r="CK8" i="12"/>
  <c r="CK49" i="12" s="1"/>
  <c r="CK186" i="2"/>
  <c r="CI48" i="14"/>
  <c r="CN61" i="12"/>
  <c r="CI68" i="12"/>
  <c r="CI61" i="12"/>
  <c r="CI45" i="12"/>
  <c r="CN60" i="12" s="1"/>
  <c r="CI49" i="12"/>
  <c r="CH62" i="12"/>
  <c r="CH21" i="12"/>
  <c r="CH56" i="12"/>
  <c r="CH48" i="14"/>
  <c r="CP43" i="13"/>
  <c r="CF29" i="12"/>
  <c r="CF63" i="12"/>
  <c r="CI69" i="12"/>
  <c r="CL56" i="13"/>
  <c r="CK15" i="12"/>
  <c r="CK57" i="14" s="1"/>
  <c r="CP18" i="13"/>
  <c r="M32" i="47"/>
  <c r="P5" i="47"/>
  <c r="Q5" i="47" s="1"/>
  <c r="R5" i="47" s="1"/>
  <c r="S5" i="47" s="1"/>
  <c r="CP50" i="12"/>
  <c r="CG45" i="12"/>
  <c r="CH68" i="12"/>
  <c r="CG61" i="12"/>
  <c r="CG68" i="12"/>
  <c r="CP51" i="12"/>
  <c r="CL8" i="12"/>
  <c r="CP13" i="12"/>
  <c r="CL53" i="12"/>
  <c r="CK7" i="12"/>
  <c r="CG49" i="12"/>
  <c r="CP213" i="2"/>
  <c r="CO49" i="12"/>
  <c r="CJ60" i="12"/>
  <c r="CJ52" i="12"/>
  <c r="CH63" i="12"/>
  <c r="CO61" i="12"/>
  <c r="CO45" i="12"/>
  <c r="CH49" i="14"/>
  <c r="CH29" i="12"/>
  <c r="CM60" i="12"/>
  <c r="CM52" i="12"/>
  <c r="CN52" i="12"/>
  <c r="CN67" i="12"/>
  <c r="DG129" i="2" l="1"/>
  <c r="DH129" i="2"/>
  <c r="DI129" i="2"/>
  <c r="DE15" i="13"/>
  <c r="P100" i="47"/>
  <c r="CZ27" i="13"/>
  <c r="CZ34" i="13"/>
  <c r="CZ32" i="13"/>
  <c r="J105" i="47"/>
  <c r="CP43" i="12"/>
  <c r="CU61" i="12" s="1"/>
  <c r="CO67" i="12"/>
  <c r="CQ67" i="12"/>
  <c r="CT60" i="12"/>
  <c r="CM74" i="13"/>
  <c r="CF68" i="14"/>
  <c r="CF69" i="14" s="1"/>
  <c r="CK61" i="12"/>
  <c r="CP186" i="2"/>
  <c r="CK45" i="12"/>
  <c r="J70" i="47"/>
  <c r="L65" i="47"/>
  <c r="K69" i="47"/>
  <c r="CJ16" i="14"/>
  <c r="CI16" i="14"/>
  <c r="CI19" i="14"/>
  <c r="CI30" i="13"/>
  <c r="CI35" i="13" s="1"/>
  <c r="CJ19" i="14"/>
  <c r="CJ67" i="12"/>
  <c r="CI67" i="12"/>
  <c r="CI60" i="12"/>
  <c r="CI52" i="12"/>
  <c r="CI22" i="12"/>
  <c r="CI70" i="12" s="1"/>
  <c r="CI62" i="12"/>
  <c r="CI21" i="12"/>
  <c r="CI56" i="12"/>
  <c r="CP31" i="13"/>
  <c r="CK16" i="12"/>
  <c r="CL62" i="13"/>
  <c r="CM56" i="13"/>
  <c r="N32" i="47"/>
  <c r="CP53" i="12"/>
  <c r="CL49" i="12"/>
  <c r="CP8" i="12"/>
  <c r="CP49" i="12" s="1"/>
  <c r="CL7" i="12"/>
  <c r="CH80" i="13"/>
  <c r="CG60" i="12"/>
  <c r="CG67" i="12"/>
  <c r="CH67" i="12"/>
  <c r="CG52" i="12"/>
  <c r="CG22" i="12"/>
  <c r="CL45" i="12"/>
  <c r="CQ60" i="12" s="1"/>
  <c r="CL61" i="12"/>
  <c r="CL68" i="12"/>
  <c r="CM68" i="12"/>
  <c r="CO60" i="12"/>
  <c r="CO52" i="12"/>
  <c r="CK35" i="13"/>
  <c r="CK24" i="13"/>
  <c r="CK70" i="13" s="1"/>
  <c r="CM30" i="13"/>
  <c r="CM35" i="13" s="1"/>
  <c r="CZ20" i="14" l="1"/>
  <c r="K105" i="47"/>
  <c r="CK56" i="14"/>
  <c r="CP9" i="13"/>
  <c r="CK60" i="12"/>
  <c r="CK52" i="12"/>
  <c r="CL9" i="13"/>
  <c r="CL24" i="13"/>
  <c r="CL10" i="13"/>
  <c r="K70" i="47"/>
  <c r="M65" i="47"/>
  <c r="L69" i="47"/>
  <c r="L105" i="47" s="1"/>
  <c r="CI29" i="12"/>
  <c r="CI49" i="14"/>
  <c r="CI63" i="12"/>
  <c r="CP33" i="13"/>
  <c r="CN56" i="13"/>
  <c r="CP35" i="13"/>
  <c r="CK17" i="12"/>
  <c r="CK58" i="14" s="1"/>
  <c r="CM62" i="13"/>
  <c r="CG69" i="12"/>
  <c r="CG48" i="14"/>
  <c r="CG21" i="12"/>
  <c r="CG62" i="12"/>
  <c r="CG56" i="12"/>
  <c r="CH69" i="12"/>
  <c r="CP7" i="12"/>
  <c r="CP45" i="12"/>
  <c r="CP61" i="12"/>
  <c r="CL67" i="12"/>
  <c r="CL60" i="12"/>
  <c r="CM67" i="12"/>
  <c r="CL52" i="12"/>
  <c r="CG63" i="12"/>
  <c r="CG70" i="12"/>
  <c r="CH70" i="12"/>
  <c r="CG29" i="12"/>
  <c r="CG49" i="14"/>
  <c r="CK30" i="13"/>
  <c r="CP10" i="13"/>
  <c r="CU17" i="14" s="1"/>
  <c r="CP24" i="13"/>
  <c r="CU26" i="13" l="1"/>
  <c r="CU19" i="14"/>
  <c r="CU32" i="12"/>
  <c r="CU16" i="14"/>
  <c r="CU60" i="12"/>
  <c r="CP70" i="13"/>
  <c r="CP72" i="13"/>
  <c r="CP71" i="13"/>
  <c r="L70" i="47"/>
  <c r="N65" i="47"/>
  <c r="M69" i="47"/>
  <c r="M105" i="47" s="1"/>
  <c r="CP56" i="14"/>
  <c r="CP11" i="13"/>
  <c r="CP23" i="13"/>
  <c r="CO56" i="13"/>
  <c r="CN62" i="13"/>
  <c r="CK54" i="12"/>
  <c r="CK19" i="12"/>
  <c r="CJ62" i="12"/>
  <c r="CJ69" i="12"/>
  <c r="CJ48" i="14"/>
  <c r="CJ56" i="12"/>
  <c r="CK19" i="14"/>
  <c r="CP60" i="12"/>
  <c r="CP52" i="12"/>
  <c r="CL30" i="13"/>
  <c r="CL35" i="13" s="1"/>
  <c r="N69" i="47" l="1"/>
  <c r="N105" i="47" s="1"/>
  <c r="O65" i="47"/>
  <c r="CU13" i="13"/>
  <c r="CU43" i="13"/>
  <c r="CU18" i="13"/>
  <c r="CP30" i="13"/>
  <c r="CM45" i="14"/>
  <c r="CM47" i="14" s="1"/>
  <c r="J33" i="47"/>
  <c r="CK39" i="12"/>
  <c r="CK7" i="14"/>
  <c r="M70" i="47"/>
  <c r="CU56" i="14"/>
  <c r="CP18" i="14"/>
  <c r="CJ63" i="12"/>
  <c r="CJ70" i="12"/>
  <c r="CO62" i="13"/>
  <c r="CP56" i="13"/>
  <c r="CP62" i="13" s="1"/>
  <c r="CJ29" i="12"/>
  <c r="CJ49" i="14"/>
  <c r="CK21" i="12"/>
  <c r="CK62" i="12"/>
  <c r="CK29" i="12"/>
  <c r="CK56" i="12"/>
  <c r="CK22" i="12"/>
  <c r="CP19" i="14"/>
  <c r="CH55" i="13"/>
  <c r="DJ15" i="13" l="1"/>
  <c r="DE34" i="13"/>
  <c r="DE27" i="13"/>
  <c r="DE32" i="13"/>
  <c r="N70" i="47"/>
  <c r="P65" i="47"/>
  <c r="O69" i="47"/>
  <c r="O105" i="47" s="1"/>
  <c r="CM51" i="14"/>
  <c r="CU31" i="13"/>
  <c r="CQ56" i="13"/>
  <c r="CK67" i="14"/>
  <c r="CK63" i="12"/>
  <c r="CH59" i="13"/>
  <c r="CH61" i="13"/>
  <c r="CH58" i="13"/>
  <c r="P69" i="47" l="1"/>
  <c r="P105" i="47" s="1"/>
  <c r="Q65" i="47"/>
  <c r="DE20" i="14"/>
  <c r="CZ32" i="12"/>
  <c r="O70" i="47"/>
  <c r="CU33" i="13"/>
  <c r="CQ62" i="13"/>
  <c r="CR56" i="13"/>
  <c r="CK68" i="14"/>
  <c r="CK69" i="14" s="1"/>
  <c r="CH65" i="13"/>
  <c r="CH64" i="13"/>
  <c r="P70" i="47" l="1"/>
  <c r="Q69" i="47"/>
  <c r="R65" i="47"/>
  <c r="CS56" i="13"/>
  <c r="CR62" i="13"/>
  <c r="CH85" i="13"/>
  <c r="R69" i="47" l="1"/>
  <c r="R105" i="47" s="1"/>
  <c r="S65" i="47"/>
  <c r="S69" i="47" s="1"/>
  <c r="DN15" i="13"/>
  <c r="R70" i="47"/>
  <c r="Q70" i="47"/>
  <c r="Q105" i="47"/>
  <c r="DJ27" i="13"/>
  <c r="CZ13" i="13"/>
  <c r="CZ26" i="13"/>
  <c r="CZ43" i="13"/>
  <c r="CZ18" i="13"/>
  <c r="CU18" i="14"/>
  <c r="CU14" i="14" s="1"/>
  <c r="CU11" i="13"/>
  <c r="CS62" i="13"/>
  <c r="CU23" i="13"/>
  <c r="CU35" i="13"/>
  <c r="CT56" i="13"/>
  <c r="CH86" i="13"/>
  <c r="DO15" i="13" l="1"/>
  <c r="S105" i="47"/>
  <c r="S70" i="47"/>
  <c r="DJ20" i="14"/>
  <c r="DJ34" i="13"/>
  <c r="DJ32" i="13"/>
  <c r="CU30" i="13"/>
  <c r="CU56" i="13"/>
  <c r="CT62" i="13"/>
  <c r="DF21" i="12" l="1"/>
  <c r="DE32" i="12"/>
  <c r="CV56" i="13"/>
  <c r="CV62" i="13" s="1"/>
  <c r="CZ31" i="13"/>
  <c r="CZ33" i="13"/>
  <c r="CU62" i="13"/>
  <c r="CH127" i="1"/>
  <c r="CH128" i="1" s="1"/>
  <c r="DN27" i="13" l="1"/>
  <c r="CW56" i="13"/>
  <c r="CW62" i="13" s="1"/>
  <c r="CH12" i="13"/>
  <c r="CH71" i="13"/>
  <c r="DN20" i="14" l="1"/>
  <c r="DO27" i="13"/>
  <c r="DO20" i="14"/>
  <c r="DN32" i="13"/>
  <c r="DE13" i="13"/>
  <c r="DE18" i="13"/>
  <c r="DE43" i="13"/>
  <c r="DE26" i="13"/>
  <c r="CX56" i="13"/>
  <c r="CX62" i="13" s="1"/>
  <c r="CH78" i="13"/>
  <c r="CH20" i="13"/>
  <c r="CH68" i="13"/>
  <c r="DO32" i="13" l="1"/>
  <c r="DP27" i="13"/>
  <c r="DP20" i="14"/>
  <c r="DN34" i="13"/>
  <c r="DO34" i="13" s="1"/>
  <c r="DP34" i="13" s="1"/>
  <c r="DQ34" i="13" s="1"/>
  <c r="DR34" i="13" s="1"/>
  <c r="CZ11" i="13"/>
  <c r="CZ23" i="13"/>
  <c r="CY56" i="13"/>
  <c r="CY62" i="13" s="1"/>
  <c r="CH75" i="13"/>
  <c r="CH83" i="13"/>
  <c r="DQ27" i="13" l="1"/>
  <c r="DQ20" i="14"/>
  <c r="DP32" i="13"/>
  <c r="DS34" i="13"/>
  <c r="DT34" i="13" s="1"/>
  <c r="DU34" i="13" s="1"/>
  <c r="DV34" i="13" s="1"/>
  <c r="DJ32" i="12"/>
  <c r="DE31" i="13"/>
  <c r="DE33" i="13"/>
  <c r="DA30" i="13"/>
  <c r="DA35" i="13" s="1"/>
  <c r="DA56" i="13"/>
  <c r="DA62" i="13" s="1"/>
  <c r="CZ18" i="14"/>
  <c r="CZ56" i="13"/>
  <c r="CZ62" i="13" s="1"/>
  <c r="DQ32" i="13" l="1"/>
  <c r="DR27" i="13"/>
  <c r="DR20" i="14"/>
  <c r="DB56" i="13"/>
  <c r="DB62" i="13" s="1"/>
  <c r="H14" i="47"/>
  <c r="H17" i="47" s="1"/>
  <c r="DR32" i="13" l="1"/>
  <c r="DS27" i="13"/>
  <c r="DT27" i="13" s="1"/>
  <c r="DJ26" i="13"/>
  <c r="DJ43" i="13"/>
  <c r="DJ13" i="13"/>
  <c r="DJ18" i="13"/>
  <c r="DC56" i="13"/>
  <c r="DC62" i="13" s="1"/>
  <c r="H24" i="47"/>
  <c r="H6" i="47" s="1"/>
  <c r="H106" i="47"/>
  <c r="I14" i="47"/>
  <c r="I17" i="47" s="1"/>
  <c r="DU27" i="13" l="1"/>
  <c r="DU20" i="14"/>
  <c r="DS20" i="14"/>
  <c r="DT20" i="14" s="1"/>
  <c r="DS32" i="13"/>
  <c r="DN32" i="12"/>
  <c r="DP32" i="12" s="1"/>
  <c r="DE23" i="13"/>
  <c r="DE35" i="13"/>
  <c r="DD56" i="13"/>
  <c r="DD62" i="13" s="1"/>
  <c r="I24" i="47"/>
  <c r="I6" i="47" s="1"/>
  <c r="I106" i="47"/>
  <c r="H25" i="47"/>
  <c r="H28" i="47" s="1"/>
  <c r="H7" i="47"/>
  <c r="DT32" i="13" l="1"/>
  <c r="DV27" i="13"/>
  <c r="DV20" i="14"/>
  <c r="DQ32" i="12"/>
  <c r="DO32" i="12"/>
  <c r="DJ33" i="13"/>
  <c r="DJ31" i="13"/>
  <c r="DE18" i="14"/>
  <c r="DE30" i="13"/>
  <c r="DE56" i="13"/>
  <c r="DE11" i="13"/>
  <c r="J14" i="47"/>
  <c r="J17" i="47" s="1"/>
  <c r="J24" i="47" s="1"/>
  <c r="H30" i="47"/>
  <c r="I25" i="47"/>
  <c r="I28" i="47" s="1"/>
  <c r="I7" i="47"/>
  <c r="K14" i="47"/>
  <c r="K17" i="47" s="1"/>
  <c r="DU32" i="13" l="1"/>
  <c r="DR32" i="12"/>
  <c r="DN26" i="13"/>
  <c r="DO26" i="13" s="1"/>
  <c r="DN13" i="13"/>
  <c r="DN43" i="13"/>
  <c r="DN18" i="13"/>
  <c r="DE62" i="13"/>
  <c r="J6" i="47"/>
  <c r="J7" i="47" s="1"/>
  <c r="J34" i="47"/>
  <c r="J106" i="47"/>
  <c r="K24" i="47"/>
  <c r="K106" i="47"/>
  <c r="I30" i="47"/>
  <c r="L14" i="47"/>
  <c r="L17" i="47" s="1"/>
  <c r="DP26" i="13" l="1"/>
  <c r="DO43" i="13"/>
  <c r="DO18" i="13"/>
  <c r="DO13" i="13"/>
  <c r="DV32" i="13"/>
  <c r="J25" i="47"/>
  <c r="J28" i="47" s="1"/>
  <c r="J30" i="47" s="1"/>
  <c r="DS32" i="12"/>
  <c r="K34" i="47"/>
  <c r="K6" i="47"/>
  <c r="K7" i="47" s="1"/>
  <c r="L24" i="47"/>
  <c r="L6" i="47" s="1"/>
  <c r="L106" i="47"/>
  <c r="M14" i="47"/>
  <c r="M17" i="47" s="1"/>
  <c r="DP43" i="13" l="1"/>
  <c r="DP13" i="13"/>
  <c r="DQ26" i="13"/>
  <c r="DT32" i="12"/>
  <c r="DU32" i="12" s="1"/>
  <c r="DN33" i="13"/>
  <c r="DN31" i="13"/>
  <c r="DO31" i="13" s="1"/>
  <c r="DJ23" i="13"/>
  <c r="DJ35" i="13"/>
  <c r="K25" i="47"/>
  <c r="K28" i="47" s="1"/>
  <c r="K30" i="47" s="1"/>
  <c r="L7" i="47"/>
  <c r="M24" i="47"/>
  <c r="M106" i="47"/>
  <c r="L25" i="47"/>
  <c r="L28" i="47" s="1"/>
  <c r="N14" i="47"/>
  <c r="N17" i="47" s="1"/>
  <c r="DR26" i="13" l="1"/>
  <c r="DO33" i="13"/>
  <c r="DQ13" i="13"/>
  <c r="DQ43" i="13"/>
  <c r="DP31" i="13"/>
  <c r="DV32" i="12"/>
  <c r="M6" i="47"/>
  <c r="M7" i="47" s="1"/>
  <c r="DJ11" i="13"/>
  <c r="DJ30" i="13"/>
  <c r="DJ56" i="13"/>
  <c r="DJ62" i="13" s="1"/>
  <c r="N24" i="47"/>
  <c r="N106" i="47"/>
  <c r="L30" i="47"/>
  <c r="P14" i="47"/>
  <c r="P17" i="47" s="1"/>
  <c r="O14" i="47"/>
  <c r="O17" i="47" s="1"/>
  <c r="DR13" i="13" l="1"/>
  <c r="DP33" i="13"/>
  <c r="DR43" i="13"/>
  <c r="M25" i="47"/>
  <c r="M28" i="47" s="1"/>
  <c r="M30" i="47" s="1"/>
  <c r="DS26" i="13"/>
  <c r="DR19" i="14"/>
  <c r="DQ31" i="13"/>
  <c r="N6" i="47"/>
  <c r="N7" i="47" s="1"/>
  <c r="DJ18" i="14"/>
  <c r="O24" i="47"/>
  <c r="O6" i="47" s="1"/>
  <c r="O106" i="47"/>
  <c r="P24" i="47"/>
  <c r="P106" i="47"/>
  <c r="N25" i="47"/>
  <c r="N28" i="47" s="1"/>
  <c r="DQ33" i="13" l="1"/>
  <c r="DS43" i="13"/>
  <c r="DT26" i="13"/>
  <c r="DS19" i="14"/>
  <c r="O7" i="47"/>
  <c r="DS13" i="13"/>
  <c r="DR31" i="13"/>
  <c r="DN23" i="13"/>
  <c r="DO23" i="13" s="1"/>
  <c r="N30" i="47"/>
  <c r="O25" i="47"/>
  <c r="O28" i="47" s="1"/>
  <c r="P6" i="47"/>
  <c r="DU26" i="13" l="1"/>
  <c r="DT13" i="13"/>
  <c r="DT43" i="13"/>
  <c r="DP23" i="13"/>
  <c r="DO56" i="13"/>
  <c r="DO62" i="13" s="1"/>
  <c r="DR33" i="13"/>
  <c r="DS31" i="13"/>
  <c r="DN30" i="13"/>
  <c r="DN56" i="13"/>
  <c r="DN62" i="13" s="1"/>
  <c r="P25" i="47"/>
  <c r="P28" i="47" s="1"/>
  <c r="P30" i="47" s="1"/>
  <c r="Q6" i="47"/>
  <c r="O30" i="47"/>
  <c r="CK15" i="14"/>
  <c r="DS33" i="13" l="1"/>
  <c r="DU13" i="13"/>
  <c r="DU43" i="13"/>
  <c r="DN35" i="13"/>
  <c r="DO35" i="13" s="1"/>
  <c r="DO30" i="13"/>
  <c r="DP56" i="13"/>
  <c r="DP62" i="13" s="1"/>
  <c r="DQ23" i="13"/>
  <c r="DV26" i="13"/>
  <c r="DT31" i="13"/>
  <c r="DN11" i="13"/>
  <c r="DO11" i="13" s="1"/>
  <c r="Q25" i="47"/>
  <c r="Q28" i="47" s="1"/>
  <c r="Q30" i="47" s="1"/>
  <c r="R6" i="47"/>
  <c r="CK8" i="13"/>
  <c r="CK69" i="13" s="1"/>
  <c r="DV43" i="13" l="1"/>
  <c r="DQ30" i="13"/>
  <c r="DQ35" i="13" s="1"/>
  <c r="DQ56" i="13"/>
  <c r="DQ62" i="13" s="1"/>
  <c r="DR23" i="13"/>
  <c r="DV13" i="13"/>
  <c r="DP11" i="13"/>
  <c r="DP18" i="14" s="1"/>
  <c r="DT33" i="13"/>
  <c r="DU31" i="13"/>
  <c r="R25" i="47"/>
  <c r="R28" i="47" s="1"/>
  <c r="R30" i="47" s="1"/>
  <c r="S6" i="47"/>
  <c r="S25" i="47" s="1"/>
  <c r="S28" i="47" s="1"/>
  <c r="S30" i="47" s="1"/>
  <c r="DN18" i="14"/>
  <c r="DQ11" i="13" l="1"/>
  <c r="DQ18" i="14" s="1"/>
  <c r="DS23" i="13"/>
  <c r="DR56" i="13"/>
  <c r="DR62" i="13" s="1"/>
  <c r="DR30" i="13"/>
  <c r="DR35" i="13" s="1"/>
  <c r="DU33" i="13"/>
  <c r="DV31" i="13"/>
  <c r="DO18" i="14"/>
  <c r="CP15" i="14"/>
  <c r="DT23" i="13" l="1"/>
  <c r="DS30" i="13"/>
  <c r="DS56" i="13"/>
  <c r="DS62" i="13" s="1"/>
  <c r="DV33" i="13"/>
  <c r="DR11" i="13"/>
  <c r="DS11" i="13" l="1"/>
  <c r="DR18" i="14"/>
  <c r="DU23" i="13"/>
  <c r="DT56" i="13"/>
  <c r="DT62" i="13" s="1"/>
  <c r="DS35" i="13"/>
  <c r="DT35" i="13" s="1"/>
  <c r="DT30" i="13"/>
  <c r="CK9" i="13"/>
  <c r="CK71" i="13" s="1"/>
  <c r="DV23" i="13" l="1"/>
  <c r="DU56" i="13"/>
  <c r="DU62" i="13" s="1"/>
  <c r="DR14" i="14"/>
  <c r="DT11" i="13"/>
  <c r="DS18" i="14"/>
  <c r="DS14" i="14" s="1"/>
  <c r="CK16" i="14"/>
  <c r="DT18" i="14" l="1"/>
  <c r="DU11" i="13"/>
  <c r="DU18" i="14" s="1"/>
  <c r="DV56" i="13"/>
  <c r="DV62" i="13" s="1"/>
  <c r="CP16" i="14"/>
  <c r="CI73" i="13"/>
  <c r="CI10" i="13" s="1"/>
  <c r="CJ72" i="13" s="1"/>
  <c r="DV11" i="13" l="1"/>
  <c r="DV18" i="14"/>
  <c r="CI17" i="14"/>
  <c r="CI14" i="14" s="1"/>
  <c r="CI74" i="13"/>
  <c r="CI22" i="14" l="1"/>
  <c r="CJ73" i="13"/>
  <c r="CJ17" i="14" s="1"/>
  <c r="CJ14" i="14" s="1"/>
  <c r="CJ22" i="14" s="1"/>
  <c r="CJ74" i="13" l="1"/>
  <c r="CK17" i="14"/>
  <c r="CK14" i="14" s="1"/>
  <c r="CK10" i="13"/>
  <c r="CK72" i="13" s="1"/>
  <c r="CP73" i="13" l="1"/>
  <c r="CP74" i="13" s="1"/>
  <c r="CK73" i="13"/>
  <c r="CK74" i="13" s="1"/>
  <c r="CK22" i="14" l="1"/>
  <c r="CP17" i="14"/>
  <c r="CP14" i="14" s="1"/>
  <c r="CK23" i="14" l="1"/>
  <c r="CK45" i="14" l="1"/>
  <c r="CK47" i="14" s="1"/>
  <c r="CK50" i="14" s="1"/>
  <c r="CK51" i="14" l="1"/>
  <c r="CK48" i="14"/>
  <c r="CK49" i="14"/>
  <c r="CF45" i="14" l="1"/>
  <c r="CF47" i="14" s="1"/>
  <c r="CF50" i="14" s="1"/>
  <c r="CF22" i="14"/>
  <c r="CF49" i="14" l="1"/>
  <c r="CF51" i="14"/>
  <c r="CF48" i="14"/>
  <c r="CG36" i="12"/>
  <c r="CG34" i="14"/>
  <c r="CG37" i="14" l="1"/>
  <c r="CG41" i="14" s="1"/>
  <c r="CH36" i="12"/>
  <c r="CI36" i="12"/>
  <c r="CH34" i="14"/>
  <c r="CI34" i="14"/>
  <c r="CI37" i="14" l="1"/>
  <c r="CI41" i="14" s="1"/>
  <c r="CI7" i="13" s="1"/>
  <c r="CI39" i="13"/>
  <c r="CH37" i="14"/>
  <c r="CH41" i="14" s="1"/>
  <c r="CI12" i="13" l="1"/>
  <c r="CI68" i="13" s="1"/>
  <c r="CI53" i="13"/>
  <c r="CI54" i="13" s="1"/>
  <c r="CI78" i="13" l="1"/>
  <c r="CI20" i="13"/>
  <c r="CI41" i="13" s="1"/>
  <c r="CI63" i="13"/>
  <c r="CI57" i="13"/>
  <c r="CI80" i="13" s="1"/>
  <c r="CJ36" i="12"/>
  <c r="CK35" i="12"/>
  <c r="CJ34" i="14"/>
  <c r="CF35" i="12" l="1"/>
  <c r="CI83" i="13"/>
  <c r="CI75" i="13"/>
  <c r="CI42" i="13"/>
  <c r="CK36" i="12"/>
  <c r="CK39" i="13"/>
  <c r="CJ37" i="14"/>
  <c r="CK34" i="14"/>
  <c r="CI55" i="13" l="1"/>
  <c r="CI44" i="13"/>
  <c r="CJ41" i="14"/>
  <c r="CK41" i="14"/>
  <c r="CK37" i="14"/>
  <c r="CM37" i="14"/>
  <c r="CM41" i="14" s="1"/>
  <c r="CJ53" i="13" l="1"/>
  <c r="CJ54" i="13" s="1"/>
  <c r="CI61" i="13"/>
  <c r="CI58" i="13"/>
  <c r="CI85" i="13"/>
  <c r="CI59" i="13"/>
  <c r="CK7" i="13"/>
  <c r="CJ68" i="13"/>
  <c r="CK12" i="13"/>
  <c r="CJ78" i="13"/>
  <c r="CJ63" i="13" l="1"/>
  <c r="CJ57" i="13"/>
  <c r="CJ80" i="13" s="1"/>
  <c r="CK53" i="13"/>
  <c r="CJ75" i="13"/>
  <c r="CI64" i="13"/>
  <c r="CI86" i="13"/>
  <c r="CI65" i="13"/>
  <c r="CJ83" i="13"/>
  <c r="CO41" i="14"/>
  <c r="CK78" i="13"/>
  <c r="CK20" i="13"/>
  <c r="CK68" i="13"/>
  <c r="CK57" i="13" l="1"/>
  <c r="CK80" i="13" s="1"/>
  <c r="CK42" i="14"/>
  <c r="CK54" i="13"/>
  <c r="CK63" i="13"/>
  <c r="CK75" i="13"/>
  <c r="CK41" i="13"/>
  <c r="CK83" i="13"/>
  <c r="CM16" i="12" l="1"/>
  <c r="CM54" i="12" s="1"/>
  <c r="CL16" i="12"/>
  <c r="CL54" i="12" s="1"/>
  <c r="CM12" i="13"/>
  <c r="CM78" i="13" s="1"/>
  <c r="CM53" i="13"/>
  <c r="CM57" i="13" s="1"/>
  <c r="CK42" i="13"/>
  <c r="CJ55" i="13"/>
  <c r="CN53" i="13" l="1"/>
  <c r="CN63" i="13" s="1"/>
  <c r="CL19" i="12"/>
  <c r="CL28" i="12" s="1"/>
  <c r="CN68" i="13"/>
  <c r="CM20" i="13"/>
  <c r="CM63" i="13"/>
  <c r="CM54" i="13"/>
  <c r="CM68" i="13"/>
  <c r="CM80" i="13"/>
  <c r="CK44" i="13"/>
  <c r="CK55" i="13"/>
  <c r="CJ85" i="13"/>
  <c r="CJ61" i="13"/>
  <c r="CJ58" i="13"/>
  <c r="CJ59" i="13"/>
  <c r="CN54" i="13" l="1"/>
  <c r="CN57" i="13"/>
  <c r="CN80" i="13" s="1"/>
  <c r="CL55" i="12"/>
  <c r="CO53" i="13"/>
  <c r="CO54" i="13" s="1"/>
  <c r="CP7" i="13"/>
  <c r="CO68" i="13"/>
  <c r="CP16" i="12"/>
  <c r="CL21" i="12"/>
  <c r="CL22" i="12"/>
  <c r="CL63" i="12" s="1"/>
  <c r="CL62" i="12"/>
  <c r="CL56" i="12"/>
  <c r="CL69" i="12"/>
  <c r="CL48" i="14"/>
  <c r="CN78" i="13"/>
  <c r="CM19" i="12"/>
  <c r="CM28" i="12" s="1"/>
  <c r="CJ64" i="13"/>
  <c r="CJ86" i="13"/>
  <c r="CJ65" i="13"/>
  <c r="CL49" i="14"/>
  <c r="CL29" i="12"/>
  <c r="CK86" i="13"/>
  <c r="CK85" i="13"/>
  <c r="CK58" i="13"/>
  <c r="CK61" i="13"/>
  <c r="CK59" i="13"/>
  <c r="CP53" i="13" l="1"/>
  <c r="CP63" i="13" s="1"/>
  <c r="CP43" i="14"/>
  <c r="CO43" i="14" s="1"/>
  <c r="CN75" i="13"/>
  <c r="CM55" i="12"/>
  <c r="CO57" i="13"/>
  <c r="CO80" i="13" s="1"/>
  <c r="CO63" i="13"/>
  <c r="CP15" i="12"/>
  <c r="CL70" i="12"/>
  <c r="CO75" i="13"/>
  <c r="CP12" i="13"/>
  <c r="CP78" i="13" s="1"/>
  <c r="CO78" i="13"/>
  <c r="CM42" i="13"/>
  <c r="CK84" i="13"/>
  <c r="CK64" i="13"/>
  <c r="CK65" i="13"/>
  <c r="CM56" i="12"/>
  <c r="CM48" i="14"/>
  <c r="CM69" i="12"/>
  <c r="CM62" i="12"/>
  <c r="CM21" i="12"/>
  <c r="CM22" i="12"/>
  <c r="CP54" i="13"/>
  <c r="CP57" i="13"/>
  <c r="CN43" i="14" l="1"/>
  <c r="CO42" i="14"/>
  <c r="CN28" i="12"/>
  <c r="CP57" i="14"/>
  <c r="CP20" i="13"/>
  <c r="CP68" i="13"/>
  <c r="CP17" i="12"/>
  <c r="CM44" i="13"/>
  <c r="CM55" i="13"/>
  <c r="CP80" i="13"/>
  <c r="CM49" i="14"/>
  <c r="CM29" i="12"/>
  <c r="CM63" i="12"/>
  <c r="CM70" i="12"/>
  <c r="CM36" i="12"/>
  <c r="CN69" i="12"/>
  <c r="CN56" i="12"/>
  <c r="CN83" i="13"/>
  <c r="CN62" i="12"/>
  <c r="CN48" i="14"/>
  <c r="CM43" i="14" l="1"/>
  <c r="CN42" i="14"/>
  <c r="CQ78" i="13"/>
  <c r="CQ75" i="13"/>
  <c r="CQ68" i="13"/>
  <c r="CR53" i="13"/>
  <c r="CQ54" i="13"/>
  <c r="CQ57" i="13"/>
  <c r="CQ80" i="13" s="1"/>
  <c r="CQ63" i="13"/>
  <c r="CN55" i="12"/>
  <c r="CO28" i="12"/>
  <c r="CO55" i="12" s="1"/>
  <c r="CP54" i="12"/>
  <c r="CO21" i="12"/>
  <c r="CO83" i="13"/>
  <c r="CP19" i="12"/>
  <c r="CP58" i="14"/>
  <c r="CO48" i="14"/>
  <c r="CN55" i="13"/>
  <c r="CO62" i="12"/>
  <c r="CO69" i="12"/>
  <c r="CO22" i="12"/>
  <c r="CP41" i="13"/>
  <c r="CO56" i="12"/>
  <c r="CN29" i="12"/>
  <c r="CN49" i="14"/>
  <c r="CM58" i="13"/>
  <c r="CM61" i="13"/>
  <c r="CM59" i="13"/>
  <c r="CN63" i="12"/>
  <c r="CN70" i="12"/>
  <c r="CN36" i="12"/>
  <c r="CL43" i="14" l="1"/>
  <c r="CL42" i="14" s="1"/>
  <c r="CK43" i="14" s="1"/>
  <c r="CM42" i="14"/>
  <c r="CP28" i="12"/>
  <c r="CR54" i="13"/>
  <c r="CR57" i="13"/>
  <c r="CR80" i="13" s="1"/>
  <c r="CR63" i="13"/>
  <c r="CS53" i="13"/>
  <c r="CR68" i="13"/>
  <c r="CR78" i="13"/>
  <c r="CO29" i="12"/>
  <c r="CO36" i="12"/>
  <c r="CP56" i="12"/>
  <c r="K33" i="47"/>
  <c r="CP83" i="13"/>
  <c r="CP62" i="12"/>
  <c r="CP21" i="12"/>
  <c r="CO49" i="14"/>
  <c r="CP22" i="12"/>
  <c r="CP39" i="13"/>
  <c r="CO70" i="12"/>
  <c r="CP7" i="14"/>
  <c r="CO63" i="12"/>
  <c r="CN61" i="13"/>
  <c r="CN86" i="13" s="1"/>
  <c r="CN58" i="13"/>
  <c r="CN59" i="13"/>
  <c r="CN85" i="13"/>
  <c r="CM64" i="13"/>
  <c r="CM65" i="13"/>
  <c r="CR75" i="13" l="1"/>
  <c r="CP55" i="12"/>
  <c r="CP61" i="14" s="1"/>
  <c r="CP29" i="12"/>
  <c r="CQ62" i="12"/>
  <c r="CS68" i="13"/>
  <c r="CS78" i="13"/>
  <c r="CS54" i="13"/>
  <c r="CS57" i="13"/>
  <c r="CS80" i="13" s="1"/>
  <c r="CS63" i="13"/>
  <c r="CU7" i="13"/>
  <c r="CT53" i="13"/>
  <c r="CP63" i="12"/>
  <c r="CP22" i="14"/>
  <c r="CO55" i="13"/>
  <c r="CP42" i="13"/>
  <c r="CN64" i="13"/>
  <c r="CN65" i="13"/>
  <c r="CV53" i="13" l="1"/>
  <c r="CP60" i="14"/>
  <c r="CP67" i="14" s="1"/>
  <c r="CP68" i="14" s="1"/>
  <c r="CP69" i="14" s="1"/>
  <c r="CQ28" i="12"/>
  <c r="CQ55" i="12" s="1"/>
  <c r="CQ69" i="12"/>
  <c r="CQ56" i="12"/>
  <c r="CQ83" i="13"/>
  <c r="CQ48" i="14"/>
  <c r="CR69" i="12"/>
  <c r="CR83" i="13"/>
  <c r="CR48" i="14"/>
  <c r="CR56" i="12"/>
  <c r="CR62" i="12"/>
  <c r="CR28" i="12"/>
  <c r="CS75" i="13"/>
  <c r="CU12" i="13"/>
  <c r="CT78" i="13"/>
  <c r="CT68" i="13"/>
  <c r="CT75" i="13"/>
  <c r="CT54" i="13"/>
  <c r="CT57" i="13"/>
  <c r="CT80" i="13" s="1"/>
  <c r="CT63" i="13"/>
  <c r="CU15" i="12"/>
  <c r="CU53" i="13"/>
  <c r="CP23" i="14"/>
  <c r="CP45" i="14" s="1"/>
  <c r="CP47" i="14" s="1"/>
  <c r="CP55" i="13"/>
  <c r="CP86" i="13" s="1"/>
  <c r="CP44" i="13"/>
  <c r="CO61" i="13"/>
  <c r="CO86" i="13" s="1"/>
  <c r="CO58" i="13"/>
  <c r="CO59" i="13"/>
  <c r="CO85" i="13"/>
  <c r="CU17" i="12" l="1"/>
  <c r="CV78" i="13"/>
  <c r="CV68" i="13"/>
  <c r="CV54" i="13"/>
  <c r="CV57" i="13"/>
  <c r="CV63" i="13"/>
  <c r="CW53" i="13"/>
  <c r="CR70" i="12"/>
  <c r="CQ29" i="12"/>
  <c r="CQ36" i="12"/>
  <c r="CQ49" i="14"/>
  <c r="CQ55" i="13"/>
  <c r="CQ70" i="12"/>
  <c r="CQ63" i="12"/>
  <c r="CP51" i="14"/>
  <c r="CU16" i="12"/>
  <c r="CU54" i="12" s="1"/>
  <c r="L33" i="47" s="1"/>
  <c r="L34" i="47" s="1"/>
  <c r="CS48" i="14"/>
  <c r="CS56" i="12"/>
  <c r="CS69" i="12"/>
  <c r="CS22" i="12"/>
  <c r="CS21" i="12"/>
  <c r="CS62" i="12"/>
  <c r="CR63" i="12"/>
  <c r="CR36" i="12"/>
  <c r="CR55" i="12"/>
  <c r="CR49" i="14"/>
  <c r="CR29" i="12"/>
  <c r="CS83" i="13"/>
  <c r="CU54" i="13"/>
  <c r="CU57" i="13"/>
  <c r="CU80" i="13" s="1"/>
  <c r="CU63" i="13"/>
  <c r="CU57" i="14"/>
  <c r="CU68" i="13"/>
  <c r="CU78" i="13"/>
  <c r="CU20" i="13"/>
  <c r="CP48" i="14"/>
  <c r="CP49" i="14"/>
  <c r="CO64" i="13"/>
  <c r="CO65" i="13"/>
  <c r="CP61" i="13"/>
  <c r="CP58" i="13"/>
  <c r="CP59" i="13"/>
  <c r="CP85" i="13"/>
  <c r="CU58" i="14" l="1"/>
  <c r="CV75" i="13"/>
  <c r="CW54" i="13"/>
  <c r="CW57" i="13"/>
  <c r="CW63" i="13"/>
  <c r="CX53" i="13"/>
  <c r="CV80" i="13"/>
  <c r="CW68" i="13"/>
  <c r="CW78" i="13"/>
  <c r="CU19" i="12"/>
  <c r="CU83" i="13" s="1"/>
  <c r="CT69" i="12"/>
  <c r="CT48" i="14"/>
  <c r="CT28" i="12"/>
  <c r="CT83" i="13"/>
  <c r="CT56" i="12"/>
  <c r="CT62" i="12"/>
  <c r="CS55" i="12"/>
  <c r="CS49" i="14"/>
  <c r="CS29" i="12"/>
  <c r="CS70" i="12"/>
  <c r="CS36" i="12"/>
  <c r="CS63" i="12"/>
  <c r="CR55" i="13"/>
  <c r="CP84" i="13"/>
  <c r="CQ59" i="13"/>
  <c r="CQ61" i="13"/>
  <c r="CQ86" i="13" s="1"/>
  <c r="CQ58" i="13"/>
  <c r="CQ85" i="13"/>
  <c r="CP64" i="13"/>
  <c r="CP65" i="13"/>
  <c r="CU28" i="12" l="1"/>
  <c r="CU29" i="12" s="1"/>
  <c r="CT29" i="12"/>
  <c r="CW80" i="13"/>
  <c r="CV48" i="14"/>
  <c r="CV62" i="12"/>
  <c r="CV22" i="12"/>
  <c r="CV69" i="12"/>
  <c r="CV21" i="12"/>
  <c r="CV56" i="12"/>
  <c r="CV28" i="12"/>
  <c r="CV83" i="13"/>
  <c r="CW75" i="13"/>
  <c r="CZ7" i="13"/>
  <c r="CY53" i="13"/>
  <c r="CX54" i="13"/>
  <c r="CX57" i="13"/>
  <c r="CX63" i="13"/>
  <c r="CU56" i="12"/>
  <c r="CU21" i="12"/>
  <c r="CU62" i="12"/>
  <c r="CU22" i="12"/>
  <c r="CU7" i="14"/>
  <c r="CT49" i="14"/>
  <c r="CT55" i="12"/>
  <c r="CT70" i="12"/>
  <c r="CT63" i="12"/>
  <c r="CT36" i="12"/>
  <c r="CS55" i="13"/>
  <c r="CU41" i="13"/>
  <c r="CU39" i="13"/>
  <c r="CQ65" i="13"/>
  <c r="CQ64" i="13"/>
  <c r="CR58" i="13"/>
  <c r="CR85" i="13"/>
  <c r="CR59" i="13"/>
  <c r="CR61" i="13"/>
  <c r="CV55" i="12" l="1"/>
  <c r="DA53" i="13"/>
  <c r="DA12" i="13"/>
  <c r="CU55" i="12"/>
  <c r="CU60" i="14" s="1"/>
  <c r="CY54" i="13"/>
  <c r="CY57" i="13"/>
  <c r="CY63" i="13"/>
  <c r="CX80" i="13"/>
  <c r="CZ53" i="13"/>
  <c r="CW22" i="12"/>
  <c r="CW48" i="14"/>
  <c r="CW21" i="12"/>
  <c r="CW28" i="12"/>
  <c r="CW62" i="12"/>
  <c r="CW69" i="12"/>
  <c r="CW56" i="12"/>
  <c r="CW83" i="13"/>
  <c r="CV29" i="12"/>
  <c r="CV49" i="14"/>
  <c r="CZ15" i="12"/>
  <c r="CV63" i="12"/>
  <c r="CV36" i="12"/>
  <c r="CV70" i="12"/>
  <c r="CU63" i="12"/>
  <c r="CU36" i="12"/>
  <c r="CU22" i="14"/>
  <c r="CR64" i="13"/>
  <c r="CR65" i="13"/>
  <c r="CR86" i="13"/>
  <c r="CS61" i="13"/>
  <c r="CS86" i="13" s="1"/>
  <c r="CS58" i="13"/>
  <c r="CS59" i="13"/>
  <c r="CS85" i="13"/>
  <c r="DA78" i="13" l="1"/>
  <c r="DA20" i="13"/>
  <c r="DA68" i="13"/>
  <c r="DA54" i="13"/>
  <c r="DA57" i="13"/>
  <c r="DA80" i="13" s="1"/>
  <c r="DA63" i="13"/>
  <c r="CU61" i="14"/>
  <c r="CU67" i="14" s="1"/>
  <c r="CZ57" i="14"/>
  <c r="CW63" i="12"/>
  <c r="CW70" i="12"/>
  <c r="CW36" i="12"/>
  <c r="CV55" i="13"/>
  <c r="CW49" i="14"/>
  <c r="CW29" i="12"/>
  <c r="CZ63" i="13"/>
  <c r="CZ54" i="13"/>
  <c r="CZ57" i="13"/>
  <c r="CY80" i="13"/>
  <c r="CW55" i="12"/>
  <c r="CU23" i="14"/>
  <c r="CU42" i="13"/>
  <c r="CT55" i="13"/>
  <c r="CS64" i="13"/>
  <c r="CS65" i="13"/>
  <c r="CF36" i="12"/>
  <c r="CF34" i="14"/>
  <c r="CW55" i="13" l="1"/>
  <c r="CV61" i="13"/>
  <c r="CV58" i="13"/>
  <c r="CV59" i="13"/>
  <c r="CU68" i="14"/>
  <c r="CU41" i="14"/>
  <c r="CU45" i="14"/>
  <c r="CU47" i="14" s="1"/>
  <c r="CU50" i="14" s="1"/>
  <c r="CT61" i="13"/>
  <c r="CT58" i="13"/>
  <c r="CT59" i="13"/>
  <c r="CT85" i="13"/>
  <c r="CU55" i="13"/>
  <c r="CV85" i="13" s="1"/>
  <c r="CU44" i="13"/>
  <c r="CF37" i="14"/>
  <c r="CF41" i="14" s="1"/>
  <c r="CV64" i="13" l="1"/>
  <c r="CV65" i="13"/>
  <c r="CW58" i="13"/>
  <c r="CW61" i="13"/>
  <c r="CW86" i="13" s="1"/>
  <c r="CW59" i="13"/>
  <c r="CW85" i="13"/>
  <c r="CU51" i="14"/>
  <c r="CU48" i="14"/>
  <c r="CU49" i="14"/>
  <c r="CU69" i="14"/>
  <c r="CU86" i="13"/>
  <c r="CU58" i="13"/>
  <c r="CU61" i="13"/>
  <c r="CU59" i="13"/>
  <c r="CU85" i="13"/>
  <c r="CT64" i="13"/>
  <c r="CT65" i="13"/>
  <c r="CT86" i="13"/>
  <c r="CV86" i="13" l="1"/>
  <c r="CW64" i="13"/>
  <c r="CW65" i="13"/>
  <c r="CU84" i="13"/>
  <c r="CU64" i="13"/>
  <c r="CU65" i="13"/>
  <c r="J44" i="47"/>
  <c r="J45" i="47" s="1"/>
  <c r="J52" i="47"/>
  <c r="J53" i="47" l="1"/>
  <c r="K53" i="47"/>
  <c r="K45" i="47"/>
  <c r="G79" i="47"/>
  <c r="G99" i="47" s="1"/>
  <c r="G71" i="47"/>
  <c r="H71" i="47" s="1"/>
  <c r="G73" i="47"/>
  <c r="G107" i="47" s="1"/>
  <c r="G109" i="47" s="1"/>
  <c r="G110" i="47" l="1"/>
  <c r="I71" i="47"/>
  <c r="F71" i="47"/>
  <c r="F73" i="47"/>
  <c r="H73" i="47"/>
  <c r="H77" i="47" l="1"/>
  <c r="H107" i="47"/>
  <c r="H109" i="47" s="1"/>
  <c r="F77" i="47"/>
  <c r="E73" i="47"/>
  <c r="F107" i="47"/>
  <c r="F109" i="47" s="1"/>
  <c r="E71" i="47"/>
  <c r="I73" i="47"/>
  <c r="J71" i="47"/>
  <c r="I77" i="47" l="1"/>
  <c r="I79" i="47" s="1"/>
  <c r="I107" i="47"/>
  <c r="I109" i="47" s="1"/>
  <c r="E77" i="47"/>
  <c r="F78" i="47" s="1"/>
  <c r="K71" i="47"/>
  <c r="G78" i="47"/>
  <c r="F79" i="47"/>
  <c r="F110" i="47" s="1"/>
  <c r="H78" i="47"/>
  <c r="H79" i="47"/>
  <c r="J73" i="47"/>
  <c r="I78" i="47" l="1"/>
  <c r="J77" i="47"/>
  <c r="J107" i="47"/>
  <c r="J109" i="47" s="1"/>
  <c r="E79" i="47"/>
  <c r="E99" i="47" s="1"/>
  <c r="I110" i="47"/>
  <c r="H80" i="47"/>
  <c r="H99" i="47"/>
  <c r="I80" i="47"/>
  <c r="I99" i="47"/>
  <c r="L71" i="47"/>
  <c r="K73" i="47"/>
  <c r="H110" i="47"/>
  <c r="F99" i="47"/>
  <c r="G80" i="47"/>
  <c r="K107" i="47" l="1"/>
  <c r="K77" i="47"/>
  <c r="F80" i="47"/>
  <c r="L73" i="47"/>
  <c r="L107" i="47" s="1"/>
  <c r="M71" i="47"/>
  <c r="J78" i="47"/>
  <c r="J79" i="47"/>
  <c r="J110" i="47" s="1"/>
  <c r="L109" i="47" l="1"/>
  <c r="L77" i="47"/>
  <c r="L79" i="47" s="1"/>
  <c r="K78" i="47"/>
  <c r="K79" i="47"/>
  <c r="J80" i="47"/>
  <c r="J99" i="47"/>
  <c r="K109" i="47"/>
  <c r="N71" i="47"/>
  <c r="O71" i="47" s="1"/>
  <c r="M73" i="47"/>
  <c r="M107" i="47" s="1"/>
  <c r="L78" i="47" l="1"/>
  <c r="P71" i="47"/>
  <c r="Q71" i="47" s="1"/>
  <c r="M77" i="47"/>
  <c r="M109" i="47"/>
  <c r="K110" i="47"/>
  <c r="L110" i="47"/>
  <c r="N73" i="47"/>
  <c r="N107" i="47" s="1"/>
  <c r="L99" i="47"/>
  <c r="L80" i="47"/>
  <c r="K99" i="47"/>
  <c r="K80" i="47"/>
  <c r="R71" i="47" l="1"/>
  <c r="S71" i="47" s="1"/>
  <c r="O73" i="47"/>
  <c r="O107" i="47" s="1"/>
  <c r="N109" i="47"/>
  <c r="N77" i="47"/>
  <c r="M79" i="47"/>
  <c r="M110" i="47" s="1"/>
  <c r="M78" i="47"/>
  <c r="O109" i="47" l="1"/>
  <c r="O77" i="47"/>
  <c r="O79" i="47" s="1"/>
  <c r="O99" i="47" s="1"/>
  <c r="P73" i="47"/>
  <c r="N78" i="47"/>
  <c r="N79" i="47"/>
  <c r="M99" i="47"/>
  <c r="M80" i="47"/>
  <c r="P107" i="47" l="1"/>
  <c r="P109" i="47" s="1"/>
  <c r="Q73" i="47"/>
  <c r="Q77" i="47" s="1"/>
  <c r="P77" i="47"/>
  <c r="P79" i="47" s="1"/>
  <c r="O80" i="47"/>
  <c r="O110" i="47"/>
  <c r="O78" i="47"/>
  <c r="N99" i="47"/>
  <c r="N110" i="47"/>
  <c r="N80" i="47"/>
  <c r="Q78" i="47" l="1"/>
  <c r="Q79" i="47"/>
  <c r="R73" i="47"/>
  <c r="S73" i="47" s="1"/>
  <c r="Q107" i="47"/>
  <c r="Q109" i="47" s="1"/>
  <c r="P78" i="47"/>
  <c r="P80" i="47"/>
  <c r="P110" i="47"/>
  <c r="S107" i="47" l="1"/>
  <c r="S109" i="47" s="1"/>
  <c r="S77" i="47"/>
  <c r="Q110" i="47"/>
  <c r="R107" i="47"/>
  <c r="R109" i="47" s="1"/>
  <c r="R77" i="47"/>
  <c r="Q80" i="47"/>
  <c r="CL36" i="12"/>
  <c r="CP35" i="12"/>
  <c r="CP36" i="12" s="1"/>
  <c r="CL39" i="13"/>
  <c r="S78" i="47" l="1"/>
  <c r="S79" i="47"/>
  <c r="R78" i="47"/>
  <c r="R79" i="47"/>
  <c r="R110" i="47" s="1"/>
  <c r="CP34" i="14"/>
  <c r="S110" i="47" l="1"/>
  <c r="S80" i="47"/>
  <c r="R80" i="47"/>
  <c r="CL7" i="13"/>
  <c r="CP37" i="14"/>
  <c r="CP41" i="14" s="1"/>
  <c r="CP42" i="14" s="1"/>
  <c r="CQ42" i="14" l="1"/>
  <c r="CQ43" i="14" s="1"/>
  <c r="CU42" i="14"/>
  <c r="CU43" i="14" s="1"/>
  <c r="CV42" i="14" s="1"/>
  <c r="CV43" i="14" s="1"/>
  <c r="CW42" i="14" s="1"/>
  <c r="CW43" i="14" s="1"/>
  <c r="CX42" i="14" s="1"/>
  <c r="CX43" i="14" s="1"/>
  <c r="CL53" i="13"/>
  <c r="CL12" i="13"/>
  <c r="CR42" i="14" l="1"/>
  <c r="CR43" i="14" s="1"/>
  <c r="CS42" i="14" s="1"/>
  <c r="CS43" i="14" s="1"/>
  <c r="CT42" i="14" s="1"/>
  <c r="CT43" i="14" s="1"/>
  <c r="CY42" i="14"/>
  <c r="CY43" i="14" s="1"/>
  <c r="CZ42" i="14"/>
  <c r="CL78" i="13"/>
  <c r="CL68" i="13"/>
  <c r="CL20" i="13"/>
  <c r="CL63" i="13"/>
  <c r="CL54" i="13"/>
  <c r="CL57" i="13"/>
  <c r="CM83" i="13" l="1"/>
  <c r="CP75" i="13"/>
  <c r="CU75" i="13"/>
  <c r="CL41" i="13"/>
  <c r="CL83" i="13"/>
  <c r="CL75" i="13"/>
  <c r="CM75" i="13"/>
  <c r="CL80" i="13"/>
  <c r="CL42" i="13" l="1"/>
  <c r="CL55" i="13" l="1"/>
  <c r="CL44" i="13"/>
  <c r="CM85" i="13" l="1"/>
  <c r="CL58" i="13"/>
  <c r="CL61" i="13"/>
  <c r="CL85" i="13"/>
  <c r="CL59" i="13"/>
  <c r="CL64" i="13" l="1"/>
  <c r="CM86" i="13"/>
  <c r="CL86" i="13"/>
  <c r="CL65" i="13"/>
  <c r="CZ135" i="2" l="1"/>
  <c r="CY208" i="2"/>
  <c r="CX149" i="2"/>
  <c r="CX150" i="2"/>
  <c r="DC208" i="2"/>
  <c r="CZ210" i="2" l="1"/>
  <c r="CZ171" i="2"/>
  <c r="DA217" i="2"/>
  <c r="CZ150" i="2"/>
  <c r="CX218" i="2"/>
  <c r="CY219" i="2"/>
  <c r="DA218" i="2"/>
  <c r="DD209" i="2"/>
  <c r="CY209" i="2"/>
  <c r="CZ134" i="2"/>
  <c r="CY149" i="2"/>
  <c r="CY218" i="2"/>
  <c r="CZ133" i="2"/>
  <c r="CX148" i="2"/>
  <c r="CX219" i="2"/>
  <c r="CY217" i="2"/>
  <c r="DD210" i="2"/>
  <c r="DE210" i="2"/>
  <c r="CX208" i="2"/>
  <c r="CX209" i="2"/>
  <c r="CX210" i="2"/>
  <c r="CY210" i="2"/>
  <c r="DA219" i="2"/>
  <c r="CX217" i="2"/>
  <c r="DC209" i="2"/>
  <c r="DC210" i="2"/>
  <c r="DD208" i="2"/>
  <c r="CY150" i="2"/>
  <c r="CY148" i="2"/>
  <c r="CZ201" i="2" l="1"/>
  <c r="DE201" i="2"/>
  <c r="CZ192" i="2"/>
  <c r="CZ209" i="2"/>
  <c r="CZ149" i="2"/>
  <c r="DE209" i="2"/>
  <c r="CZ170" i="2"/>
  <c r="CZ208" i="2"/>
  <c r="CZ169" i="2"/>
  <c r="CZ148" i="2"/>
  <c r="DE208" i="2"/>
  <c r="CZ200" i="2" l="1"/>
  <c r="DE200" i="2"/>
  <c r="CZ191" i="2"/>
  <c r="DE199" i="2"/>
  <c r="CZ190" i="2"/>
  <c r="M119" i="47"/>
  <c r="CZ199" i="2"/>
  <c r="CY165" i="2"/>
  <c r="CZ165" i="2"/>
  <c r="CX165" i="2"/>
  <c r="CZ24" i="12" l="1"/>
  <c r="CY216" i="2"/>
  <c r="DA216" i="2"/>
  <c r="DD207" i="2"/>
  <c r="CY147" i="2"/>
  <c r="CY207" i="2"/>
  <c r="CX147" i="2"/>
  <c r="DC207" i="2"/>
  <c r="CX207" i="2"/>
  <c r="CX216" i="2"/>
  <c r="CZ132" i="2"/>
  <c r="CZ137" i="2" l="1"/>
  <c r="CZ152" i="2" s="1"/>
  <c r="CZ168" i="2"/>
  <c r="DD213" i="2"/>
  <c r="DA222" i="2"/>
  <c r="CY222" i="2"/>
  <c r="CY153" i="2"/>
  <c r="CY213" i="2"/>
  <c r="CZ27" i="12"/>
  <c r="DE207" i="2"/>
  <c r="CZ147" i="2"/>
  <c r="CZ207" i="2"/>
  <c r="CX153" i="2"/>
  <c r="CX213" i="2"/>
  <c r="DC213" i="2"/>
  <c r="CX222" i="2"/>
  <c r="CZ173" i="2" l="1"/>
  <c r="CZ185" i="2" s="1"/>
  <c r="CX53" i="12"/>
  <c r="CZ13" i="12"/>
  <c r="CZ53" i="12" s="1"/>
  <c r="CZ189" i="2"/>
  <c r="M111" i="47"/>
  <c r="CZ198" i="2"/>
  <c r="DE198" i="2"/>
  <c r="CY53" i="12"/>
  <c r="CZ144" i="2"/>
  <c r="DE203" i="2" l="1"/>
  <c r="CZ183" i="2"/>
  <c r="CZ182" i="2"/>
  <c r="CZ184" i="2"/>
  <c r="CZ203" i="2"/>
  <c r="CZ194" i="2"/>
  <c r="CZ178" i="2"/>
  <c r="CZ8" i="12"/>
  <c r="CZ49" i="12" s="1"/>
  <c r="CX49" i="12"/>
  <c r="CY49" i="12"/>
  <c r="CZ181" i="2"/>
  <c r="CZ16" i="12"/>
  <c r="CZ213" i="2"/>
  <c r="CZ153" i="2"/>
  <c r="DE213" i="2"/>
  <c r="CZ186" i="2" l="1"/>
  <c r="CY62" i="12"/>
  <c r="CY69" i="12"/>
  <c r="CY56" i="12"/>
  <c r="CY21" i="12"/>
  <c r="CY48" i="14"/>
  <c r="CY28" i="12"/>
  <c r="CZ17" i="12"/>
  <c r="CZ204" i="2"/>
  <c r="DE204" i="2"/>
  <c r="CZ195" i="2"/>
  <c r="CZ43" i="12"/>
  <c r="CX48" i="14"/>
  <c r="CX56" i="12"/>
  <c r="CX62" i="12"/>
  <c r="CX69" i="12"/>
  <c r="CX28" i="12"/>
  <c r="CZ7" i="12"/>
  <c r="CY55" i="12" l="1"/>
  <c r="CX55" i="12"/>
  <c r="CY22" i="12"/>
  <c r="CY70" i="12" s="1"/>
  <c r="DE61" i="12"/>
  <c r="CZ61" i="12"/>
  <c r="CZ45" i="12"/>
  <c r="CZ24" i="13"/>
  <c r="CX49" i="14"/>
  <c r="CZ28" i="12"/>
  <c r="CZ55" i="12" s="1"/>
  <c r="CX29" i="12"/>
  <c r="CX36" i="12"/>
  <c r="CX70" i="12"/>
  <c r="CX63" i="12"/>
  <c r="CZ9" i="13"/>
  <c r="CZ58" i="14"/>
  <c r="CZ54" i="12"/>
  <c r="M33" i="47" s="1"/>
  <c r="M34" i="47" s="1"/>
  <c r="CZ19" i="12"/>
  <c r="CZ7" i="14"/>
  <c r="CZ10" i="13"/>
  <c r="CZ72" i="13" s="1"/>
  <c r="CZ73" i="13" s="1"/>
  <c r="CY29" i="12"/>
  <c r="CY49" i="14"/>
  <c r="CY36" i="12" l="1"/>
  <c r="CY63" i="12"/>
  <c r="CZ17" i="14"/>
  <c r="CZ19" i="14"/>
  <c r="CZ61" i="14"/>
  <c r="CZ60" i="14"/>
  <c r="CZ12" i="13"/>
  <c r="CY78" i="13"/>
  <c r="CY68" i="13"/>
  <c r="CZ41" i="13"/>
  <c r="CZ16" i="14"/>
  <c r="CZ39" i="13"/>
  <c r="CZ30" i="13"/>
  <c r="CZ70" i="13"/>
  <c r="CZ74" i="13" s="1"/>
  <c r="DE19" i="14"/>
  <c r="CZ80" i="13"/>
  <c r="DE60" i="12"/>
  <c r="CZ52" i="12"/>
  <c r="CZ60" i="12"/>
  <c r="CZ56" i="14"/>
  <c r="CX68" i="13"/>
  <c r="CX78" i="13"/>
  <c r="CZ35" i="13"/>
  <c r="DE17" i="14"/>
  <c r="CZ56" i="12"/>
  <c r="CZ22" i="12"/>
  <c r="CZ62" i="12"/>
  <c r="CZ21" i="12"/>
  <c r="CZ29" i="12"/>
  <c r="CZ71" i="13"/>
  <c r="CZ67" i="14" l="1"/>
  <c r="CZ68" i="14" s="1"/>
  <c r="CZ14" i="14"/>
  <c r="CZ36" i="12"/>
  <c r="CZ63" i="12"/>
  <c r="CX75" i="13"/>
  <c r="CY75" i="13"/>
  <c r="CX83" i="13"/>
  <c r="CY83" i="13"/>
  <c r="CZ68" i="13"/>
  <c r="CZ78" i="13"/>
  <c r="CZ20" i="13"/>
  <c r="DA14" i="14"/>
  <c r="DA23" i="14" s="1"/>
  <c r="DA41" i="14" s="1"/>
  <c r="DE16" i="14"/>
  <c r="DE14" i="14" s="1"/>
  <c r="DA45" i="14" l="1"/>
  <c r="DA47" i="14" s="1"/>
  <c r="DA51" i="14" s="1"/>
  <c r="CY55" i="13"/>
  <c r="CY59" i="13" s="1"/>
  <c r="CZ42" i="13"/>
  <c r="CZ22" i="14"/>
  <c r="CZ69" i="14"/>
  <c r="DA75" i="13"/>
  <c r="CZ83" i="13"/>
  <c r="CY61" i="13"/>
  <c r="CZ75" i="13"/>
  <c r="CY58" i="13" l="1"/>
  <c r="CZ55" i="13"/>
  <c r="CZ44" i="13"/>
  <c r="CZ23" i="14"/>
  <c r="CX55" i="13"/>
  <c r="CY64" i="13"/>
  <c r="CY65" i="13"/>
  <c r="CZ58" i="13" l="1"/>
  <c r="CZ59" i="13"/>
  <c r="CZ85" i="13"/>
  <c r="CZ61" i="13"/>
  <c r="CZ86" i="13"/>
  <c r="CX58" i="13"/>
  <c r="CX61" i="13"/>
  <c r="CX59" i="13"/>
  <c r="CX85" i="13"/>
  <c r="CY85" i="13"/>
  <c r="CZ45" i="14"/>
  <c r="CZ47" i="14" s="1"/>
  <c r="CZ41" i="14"/>
  <c r="CZ43" i="14" s="1"/>
  <c r="CZ64" i="13" l="1"/>
  <c r="CZ84" i="13"/>
  <c r="CZ65" i="13"/>
  <c r="CX65" i="13"/>
  <c r="CX64" i="13"/>
  <c r="CX86" i="13"/>
  <c r="CY86" i="13"/>
  <c r="DE42" i="14"/>
  <c r="DA42" i="14"/>
  <c r="DA43" i="14" s="1"/>
  <c r="DB42" i="14" s="1"/>
  <c r="CZ51" i="14"/>
  <c r="CZ48" i="14"/>
  <c r="CZ50" i="14"/>
  <c r="CZ49" i="14"/>
  <c r="DE8" i="12" l="1"/>
  <c r="DE49" i="12" s="1"/>
  <c r="DA49" i="12"/>
  <c r="DA13" i="12"/>
  <c r="DA53" i="12" s="1"/>
  <c r="DA16" i="12" l="1"/>
  <c r="DA54" i="12" s="1"/>
  <c r="DE13" i="12"/>
  <c r="DE53" i="12" s="1"/>
  <c r="DA19" i="12" l="1"/>
  <c r="DF62" i="12" l="1"/>
  <c r="DA28" i="12"/>
  <c r="DA69" i="12"/>
  <c r="DA56" i="12"/>
  <c r="DA62" i="12"/>
  <c r="DA83" i="13"/>
  <c r="DA48" i="14"/>
  <c r="DA22" i="12"/>
  <c r="DF63" i="12" s="1"/>
  <c r="DA21" i="12"/>
  <c r="DA29" i="12" l="1"/>
  <c r="DA49" i="14"/>
  <c r="DA55" i="12"/>
  <c r="DA70" i="12"/>
  <c r="DA36" i="12"/>
  <c r="DA63" i="12"/>
  <c r="DA44" i="13" l="1"/>
  <c r="DA55" i="13"/>
  <c r="DA59" i="13" l="1"/>
  <c r="DA61" i="13"/>
  <c r="DA58" i="13"/>
  <c r="DA85" i="13"/>
  <c r="DA64" i="13" l="1"/>
  <c r="DA65" i="13"/>
  <c r="DA86" i="13"/>
  <c r="DB45" i="14" l="1"/>
  <c r="DB47" i="14" s="1"/>
  <c r="DB51" i="14" s="1"/>
  <c r="DB43" i="14"/>
  <c r="DC42" i="14" s="1"/>
  <c r="DC43" i="14" s="1"/>
  <c r="DD42" i="14" s="1"/>
  <c r="DD43" i="14" s="1"/>
  <c r="DB68" i="13" l="1"/>
  <c r="DB53" i="13"/>
  <c r="DC68" i="13" l="1"/>
  <c r="DB78" i="13"/>
  <c r="DB20" i="13"/>
  <c r="DB75" i="13" s="1"/>
  <c r="DC53" i="13"/>
  <c r="DC54" i="13" s="1"/>
  <c r="DB19" i="12"/>
  <c r="DG62" i="12" s="1"/>
  <c r="DB57" i="13"/>
  <c r="DB80" i="13" s="1"/>
  <c r="DB63" i="13"/>
  <c r="DB54" i="13"/>
  <c r="DC20" i="13" l="1"/>
  <c r="DC78" i="13"/>
  <c r="DC75" i="13"/>
  <c r="DC57" i="13"/>
  <c r="DC80" i="13" s="1"/>
  <c r="DC63" i="13"/>
  <c r="DD53" i="13"/>
  <c r="DE7" i="13"/>
  <c r="DB62" i="12"/>
  <c r="DB28" i="12"/>
  <c r="DB22" i="12"/>
  <c r="DG63" i="12" s="1"/>
  <c r="DB83" i="13"/>
  <c r="DB21" i="12"/>
  <c r="DB56" i="12"/>
  <c r="DB69" i="12"/>
  <c r="DB48" i="14"/>
  <c r="DB55" i="12" l="1"/>
  <c r="DE15" i="12"/>
  <c r="DE53" i="13"/>
  <c r="DD78" i="13"/>
  <c r="DE12" i="13"/>
  <c r="DD20" i="13"/>
  <c r="DD57" i="13"/>
  <c r="DD80" i="13" s="1"/>
  <c r="DD63" i="13"/>
  <c r="DD54" i="13"/>
  <c r="DB63" i="12"/>
  <c r="DB70" i="12"/>
  <c r="DB36" i="12"/>
  <c r="DB29" i="12"/>
  <c r="DB49" i="14"/>
  <c r="DC19" i="12"/>
  <c r="DC28" i="12" l="1"/>
  <c r="DH62" i="12"/>
  <c r="DC29" i="12"/>
  <c r="DD75" i="13"/>
  <c r="DE57" i="14"/>
  <c r="DE16" i="12"/>
  <c r="DE54" i="13"/>
  <c r="DE57" i="13"/>
  <c r="DE80" i="13" s="1"/>
  <c r="DE63" i="13"/>
  <c r="DE20" i="13"/>
  <c r="DE78" i="13"/>
  <c r="DE68" i="13"/>
  <c r="DC56" i="12"/>
  <c r="DC48" i="14"/>
  <c r="DC62" i="12"/>
  <c r="DC83" i="13"/>
  <c r="DC21" i="12"/>
  <c r="DC69" i="12"/>
  <c r="DC22" i="12"/>
  <c r="DH63" i="12" s="1"/>
  <c r="DF75" i="13" l="1"/>
  <c r="DF83" i="13"/>
  <c r="DE75" i="13"/>
  <c r="DE17" i="12"/>
  <c r="DE19" i="12" s="1"/>
  <c r="DG69" i="12" s="1"/>
  <c r="DD19" i="12"/>
  <c r="DC49" i="14"/>
  <c r="DC55" i="12"/>
  <c r="DB44" i="13"/>
  <c r="DB55" i="13"/>
  <c r="DC70" i="12"/>
  <c r="DC36" i="12"/>
  <c r="DC63" i="12"/>
  <c r="DD56" i="12" l="1"/>
  <c r="DF69" i="12"/>
  <c r="DF28" i="12"/>
  <c r="DE39" i="13"/>
  <c r="DD22" i="12"/>
  <c r="DF70" i="12" s="1"/>
  <c r="DD48" i="14"/>
  <c r="DD62" i="12"/>
  <c r="DD21" i="12"/>
  <c r="DD28" i="12"/>
  <c r="DD83" i="13"/>
  <c r="DD69" i="12"/>
  <c r="DE83" i="13"/>
  <c r="DE56" i="12"/>
  <c r="DE21" i="12"/>
  <c r="DE62" i="12"/>
  <c r="DE22" i="12"/>
  <c r="DG70" i="12" s="1"/>
  <c r="DE58" i="14"/>
  <c r="DE54" i="12"/>
  <c r="N33" i="47" s="1"/>
  <c r="DB58" i="13"/>
  <c r="DB61" i="13"/>
  <c r="DB59" i="13"/>
  <c r="DB85" i="13"/>
  <c r="DF55" i="12" l="1"/>
  <c r="DF29" i="12"/>
  <c r="DF49" i="14"/>
  <c r="DD55" i="12"/>
  <c r="DJ7" i="13"/>
  <c r="DE41" i="13"/>
  <c r="DD63" i="12"/>
  <c r="DD36" i="12"/>
  <c r="DD70" i="12"/>
  <c r="DE36" i="12"/>
  <c r="DE63" i="12"/>
  <c r="N34" i="47"/>
  <c r="O33" i="47"/>
  <c r="DD49" i="14"/>
  <c r="DD29" i="12"/>
  <c r="DE28" i="12"/>
  <c r="DE7" i="14"/>
  <c r="DB64" i="13"/>
  <c r="DB65" i="13"/>
  <c r="DB86" i="13"/>
  <c r="DC44" i="13"/>
  <c r="DC55" i="13"/>
  <c r="DJ53" i="13" l="1"/>
  <c r="DJ63" i="13" s="1"/>
  <c r="DJ15" i="12"/>
  <c r="DJ12" i="13"/>
  <c r="DJ78" i="13" s="1"/>
  <c r="DD44" i="13"/>
  <c r="DI69" i="12"/>
  <c r="DI62" i="12"/>
  <c r="DE22" i="14"/>
  <c r="P33" i="47"/>
  <c r="O34" i="47"/>
  <c r="DE55" i="12"/>
  <c r="DE61" i="14" s="1"/>
  <c r="DE29" i="12"/>
  <c r="DC58" i="13"/>
  <c r="DC61" i="13"/>
  <c r="DC59" i="13"/>
  <c r="DC85" i="13"/>
  <c r="DJ28" i="12" l="1"/>
  <c r="DJ57" i="13"/>
  <c r="DJ54" i="13"/>
  <c r="DJ57" i="14"/>
  <c r="P34" i="47"/>
  <c r="Q33" i="47"/>
  <c r="DJ68" i="13"/>
  <c r="DJ20" i="13"/>
  <c r="DE42" i="13"/>
  <c r="DE44" i="13" s="1"/>
  <c r="DD55" i="13"/>
  <c r="DD59" i="13" s="1"/>
  <c r="DI36" i="12"/>
  <c r="DI70" i="12"/>
  <c r="DI63" i="12"/>
  <c r="DE60" i="14"/>
  <c r="DE23" i="14"/>
  <c r="DE41" i="14" s="1"/>
  <c r="DC64" i="13"/>
  <c r="DC65" i="13"/>
  <c r="DC86" i="13"/>
  <c r="DK83" i="13" l="1"/>
  <c r="DK75" i="13"/>
  <c r="Q34" i="47"/>
  <c r="R33" i="47"/>
  <c r="DE55" i="13"/>
  <c r="DF85" i="13" s="1"/>
  <c r="DD58" i="13"/>
  <c r="DD61" i="13"/>
  <c r="DD86" i="13" s="1"/>
  <c r="DD85" i="13"/>
  <c r="DE67" i="14"/>
  <c r="DE45" i="14"/>
  <c r="DE47" i="14" s="1"/>
  <c r="DE43" i="14"/>
  <c r="R34" i="47" l="1"/>
  <c r="S33" i="47"/>
  <c r="S34" i="47" s="1"/>
  <c r="DN7" i="13"/>
  <c r="DJ42" i="14"/>
  <c r="DF42" i="14"/>
  <c r="DF43" i="14" s="1"/>
  <c r="DE86" i="13"/>
  <c r="DE58" i="13"/>
  <c r="DE61" i="13"/>
  <c r="DF86" i="13" s="1"/>
  <c r="DE59" i="13"/>
  <c r="DE85" i="13"/>
  <c r="DD65" i="13"/>
  <c r="DD64" i="13"/>
  <c r="DE68" i="14"/>
  <c r="DE50" i="14"/>
  <c r="DE49" i="14"/>
  <c r="DE51" i="14"/>
  <c r="DE48" i="14"/>
  <c r="DN15" i="12" l="1"/>
  <c r="DO7" i="13"/>
  <c r="DG42" i="14"/>
  <c r="DG43" i="14" s="1"/>
  <c r="DN12" i="13"/>
  <c r="DO12" i="13" s="1"/>
  <c r="DN53" i="13"/>
  <c r="DE65" i="13"/>
  <c r="DE84" i="13"/>
  <c r="DE64" i="13"/>
  <c r="DE69" i="14"/>
  <c r="DO78" i="13" l="1"/>
  <c r="DO68" i="13"/>
  <c r="DH42" i="14"/>
  <c r="DH43" i="14" s="1"/>
  <c r="DI42" i="14" s="1"/>
  <c r="DI43" i="14" s="1"/>
  <c r="DN54" i="13"/>
  <c r="DN57" i="13"/>
  <c r="DN63" i="13"/>
  <c r="DO15" i="12"/>
  <c r="DN16" i="12"/>
  <c r="DN17" i="12" s="1"/>
  <c r="DN68" i="13"/>
  <c r="DN78" i="13"/>
  <c r="DN20" i="13"/>
  <c r="CO139" i="1"/>
  <c r="CP139" i="1" s="1"/>
  <c r="DO20" i="13" l="1"/>
  <c r="DL36" i="12"/>
  <c r="DN19" i="12"/>
  <c r="DO57" i="14"/>
  <c r="CO26" i="2"/>
  <c r="CQ117" i="2" s="1"/>
  <c r="CT83" i="2" l="1"/>
  <c r="CO110" i="2"/>
  <c r="DN56" i="12"/>
  <c r="DN28" i="12"/>
  <c r="DN62" i="12"/>
  <c r="DN21" i="12"/>
  <c r="DN48" i="14"/>
  <c r="DN22" i="12"/>
  <c r="DN7" i="14"/>
  <c r="CO117" i="2"/>
  <c r="CT101" i="2"/>
  <c r="CO190" i="2"/>
  <c r="CO101" i="2"/>
  <c r="CO199" i="2"/>
  <c r="CO109" i="2"/>
  <c r="CO148" i="2"/>
  <c r="CO111" i="2"/>
  <c r="CO83" i="2"/>
  <c r="CO62" i="2"/>
  <c r="CO203" i="2" s="1"/>
  <c r="CO108" i="2"/>
  <c r="CT199" i="2"/>
  <c r="CP26" i="2"/>
  <c r="CP62" i="2" s="1"/>
  <c r="DN63" i="12" l="1"/>
  <c r="DN36" i="12"/>
  <c r="DN29" i="12"/>
  <c r="DN49" i="14"/>
  <c r="DN55" i="12"/>
  <c r="CO194" i="2"/>
  <c r="CO87" i="2"/>
  <c r="CO195" i="2"/>
  <c r="CQ121" i="2"/>
  <c r="CT87" i="2"/>
  <c r="CO113" i="2"/>
  <c r="CO204" i="2"/>
  <c r="CT204" i="2"/>
  <c r="CO152" i="2"/>
  <c r="CT105" i="2"/>
  <c r="CO153" i="2"/>
  <c r="CO121" i="2"/>
  <c r="CO105" i="2"/>
  <c r="CT203" i="2"/>
  <c r="CP101" i="2"/>
  <c r="CU83" i="2"/>
  <c r="CN125" i="2"/>
  <c r="CP83" i="2"/>
  <c r="CL125" i="2"/>
  <c r="CP108" i="2"/>
  <c r="CP110" i="2"/>
  <c r="CM125" i="2"/>
  <c r="CO125" i="2"/>
  <c r="CP111" i="2"/>
  <c r="CP109" i="2"/>
  <c r="K100" i="47"/>
  <c r="CP190" i="2"/>
  <c r="CU199" i="2"/>
  <c r="CU101" i="2"/>
  <c r="CP199" i="2"/>
  <c r="CP148" i="2"/>
  <c r="CP113" i="2" l="1"/>
  <c r="CM129" i="2"/>
  <c r="CP204" i="2"/>
  <c r="CP203" i="2"/>
  <c r="CP194" i="2"/>
  <c r="CP87" i="2"/>
  <c r="CN129" i="2"/>
  <c r="CP50" i="14"/>
  <c r="CP152" i="2"/>
  <c r="CP195" i="2"/>
  <c r="CO129" i="2"/>
  <c r="CU203" i="2"/>
  <c r="CP153" i="2"/>
  <c r="CL129" i="2"/>
  <c r="CP105" i="2"/>
  <c r="CU105" i="2"/>
  <c r="CU87" i="2"/>
  <c r="CU204" i="2"/>
  <c r="DC170" i="2" l="1"/>
  <c r="DC200" i="2" s="1"/>
  <c r="DC171" i="2"/>
  <c r="DC201" i="2" l="1"/>
  <c r="DC183" i="2"/>
  <c r="DC184" i="2"/>
  <c r="DI200" i="2"/>
  <c r="DD200" i="2"/>
  <c r="DD183" i="2"/>
  <c r="DD184" i="2"/>
  <c r="DD201" i="2"/>
  <c r="DI201" i="2"/>
  <c r="DF183" i="2" l="1"/>
  <c r="DF200" i="2"/>
  <c r="DF184" i="2"/>
  <c r="DF201" i="2"/>
  <c r="DJ156" i="2" l="1"/>
  <c r="DJ157" i="2"/>
  <c r="DG151" i="2" l="1"/>
  <c r="DL211" i="2"/>
  <c r="DG208" i="2"/>
  <c r="DL208" i="2"/>
  <c r="DG207" i="2"/>
  <c r="DL207" i="2"/>
  <c r="DJ161" i="2"/>
  <c r="DH217" i="2"/>
  <c r="DJ133" i="2"/>
  <c r="DG152" i="2"/>
  <c r="DJ136" i="2"/>
  <c r="DG217" i="2"/>
  <c r="DH220" i="2"/>
  <c r="DG220" i="2"/>
  <c r="DG211" i="2"/>
  <c r="DJ132" i="2"/>
  <c r="DG148" i="2"/>
  <c r="DG147" i="2"/>
  <c r="DH216" i="2"/>
  <c r="DJ172" i="2" l="1"/>
  <c r="DJ169" i="2"/>
  <c r="DJ168" i="2"/>
  <c r="DJ208" i="2"/>
  <c r="DJ151" i="2"/>
  <c r="DJ211" i="2"/>
  <c r="DJ148" i="2"/>
  <c r="DJ137" i="2"/>
  <c r="DJ207" i="2"/>
  <c r="DJ147" i="2"/>
  <c r="O119" i="47" l="1"/>
  <c r="O111" i="47"/>
  <c r="DJ190" i="2"/>
  <c r="DJ202" i="2"/>
  <c r="DJ193" i="2"/>
  <c r="DJ198" i="2"/>
  <c r="DJ173" i="2"/>
  <c r="DJ181" i="2" s="1"/>
  <c r="DJ189" i="2"/>
  <c r="DJ199" i="2"/>
  <c r="DJ152" i="2"/>
  <c r="DJ163" i="2"/>
  <c r="DJ165" i="2" s="1"/>
  <c r="DJ138" i="2"/>
  <c r="DL212" i="2"/>
  <c r="DJ182" i="2" l="1"/>
  <c r="DJ178" i="2"/>
  <c r="DJ204" i="2" s="1"/>
  <c r="DJ203" i="2"/>
  <c r="DJ194" i="2"/>
  <c r="DJ185" i="2"/>
  <c r="DJ139" i="2"/>
  <c r="DG212" i="2"/>
  <c r="DH221" i="2"/>
  <c r="DL213" i="2"/>
  <c r="DG221" i="2"/>
  <c r="DJ24" i="12"/>
  <c r="DJ186" i="2" l="1"/>
  <c r="DJ195" i="2"/>
  <c r="DJ43" i="12"/>
  <c r="DJ45" i="12" s="1"/>
  <c r="DJ144" i="2"/>
  <c r="DJ213" i="2" s="1"/>
  <c r="DG153" i="2"/>
  <c r="DH222" i="2"/>
  <c r="DG222" i="2"/>
  <c r="DG213" i="2"/>
  <c r="DJ27" i="12"/>
  <c r="DJ212" i="2"/>
  <c r="DJ61" i="12" l="1"/>
  <c r="DN80" i="13"/>
  <c r="DJ153" i="2"/>
  <c r="DJ56" i="14"/>
  <c r="DJ52" i="12"/>
  <c r="DJ60" i="12"/>
  <c r="DJ80" i="13"/>
  <c r="DJ13" i="12"/>
  <c r="DJ53" i="12" s="1"/>
  <c r="DJ16" i="12" l="1"/>
  <c r="DJ8" i="12"/>
  <c r="DJ49" i="12" s="1"/>
  <c r="DL62" i="12" l="1"/>
  <c r="DJ7" i="12"/>
  <c r="DL63" i="12"/>
  <c r="DJ17" i="12"/>
  <c r="DJ7" i="14" l="1"/>
  <c r="DJ55" i="12"/>
  <c r="DJ72" i="13"/>
  <c r="DJ73" i="13" s="1"/>
  <c r="DJ71" i="13"/>
  <c r="DJ70" i="13"/>
  <c r="DJ58" i="14"/>
  <c r="DJ54" i="12"/>
  <c r="DJ19" i="12"/>
  <c r="DJ17" i="14" l="1"/>
  <c r="DJ74" i="13"/>
  <c r="DJ29" i="12"/>
  <c r="DJ22" i="12"/>
  <c r="DJ21" i="12"/>
  <c r="DJ83" i="13"/>
  <c r="DJ56" i="12"/>
  <c r="DJ62" i="12"/>
  <c r="DJ16" i="14"/>
  <c r="DJ60" i="14"/>
  <c r="DJ61" i="14"/>
  <c r="DJ19" i="14"/>
  <c r="DJ67" i="14" l="1"/>
  <c r="DJ68" i="14" s="1"/>
  <c r="DJ14" i="14"/>
  <c r="DJ63" i="12"/>
  <c r="DJ36" i="12"/>
  <c r="DJ75" i="13"/>
  <c r="DJ39" i="13"/>
  <c r="DJ41" i="13"/>
  <c r="DJ22" i="14" l="1"/>
  <c r="DJ69" i="14"/>
  <c r="DJ23" i="14" l="1"/>
  <c r="DJ42" i="13"/>
  <c r="DJ55" i="13" l="1"/>
  <c r="DK85" i="13" s="1"/>
  <c r="DJ44" i="13"/>
  <c r="DJ41" i="14"/>
  <c r="DJ45" i="14"/>
  <c r="DJ47" i="14" s="1"/>
  <c r="DJ43" i="14" l="1"/>
  <c r="DK42" i="14" s="1"/>
  <c r="DK43" i="14" s="1"/>
  <c r="DL42" i="14" s="1"/>
  <c r="DL43" i="14" s="1"/>
  <c r="DM42" i="14" s="1"/>
  <c r="DM43" i="14" s="1"/>
  <c r="DJ51" i="14"/>
  <c r="DJ49" i="14"/>
  <c r="DJ50" i="14"/>
  <c r="DJ48" i="14"/>
  <c r="DJ59" i="13"/>
  <c r="DJ58" i="13"/>
  <c r="DJ61" i="13"/>
  <c r="DK86" i="13" s="1"/>
  <c r="DJ85" i="13"/>
  <c r="DJ86" i="13"/>
  <c r="DO42" i="14" l="1"/>
  <c r="DN42" i="14"/>
  <c r="DN43" i="14" s="1"/>
  <c r="DJ64" i="13"/>
  <c r="DJ84" i="13"/>
  <c r="DJ65" i="13"/>
  <c r="DO14" i="2" l="1"/>
  <c r="DK62" i="2"/>
  <c r="DL116" i="2"/>
  <c r="DK111" i="2"/>
  <c r="DK100" i="2"/>
  <c r="DK110" i="2"/>
  <c r="DK108" i="2"/>
  <c r="DK116" i="2"/>
  <c r="DK198" i="2"/>
  <c r="DK109" i="2"/>
  <c r="DK112" i="2"/>
  <c r="DO108" i="2" l="1"/>
  <c r="DO109" i="2"/>
  <c r="DO112" i="2"/>
  <c r="DO111" i="2"/>
  <c r="DO110" i="2"/>
  <c r="DK195" i="2"/>
  <c r="DK194" i="2"/>
  <c r="DK237" i="2"/>
  <c r="DK244" i="2" s="1"/>
  <c r="DO6" i="12"/>
  <c r="DL66" i="12"/>
  <c r="DK105" i="2"/>
  <c r="DL121" i="2"/>
  <c r="DK203" i="2"/>
  <c r="DK113" i="2"/>
  <c r="DK204" i="2"/>
  <c r="DK124" i="2"/>
  <c r="DK87" i="2"/>
  <c r="DO82" i="2"/>
  <c r="DM124" i="2"/>
  <c r="DN124" i="2"/>
  <c r="DL124" i="2"/>
  <c r="DO62" i="2"/>
  <c r="P99" i="47"/>
  <c r="DK121" i="2"/>
  <c r="DO100" i="2"/>
  <c r="DO69" i="13" l="1"/>
  <c r="DO75" i="13"/>
  <c r="DO59" i="12"/>
  <c r="DO10" i="12"/>
  <c r="DO50" i="12" s="1"/>
  <c r="DO9" i="12"/>
  <c r="DO51" i="12" s="1"/>
  <c r="DO113" i="2"/>
  <c r="DO87" i="2"/>
  <c r="DN129" i="2"/>
  <c r="DO105" i="2"/>
  <c r="DM129" i="2"/>
  <c r="DL129" i="2"/>
  <c r="DK129" i="2"/>
  <c r="DO15" i="14" l="1"/>
  <c r="DK137" i="2" l="1"/>
  <c r="DK152" i="2" s="1"/>
  <c r="DK217" i="2"/>
  <c r="DL217" i="2"/>
  <c r="DK148" i="2"/>
  <c r="DK208" i="2"/>
  <c r="DK147" i="2"/>
  <c r="DK216" i="2"/>
  <c r="DL216" i="2"/>
  <c r="DK207" i="2"/>
  <c r="DL220" i="2"/>
  <c r="DK220" i="2"/>
  <c r="DK151" i="2"/>
  <c r="DK211" i="2"/>
  <c r="DK144" i="2" l="1"/>
  <c r="DK161" i="2"/>
  <c r="DK165" i="2" s="1"/>
  <c r="DK213" i="2" l="1"/>
  <c r="DL222" i="2"/>
  <c r="DK153" i="2"/>
  <c r="DK222" i="2"/>
  <c r="DL69" i="12" l="1"/>
  <c r="DL70" i="12" l="1"/>
  <c r="DG184" i="2" l="1"/>
  <c r="DL201" i="2"/>
  <c r="DL200" i="2"/>
  <c r="DG201" i="2" l="1"/>
  <c r="DG183" i="2"/>
  <c r="DG200" i="2"/>
  <c r="DJ170" i="2" l="1"/>
  <c r="DM200" i="2"/>
  <c r="DJ171" i="2"/>
  <c r="DJ184" i="2" l="1"/>
  <c r="DJ201" i="2"/>
  <c r="DJ183" i="2"/>
  <c r="DJ200" i="2"/>
  <c r="DH200" i="2"/>
  <c r="DM201" i="2"/>
  <c r="DH184" i="2"/>
  <c r="DH183" i="2"/>
  <c r="DH201" i="2"/>
  <c r="DK170" i="2" l="1"/>
  <c r="DP200" i="2" s="1"/>
  <c r="DK171" i="2"/>
  <c r="DP201" i="2" s="1"/>
  <c r="DO171" i="2" l="1"/>
  <c r="DO201" i="2" s="1"/>
  <c r="DK200" i="2"/>
  <c r="DO170" i="2"/>
  <c r="DK183" i="2"/>
  <c r="DK201" i="2"/>
  <c r="DK184" i="2"/>
  <c r="DO200" i="2" l="1"/>
  <c r="DP26" i="2" l="1"/>
  <c r="DP14" i="2"/>
  <c r="DP168" i="2" l="1"/>
  <c r="DP132" i="2" s="1"/>
  <c r="DT132" i="2" s="1"/>
  <c r="DP111" i="2"/>
  <c r="DP110" i="2"/>
  <c r="DP169" i="2"/>
  <c r="DP133" i="2" s="1"/>
  <c r="DP217" i="2" s="1"/>
  <c r="DP207" i="2"/>
  <c r="DQ216" i="2"/>
  <c r="DP216" i="2"/>
  <c r="DP147" i="2"/>
  <c r="DP116" i="2"/>
  <c r="DP100" i="2"/>
  <c r="DP198" i="2"/>
  <c r="DQ116" i="2"/>
  <c r="DT26" i="2"/>
  <c r="DP101" i="2"/>
  <c r="DP117" i="2"/>
  <c r="DQ117" i="2"/>
  <c r="DT14" i="2"/>
  <c r="DP199" i="2" l="1"/>
  <c r="DQ217" i="2"/>
  <c r="DP208" i="2"/>
  <c r="DP148" i="2"/>
  <c r="DT133" i="2"/>
  <c r="DT169" i="2" s="1"/>
  <c r="DT83" i="2"/>
  <c r="DT168" i="2"/>
  <c r="DU26" i="2"/>
  <c r="DT100" i="2"/>
  <c r="DQ124" i="2"/>
  <c r="DS124" i="2"/>
  <c r="DR124" i="2"/>
  <c r="DT147" i="2"/>
  <c r="DP125" i="2"/>
  <c r="DP124" i="2"/>
  <c r="DT101" i="2"/>
  <c r="DQ125" i="2"/>
  <c r="DS125" i="2"/>
  <c r="DR125" i="2"/>
  <c r="Q100" i="47"/>
  <c r="DU14" i="2"/>
  <c r="DT82" i="2"/>
  <c r="Q99" i="47"/>
  <c r="DT148" i="2" l="1"/>
  <c r="DV26" i="2"/>
  <c r="R100" i="47"/>
  <c r="DU169" i="2"/>
  <c r="DU133" i="2" s="1"/>
  <c r="DU148" i="2" s="1"/>
  <c r="DU101" i="2"/>
  <c r="DV14" i="2"/>
  <c r="S99" i="47" s="1"/>
  <c r="DU100" i="2"/>
  <c r="DU168" i="2"/>
  <c r="R99" i="47"/>
  <c r="DV101" i="2" l="1"/>
  <c r="DV169" i="2"/>
  <c r="S119" i="47" s="1"/>
  <c r="S100" i="47"/>
  <c r="R119" i="47"/>
  <c r="DU132" i="2"/>
  <c r="R111" i="47"/>
  <c r="DV168" i="2"/>
  <c r="S111" i="47" s="1"/>
  <c r="DV100" i="2"/>
  <c r="DV199" i="2" l="1"/>
  <c r="DV133" i="2"/>
  <c r="DV148" i="2" s="1"/>
  <c r="DV132" i="2"/>
  <c r="DV198" i="2"/>
  <c r="DU147" i="2"/>
  <c r="DV208" i="2" l="1"/>
  <c r="DV207" i="2"/>
  <c r="DV147" i="2"/>
  <c r="DP50" i="2"/>
  <c r="DP172" i="2" l="1"/>
  <c r="DP136" i="2" s="1"/>
  <c r="DP220" i="2" s="1"/>
  <c r="DP112" i="2"/>
  <c r="DP109" i="2"/>
  <c r="DP108" i="2"/>
  <c r="DP211" i="2"/>
  <c r="DQ220" i="2"/>
  <c r="DT136" i="2"/>
  <c r="DP120" i="2"/>
  <c r="DP104" i="2"/>
  <c r="DP202" i="2"/>
  <c r="DP151" i="2"/>
  <c r="DQ120" i="2"/>
  <c r="DT50" i="2"/>
  <c r="DP62" i="2"/>
  <c r="DP137" i="2" l="1"/>
  <c r="DP144" i="2" s="1"/>
  <c r="DQ222" i="2" s="1"/>
  <c r="DU50" i="2"/>
  <c r="DU172" i="2" s="1"/>
  <c r="DT108" i="2"/>
  <c r="DT109" i="2"/>
  <c r="DT112" i="2"/>
  <c r="DT172" i="2"/>
  <c r="DT137" i="2"/>
  <c r="DT144" i="2" s="1"/>
  <c r="DP113" i="2"/>
  <c r="DP6" i="12"/>
  <c r="DP121" i="2"/>
  <c r="DP105" i="2"/>
  <c r="DP152" i="2"/>
  <c r="DQ121" i="2"/>
  <c r="DT104" i="2"/>
  <c r="DQ128" i="2"/>
  <c r="DR128" i="2"/>
  <c r="DS128" i="2"/>
  <c r="DT151" i="2"/>
  <c r="DP128" i="2"/>
  <c r="DT62" i="2"/>
  <c r="DP129" i="2" s="1"/>
  <c r="DP87" i="2"/>
  <c r="DP173" i="2"/>
  <c r="DT86" i="2"/>
  <c r="DU62" i="2"/>
  <c r="DP153" i="2" l="1"/>
  <c r="DP213" i="2"/>
  <c r="DV50" i="2"/>
  <c r="DV172" i="2" s="1"/>
  <c r="DP222" i="2"/>
  <c r="DU104" i="2"/>
  <c r="DV108" i="2"/>
  <c r="DU109" i="2"/>
  <c r="DU112" i="2"/>
  <c r="DU108" i="2"/>
  <c r="DT6" i="12"/>
  <c r="DT69" i="13" s="1"/>
  <c r="DP8" i="13"/>
  <c r="DP10" i="12"/>
  <c r="DT10" i="12" s="1"/>
  <c r="DP9" i="12"/>
  <c r="DT9" i="12" s="1"/>
  <c r="DP66" i="12"/>
  <c r="DQ66" i="12"/>
  <c r="DP59" i="12"/>
  <c r="DT105" i="2"/>
  <c r="DQ129" i="2"/>
  <c r="DS129" i="2"/>
  <c r="DR129" i="2"/>
  <c r="DT152" i="2"/>
  <c r="DT153" i="2"/>
  <c r="DT87" i="2"/>
  <c r="DP185" i="2"/>
  <c r="DP182" i="2"/>
  <c r="DP181" i="2"/>
  <c r="DP203" i="2"/>
  <c r="DP184" i="2"/>
  <c r="DP183" i="2"/>
  <c r="DT113" i="2"/>
  <c r="DP194" i="2"/>
  <c r="DP178" i="2"/>
  <c r="DP204" i="2" s="1"/>
  <c r="DU105" i="2"/>
  <c r="DU6" i="12"/>
  <c r="DU8" i="13" s="1"/>
  <c r="DU87" i="2"/>
  <c r="DU50" i="14"/>
  <c r="DU173" i="2"/>
  <c r="DU136" i="2"/>
  <c r="DV104" i="2" l="1"/>
  <c r="DV62" i="2"/>
  <c r="DV87" i="2" s="1"/>
  <c r="DV109" i="2"/>
  <c r="DV112" i="2"/>
  <c r="DU113" i="2"/>
  <c r="DT59" i="12"/>
  <c r="DT50" i="12"/>
  <c r="DP15" i="14"/>
  <c r="DQ15" i="14"/>
  <c r="DT51" i="12"/>
  <c r="DP186" i="2"/>
  <c r="DP195" i="2"/>
  <c r="DV50" i="14"/>
  <c r="DV6" i="12"/>
  <c r="DV8" i="13" s="1"/>
  <c r="DV105" i="2"/>
  <c r="DV202" i="2"/>
  <c r="DV136" i="2"/>
  <c r="DV173" i="2"/>
  <c r="DV185" i="2" s="1"/>
  <c r="DU137" i="2"/>
  <c r="DU151" i="2"/>
  <c r="DU10" i="12"/>
  <c r="DU9" i="12"/>
  <c r="DU59" i="12"/>
  <c r="DU181" i="2"/>
  <c r="DU182" i="2"/>
  <c r="DU178" i="2"/>
  <c r="DU194" i="2"/>
  <c r="DU185" i="2"/>
  <c r="DV113" i="2" l="1"/>
  <c r="DT15" i="14"/>
  <c r="DU43" i="12"/>
  <c r="DU195" i="2"/>
  <c r="DV203" i="2"/>
  <c r="DV194" i="2"/>
  <c r="DV178" i="2"/>
  <c r="DV182" i="2"/>
  <c r="DV181" i="2"/>
  <c r="DV9" i="12"/>
  <c r="DV10" i="12"/>
  <c r="DV59" i="12"/>
  <c r="DU15" i="14"/>
  <c r="DU186" i="2"/>
  <c r="DV211" i="2"/>
  <c r="DV151" i="2"/>
  <c r="DV137" i="2"/>
  <c r="DU152" i="2"/>
  <c r="DU144" i="2"/>
  <c r="DV43" i="12" l="1"/>
  <c r="DV195" i="2"/>
  <c r="DV204" i="2"/>
  <c r="DU45" i="12"/>
  <c r="DU153" i="2"/>
  <c r="DU13" i="12"/>
  <c r="DV144" i="2"/>
  <c r="DV152" i="2"/>
  <c r="DV186" i="2"/>
  <c r="DV15" i="14"/>
  <c r="DU52" i="12" l="1"/>
  <c r="DU56" i="14"/>
  <c r="DV213" i="2"/>
  <c r="DV13" i="12"/>
  <c r="DV153" i="2"/>
  <c r="DU53" i="12"/>
  <c r="DU8" i="12"/>
  <c r="DV61" i="12"/>
  <c r="DV45" i="12"/>
  <c r="DU49" i="12" l="1"/>
  <c r="DU7" i="12"/>
  <c r="DV53" i="12"/>
  <c r="DV8" i="12"/>
  <c r="DV60" i="12"/>
  <c r="DV56" i="14"/>
  <c r="DV52" i="12"/>
  <c r="DU10" i="13" l="1"/>
  <c r="DU24" i="13"/>
  <c r="DU30" i="13" s="1"/>
  <c r="DU35" i="13" s="1"/>
  <c r="DU9" i="13"/>
  <c r="DV49" i="12"/>
  <c r="DV7" i="12"/>
  <c r="DV9" i="13" l="1"/>
  <c r="DV10" i="13"/>
  <c r="DV24" i="13"/>
  <c r="DV30" i="13" s="1"/>
  <c r="DV35" i="13" s="1"/>
  <c r="DV16" i="14" l="1"/>
  <c r="DV17" i="14"/>
  <c r="DV19" i="14"/>
  <c r="DV14" i="14" l="1"/>
  <c r="DT41" i="2"/>
  <c r="DT48" i="2"/>
  <c r="DT110" i="2" l="1"/>
  <c r="DT111" i="2"/>
  <c r="DT201" i="2"/>
  <c r="DT200" i="2"/>
  <c r="DU48" i="2"/>
  <c r="DU41" i="2"/>
  <c r="DU110" i="2" l="1"/>
  <c r="DU111" i="2"/>
  <c r="DU171" i="2"/>
  <c r="DU201" i="2" s="1"/>
  <c r="DV48" i="2"/>
  <c r="DV41" i="2"/>
  <c r="DU170" i="2"/>
  <c r="DU183" i="2" s="1"/>
  <c r="DV111" i="2" l="1"/>
  <c r="DV110" i="2"/>
  <c r="DU184" i="2"/>
  <c r="DV171" i="2"/>
  <c r="DV184" i="2" s="1"/>
  <c r="DV170" i="2"/>
  <c r="DV200" i="2" s="1"/>
  <c r="DU200" i="2"/>
  <c r="DU211" i="2"/>
  <c r="DU202" i="2"/>
  <c r="DU207" i="2"/>
  <c r="DU208" i="2"/>
  <c r="DT189" i="2"/>
  <c r="DV201" i="2" l="1"/>
  <c r="DV183" i="2"/>
  <c r="DT190" i="2"/>
  <c r="DU198" i="2"/>
  <c r="DT173" i="2"/>
  <c r="DU199" i="2"/>
  <c r="DT193" i="2"/>
  <c r="Q111" i="47"/>
  <c r="Q119" i="47"/>
  <c r="DT184" i="2" l="1"/>
  <c r="DT183" i="2"/>
  <c r="DT185" i="2"/>
  <c r="DT182" i="2"/>
  <c r="DT181" i="2"/>
  <c r="DT178" i="2"/>
  <c r="DT194" i="2"/>
  <c r="DU203" i="2"/>
  <c r="DT186" i="2" l="1"/>
  <c r="DT195" i="2"/>
  <c r="DU204" i="2"/>
  <c r="DP18" i="13"/>
  <c r="DP15" i="13"/>
  <c r="DT8" i="14"/>
  <c r="DT9" i="14"/>
  <c r="DP43" i="12" s="1"/>
  <c r="DP45" i="12" s="1"/>
  <c r="DQ15" i="13" l="1"/>
  <c r="DQ18" i="13"/>
  <c r="DT44" i="12"/>
  <c r="DP61" i="12"/>
  <c r="DP26" i="12"/>
  <c r="DQ68" i="12"/>
  <c r="DT43" i="12"/>
  <c r="DT45" i="12" l="1"/>
  <c r="DR18" i="13"/>
  <c r="DR15" i="13"/>
  <c r="DP60" i="12"/>
  <c r="DP52" i="12"/>
  <c r="DQ67" i="12"/>
  <c r="DP13" i="12"/>
  <c r="DT26" i="12"/>
  <c r="DP27" i="12"/>
  <c r="DS15" i="13" l="1"/>
  <c r="DS18" i="13"/>
  <c r="DT13" i="12"/>
  <c r="DP53" i="12"/>
  <c r="DP8" i="12"/>
  <c r="DT27" i="12"/>
  <c r="DU213" i="2"/>
  <c r="DU61" i="12"/>
  <c r="DT18" i="13" l="1"/>
  <c r="DT15" i="13"/>
  <c r="DT53" i="12"/>
  <c r="DU60" i="12"/>
  <c r="DT52" i="12"/>
  <c r="DT56" i="14"/>
  <c r="DP7" i="12"/>
  <c r="DT8" i="12"/>
  <c r="DT49" i="12" s="1"/>
  <c r="DP49" i="12"/>
  <c r="DU15" i="13" l="1"/>
  <c r="DU18" i="13"/>
  <c r="DP9" i="13"/>
  <c r="DP10" i="13"/>
  <c r="DT7" i="12"/>
  <c r="DP24" i="13"/>
  <c r="DT71" i="13" l="1"/>
  <c r="DT72" i="13"/>
  <c r="DT73" i="13" s="1"/>
  <c r="DT70" i="13"/>
  <c r="DV18" i="13"/>
  <c r="DV15" i="13"/>
  <c r="DP30" i="13"/>
  <c r="DP35" i="13" s="1"/>
  <c r="DQ19" i="14"/>
  <c r="DQ16" i="14"/>
  <c r="DQ17" i="14"/>
  <c r="DT74" i="13" l="1"/>
  <c r="DQ14" i="14"/>
  <c r="DU19" i="14"/>
  <c r="DU17" i="14"/>
  <c r="DU16" i="14"/>
  <c r="DU14" i="14" l="1"/>
  <c r="DO157" i="2" l="1"/>
  <c r="DO160" i="2"/>
  <c r="DM161" i="2"/>
  <c r="DO156" i="2"/>
  <c r="DM151" i="2"/>
  <c r="DO133" i="2"/>
  <c r="DO148" i="2" s="1"/>
  <c r="DM207" i="2"/>
  <c r="DO161" i="2" l="1"/>
  <c r="DR211" i="2"/>
  <c r="DR208" i="2"/>
  <c r="DM148" i="2"/>
  <c r="DN217" i="2"/>
  <c r="DM152" i="2"/>
  <c r="DM216" i="2"/>
  <c r="DR207" i="2"/>
  <c r="DO136" i="2"/>
  <c r="DO151" i="2" s="1"/>
  <c r="DM220" i="2"/>
  <c r="DO132" i="2"/>
  <c r="DN216" i="2"/>
  <c r="DN220" i="2"/>
  <c r="DO169" i="2"/>
  <c r="DO208" i="2"/>
  <c r="DT208" i="2"/>
  <c r="DM147" i="2"/>
  <c r="DM208" i="2"/>
  <c r="DM211" i="2"/>
  <c r="DM217" i="2"/>
  <c r="DO137" i="2" l="1"/>
  <c r="DO152" i="2" s="1"/>
  <c r="DO211" i="2"/>
  <c r="DT211" i="2"/>
  <c r="DO172" i="2"/>
  <c r="DT202" i="2" s="1"/>
  <c r="DO147" i="2"/>
  <c r="DO207" i="2"/>
  <c r="DO168" i="2"/>
  <c r="DO189" i="2" s="1"/>
  <c r="DT207" i="2"/>
  <c r="DT199" i="2"/>
  <c r="DO199" i="2"/>
  <c r="P119" i="47"/>
  <c r="DO190" i="2"/>
  <c r="DO193" i="2" l="1"/>
  <c r="DO202" i="2"/>
  <c r="DO173" i="2"/>
  <c r="DO185" i="2" s="1"/>
  <c r="DO198" i="2"/>
  <c r="DT198" i="2"/>
  <c r="P111" i="47"/>
  <c r="DO184" i="2" l="1"/>
  <c r="DT203" i="2"/>
  <c r="DO194" i="2"/>
  <c r="DO178" i="2"/>
  <c r="DT204" i="2" s="1"/>
  <c r="DO181" i="2"/>
  <c r="DO203" i="2"/>
  <c r="DO182" i="2"/>
  <c r="DO183" i="2"/>
  <c r="DO195" i="2" l="1"/>
  <c r="DO204" i="2"/>
  <c r="DO43" i="12"/>
  <c r="DP68" i="12" s="1"/>
  <c r="DO186" i="2"/>
  <c r="DO61" i="12" l="1"/>
  <c r="DT61" i="12"/>
  <c r="DO45" i="12"/>
  <c r="DT60" i="12" s="1"/>
  <c r="DO163" i="2"/>
  <c r="DO165" i="2" s="1"/>
  <c r="DO138" i="2"/>
  <c r="DM165" i="2"/>
  <c r="DN221" i="2"/>
  <c r="DR212" i="2" l="1"/>
  <c r="DP67" i="12"/>
  <c r="DO56" i="14"/>
  <c r="DO60" i="12"/>
  <c r="DO52" i="12"/>
  <c r="DO139" i="2"/>
  <c r="DO144" i="2" s="1"/>
  <c r="DO24" i="12"/>
  <c r="DM221" i="2"/>
  <c r="DM212" i="2"/>
  <c r="DO212" i="2" l="1"/>
  <c r="DT212" i="2"/>
  <c r="DN222" i="2"/>
  <c r="DR213" i="2"/>
  <c r="DM213" i="2"/>
  <c r="DM222" i="2"/>
  <c r="DM153" i="2"/>
  <c r="DO153" i="2"/>
  <c r="DT213" i="2"/>
  <c r="DO213" i="2"/>
  <c r="DO27" i="12"/>
  <c r="DO13" i="12" l="1"/>
  <c r="DO16" i="12" l="1"/>
  <c r="DO8" i="12"/>
  <c r="DO49" i="12" s="1"/>
  <c r="DO53" i="12"/>
  <c r="DO17" i="12" l="1"/>
  <c r="DO19" i="12" s="1"/>
  <c r="DO7" i="12"/>
  <c r="DO72" i="13" l="1"/>
  <c r="DO73" i="13" s="1"/>
  <c r="DO71" i="13"/>
  <c r="DO70" i="13"/>
  <c r="DO83" i="13"/>
  <c r="DO62" i="12"/>
  <c r="DO21" i="12"/>
  <c r="DO22" i="12"/>
  <c r="DO56" i="12"/>
  <c r="DN19" i="14"/>
  <c r="DN69" i="12"/>
  <c r="DM28" i="12"/>
  <c r="DO58" i="14"/>
  <c r="DO54" i="12"/>
  <c r="DN16" i="14"/>
  <c r="DN17" i="14"/>
  <c r="DM55" i="12" l="1"/>
  <c r="DM49" i="14"/>
  <c r="DO74" i="13"/>
  <c r="DO19" i="14"/>
  <c r="DP19" i="14"/>
  <c r="DT19" i="14" s="1"/>
  <c r="DO63" i="12"/>
  <c r="DO36" i="12"/>
  <c r="DP17" i="14"/>
  <c r="DT17" i="14" s="1"/>
  <c r="DN14" i="14"/>
  <c r="DN39" i="13"/>
  <c r="DO39" i="13" s="1"/>
  <c r="DP16" i="14"/>
  <c r="DO16" i="14"/>
  <c r="DO17" i="14"/>
  <c r="DO7" i="14"/>
  <c r="DO28" i="12"/>
  <c r="DM29" i="12"/>
  <c r="DN70" i="12"/>
  <c r="DO14" i="14" l="1"/>
  <c r="DN41" i="13"/>
  <c r="DO29" i="12"/>
  <c r="DO55" i="12"/>
  <c r="DN22" i="14"/>
  <c r="DN75" i="13"/>
  <c r="DN83" i="13"/>
  <c r="DP14" i="14"/>
  <c r="DT16" i="14"/>
  <c r="DT14" i="14" s="1"/>
  <c r="DN42" i="13" l="1"/>
  <c r="DO42" i="13" s="1"/>
  <c r="DO41" i="13"/>
  <c r="DN44" i="13"/>
  <c r="DO60" i="14"/>
  <c r="DO61" i="14"/>
  <c r="DO22" i="14"/>
  <c r="DN55" i="13" l="1"/>
  <c r="DN61" i="13" s="1"/>
  <c r="DO67" i="14"/>
  <c r="DO68" i="14" s="1"/>
  <c r="DO23" i="14"/>
  <c r="DN58" i="13" l="1"/>
  <c r="DN59" i="13"/>
  <c r="DO45" i="14"/>
  <c r="DO47" i="14" s="1"/>
  <c r="DO41" i="14"/>
  <c r="DN64" i="13"/>
  <c r="DN65" i="13"/>
  <c r="DN85" i="13"/>
  <c r="DO69" i="14"/>
  <c r="DN86" i="13" l="1"/>
  <c r="DO43" i="14"/>
  <c r="DO51" i="14"/>
  <c r="DO48" i="14"/>
  <c r="DO50" i="14"/>
  <c r="DO49" i="14"/>
  <c r="DO53" i="13" l="1"/>
  <c r="DP7" i="13"/>
  <c r="DT42" i="14"/>
  <c r="DP42" i="14"/>
  <c r="DP43" i="14" s="1"/>
  <c r="DQ42" i="14" s="1"/>
  <c r="DQ43" i="14" s="1"/>
  <c r="DR42" i="14" s="1"/>
  <c r="DR43" i="14" s="1"/>
  <c r="DS42" i="14" s="1"/>
  <c r="DS43" i="14" s="1"/>
  <c r="DP53" i="13" l="1"/>
  <c r="DQ7" i="13"/>
  <c r="DP12" i="13"/>
  <c r="DP15" i="12"/>
  <c r="DO57" i="13"/>
  <c r="DO80" i="13" s="1"/>
  <c r="DO54" i="13"/>
  <c r="DO63" i="13"/>
  <c r="DP16" i="12" l="1"/>
  <c r="DP78" i="13"/>
  <c r="DP20" i="13"/>
  <c r="DP68" i="13"/>
  <c r="DQ15" i="12"/>
  <c r="DR7" i="13"/>
  <c r="DQ12" i="13"/>
  <c r="DQ53" i="13"/>
  <c r="DP57" i="13"/>
  <c r="DP54" i="13"/>
  <c r="DP63" i="13"/>
  <c r="DP75" i="13" l="1"/>
  <c r="DP17" i="12"/>
  <c r="DP80" i="13"/>
  <c r="DQ20" i="13"/>
  <c r="DQ78" i="13"/>
  <c r="DQ68" i="13"/>
  <c r="DR53" i="13"/>
  <c r="DR15" i="12"/>
  <c r="DR12" i="13"/>
  <c r="DS7" i="13"/>
  <c r="DT7" i="13" s="1"/>
  <c r="DU7" i="13" s="1"/>
  <c r="DQ16" i="12"/>
  <c r="DQ63" i="13"/>
  <c r="DQ57" i="13"/>
  <c r="DQ54" i="13"/>
  <c r="DU12" i="13" l="1"/>
  <c r="DU20" i="13" s="1"/>
  <c r="DV7" i="13"/>
  <c r="DV12" i="13" s="1"/>
  <c r="DV20" i="13" s="1"/>
  <c r="DQ17" i="12"/>
  <c r="DQ80" i="13"/>
  <c r="DR63" i="13"/>
  <c r="DR57" i="13"/>
  <c r="DR54" i="13"/>
  <c r="DR16" i="12"/>
  <c r="DS15" i="12"/>
  <c r="DS12" i="13"/>
  <c r="DT12" i="13" s="1"/>
  <c r="DS53" i="13"/>
  <c r="DQ75" i="13"/>
  <c r="DR20" i="13"/>
  <c r="DR68" i="13"/>
  <c r="DR78" i="13"/>
  <c r="DO55" i="13"/>
  <c r="DO44" i="13"/>
  <c r="DP19" i="12"/>
  <c r="DT68" i="13" l="1"/>
  <c r="DT78" i="13"/>
  <c r="DO86" i="13"/>
  <c r="DO85" i="13"/>
  <c r="DR75" i="13"/>
  <c r="DS16" i="12"/>
  <c r="DR80" i="13"/>
  <c r="DO61" i="13"/>
  <c r="DO58" i="13"/>
  <c r="DO59" i="13"/>
  <c r="DS20" i="13"/>
  <c r="DS68" i="13"/>
  <c r="DS78" i="13"/>
  <c r="DT15" i="12"/>
  <c r="DP22" i="12"/>
  <c r="DP21" i="12"/>
  <c r="DP28" i="12"/>
  <c r="DP69" i="12"/>
  <c r="DP62" i="12"/>
  <c r="DP7" i="14"/>
  <c r="DP83" i="13"/>
  <c r="DP48" i="14"/>
  <c r="DP56" i="12"/>
  <c r="DP39" i="13"/>
  <c r="DS63" i="13"/>
  <c r="DS54" i="13"/>
  <c r="DS57" i="13"/>
  <c r="DR17" i="12"/>
  <c r="DQ19" i="12"/>
  <c r="DS75" i="13" l="1"/>
  <c r="DT20" i="13"/>
  <c r="DT75" i="13" s="1"/>
  <c r="DO84" i="13"/>
  <c r="DS17" i="12"/>
  <c r="DS19" i="12" s="1"/>
  <c r="DQ39" i="13"/>
  <c r="DP41" i="13"/>
  <c r="DS80" i="13"/>
  <c r="DQ21" i="12"/>
  <c r="DQ7" i="14"/>
  <c r="DQ48" i="14"/>
  <c r="DQ22" i="12"/>
  <c r="DQ62" i="12"/>
  <c r="DQ83" i="13"/>
  <c r="DQ69" i="12"/>
  <c r="DQ56" i="12"/>
  <c r="DQ28" i="12"/>
  <c r="DP36" i="12"/>
  <c r="DP70" i="12"/>
  <c r="DP63" i="12"/>
  <c r="DR19" i="12"/>
  <c r="DT57" i="14"/>
  <c r="DP29" i="12"/>
  <c r="DP49" i="14"/>
  <c r="DP55" i="12"/>
  <c r="DO64" i="13"/>
  <c r="DO65" i="13"/>
  <c r="DT16" i="12"/>
  <c r="DP22" i="14"/>
  <c r="DP42" i="13" l="1"/>
  <c r="DP44" i="13" s="1"/>
  <c r="DS22" i="12"/>
  <c r="DS62" i="12"/>
  <c r="DS28" i="12"/>
  <c r="DS55" i="12" s="1"/>
  <c r="DS69" i="12"/>
  <c r="DS56" i="12"/>
  <c r="DS21" i="12"/>
  <c r="DS7" i="14"/>
  <c r="DS83" i="13"/>
  <c r="DS48" i="14"/>
  <c r="DR39" i="13"/>
  <c r="DQ41" i="13"/>
  <c r="DQ36" i="12"/>
  <c r="DQ70" i="12"/>
  <c r="DQ63" i="12"/>
  <c r="DT17" i="12"/>
  <c r="DQ49" i="14"/>
  <c r="DQ29" i="12"/>
  <c r="DQ55" i="12"/>
  <c r="DR21" i="12"/>
  <c r="DR62" i="12"/>
  <c r="DR7" i="14"/>
  <c r="DR22" i="12"/>
  <c r="DR69" i="12"/>
  <c r="DR28" i="12"/>
  <c r="DR83" i="13"/>
  <c r="DR56" i="12"/>
  <c r="DR48" i="14"/>
  <c r="DQ22" i="14"/>
  <c r="DP55" i="13" l="1"/>
  <c r="DP85" i="13" s="1"/>
  <c r="DS39" i="13"/>
  <c r="DT39" i="13" s="1"/>
  <c r="DR41" i="13"/>
  <c r="DT54" i="12"/>
  <c r="DT58" i="14"/>
  <c r="DR36" i="12"/>
  <c r="DR70" i="12"/>
  <c r="DR63" i="12"/>
  <c r="DS22" i="14"/>
  <c r="DS29" i="12"/>
  <c r="DS49" i="14"/>
  <c r="DQ42" i="13"/>
  <c r="DS70" i="12"/>
  <c r="DS36" i="12"/>
  <c r="DS63" i="12"/>
  <c r="DR22" i="14"/>
  <c r="DT7" i="14"/>
  <c r="DR49" i="14"/>
  <c r="DR29" i="12"/>
  <c r="DR55" i="12"/>
  <c r="DT19" i="12"/>
  <c r="DT28" i="12"/>
  <c r="DT83" i="13" l="1"/>
  <c r="DP58" i="13"/>
  <c r="DP61" i="13"/>
  <c r="DP64" i="13" s="1"/>
  <c r="DP59" i="13"/>
  <c r="DR42" i="13"/>
  <c r="DR44" i="13" s="1"/>
  <c r="DT22" i="14"/>
  <c r="DT29" i="12"/>
  <c r="DQ44" i="13"/>
  <c r="DQ55" i="13"/>
  <c r="DT21" i="12"/>
  <c r="DT62" i="12"/>
  <c r="DT56" i="12"/>
  <c r="DT22" i="12"/>
  <c r="DT55" i="12"/>
  <c r="DS41" i="13"/>
  <c r="DT41" i="13" l="1"/>
  <c r="DP86" i="13"/>
  <c r="DP65" i="13"/>
  <c r="DR55" i="13"/>
  <c r="DR61" i="13" s="1"/>
  <c r="DT61" i="14"/>
  <c r="DT60" i="14"/>
  <c r="DT23" i="14"/>
  <c r="DS42" i="13"/>
  <c r="DT42" i="13" s="1"/>
  <c r="DT63" i="12"/>
  <c r="DT36" i="12"/>
  <c r="DQ61" i="13"/>
  <c r="DQ58" i="13"/>
  <c r="DQ59" i="13"/>
  <c r="DQ85" i="13"/>
  <c r="DR58" i="13" l="1"/>
  <c r="DR85" i="13"/>
  <c r="DR59" i="13"/>
  <c r="DQ64" i="13"/>
  <c r="DQ65" i="13"/>
  <c r="DR86" i="13"/>
  <c r="DQ86" i="13"/>
  <c r="DT67" i="14"/>
  <c r="DT41" i="14"/>
  <c r="DT45" i="14"/>
  <c r="DT47" i="14" s="1"/>
  <c r="DR64" i="13"/>
  <c r="DR65" i="13"/>
  <c r="DS44" i="13"/>
  <c r="DS55" i="13"/>
  <c r="DT68" i="14" l="1"/>
  <c r="DT50" i="14"/>
  <c r="DT49" i="14"/>
  <c r="DT51" i="14"/>
  <c r="DT48" i="14"/>
  <c r="DS61" i="13"/>
  <c r="DS58" i="13"/>
  <c r="DS59" i="13"/>
  <c r="DS85" i="13"/>
  <c r="DT43" i="14"/>
  <c r="DU42" i="14" s="1"/>
  <c r="DU43" i="14" s="1"/>
  <c r="DV42" i="14" s="1"/>
  <c r="DV43" i="14" s="1"/>
  <c r="DT69" i="14" l="1"/>
  <c r="DS64" i="13"/>
  <c r="DS65" i="13"/>
  <c r="DS86" i="13"/>
  <c r="DT53" i="13"/>
  <c r="DT63" i="13" l="1"/>
  <c r="DT54" i="13"/>
  <c r="DT57" i="13"/>
  <c r="DT80" i="13" s="1"/>
  <c r="DU53" i="13"/>
  <c r="DU15" i="12"/>
  <c r="DV53" i="13" l="1"/>
  <c r="DV15" i="12"/>
  <c r="DU78" i="13"/>
  <c r="DU68" i="13"/>
  <c r="DU16" i="12"/>
  <c r="DU57" i="14"/>
  <c r="DU63" i="13"/>
  <c r="DU54" i="13"/>
  <c r="DU57" i="13"/>
  <c r="DU17" i="12" l="1"/>
  <c r="DV57" i="13"/>
  <c r="DV63" i="13"/>
  <c r="DV54" i="13"/>
  <c r="DV68" i="13"/>
  <c r="DV78" i="13"/>
  <c r="DV16" i="12"/>
  <c r="DV57" i="14"/>
  <c r="DU80" i="13"/>
  <c r="DU75" i="13"/>
  <c r="DV80" i="13" l="1"/>
  <c r="DV17" i="12"/>
  <c r="DU58" i="14"/>
  <c r="DV75" i="13"/>
  <c r="DT44" i="13"/>
  <c r="DT55" i="13"/>
  <c r="DU19" i="12"/>
  <c r="DU39" i="13" s="1"/>
  <c r="DT86" i="13" l="1"/>
  <c r="DT85" i="13"/>
  <c r="DU41" i="13"/>
  <c r="DU42" i="13" s="1"/>
  <c r="DV58" i="14"/>
  <c r="DV19" i="12"/>
  <c r="DV39" i="13" s="1"/>
  <c r="DU7" i="14"/>
  <c r="DU62" i="12"/>
  <c r="DU21" i="12"/>
  <c r="DU22" i="12"/>
  <c r="DU83" i="13"/>
  <c r="DU56" i="12"/>
  <c r="DU28" i="12"/>
  <c r="DU48" i="14"/>
  <c r="DT61" i="13"/>
  <c r="DT84" i="13" s="1"/>
  <c r="DT58" i="13"/>
  <c r="DT59" i="13"/>
  <c r="DV41" i="13" l="1"/>
  <c r="DV42" i="13" s="1"/>
  <c r="DT64" i="13"/>
  <c r="DT65" i="13"/>
  <c r="DV28" i="12"/>
  <c r="DV21" i="12"/>
  <c r="DV62" i="12"/>
  <c r="DV83" i="13"/>
  <c r="DV7" i="14"/>
  <c r="DV22" i="12"/>
  <c r="DV56" i="12"/>
  <c r="DV48" i="14"/>
  <c r="DU49" i="14"/>
  <c r="DU29" i="12"/>
  <c r="DU55" i="12"/>
  <c r="DU63" i="12"/>
  <c r="DU36" i="12"/>
  <c r="DU22" i="14"/>
  <c r="DV36" i="12" l="1"/>
  <c r="DV63" i="12"/>
  <c r="DV22" i="14"/>
  <c r="DV29" i="12"/>
  <c r="DV49" i="14"/>
  <c r="DV55" i="12"/>
  <c r="DU61" i="14"/>
  <c r="DU60" i="14"/>
  <c r="DU67" i="14" l="1"/>
  <c r="DV61" i="14"/>
  <c r="DV60" i="14"/>
  <c r="DU44" i="13"/>
  <c r="DU55" i="13"/>
  <c r="DU68" i="14" l="1"/>
  <c r="DU69" i="14" s="1"/>
  <c r="DV67" i="14"/>
  <c r="DU61" i="13"/>
  <c r="DU58" i="13"/>
  <c r="DU59" i="13"/>
  <c r="DU85" i="13"/>
  <c r="DU86" i="13"/>
  <c r="DV44" i="13"/>
  <c r="DV55" i="13"/>
  <c r="DV86" i="13" s="1"/>
  <c r="DV68" i="14" l="1"/>
  <c r="DU64" i="13"/>
  <c r="DU65" i="13"/>
  <c r="DU84" i="13"/>
  <c r="DV61" i="13"/>
  <c r="DV84" i="13" s="1"/>
  <c r="DV58" i="13"/>
  <c r="DV59" i="13"/>
  <c r="DV85" i="13"/>
  <c r="DV69" i="14" l="1"/>
  <c r="DV64" i="13"/>
  <c r="DV6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Ortmayer, Will [GIR]</author>
  </authors>
  <commentList>
    <comment ref="A1" authorId="0" shapeId="0" xr:uid="{7F3C59E2-4024-4A00-942D-B3E964008B28}">
      <text>
        <r>
          <rPr>
            <b/>
            <sz val="9"/>
            <color indexed="81"/>
            <rFont val="Tahoma"/>
            <family val="2"/>
          </rPr>
          <t>&lt;?xml version="1.0" encoding="utf-8"?&gt;&lt;Schema xmlns:xsd="http://www.w3.org/2001/XMLSchema" xmlns:xsi="http://www.w3.org/2001/XMLSchema-instance" Version="2" Timestamp="1761084405"&gt;&lt;FQL&gt;&lt;Q&gt;MGGT-GB^FE_VALUATION(EV_EBITDA,MEAN,ANNUAL_ROLL,+1,43487,,,'')&lt;/Q&gt;&lt;R&gt;1&lt;/R&gt;&lt;C&gt;1&lt;/C&gt;&lt;D xsi:type="xsd:double"&gt;10.863651&lt;/D&gt;&lt;/FQL&gt;&lt;FQL&gt;&lt;Q&gt;MTX-DE^FE_VALUATION(EV_EBITDA,MEAN,ANNUAL_ROLL,+1,43487,,,'')&lt;/Q&gt;&lt;R&gt;1&lt;/R&gt;&lt;C&gt;1&lt;/C&gt;&lt;D xsi:type="xsd:double"&gt;13.0639925&lt;/D&gt;&lt;/FQL&gt;&lt;FQL&gt;&lt;Q&gt;SAF^FE_VALUATION(EV_EBITDA,MEAN,ANNUAL_ROLL,+1,43487,,,'')&lt;/Q&gt;&lt;R&gt;0&lt;/R&gt;&lt;C&gt;0&lt;/C&gt;&lt;/FQL&gt;&lt;FQL&gt;&lt;Q&gt;TGI^FE_VALUATION(EV_EBITDA,MEAN,ANNUAL_ROLL,+1,43487,,,'')&lt;/Q&gt;&lt;R&gt;1&lt;/R&gt;&lt;C&gt;1&lt;/C&gt;&lt;D xsi:type="xsd:double"&gt;10.572893&lt;/D&gt;&lt;/FQL&gt;&lt;FQL&gt;&lt;Q&gt;TDG^FE_VALUATION(EV_EBITDA,MEAN,ANNUAL_ROLL,+1,43487,,,'')&lt;/Q&gt;&lt;R&gt;1&lt;/R&gt;&lt;C&gt;1&lt;/C&gt;&lt;D xsi:type="xsd:double"&gt;13.554334&lt;/D&gt;&lt;/FQL&gt;&lt;FQL&gt;&lt;Q&gt;SPR^FE_VALUATION(EV_EBITDA,MEAN,ANNUAL_ROLL,+1,43487,,,'')&lt;/Q&gt;&lt;R&gt;1&lt;/R&gt;&lt;C&gt;1&lt;/C&gt;&lt;D xsi:type="xsd:double"&gt;8.773508&lt;/D&gt;&lt;/FQL&gt;&lt;FQL&gt;&lt;Q&gt;HXL^FE_VALUATION(EV_EBITDA,MEAN,ANNUAL_ROLL,+1,43487,,,'')&lt;/Q&gt;&lt;R&gt;1&lt;/R&gt;&lt;C&gt;1&lt;/C&gt;&lt;D xsi:type="xsd:double"&gt;12.253443&lt;/D&gt;&lt;/FQL&gt;&lt;FQL&gt;&lt;Q&gt;SCHP-CH^FE_VALUATION(EV_EBITDA,MEAN,ANNUAL_ROLL,+1,43487,,,'')&lt;/Q&gt;&lt;R&gt;1&lt;/R&gt;&lt;C&gt;1&lt;/C&gt;&lt;D xsi:type="xsd:double"&gt;13.9970255&lt;/D&gt;&lt;/FQL&gt;&lt;FQL&gt;&lt;Q&gt;KNEBV-FI^FE_VALUATION(EV_EBITDA,MEAN,ANNUAL_ROLL,+1,43487,,,'')&lt;/Q&gt;&lt;R&gt;1&lt;/R&gt;&lt;C&gt;1&lt;/C&gt;&lt;D xsi:type="xsd:double"&gt;17.75362&lt;/D&gt;&lt;/FQL&gt;&lt;FQL&gt;&lt;Q&gt;LII^FE_VALUATION(EV_EBITDA,MEAN,ANNUAL_ROLL,+1,43487,,,'')&lt;/Q&gt;&lt;R&gt;1&lt;/R&gt;&lt;C&gt;1&lt;/C&gt;&lt;D xsi:type="xsd:double"&gt;16.546486&lt;/D&gt;&lt;/FQL&gt;&lt;FQL&gt;&lt;Q&gt;IR^FE_VALUATION(EV_EBITDA,MEAN,ANNUAL_ROLL,+1,43487,,,'')&lt;/Q&gt;&lt;R&gt;1&lt;/R&gt;&lt;C&gt;1&lt;/C&gt;&lt;D xsi:type="xsd:double"&gt;10.714385&lt;/D&gt;&lt;/FQL&gt;&lt;FQL&gt;&lt;Q&gt;JCI^FE_VALUATION(EV_EBITDA,MEAN,ANNUAL_ROLL,+1,43487,,,'')&lt;/Q&gt;&lt;R&gt;1&lt;/R&gt;&lt;C&gt;1&lt;/C&gt;&lt;D xsi:type="xsd:double"&gt;8.734653&lt;/D&gt;&lt;/FQL&gt;&lt;FQL&gt;&lt;Q&gt;MGGT-GB^FE_VALUATION(EV_EBITDA,MEAN,ANNUAL_ROLL,+1,43495,,,'')&lt;/Q&gt;&lt;R&gt;1&lt;/R&gt;&lt;C&gt;1&lt;/C&gt;&lt;D xsi:type="xsd:double"&gt;10.907407&lt;/D&gt;&lt;/FQL&gt;&lt;FQL&gt;&lt;Q&gt;MTX-DE^FE_VALUATION(EV_EBITDA,MEAN,ANNUAL_ROLL,+1,43495,,,'')&lt;/Q&gt;&lt;R&gt;1&lt;/R&gt;&lt;C&gt;1&lt;/C&gt;&lt;D xsi:type="xsd:double"&gt;13.645547&lt;/D&gt;&lt;/FQL&gt;&lt;FQL&gt;&lt;Q&gt;SAF^FE_VALUATION(EV_EBITDA,MEAN,ANNUAL_ROLL,+1,43495,,,'')&lt;/Q&gt;&lt;R&gt;0&lt;/R&gt;&lt;C&gt;0&lt;/C&gt;&lt;/FQL&gt;&lt;FQL&gt;&lt;Q&gt;TGI^FE_VALUATION(EV_EBITDA,MEAN,ANNUAL_ROLL,+1,43495,,,'')&lt;/Q&gt;&lt;R&gt;1&lt;/R&gt;&lt;C&gt;1&lt;/C&gt;&lt;D xsi:type="xsd:double"&gt;10.576717&lt;/D&gt;&lt;/FQL&gt;&lt;FQL&gt;&lt;Q&gt;TDG^FE_VALUATION(EV_EBITDA,MEAN,ANNUAL_ROLL,+1,43495,,,'')&lt;/Q&gt;&lt;R&gt;1&lt;/R&gt;&lt;C&gt;1&lt;/C&gt;&lt;D xsi:type="xsd:double"&gt;14.608157&lt;/D&gt;&lt;/FQL&gt;&lt;FQL&gt;&lt;Q&gt;SPR^FE_VALUATION(EV_EBITDA,MEAN,ANNUAL_ROLL,+1,43495,,,'')&lt;/Q&gt;&lt;R&gt;1&lt;/R&gt;&lt;C&gt;1&lt;/C&gt;&lt;D xsi:type="xsd:double"&gt;9.251457&lt;/D&gt;&lt;/FQL&gt;&lt;FQL&gt;&lt;Q&gt;HXL^FE_VALUATION(EV_EBITDA,MEAN,ANNUAL_ROLL,+1,43495,,,'')&lt;/Q&gt;&lt;R&gt;1&lt;/R&gt;&lt;C&gt;1&lt;/C&gt;&lt;D xsi:type="xsd:double"&gt;11.721499&lt;/D&gt;&lt;/FQL&gt;&lt;FQL&gt;&lt;Q&gt;SCHP-CH^FE_VALUATION(EV_EBITDA,MEAN,ANNUAL_ROLL,+1,43495,,,'')&lt;/Q&gt;&lt;R&gt;1&lt;/R&gt;&lt;C&gt;1&lt;/C&gt;&lt;D xsi:type="xsd:double"&gt;14.2865925&lt;/D&gt;&lt;/FQL&gt;&lt;FQL&gt;&lt;Q&gt;KNEBV-FI^FE_VALUATION(EV_EBITDA,MEAN,ANNUAL_ROLL,+1,43495,,,'')&lt;/Q&gt;&lt;R&gt;1&lt;/R&gt;&lt;C&gt;1&lt;/C&gt;&lt;D xsi:type="xsd:double"&gt;15.340615&lt;/D&gt;&lt;/FQL&gt;&lt;FQL&gt;&lt;Q&gt;LII^FE_VALUATION(EV_EBITDA,MEAN,ANNUAL_ROLL,+1,43495,,,'')&lt;/Q&gt;&lt;R&gt;1&lt;/R&gt;&lt;C&gt;1&lt;/C&gt;&lt;D xsi:type="xsd:double"&gt;16.56714&lt;/D&gt;&lt;/FQL&gt;&lt;FQL&gt;&lt;Q&gt;IR^FE_VALUATION(EV_EBITDA,MEAN,ANNUAL_ROLL,+1,43495,,,'')&lt;/Q&gt;&lt;R&gt;1&lt;/R&gt;&lt;C&gt;1&lt;/C&gt;&lt;D xsi:type="xsd:double"&gt;11.476293&lt;/D&gt;&lt;/FQL&gt;&lt;FQL&gt;&lt;Q&gt;JCI^FE_VALUATION(EV_EBITDA,MEAN,ANNUAL_ROLL,+1,43495,,,'')&lt;/Q&gt;&lt;R&gt;1&lt;/R&gt;&lt;C&gt;1&lt;/C&gt;&lt;D xsi:type="xsd:double"&gt;8.761728&lt;/D&gt;&lt;/FQL&gt;&lt;FQL&gt;&lt;Q&gt;MGGT-GB^FE_VALUATION(EV_EBITDA,MEAN,ANNUAL_ROLL,+1,43566,,,'')&lt;/Q&gt;&lt;R&gt;1&lt;/R&gt;&lt;C&gt;1&lt;/C&gt;&lt;D xsi:type="xsd:double"&gt;10.127027&lt;/D&gt;&lt;/FQL&gt;&lt;FQL&gt;&lt;Q&gt;MTX-DE^FE_VALUATION(EV_EBITDA,MEAN,ANNUAL_ROLL,+1,43566,,,'')&lt;/Q&gt;&lt;R&gt;1&lt;/R&gt;&lt;C&gt;1&lt;/C&gt;&lt;D xsi:type="xsd:double"&gt;13.137187&lt;/D&gt;&lt;/FQL&gt;&lt;FQL&gt;&lt;Q&gt;SAF^FE_VALUATION(EV_EBITDA,MEAN,ANNUAL_ROLL,+1,43566,,,'')&lt;/Q&gt;&lt;R&gt;0&lt;/R&gt;&lt;C&gt;0&lt;/C&gt;&lt;/FQL&gt;&lt;FQL&gt;&lt;Q&gt;TGI^FE_VALUATION(EV_EBITDA,MEAN,ANNUAL_ROLL,+1,43566,,,'')&lt;/Q&gt;&lt;R&gt;1&lt;/R&gt;&lt;C&gt;1&lt;/C&gt;&lt;D xsi:type="xsd:double"&gt;11.031293&lt;/D&gt;&lt;/FQL&gt;&lt;FQL&gt;&lt;Q&gt;TDG^FE_VALUATION(EV_EBITDA,MEAN,ANNUAL_ROLL,+1,43566,,,'')&lt;/Q&gt;&lt;R&gt;1&lt;/R&gt;&lt;C&gt;1&lt;/C&gt;&lt;D xsi:type="xsd:double"&gt;16.091831&lt;/D&gt;&lt;/FQL&gt;&lt;FQL&gt;&lt;Q&gt;SPR^FE_VALUATION(EV_EBITDA,MEAN,ANNUAL_ROLL,+1,43566,,,'')&lt;/Q&gt;&lt;R&gt;1&lt;/R&gt;&lt;C&gt;1&lt;/C&gt;&lt;D xsi:type="xsd:double"&gt;8.002042&lt;/D&gt;&lt;/FQL&gt;&lt;FQL&gt;&lt;Q&gt;HXL^FE_VALUATION(EV_EBITDA,MEAN,ANNUAL_ROLL,+1,43566,,,'')&lt;/Q&gt;&lt;R&gt;1&lt;/R&gt;&lt;C&gt;1&lt;/C&gt;&lt;D xsi:type="xsd:double"&gt;11.666464&lt;/D&gt;&lt;/FQL&gt;&lt;FQL&gt;&lt;Q&gt;SCHP-CH^FE_VALUATION(EV_EBITDA,MEAN,ANNUAL_ROLL,+1,43566,,,'')&lt;/Q&gt;&lt;R&gt;1&lt;/R&gt;&lt;C&gt;1&lt;/C&gt;&lt;D xsi:type="xsd:double"&gt;13.658426&lt;/D&gt;&lt;/FQL&gt;&lt;FQL&gt;&lt;Q&gt;KNEBV-FI^FE_VALUATION(EV_EBITDA,MEAN,ANNUAL_ROLL,+1,43566,,,'')&lt;/Q&gt;&lt;R&gt;1&lt;/R&gt;&lt;C&gt;1&lt;/C&gt;&lt;D xsi:type="xsd:double"&gt;17.55214&lt;/D&gt;&lt;/FQL&gt;&lt;FQL&gt;&lt;Q&gt;LII^FE_VALUATION(EV_EBITDA,MEAN,ANNUAL_ROLL,+1,43566,,,'')&lt;/Q&gt;&lt;R&gt;1&lt;/R&gt;&lt;C&gt;1&lt;/C&gt;&lt;D xsi:type="xsd:double"&gt;15.948811&lt;/D&gt;&lt;/FQL&gt;&lt;FQL&gt;&lt;Q&gt;IR^FE_VALUATION(EV_EBITDA,MEAN,ANNUAL_ROLL,+1,43566,,,'')&lt;/Q&gt;&lt;R&gt;1&lt;/R&gt;&lt;C&gt;1&lt;/C&gt;&lt;D xsi:type="xsd:double"&gt;11.53839&lt;/D&gt;&lt;/FQL&gt;&lt;FQL&gt;&lt;Q&gt;JCI^FE_VALUATION(EV_EBITDA,MEAN,ANNUAL_ROLL,+1,43566,,,'')&lt;/Q&gt;&lt;R&gt;1&lt;/R&gt;&lt;C&gt;1&lt;/C&gt;&lt;D xsi:type="xsd:double"&gt;10.6966915&lt;/D&gt;&lt;/FQL&gt;&lt;FQL&gt;&lt;Q&gt;MGGT-GB^FE_VALUATION(EV_EBITDA,MEAN,ANNUAL_ROLL,+1,43571,,,'')&lt;/Q&gt;&lt;R&gt;1&lt;/R&gt;&lt;C&gt;1&lt;/C&gt;&lt;D xsi:type="xsd:double"&gt;10.211776&lt;/D&gt;&lt;/FQL&gt;&lt;FQL&gt;&lt;Q&gt;MTX-DE^FE_VALUATION(EV_EBITDA,MEAN,ANNUAL_ROLL,+1,43571,,,'')&lt;/Q&gt;&lt;R&gt;1&lt;/R&gt;&lt;C&gt;1&lt;/C&gt;&lt;D xsi:type="xsd:double"&gt;13.218004&lt;/D&gt;&lt;/FQL&gt;&lt;FQL&gt;&lt;Q&gt;SAF^FE_VALUATION(EV_EBITDA,MEAN,ANNUAL_ROLL,+1,43571,,,'')&lt;/Q&gt;&lt;R&gt;0&lt;/R&gt;&lt;C&gt;0&lt;/C&gt;&lt;/FQL&gt;&lt;FQL&gt;&lt;Q&gt;TGI^FE_VALUATION(EV_EBITDA,MEAN,ANNUAL_ROLL,+1,43571,,,'')&lt;/Q&gt;&lt;R&gt;1&lt;/R&gt;&lt;C&gt;1&lt;/C&gt;&lt;D xsi:type="xsd:double"&gt;11.2468&lt;/D&gt;&lt;/FQL&gt;&lt;FQL&gt;&lt;Q&gt;TDG^FE_VALUATION(EV_EBITDA,MEAN,ANNUAL_ROLL,+1,43571,,,'')&lt;/Q&gt;&lt;R&gt;1&lt;/R&gt;&lt;C&gt;1&lt;/C&gt;&lt;D xsi:type="xsd:double"&gt;16.012178&lt;/D&gt;&lt;/FQL&gt;&lt;FQL&gt;&lt;Q&gt;SPR^FE_VALUATION(EV_EBITDA,MEAN,ANNUAL_ROLL,+1,43571,,,'')&lt;/Q&gt;&lt;R&gt;1&lt;/R&gt;&lt;C&gt;1&lt;/C&gt;&lt;D xsi:type="xsd:double"&gt;8.184383&lt;/D&gt;&lt;/FQL&gt;&lt;FQL&gt;&lt;Q&gt;HXL^FE_VALUATION(EV_EBITDA,MEAN,ANNUAL_ROLL,+1,43571,,,'')&lt;/Q&gt;&lt;R&gt;1&lt;/R&gt;&lt;C&gt;1&lt;/C&gt;&lt;D xsi:type="xsd:double"&gt;11.732265&lt;/D&gt;&lt;/FQL&gt;&lt;FQL&gt;&lt;Q&gt;SCHP-CH^FE_VALUATION(EV_EBITDA,MEAN,ANNUAL_ROLL,+1,43571,,,'')&lt;/Q&gt;&lt;R&gt;1&lt;/R&gt;&lt;C&gt;1&lt;/C&gt;&lt;D xsi:type="xsd:double"&gt;13.919883&lt;/D&gt;&lt;/FQL&gt;&lt;FQL&gt;&lt;Q&gt;KNEBV-FI^FE_VALUATION(EV_EBITDA,MEAN,ANNUAL_ROLL,+1,43571,,,'')&lt;/Q&gt;&lt;R&gt;1&lt;/R&gt;&lt;C&gt;1&lt;/C&gt;&lt;D xsi:type="xsd:double"&gt;17.459673&lt;/D&gt;&lt;/FQL&gt;&lt;FQL&gt;&lt;Q&gt;LII^FE_VALUATION(EV_EBITDA,MEAN,ANNUAL_ROLL,+1,43571,,,'')&lt;/Q&gt;&lt;R&gt;1&lt;/R&gt;&lt;C&gt;1&lt;/C&gt;&lt;D xsi:type="xsd:double"&gt;16.009548&lt;/D&gt;&lt;/FQL&gt;&lt;FQL&gt;&lt;Q&gt;IR^FE_VALUATION(EV_EBITDA,MEAN,ANNUAL_ROLL,+1,43571,,,'')&lt;/Q&gt;&lt;R&gt;1&lt;/R&gt;&lt;C&gt;1&lt;/C&gt;&lt;D xsi:type="xsd:double"&gt;11.644699&lt;/D&gt;&lt;/FQL&gt;&lt;FQL&gt;&lt;Q&gt;JCI^FE_VALUATION(EV_EBITDA,MEAN,ANNUAL_ROLL,+1,43571,,,'')&lt;/Q&gt;&lt;R&gt;1&lt;/R&gt;&lt;C&gt;1&lt;/C&gt;&lt;D xsi:type="xsd:double"&gt;10.998114&lt;/D&gt;&lt;/FQL&gt;&lt;FQL&gt;&lt;Q&gt;MGGT-GB^FE_VALUATION(EV_EBITDA,MEAN,ANNUAL_ROLL,+1,43577,,,'')&lt;/Q&gt;&lt;R&gt;1&lt;/R&gt;&lt;C&gt;1&lt;/C&gt;&lt;D xsi:type="xsd:double"&gt;10.249443&lt;/D&gt;&lt;/FQL&gt;&lt;FQL&gt;&lt;Q&gt;MTX-DE^FE_VALUATION(EV_EBITDA,MEAN,ANNUAL_ROLL,+1,43577,,,'')&lt;/Q&gt;&lt;R&gt;1&lt;/R&gt;&lt;C&gt;1&lt;/C&gt;&lt;D xsi:type="xsd:double"&gt;13.193044&lt;/D&gt;&lt;/FQL&gt;&lt;FQL&gt;&lt;Q&gt;SAF^FE_VALUATION(EV_EBITDA,MEAN,ANNUAL_ROLL,+1,43577,,,'')&lt;/Q&gt;&lt;R&gt;0&lt;/R&gt;&lt;C&gt;0&lt;/C&gt;&lt;/FQL&gt;&lt;FQL&gt;&lt;Q&gt;SAF-PA^FE_VALUATION(EV_EBITDA,MEAN,ANNUAL_ROLL,+1,43577,,,'')&lt;/Q&gt;&lt;R&gt;0&lt;/R&gt;&lt;C&gt;0&lt;/C&gt;&lt;/FQL&gt;&lt;FQL&gt;&lt;Q&gt;SAF-FR^FE_VALUATION(EV_EBITDA,MEAN,ANNUAL_ROLL,+1,43577,,,'')&lt;/Q&gt;&lt;R&gt;1&lt;/R&gt;&lt;C&gt;1&lt;/C&gt;&lt;D xsi:type="xsd:double"&gt;12.718196&lt;/D&gt;&lt;/FQL&gt;&lt;FQL&gt;&lt;Q&gt;TGI^FE_VALUATION(EV_EBITDA,MEAN,ANNUAL_ROLL,+1,43577,,,'')&lt;/Q&gt;&lt;R&gt;1&lt;/R&gt;&lt;C&gt;1&lt;/C&gt;&lt;D xsi:type="xsd:double"&gt;12.001962&lt;/D&gt;&lt;/FQL&gt;&lt;FQL&gt;&lt;Q&gt;TDG^FE_VALUATION(EV_EBITDA,MEAN,ANNUAL_ROLL,+1,43577,,,'')&lt;/Q&gt;&lt;R&gt;1&lt;/R&gt;&lt;C&gt;1&lt;/C&gt;&lt;D xsi:type="xsd:double"&gt;16.355844&lt;/D&gt;&lt;/FQL&gt;&lt;FQL&gt;&lt;Q&gt;HXL^FE_VALUATION(EV_EBITDA,MEAN,ANNUAL_ROLL,+1,43577,,,'')&lt;/Q&gt;&lt;R&gt;1&lt;/R&gt;&lt;C&gt;1&lt;/C&gt;&lt;D xsi:type="xsd:double"&gt;11.66168&lt;/D&gt;&lt;/FQL&gt;&lt;FQL&gt;&lt;Q&gt;SCHP-CH^FE_VALUATION(EV_EBITDA,MEAN,ANNUAL_ROLL,+1,43577,,,'')&lt;/Q&gt;&lt;R&gt;1&lt;/R&gt;&lt;C&gt;1&lt;/C&gt;&lt;D xsi:type="xsd:double"&gt;13.984015&lt;/D&gt;&lt;/FQL&gt;&lt;FQL&gt;&lt;Q&gt;KNEBV-FI^FE_VALUATION(EV_EBITDA,MEAN,ANNUAL_ROLL,+1,43577,,,'')&lt;/Q&gt;&lt;R&gt;1&lt;/R&gt;&lt;C&gt;1&lt;/C&gt;&lt;D xsi:type="xsd:double"&gt;17.69534&lt;/D&gt;&lt;/FQL&gt;&lt;FQL&gt;&lt;Q&gt;LII^FE_VALUATION(EV_EBITDA,MEAN,ANNUAL_ROLL,+1,43577,,,'')&lt;/Q&gt;&lt;R&gt;1&lt;/R&gt;&lt;C&gt;1&lt;/C&gt;&lt;D xsi:type="xsd:double"&gt;15.578246&lt;/D&gt;&lt;/FQL&gt;&lt;FQL&gt;&lt;Q&gt;IR^FE_VALUATION(EV_EBITDA,MEAN,ANNUAL_ROLL,+1,43577,,,'')&lt;/Q&gt;&lt;R&gt;1&lt;/R&gt;&lt;C&gt;1&lt;/C&gt;&lt;D xsi:type="xsd:double"&gt;11.549426&lt;/D&gt;&lt;/FQL&gt;&lt;FQL&gt;&lt;Q&gt;JCI^FE_VALUATION(EV_EBITDA,MEAN,ANNUAL_ROLL,+1,43577,,,'')&lt;/Q&gt;&lt;R&gt;1&lt;/R&gt;&lt;C&gt;1&lt;/C&gt;&lt;D xsi:type="xsd:double"&gt;10.941776&lt;/D&gt;&lt;/FQL&gt;&lt;FQL&gt;&lt;Q&gt;SPR^FE_VALUATION(EV_EBITDA,MEAN,ANNUAL_ROLL,+1,43577,,,'')&lt;/Q&gt;&lt;R&gt;1&lt;/R&gt;&lt;C&gt;1&lt;/C&gt;&lt;D xsi:type="xsd:double"&gt;8.174183&lt;/D&gt;&lt;/FQL&gt;&lt;FQL&gt;&lt;Q&gt;MGGT-GB^FE_VALUATION(EV_EBITDA,MEAN,ANNUAL_ROLL,+2,43577,,,'')&lt;/Q&gt;&lt;R&gt;1&lt;/R&gt;&lt;C&gt;1&lt;/C&gt;&lt;D xsi:type="xsd:double"&gt;9.379948&lt;/D&gt;&lt;/FQL&gt;&lt;FQL&gt;&lt;Q&gt;MTX-DE^FE_VALUATION(EV_EBITDA,MEAN,ANNUAL_ROLL,+2,43577,,,'')&lt;/Q&gt;&lt;R&gt;1&lt;/R&gt;&lt;C&gt;1&lt;/C&gt;&lt;D xsi:type="xsd:double"&gt;11.881464&lt;/D&gt;&lt;/FQL&gt;&lt;FQL&gt;&lt;Q&gt;SAF-FR^FE_VALUATION(EV_EBITDA,MEAN,ANNUAL_ROLL,+2,43577,,,'')&lt;/Q&gt;&lt;R&gt;1&lt;/R&gt;&lt;C&gt;1&lt;/C&gt;&lt;D xsi:type="xsd:double"&gt;11.036676&lt;/D&gt;&lt;/FQL&gt;&lt;FQL&gt;&lt;Q&gt;TGI^FE_VALUATION(EV_EBITDA,MEAN,ANNUAL_ROLL,+2,43577,,,'')&lt;/Q&gt;&lt;R&gt;1&lt;/R&gt;&lt;C&gt;1&lt;/C&gt;&lt;D xsi:type="xsd:double"&gt;8.183677&lt;/D&gt;&lt;/FQL&gt;&lt;FQL&gt;&lt;Q&gt;TDG^FE_VALUATION(EV_EBITDA,MEAN,ANNUAL_ROLL,+2,43577,,,'')&lt;/Q&gt;&lt;R&gt;1&lt;/R&gt;&lt;C&gt;1&lt;/C&gt;&lt;D xsi:type="xsd:double"&gt;14.0340185&lt;/D&gt;&lt;/FQL&gt;&lt;FQL&gt;&lt;Q&gt;SPR^FE_VALUATION(EV_EBITDA,MEAN,ANNUAL_ROLL,+2,43577,,,'')&lt;/Q&gt;&lt;R&gt;1&lt;/R&gt;&lt;C&gt;1&lt;/C&gt;&lt;D xsi:type="xsd:double"&gt;7.4834576&lt;/D&gt;&lt;/FQL&gt;&lt;FQL&gt;&lt;Q&gt;HXL^FE_VALUATION(EV_EBITDA,MEAN,ANNUAL_ROLL,+2,43577,,,'')&lt;/Q&gt;&lt;R&gt;1&lt;/R&gt;&lt;C&gt;1&lt;/C&gt;&lt;D xsi:type="xsd:double"&gt;10.596782&lt;/D&gt;&lt;/FQL&gt;&lt;FQL&gt;&lt;Q&gt;SCHP-CH^FE_VALUATION(EV_EBITDA,MEAN,ANNUAL_ROLL,+2,43577,,,'')&lt;/Q&gt;&lt;R&gt;1&lt;/R&gt;&lt;C&gt;1&lt;/C&gt;&lt;D xsi:type="xsd:double"&gt;12.612082&lt;/D&gt;&lt;/FQL&gt;&lt;FQL&gt;&lt;Q&gt;KNEBV-FI^FE_VALUATION(EV_EBITDA,MEAN,ANNUAL_ROLL,+2,43577,,,'')&lt;/Q&gt;&lt;R&gt;1&lt;/R&gt;&lt;C&gt;1&lt;/C&gt;&lt;D xsi:type="xsd:double"&gt;16.139868&lt;/D&gt;&lt;/FQL&gt;&lt;FQL&gt;&lt;Q&gt;LII^FE_VALUATION(EV_EBITDA,MEAN,ANNUAL_ROLL,+2,43577,,,'')&lt;/Q&gt;&lt;R&gt;1&lt;/R&gt;&lt;C&gt;1&lt;/C&gt;&lt;D xsi:type="xsd:double"&gt;15.30422&lt;/D&gt;&lt;/FQL&gt;&lt;FQL&gt;&lt;Q&gt;IR^FE_VALUATION(EV_EBITDA,MEAN,ANNUAL_ROLL,+2,43577,,,'')&lt;/Q&gt;&lt;R&gt;1&lt;/R&gt;&lt;C&gt;1&lt;/C&gt;&lt;D xsi:type="xsd:double"&gt;10.581098&lt;/D&gt;&lt;/FQL&gt;&lt;FQL&gt;&lt;Q&gt;JCI^FE_VALUATION(EV_EBITDA,MEAN,ANNUAL_ROLL,+2,43577,,,'')&lt;/Q&gt;&lt;R&gt;1&lt;/R&gt;&lt;C&gt;1&lt;/C&gt;&lt;D xsi:type="xsd:double"&gt;11.188491&lt;/D&gt;&lt;/FQL&gt;&lt;FQL&gt;&lt;Q&gt;LII^FE_ESTIMATE(EPS,MEAN,ANNUAL,2020,43577,,,'BKRF=')&lt;/Q&gt;&lt;R&gt;1&lt;/R&gt;&lt;C&gt;1&lt;/C&gt;&lt;D xsi:type="xsd:double"&gt;12.774095&lt;/D&gt;&lt;/FQL&gt;&lt;FQL&gt;&lt;Q&gt;IR^FE_ESTIMATE(EPS,MEAN,ANNUAL,2020,43577,,,'BKRF=')&lt;/Q&gt;&lt;R&gt;1&lt;/R&gt;&lt;C&gt;1&lt;/C&gt;&lt;D xsi:type="xsd:double"&gt;7.0021462&lt;/D&gt;&lt;/FQL&gt;&lt;FQL&gt;&lt;Q&gt;JCI^FE_ESTIMATE(EPS,MEAN,ANNUAL,2020,43577,,,'BKRF=')&lt;/Q&gt;&lt;R&gt;1&lt;/R&gt;&lt;C&gt;1&lt;/C&gt;&lt;D xsi:type="xsd:double"&gt;2.5442476&lt;/D&gt;&lt;/FQL&gt;&lt;FQL&gt;&lt;Q&gt;TDG^FG_FCF_YIELD_NTM(43933)&lt;/Q&gt;&lt;R&gt;1&lt;/R&gt;&lt;C&gt;1&lt;/C&gt;&lt;D xsi:type="xsd:double"&gt;5.9896126&lt;/D&gt;&lt;/FQL&gt;&lt;FQL&gt;&lt;Q&gt;TDG^FG_FCF_YIELD_FY2(43933)&lt;/Q&gt;&lt;R&gt;1&lt;/R&gt;&lt;C&gt;1&lt;/C&gt;&lt;D xsi:type="xsd:double"&gt;6.18655571120242&lt;/D&gt;&lt;/FQL&gt;&lt;FQL&gt;&lt;Q&gt;TDG^FG_FCF_YIELD_FY1(43933)&lt;/Q&gt;&lt;R&gt;1&lt;/R&gt;&lt;C&gt;1&lt;/C&gt;&lt;D xsi:type="xsd:double"&gt;5.77342871807366&lt;/D&gt;&lt;/FQL&gt;&lt;FQL&gt;&lt;Q&gt;HXL^FG_FCF_YIELD_NTM(43933)&lt;/Q&gt;&lt;R&gt;1&lt;/R&gt;&lt;C&gt;1&lt;/C&gt;&lt;D xsi:type="xsd:double"&gt;9.926018&lt;/D&gt;&lt;/FQL&gt;&lt;FQL&gt;&lt;Q&gt;HXL^FG_FCF_YIELD_FY1(43933)&lt;/Q&gt;&lt;R&gt;1&lt;/R&gt;&lt;C&gt;1&lt;/C&gt;&lt;D xsi:type="xsd:double"&gt;9.51562246349189&lt;/D&gt;&lt;/FQL&gt;&lt;FQL&gt;&lt;Q&gt;HXL^FG_FCF_YIELD_FY2(43933)&lt;/Q&gt;&lt;R&gt;1&lt;/R&gt;&lt;C&gt;1&lt;/C&gt;&lt;D xsi:type="xsd:double"&gt;11.0286948995374&lt;/D&gt;&lt;/FQL&gt;&lt;FQL&gt;&lt;Q&gt;WWD^FG_FCF_YIELD_NTM(43933)&lt;/Q&gt;&lt;R&gt;1&lt;/R&gt;&lt;C&gt;1&lt;/C&gt;&lt;D xsi:type="xsd:double"&gt;8.620499&lt;/D&gt;&lt;/FQL&gt;&lt;FQL&gt;&lt;Q&gt;WWD^FG_FCF_YIELD_FY1(43933)&lt;/Q&gt;&lt;R&gt;1&lt;/R&gt;&lt;C&gt;1&lt;/C&gt;&lt;D xsi:type="xsd:double"&gt;9.2494864916337&lt;/D&gt;&lt;/FQL&gt;&lt;FQL&gt;&lt;Q&gt;WWD^FG_FCF_YIELD_FY2(43933)&lt;/Q&gt;&lt;R&gt;1&lt;/R&gt;&lt;C&gt;1&lt;/C&gt;&lt;D xsi:type="xsd:double"&gt;8.04749308519157&lt;/D&gt;&lt;/FQL&gt;&lt;FQL&gt;&lt;Q&gt;SAF-FR^FG_FCF_YIELD_NTM(43933)&lt;/Q&gt;&lt;R&gt;1&lt;/R&gt;&lt;C&gt;1&lt;/C&gt;&lt;D xsi:type="xsd:double"&gt;6.0168595&lt;/D&gt;&lt;/FQL&gt;&lt;FQL&gt;&lt;Q&gt;SAF-FR^FG_FCF_YIELD_FY1(43933)&lt;/Q&gt;&lt;R&gt;1&lt;/R&gt;&lt;C&gt;1&lt;/C&gt;&lt;D xsi:type="xsd:double"&gt;5.5653933158068&lt;/D&gt;&lt;/FQL&gt;&lt;FQL&gt;&lt;Q&gt;SAF-FR^FG_FCF_YIELD_FY2(43933)&lt;/Q&gt;&lt;R&gt;1&lt;/R&gt;&lt;C&gt;1&lt;/C&gt;&lt;D xsi:type="xsd:double"&gt;7.22989004277131&lt;/D&gt;&lt;/FQL&gt;&lt;FQL&gt;&lt;Q&gt;NOC^FG_FCF_YIELD_NTM(43932)&lt;/Q&gt;&lt;R&gt;1&lt;/R&gt;&lt;C&gt;1&lt;/C&gt;&lt;D xsi:type="xsd:double"&gt;6.0997844&lt;/D&gt;&lt;/FQL&gt;&lt;FQL&gt;&lt;Q&gt;LMT^FG_FCF_YIELD_NTM(43932)&lt;/Q&gt;&lt;R&gt;1&lt;/R&gt;&lt;C&gt;1&lt;/C&gt;&lt;D xsi:type="xsd:double"&gt;5.86601&lt;/D&gt;&lt;/FQL&gt;&lt;FQL&gt;&lt;Q&gt;RR-GB^FG_FCF_YIELD_NTM(43932)&lt;/Q&gt;&lt;R&gt;1&lt;/R&gt;&lt;C&gt;1&lt;/C&gt;&lt;D xsi:type="xsd:double"&gt;11.290123&lt;/D&gt;&lt;/FQL&gt;&lt;FQL&gt;&lt;Q&gt;MGGT-GB^FG_FCF_YIELD_NTM(43932)&lt;/Q&gt;&lt;R&gt;1&lt;/R&gt;&lt;C&gt;1&lt;/C&gt;&lt;D xsi:type="xsd:double"&gt;5.9406867&lt;/D&gt;&lt;/FQL&gt;&lt;FQL&gt;&lt;Q&gt;MTX-DE^FG_FCF_YIELD_NTM(43932)&lt;/Q&gt;&lt;R&gt;1&lt;/R&gt;&lt;C&gt;1&lt;/C&gt;&lt;D xsi:type="xsd:double"&gt;5.778094&lt;/D&gt;&lt;/FQL&gt;&lt;FQL&gt;&lt;Q&gt;SAF-FR^FG_FCF_YIELD_NTM(43932)&lt;/Q&gt;&lt;R&gt;1&lt;/R&gt;&lt;C&gt;1&lt;/C&gt;&lt;D xsi:type="xsd:double"&gt;6.0168595&lt;/D&gt;&lt;/FQL&gt;&lt;FQL&gt;&lt;Q&gt;WWD^FG_FCF_YIELD_NTM(43932)&lt;/Q&gt;&lt;R&gt;1&lt;/R&gt;&lt;C&gt;1&lt;/C&gt;&lt;D xsi:type="xsd:double"&gt;8.620499&lt;/D&gt;&lt;/FQL&gt;&lt;FQL&gt;&lt;Q&gt;HXL^FG_FCF_YIELD_NTM(43932)&lt;/Q&gt;&lt;R&gt;1&lt;/R&gt;&lt;C&gt;1&lt;/C&gt;&lt;D xsi:type="xsd:double"&gt;10.092804&lt;/D&gt;&lt;/FQL&gt;&lt;FQL&gt;&lt;Q&gt;TDG^FG_FCF_YIELD_NTM(43932)&lt;/Q&gt;&lt;R&gt;1&lt;/R&gt;&lt;C&gt;1&lt;/C&gt;&lt;D xsi:type="xsd:double"&gt;5.9896126&lt;/D&gt;&lt;/FQL&gt;&lt;FQL&gt;&lt;Q&gt;BA^FG_FCF_YIELD_NTM(43932)&lt;/Q&gt;&lt;R&gt;1&lt;/R&gt;&lt;C&gt;1&lt;/C&gt;&lt;D xsi:type="xsd:double"&gt;-5.2691245&lt;/D&gt;&lt;/FQL&gt;&lt;FQL&gt;&lt;Q&gt;SAF-FR^FG_FCF_YIELD_FY1(43934)&lt;/Q&gt;&lt;R&gt;1&lt;/R&gt;&lt;C&gt;1&lt;/C&gt;&lt;D xsi:type="xsd:double"&gt;5.5653933158068&lt;/D&gt;&lt;/FQL&gt;&lt;FQL&gt;&lt;Q&gt;WWD^FG_FCF_YIELD_NTM(43934)&lt;/Q&gt;&lt;R&gt;1&lt;/R&gt;&lt;C&gt;1&lt;/C&gt;&lt;D xsi:type="xsd:double"&gt;9.452539&lt;/D&gt;&lt;/FQL&gt;&lt;FQL&gt;&lt;Q&gt;TDG^FG_FCF_YIELD_FY2(43934)&lt;/Q&gt;&lt;R&gt;1&lt;/R&gt;&lt;C&gt;1&lt;/C&gt;&lt;D xsi:type="xsd:double"&gt;6.79692566895682&lt;/D&gt;&lt;/FQL&gt;&lt;FQL&gt;&lt;Q&gt;SAF-FR^FG_FCF_YIELD_NTM(43934)&lt;/Q&gt;&lt;R&gt;1&lt;/R&gt;&lt;C&gt;1&lt;/C&gt;&lt;D xsi:type="xsd:double"&gt;6.0168595&lt;/D&gt;&lt;/FQL&gt;&lt;FQL&gt;&lt;Q&gt;HXL^FG_FCF_YIELD_FY2(43934)&lt;/Q&gt;&lt;R&gt;1&lt;/R&gt;&lt;C&gt;1&lt;/C&gt;&lt;D xsi:type="xsd:double"&gt;11.4467200396698&lt;/D&gt;&lt;/FQL&gt;&lt;FQL&gt;&lt;Q&gt;TDG^FG_FCF_YIELD_FY1(43934)&lt;/Q&gt;&lt;R&gt;1&lt;/R&gt;&lt;C&gt;1&lt;/C&gt;&lt;D xsi:type="xsd:double"&gt;6.34303930407217&lt;/D&gt;&lt;/FQL&gt;&lt;FQL&gt;&lt;Q&gt;WWD^FG_FCF_YIELD_FY2(43934)&lt;/Q&gt;&lt;R&gt;1&lt;/R&gt;&lt;C&gt;1&lt;/C&gt;&lt;D xsi:type="xsd:double"&gt;8.8377329482792&lt;/D&gt;&lt;/FQL&gt;&lt;FQL&gt;&lt;Q&gt;HXL^FG_FCF_YIELD_FY1(43934)&lt;/Q&gt;&lt;R&gt;1&lt;/R&gt;&lt;C&gt;1&lt;/C&gt;&lt;D xsi:type="xsd:double"&gt;9.49425616490536&lt;/D&gt;&lt;/FQL&gt;&lt;FQL&gt;&lt;Q&gt;TDG^FG_FCF_YIELD_NTM(43934)&lt;/Q&gt;&lt;R&gt;1&lt;/R&gt;&lt;C&gt;1&lt;/C&gt;&lt;D xsi:type="xsd:double"&gt;6.5855265&lt;/D&gt;&lt;/FQL&gt;&lt;FQL&gt;&lt;Q&gt;WWD^FG_FCF_YIELD_FY1(43934)&lt;/Q&gt;&lt;R&gt;1&lt;/R&gt;&lt;C&gt;1&lt;/C&gt;&lt;D xsi:type="xsd:double"&gt;10.1577591414499&lt;/D&gt;&lt;/FQL&gt;&lt;FQL&gt;&lt;Q&gt;HXL^FG_FCF_YIELD_NTM(43934)&lt;/Q&gt;&lt;R&gt;1&lt;/R&gt;&lt;C&gt;1&lt;/C&gt;&lt;D xsi:type="xsd:double"&gt;10.045225&lt;/D&gt;&lt;/FQL&gt;&lt;FQL&gt;&lt;Q&gt;JCI^FE_VALUATION(EV_EBITDA,MEAN,ANNUAL_ROLL,+2,43934,,,'')&lt;/Q&gt;&lt;R&gt;1&lt;/R&gt;&lt;C&gt;1&lt;/C&gt;&lt;D xsi:type="xsd:double"&gt;8.631357&lt;/D&gt;&lt;/FQL&gt;&lt;FQL&gt;&lt;Q&gt;NOC^FG_FCF_YIELD_FY2(43933)&lt;/Q&gt;&lt;R&gt;1&lt;/R&gt;&lt;C&gt;1&lt;/C&gt;&lt;D xsi:type="xsd:double"&gt;6.67694515603988&lt;/D&gt;&lt;/FQL&gt;&lt;FQL&gt;&lt;Q&gt;NOC^FG_FCF_YIELD_FY1(43933)&lt;/Q&gt;&lt;R&gt;1&lt;/R&gt;&lt;C&gt;1&lt;/C&gt;&lt;D xsi:type="xsd:double"&gt;5.8849762558863&lt;/D&gt;&lt;/FQL&gt;&lt;FQL&gt;&lt;Q&gt;NOC^FG_FCF_YIELD_NTM(43933)&lt;/Q&gt;&lt;R&gt;1&lt;/R&gt;&lt;C&gt;1&lt;/C&gt;&lt;D xsi:type="xsd:double"&gt;6.0997844&lt;/D&gt;&lt;/FQL&gt;&lt;FQL&gt;&lt;Q&gt;LMT^FG_FCF_YIELD_FY2(43933)&lt;/Q&gt;&lt;R&gt;1&lt;/R&gt;&lt;C&gt;1&lt;/C&gt;&lt;D xsi:type="xsd:double"&gt;6.05631892090932&lt;/D&gt;&lt;/FQL&gt;&lt;FQL&gt;&lt;Q&gt;LMT^FG_FCF_YIELD_FY1(43933)&lt;/Q&gt;&lt;R&gt;1&lt;/R&gt;&lt;C&gt;1&lt;/C&gt;&lt;D xsi:type="xsd:double"&gt;5.79518047293077&lt;/D&gt;&lt;/FQL&gt;&lt;FQL&gt;&lt;Q&gt;LMT^FG_FCF_YIELD_NTM(43933)&lt;/Q&gt;&lt;R&gt;1&lt;/R&gt;&lt;C&gt;1&lt;/C&gt;&lt;D xsi:type="xsd:double"&gt;5.86601&lt;/D&gt;&lt;/FQL&gt;&lt;FQL&gt;&lt;Q&gt;RR-GB^FG_FCF_YIELD_FY2(43933)&lt;/Q&gt;&lt;R&gt;1&lt;/R&gt;&lt;C&gt;1&lt;/C&gt;&lt;D xsi:type="xsd:double"&gt;13.987935126195&lt;/D&gt;&lt;/FQL&gt;&lt;FQL&gt;&lt;Q&gt;RR-GB^FG_FCF_YIELD_FY1(43933)&lt;/Q&gt;&lt;R&gt;1&lt;/R&gt;&lt;C&gt;1&lt;/C&gt;&lt;D xsi:type="xsd:double"&gt;10.2860509628567&lt;/D&gt;&lt;/FQL&gt;&lt;FQL&gt;&lt;Q&gt;RR-GB^FG_FCF_YIELD_NTM(43933)&lt;/Q&gt;&lt;R&gt;1&lt;/R&gt;&lt;C&gt;1&lt;/C&gt;&lt;D xsi:type="xsd:double"&gt;11.290123&lt;/D&gt;&lt;/FQL&gt;&lt;FQL&gt;&lt;Q&gt;MGGT-GB^FG_FCF_YIELD_FY2(43933)&lt;/Q&gt;&lt;R&gt;1&lt;/R&gt;&lt;C&gt;1&lt;/C&gt;&lt;D xsi:type="xsd:double"&gt;6.92230844034299&lt;/D&gt;&lt;/FQL&gt;&lt;FQL&gt;&lt;Q&gt;MGGT-GB^FG_FCF_YIELD_FY1(43933)&lt;/Q&gt;&lt;R&gt;1&lt;/R&gt;&lt;C&gt;1&lt;/C&gt;&lt;D xsi:type="xsd:double"&gt;5.57534617603174&lt;/D&gt;&lt;/FQL&gt;&lt;FQL&gt;&lt;Q&gt;MGGT-GB^FG_FCF_YIELD_NTM(43933)&lt;/Q&gt;&lt;R&gt;1&lt;/R&gt;&lt;C&gt;1&lt;/C&gt;&lt;D xsi:type="xsd:double"&gt;5.9406867&lt;/D&gt;&lt;/FQL&gt;&lt;FQL&gt;&lt;Q&gt;MTX-DE^FG_FCF_YIELD_FY2(43933)&lt;/Q&gt;&lt;R&gt;1&lt;/R&gt;&lt;C&gt;1&lt;/C&gt;&lt;D xsi:type="xsd:double"&gt;7.31204105974289&lt;/D&gt;&lt;/FQL&gt;&lt;FQL&gt;&lt;Q&gt;MTX-DE^FG_FCF_YIELD_FY1(43933)&lt;/Q&gt;&lt;R&gt;1&lt;/R&gt;&lt;C&gt;1&lt;/C&gt;&lt;D xsi:type="xsd:double"&gt;5.20718829432403&lt;/D&gt;&lt;/FQL&gt;&lt;FQL&gt;&lt;Q&gt;MTX-DE^FG_FCF_YIELD_NTM(43933)&lt;/Q&gt;&lt;R&gt;1&lt;/R&gt;&lt;C&gt;1&lt;/C&gt;&lt;D xsi:type="xsd:double"&gt;5.778094&lt;/D&gt;&lt;/FQL&gt;&lt;FQL&gt;&lt;Q&gt;JCI^FE_VALUATION(EV_EBITDA,MEAN,ANNUAL_ROLL,+2,43933,,,'')&lt;/Q&gt;&lt;R&gt;1&lt;/R&gt;&lt;C&gt;1&lt;/C&gt;&lt;D xsi:type="xsd:double"&gt;8.921759&lt;/D&gt;&lt;/FQL&gt;&lt;FQL&gt;&lt;Q&gt;TDG^FE_VALUATION(EV_EBITDA,MEAN,CALA,2020,NOW,,,'')&lt;/Q&gt;&lt;R&gt;1&lt;/R&gt;&lt;C&gt;1&lt;/C&gt;&lt;D xsi:type="xsd:double"&gt;21.129034&lt;/D&gt;&lt;/FQL&gt;&lt;FQL&gt;&lt;Q&gt;KNEBV-FI^FE_VALUATION(EV_EBITDA,MEAN,CALA,2020,NOW,,,'')&lt;/Q&gt;&lt;R&gt;1&lt;/R&gt;&lt;C&gt;1&lt;/C&gt;&lt;D xsi:type="xsd:double"&gt;24.395174&lt;/D&gt;&lt;/FQL&gt;&lt;FQL&gt;&lt;Q&gt;SCHP-CH^FE_VALUATION(EV_EBITDA,MEAN,CALA,2020,NOW,,,'')&lt;/Q&gt;&lt;R&gt;1&lt;/R&gt;&lt;C&gt;1&lt;/C&gt;&lt;D xsi:type="xsd:double"&gt;18.117172&lt;/D&gt;&lt;/FQL&gt;&lt;FQL&gt;&lt;Q&gt;SAF-FR^FE_VALUATION(EV_EBITDA,MEAN,CALA,2020,NOW,,,'')&lt;/Q&gt;&lt;R&gt;1&lt;/R&gt;&lt;C&gt;1&lt;/C&gt;&lt;D xsi:type="xsd:double"&gt;19.76595&lt;/D&gt;&lt;/FQL&gt;&lt;FQL&gt;&lt;Q&gt;HXL^FE_VALUATION(EV_EBITDA,MEAN,CALA,2020,NOW,,,'')&lt;/Q&gt;&lt;R&gt;1&lt;/R&gt;&lt;C&gt;1&lt;/C&gt;&lt;D xsi:type="xsd:double"&gt;27.356224&lt;/D&gt;&lt;/FQL&gt;&lt;FQL&gt;&lt;Q&gt;IR^FE_VALUATION(EV_EBITDA,MEAN,CALA,2020,NOW,,,'')&lt;/Q&gt;&lt;R&gt;1&lt;/R&gt;&lt;C&gt;1&lt;/C&gt;&lt;D xsi:type="xsd:double"&gt;20.552053&lt;/D&gt;&lt;/FQL&gt;&lt;FQL&gt;&lt;Q&gt;MGGT-GB^FE_VALUATION(EV_EBITDA,MEAN,CALA,2020,NOW,,,'')&lt;/Q&gt;&lt;R&gt;1&lt;/R&gt;&lt;C&gt;1&lt;/C&gt;&lt;D xsi:type="xsd:double"&gt;13.747765&lt;/D&gt;&lt;/FQL&gt;&lt;FQL&gt;&lt;Q&gt;MTX-DE^FE_VALUATION(EV_EBITDA,MEAN,CALA,2020,NOW,,,'')&lt;/Q&gt;&lt;R&gt;1&lt;/R&gt;&lt;C&gt;1&lt;/C&gt;&lt;D xsi:type="xsd:double"&gt;18.905651&lt;/D&gt;&lt;/FQL&gt;&lt;FQL&gt;&lt;Q&gt;SPR^FE_VALUATION(EV_EBITDA,MEAN,CALA,2020,NOW,,,'')&lt;/Q&gt;&lt;R&gt;0&lt;/R&gt;&lt;C&gt;0&lt;/C&gt;&lt;/FQL&gt;&lt;FQL&gt;&lt;Q&gt;TGI^FE_VALUATION(EV_EBITDA,MEAN,CALA,2020,NOW,,,'')&lt;/Q&gt;&lt;R&gt;1&lt;/R&gt;&lt;C&gt;1&lt;/C&gt;&lt;D xsi:type="xsd:double"&gt;13.410627&lt;/D&gt;&lt;/FQL&gt;&lt;FQL&gt;&lt;Q&gt;LII^FE_VALUATION(EV_EBITDA,MEAN,CALA,2020,NOW,,,'')&lt;/Q&gt;&lt;R&gt;1&lt;/R&gt;&lt;C&gt;1&lt;/C&gt;&lt;D xsi:type="xsd:double"&gt;22.343218&lt;/D&gt;&lt;/FQL&gt;&lt;FQL&gt;&lt;Q&gt;JCI^FE_VALUATION(EV_EBITDA,MEAN,CALA,2020,NOW,,,'')&lt;/Q&gt;&lt;R&gt;1&lt;/R&gt;&lt;C&gt;1&lt;/C&gt;&lt;D xsi:type="xsd:double"&gt;12.053657&lt;/D&gt;&lt;/FQL&gt;&lt;FQL&gt;&lt;Q&gt;NOC^FG_FCF_YIELD_FY2(43934)&lt;/Q&gt;&lt;R&gt;1&lt;/R&gt;&lt;C&gt;1&lt;/C&gt;&lt;D xsi:type="xsd:double"&gt;6.63359465937254&lt;/D&gt;&lt;/FQL&gt;&lt;FQL&gt;&lt;Q&gt;NOC^FG_FCF_YIELD_FY1(43934)&lt;/Q&gt;&lt;R&gt;1&lt;/R&gt;&lt;C&gt;1&lt;/C&gt;&lt;D xsi:type="xsd:double"&gt;5.84676745090528&lt;/D&gt;&lt;/FQL&gt;&lt;FQL&gt;&lt;Q&gt;NOC^FG_FCF_YIELD_NTM(43934)&lt;/Q&gt;&lt;R&gt;1&lt;/R&gt;&lt;C&gt;1&lt;/C&gt;&lt;D xsi:type="xsd:double"&gt;6.0688033&lt;/D&gt;&lt;/FQL&gt;&lt;FQL&gt;&lt;Q&gt;LMT^FG_FCF_YIELD_FY2(43934)&lt;/Q&gt;&lt;R&gt;1&lt;/R&gt;&lt;C&gt;1&lt;/C&gt;&lt;D xsi:type="xsd:double"&gt;6.07367218593406&lt;/D&gt;&lt;/FQL&gt;&lt;FQL&gt;&lt;Q&gt;LMT^FG_FCF_YIELD_FY1(43934)&lt;/Q&gt;&lt;R&gt;1&lt;/R&gt;&lt;C&gt;1&lt;/C&gt;&lt;D xsi:type="xsd:double"&gt;5.81178589496999&lt;/D&gt;&lt;/FQL&gt;&lt;FQL&gt;&lt;Q&gt;LMT^FG_FCF_YIELD_NTM(43934)&lt;/Q&gt;&lt;R&gt;1&lt;/R&gt;&lt;C&gt;1&lt;/C&gt;&lt;D xsi:type="xsd:double"&gt;5.885688&lt;/D&gt;&lt;/FQL&gt;&lt;FQL&gt;&lt;Q&gt;RR-GB^FG_FCF_YIELD_FY2(43934)&lt;/Q&gt;&lt;R&gt;1&lt;/R&gt;&lt;C&gt;1&lt;/C&gt;&lt;D xsi:type="xsd:double"&gt;13.987935126195&lt;/D&gt;&lt;/FQL&gt;&lt;FQL&gt;&lt;Q&gt;RR-GB^FG_FCF_YIELD_FY1(43934)&lt;/Q&gt;&lt;R&gt;1&lt;/R&gt;&lt;C&gt;1&lt;/C&gt;&lt;D xsi:type="xsd:double"&gt;10.2860509628567&lt;/D&gt;&lt;/FQL&gt;&lt;FQL&gt;&lt;Q&gt;RR-GB^FG_FCF_YIELD_NTM(43934)&lt;/Q&gt;&lt;R&gt;1&lt;/R&gt;&lt;C&gt;1&lt;/C&gt;&lt;D xsi:type="xsd:double"&gt;11.290123&lt;/D&gt;&lt;/FQL&gt;&lt;FQL&gt;&lt;Q&gt;MGGT-GB^FG_FCF_YIELD_FY2(43934)&lt;/Q&gt;&lt;R&gt;1&lt;/R&gt;&lt;C&gt;1&lt;/C&gt;&lt;D xsi:type="xsd:double"&gt;7.0423442780988&lt;/D&gt;&lt;/FQL&gt;&lt;FQL&gt;&lt;Q&gt;MGGT-GB^FG_FCF_YIELD_FY1(43934)&lt;/Q&gt;&lt;R&gt;1&lt;/R&gt;&lt;C&gt;1&lt;/C&gt;&lt;D xsi:type="xsd:double"&gt;5.74176415703725&lt;/D&gt;&lt;/FQL&gt;&lt;FQL&gt;&lt;Q&gt;MGGT-GB^FG_FCF_YIELD_NTM(43934)&lt;/Q&gt;&lt;R&gt;1&lt;/R&gt;&lt;C&gt;1&lt;/C&gt;&lt;D xsi:type="xsd:double"&gt;6.094524&lt;/D&gt;&lt;/FQL&gt;&lt;FQL&gt;&lt;Q&gt;MTX-DE^FG_FCF_YIELD_FY2(43934)&lt;/Q&gt;&lt;R&gt;1&lt;/R&gt;&lt;C&gt;1&lt;/C&gt;&lt;D xsi:type="xsd:double"&gt;7.31204105974289&lt;/D&gt;&lt;/FQL&gt;&lt;FQL&gt;&lt;Q&gt;MTX-DE^FG_FCF_YIELD_FY1(43934)&lt;/Q&gt;&lt;R&gt;1&lt;/R&gt;&lt;C&gt;1&lt;/C&gt;&lt;D xsi:type="xsd:double"&gt;5.20718829432403&lt;/D&gt;&lt;/FQL&gt;&lt;FQL&gt;&lt;Q&gt;MTX-DE^FG_FCF_YIELD_NTM(43934)&lt;/Q&gt;&lt;R&gt;1&lt;/R&gt;&lt;C&gt;1&lt;/C&gt;&lt;D xsi:type="xsd:double"&gt;5.778094&lt;/D&gt;&lt;/FQL&gt;&lt;FQL&gt;&lt;Q&gt;SAF-FR^FG_FCF_YIELD_FY2(43934)&lt;/Q&gt;&lt;R&gt;1&lt;/R&gt;&lt;C&gt;1&lt;/C&gt;&lt;D xsi:type="xsd:double"&gt;7.22989004277131&lt;/D&gt;&lt;/FQL&gt;&lt;FQL&gt;&lt;Q&gt;NOC^FG_FCF_YIELD_FY2(43935)&lt;/Q&gt;&lt;R&gt;1&lt;/R&gt;&lt;C&gt;1&lt;/C&gt;&lt;D xsi:type="xsd:double"&gt;6.44454718484779&lt;/D&gt;&lt;/FQL&gt;&lt;FQL&gt;&lt;Q&gt;NOC^FG_FCF_YIELD_FY1(43935)&lt;/Q&gt;&lt;R&gt;1&lt;/R&gt;&lt;C&gt;1&lt;/C&gt;&lt;D xsi:type="xsd:double"&gt;5.68071657467788&lt;/D&gt;&lt;/FQL&gt;&lt;FQL&gt;&lt;Q&gt;NOC^FG_FCF_YIELD_NTM(43935)&lt;/Q&gt;&lt;R&gt;1&lt;/R&gt;&lt;C&gt;1&lt;/C&gt;&lt;D xsi:type="xsd:double"&gt;5.898356&lt;/D&gt;&lt;/FQL&gt;&lt;FQL&gt;&lt;Q&gt;LMT^FG_FCF_YIELD_FY2(43935)&lt;/Q&gt;&lt;R&gt;1&lt;/R&gt;&lt;C&gt;1&lt;/C&gt;&lt;D xsi:type="xsd:double"&gt;5.912413040229&lt;/D&gt;&lt;/FQL&gt;&lt;FQL&gt;&lt;Q&gt;LMT^FG_FCF_YIELD_FY1(43935)&lt;/Q&gt;&lt;R&gt;1&lt;/R&gt;&lt;C&gt;1&lt;/C&gt;&lt;D xsi:type="xsd:double"&gt;5.65748008821596&lt;/D&gt;&lt;/FQL&gt;&lt;FQL&gt;&lt;Q&gt;LMT^FG_FCF_YIELD_NTM(43935)&lt;/Q&gt;&lt;R&gt;1&lt;/R&gt;&lt;C&gt;1&lt;/C&gt;&lt;D xsi:type="xsd:double"&gt;5.7301183&lt;/D&gt;&lt;/FQL&gt;&lt;FQL&gt;&lt;Q&gt;RR-GB^FG_FCF_YIELD_FY2(43935)&lt;/Q&gt;&lt;R&gt;1&lt;/R&gt;&lt;C&gt;1&lt;/C&gt;&lt;D xsi:type="xsd:double"&gt;9.94252326724439&lt;/D&gt;&lt;/FQL&gt;&lt;FQL&gt;&lt;Q&gt;RR-GB^FG_FCF_YIELD_FY1(43935)&lt;/Q&gt;&lt;R&gt;1&lt;/R&gt;&lt;C&gt;1&lt;/C&gt;&lt;D xsi:type="xsd:double"&gt;11.2015398980929&lt;/D&gt;&lt;/FQL&gt;&lt;FQL&gt;&lt;Q&gt;RR-GB^FG_FCF_YIELD_NTM(43935)&lt;/Q&gt;&lt;R&gt;1&lt;/R&gt;&lt;C&gt;1&lt;/C&gt;&lt;D xsi:type="xsd:double"&gt;10.842806&lt;/D&gt;&lt;/FQL&gt;&lt;FQL&gt;&lt;Q&gt;MGGT-GB^FG_FCF_YIELD_FY2(43935)&lt;/Q&gt;&lt;R&gt;1&lt;/R&gt;&lt;C&gt;1&lt;/C&gt;&lt;D xsi:type="xsd:double"&gt;7.4949717171621&lt;/D&gt;&lt;/FQL&gt;&lt;FQL&gt;&lt;Q&gt;MGGT-GB^FG_FCF_YIELD_FY1(43935)&lt;/Q&gt;&lt;R&gt;1&lt;/R&gt;&lt;C&gt;1&lt;/C&gt;&lt;D xsi:type="xsd:double"&gt;6.1107997998102&lt;/D&gt;&lt;/FQL&gt;&lt;FQL&gt;&lt;Q&gt;MGGT-GB^FG_FCF_YIELD_NTM(43935)&lt;/Q&gt;&lt;R&gt;1&lt;/R&gt;&lt;C&gt;1&lt;/C&gt;&lt;D xsi:type="xsd:double"&gt;6.505194&lt;/D&gt;&lt;/FQL&gt;&lt;FQL&gt;&lt;Q&gt;MTX-DE^FG_FCF_YIELD_FY2(43935)&lt;/Q&gt;&lt;R&gt;1&lt;/R&gt;&lt;C&gt;1&lt;/C&gt;&lt;D xsi:type="xsd:double"&gt;7.89624211520744&lt;/D&gt;&lt;/FQL&gt;&lt;FQL&gt;&lt;Q&gt;MTX-DE^FG_FCF_YIELD_FY1(43935)&lt;/Q&gt;&lt;R&gt;1&lt;/R&gt;&lt;C&gt;1&lt;/C&gt;&lt;D xsi:type="xsd:double"&gt;5.32935465032559&lt;/D&gt;&lt;/FQL&gt;&lt;FQL&gt;&lt;Q&gt;MTX-DE^FG_FCF_YIELD_NTM(43935)&lt;/Q&gt;&lt;R&gt;1&lt;/R&gt;&lt;C&gt;1&lt;/C&gt;&lt;D xsi:type="xsd:double"&gt;6.060742&lt;/D&gt;&lt;/FQL&gt;&lt;FQL&gt;&lt;Q&gt;SAF-FR^FG_FCF_YIELD_FY2(43935)&lt;/Q&gt;&lt;R&gt;1&lt;/R&gt;&lt;C&gt;1&lt;/C&gt;&lt;D xsi:type="xsd:double"&gt;7.21538672560772&lt;/D&gt;&lt;/FQL&gt;&lt;FQL&gt;&lt;Q&gt;SAF-FR^FG_FCF_YIELD_FY1(43935)&lt;/Q&gt;&lt;R&gt;1&lt;/R&gt;&lt;C&gt;1&lt;/C&gt;&lt;D xsi:type="xsd:double"&gt;5.5542287120299&lt;/D&gt;&lt;/FQL&gt;&lt;FQL&gt;&lt;Q&gt;SAF-FR^FG_FCF_YIELD_NTM(43935)&lt;/Q&gt;&lt;R&gt;1&lt;/R&gt;&lt;C&gt;1&lt;/C&gt;&lt;D xsi:type="xsd:double"&gt;6.027545&lt;/D&gt;&lt;/FQL&gt;&lt;FQL&gt;&lt;Q&gt;WWD^FG_FCF_YIELD_FY2(43935)&lt;/Q&gt;&lt;R&gt;1&lt;/R&gt;&lt;C&gt;1&lt;/C&gt;&lt;D xsi:type="xsd:double"&gt;9.30035563629918&lt;/D&gt;&lt;/FQL&gt;&lt;FQL&gt;&lt;Q&gt;WWD^FG_FCF_YIELD_FY1(43935)&lt;/Q&gt;&lt;R&gt;1&lt;/R&gt;&lt;C&gt;1&lt;/C&gt;&lt;D xsi:type="xsd:double"&gt;10.6894800123827&lt;/D&gt;&lt;/FQL&gt;&lt;FQL&gt;&lt;Q&gt;WWD^FG_FCF_YIELD_NTM(43935)&lt;/Q&gt;&lt;R&gt;1&lt;/R&gt;&lt;C&gt;1&lt;/C&gt;&lt;D xsi:type="xsd:double"&gt;9.94354&lt;/D&gt;&lt;/FQL&gt;&lt;FQL&gt;&lt;Q&gt;HXL^FG_FCF_YIELD_FY2(43935)&lt;/Q&gt;&lt;R&gt;1&lt;/R&gt;&lt;C&gt;1&lt;/C&gt;&lt;D xsi:type="xsd:double"&gt;11.9564486358439&lt;/D&gt;&lt;/FQL&gt;&lt;FQL&gt;&lt;Q&gt;HXL^FG_FCF_YIELD_FY1(43935)&lt;/Q&gt;&lt;R&gt;1&lt;/R&gt;&lt;C&gt;1&lt;/C&gt;&lt;D xsi:type="xsd:double"&gt;9.91703999363723&lt;/D&gt;&lt;/FQL&gt;&lt;FQL&gt;&lt;Q&gt;HXL^FG_FCF_YIELD_NTM(43935)&lt;/Q&gt;&lt;R&gt;1&lt;/R&gt;&lt;C&gt;1&lt;/C&gt;&lt;D xsi:type="xsd:double"&gt;10.498131&lt;/D&gt;&lt;/FQL&gt;&lt;FQL&gt;&lt;Q&gt;TDG^FG_FCF_YIELD_FY2(43935)&lt;/Q&gt;&lt;R&gt;1&lt;/R&gt;&lt;C&gt;1&lt;/C&gt;&lt;D xsi:type="xsd:double"&gt;6.64450546905923&lt;/D&gt;&lt;/FQL&gt;&lt;FQL&gt;&lt;Q&gt;TDG^FG_FCF_YIELD_FY1(43935)&lt;/Q&gt;&lt;R&gt;1&lt;/R&gt;&lt;C&gt;1&lt;/C&gt;&lt;D xsi:type="xsd:double"&gt;6.22384042073161&lt;/D&gt;&lt;/FQL&gt;&lt;FQL&gt;&lt;Q&gt;TDG^FG_FCF_YIELD_NTM(43935)&lt;/Q&gt;&lt;R&gt;1&lt;/R&gt;&lt;C&gt;1&lt;/C&gt;&lt;D xsi:type="xsd:double"&gt;6.4497323&lt;/D&gt;&lt;/FQL&gt;&lt;FQL&gt;&lt;Q&gt;JCI^FE_VALUATION(EV_EBITDA,MEAN,ANNUAL_ROLL,+2,43935,,,'')&lt;/Q&gt;&lt;R&gt;1&lt;/R&gt;&lt;C&gt;1&lt;/C&gt;&lt;D xsi:type="xsd:double"&gt;8.968596&lt;/D&gt;&lt;/FQL&gt;&lt;FQL&gt;&lt;Q&gt;NOC^FG_FCF_YIELD_FY2(43958)&lt;/Q&gt;&lt;R&gt;1&lt;/R&gt;&lt;C&gt;1&lt;/C&gt;&lt;D xsi:type="xsd:double"&gt;6.89595486735458&lt;/D&gt;&lt;/FQL&gt;&lt;FQL&gt;&lt;Q&gt;NOC^FG_FCF_YIELD_FY1(43958)&lt;/Q&gt;&lt;R&gt;1&lt;/R&gt;&lt;C&gt;1&lt;/C&gt;&lt;D xsi:type="xsd:double"&gt;6.05225614794232&lt;/D&gt;&lt;/FQL&gt;&lt;FQL&gt;&lt;Q&gt;NOC^FG_FCF_YIELD_NTM(43958)&lt;/Q&gt;&lt;R&gt;1&lt;/R&gt;&lt;C&gt;1&lt;/C&gt;&lt;D xsi:type="xsd:double"&gt;6.3458166&lt;/D&gt;&lt;/FQL&gt;&lt;FQL&gt;&lt;Q&gt;LMT^FG_FCF_YIELD_FY2(43958)&lt;/Q&gt;&lt;R&gt;1&lt;/R&gt;&lt;C&gt;1&lt;/C&gt;&lt;D xsi:type="xsd:double"&gt;6.00584440730964&lt;/D&gt;&lt;/FQL&gt;&lt;FQL&gt;&lt;Q&gt;LMT^FG_FCF_YIELD_FY1(43958)&lt;/Q&gt;&lt;R&gt;1&lt;/R&gt;&lt;C&gt;1&lt;/C&gt;&lt;D xsi:type="xsd:double"&gt;5.68977190102733&lt;/D&gt;&lt;/FQL&gt;&lt;FQL&gt;&lt;Q&gt;LMT^FG_FCF_YIELD_NTM(43958)&lt;/Q&gt;&lt;R&gt;1&lt;/R&gt;&lt;C&gt;1&lt;/C&gt;&lt;D xsi:type="xsd:double"&gt;5.799748&lt;/D&gt;&lt;/FQL&gt;&lt;FQL&gt;&lt;Q&gt;RR-GB^FG_FCF_YIELD_FY2(43958)&lt;/Q&gt;&lt;R&gt;1&lt;/R&gt;&lt;C&gt;1&lt;/C&gt;&lt;D xsi:type="xsd:double"&gt;6.59925962906222&lt;/D&gt;&lt;/FQL&gt;&lt;FQL&gt;&lt;Q&gt;RR-GB^FG_FCF_YIELD_FY1(43958)&lt;/Q&gt;&lt;R&gt;0&lt;/R&gt;&lt;C&gt;0&lt;/C&gt;&lt;/FQL&gt;&lt;FQL&gt;&lt;Q&gt;RR-GB^FG_FCF_YIELD_NTM(43958)&lt;/Q&gt;&lt;R&gt;1&lt;/R&gt;&lt;C&gt;1&lt;/C&gt;&lt;D xsi:type="xsd:double"&gt;-0.7655412&lt;/D&gt;&lt;/FQL&gt;&lt;FQL&gt;&lt;Q&gt;MGGT-GB^FG_FCF_YIELD_FY2(43958)&lt;/Q&gt;&lt;R&gt;1&lt;/R&gt;&lt;C&gt;1&lt;/C&gt;&lt;D xsi:type="xsd:double"&gt;8.04986343004198&lt;/D&gt;&lt;/FQL&gt;&lt;FQL&gt;&lt;Q&gt;MGGT-GB^FG_FCF_YIELD_FY1(43958)&lt;/Q&gt;&lt;R&gt;1&lt;/R&gt;&lt;C&gt;1&lt;/C&gt;&lt;D xsi:type="xsd:double"&gt;8.35316165080192&lt;/D&gt;&lt;/FQL&gt;&lt;FQL&gt;&lt;Q&gt;MGGT-GB^FG_FCF_YIELD_NTM(43958)&lt;/Q&gt;&lt;R&gt;1&lt;/R&gt;&lt;C&gt;1&lt;/C&gt;&lt;D xsi:type="xsd:double"&gt;8.247631&lt;/D&gt;&lt;/FQL&gt;&lt;FQL&gt;&lt;Q&gt;MTX-DE^FG_FCF_YIELD_FY2(43958)&lt;/Q&gt;&lt;R&gt;1&lt;/R&gt;&lt;C&gt;1&lt;/C&gt;&lt;D xsi:type="xsd:double"&gt;5.95905793491469&lt;/D&gt;&lt;/FQL&gt;&lt;FQL&gt;&lt;Q&gt;MTX-DE^FG_FCF_YIELD_FY1(43958)&lt;/Q&gt;&lt;R&gt;1&lt;/R&gt;&lt;C&gt;1&lt;/C&gt;&lt;D xsi:type="xsd:double"&gt;2.98392853109225&lt;/D&gt;&lt;/FQL&gt;&lt;FQL&gt;&lt;Q&gt;MTX-DE^FG_FCF_YIELD_NTM(43958)&lt;/Q&gt;&lt;R&gt;1&lt;/R&gt;&lt;C&gt;1&lt;/C&gt;&lt;D xsi:type="xsd:double"&gt;4.01911&lt;/D&gt;&lt;/FQL&gt;&lt;FQL&gt;&lt;Q&gt;SAF-FR^FG_FCF_YIELD_FY2(43958)&lt;/Q&gt;&lt;R&gt;1&lt;/R&gt;&lt;C&gt;1&lt;/C&gt;&lt;D xsi:type="xsd:double"&gt;5.26350417790644&lt;/D&gt;&lt;/FQL&gt;&lt;FQL&gt;&lt;Q&gt;SAF-FR^FG_FCF_YIELD_FY1(43958)&lt;/Q&gt;&lt;R&gt;1&lt;/R&gt;&lt;C&gt;1&lt;/C&gt;&lt;D xsi:type="xsd:double"&gt;2.84852403727009&lt;/D&gt;&lt;/FQL&gt;&lt;FQL&gt;&lt;Q&gt;SAF-FR^FG_FCF_YIELD_NTM(43958)&lt;/Q&gt;&lt;R&gt;1&lt;/R&gt;&lt;C&gt;1&lt;/C&gt;&lt;D xsi:type="xsd:double"&gt;3.6888049&lt;/D&gt;&lt;/FQL&gt;&lt;FQL&gt;&lt;Q&gt;WWD^FG_FCF_YIELD_FY2(43958)&lt;/Q&gt;&lt;R&gt;1&lt;/R&gt;&lt;C&gt;1&lt;/C&gt;&lt;D xsi:type="xsd:double"&gt;6.79500390542849&lt;/D&gt;&lt;/FQL&gt;&lt;FQL&gt;&lt;Q&gt;WWD^FG_FCF_YIELD_FY1(43958)&lt;/Q&gt;&lt;R&gt;1&lt;/R&gt;&lt;C&gt;1&lt;/C&gt;&lt;D xsi:type="xsd:double"&gt;6.29655119001669&lt;/D&gt;&lt;/FQL&gt;&lt;FQL&gt;&lt;Q&gt;WWD^FG_FCF_YIELD_NTM(43958)&lt;/Q&gt;&lt;R&gt;1&lt;/R&gt;&lt;C&gt;1&lt;/C&gt;&lt;D xsi:type="xsd:double"&gt;6.5956225&lt;/D&gt;&lt;/FQL&gt;&lt;FQL&gt;&lt;Q&gt;HXL^FG_FCF_YIELD_FY2(43958)&lt;/Q&gt;&lt;R&gt;1&lt;/R&gt;&lt;C&gt;1&lt;/C&gt;&lt;D xsi:type="xsd:double"&gt;11.0445529534957&lt;/D&gt;&lt;/FQL&gt;&lt;FQL&gt;&lt;Q&gt;HXL^FG_FCF_YIELD_FY1(43958)&lt;/Q&gt;&lt;R&gt;1&lt;/R&gt;&lt;C&gt;1&lt;/C&gt;&lt;D xsi:type="xsd:double"&gt;9.0609593254442&lt;/D&gt;&lt;/FQL&gt;&lt;FQL&gt;&lt;Q&gt;HXL^FG_FCF_YIELD_NTM(43958)&lt;/Q&gt;&lt;R&gt;1&lt;/R&gt;&lt;C&gt;1&lt;/C&gt;&lt;D xsi:type="xsd:double"&gt;9.751142&lt;/D&gt;&lt;/FQL&gt;&lt;FQL&gt;&lt;Q&gt;TDG^FG_FCF_YIELD_FY2(43958)&lt;/Q&gt;&lt;R&gt;1&lt;/R&gt;&lt;C&gt;1&lt;/C&gt;&lt;D xsi:type="xsd:double"&gt;4.85121611255753&lt;/D&gt;&lt;/FQL&gt;&lt;FQL&gt;&lt;Q&gt;TDG^FG_FCF_YIELD_FY1(43958)&lt;/Q&gt;&lt;R&gt;1&lt;/R&gt;&lt;C&gt;1&lt;/C&gt;&lt;D xsi:type="xsd:double"&gt;4.82739410990335&lt;/D&gt;&lt;/FQL&gt;&lt;FQL&gt;&lt;Q&gt;TDG^FG_FCF_YIELD_NTM(43958)&lt;/Q&gt;&lt;R&gt;1&lt;/R&gt;&lt;C&gt;1&lt;/C&gt;&lt;D xsi:type="xsd:double"&gt;4.841687&lt;/D&gt;&lt;/FQL&gt;&lt;FQL&gt;&lt;Q&gt;NOC^FG_FCF_YIELD_FY2(43959)&lt;/Q&gt;&lt;R&gt;1&lt;/R&gt;&lt;C&gt;1&lt;/C&gt;&lt;D xsi:type="xsd:double"&gt;6.81999934800806&lt;/D&gt;&lt;/FQL&gt;&lt;FQL&gt;&lt;Q&gt;NOC^FG_FCF_YIELD_FY1(43959)&lt;/Q&gt;&lt;R&gt;1&lt;/R&gt;&lt;C&gt;1&lt;/C&gt;&lt;D xsi:type="xsd:double"&gt;5.98559351439395&lt;/D&gt;&lt;/FQL&gt;&lt;FQL&gt;&lt;Q&gt;NOC^FG_FCF_YIELD_NTM(43959)&lt;/Q&gt;&lt;R&gt;1&lt;/R&gt;&lt;C&gt;1&lt;/C&gt;&lt;D xsi:type="xsd:double"&gt;6.2782073&lt;/D&gt;&lt;/FQL&gt;&lt;FQL&gt;&lt;Q&gt;LMT^FG_FCF_YIELD_FY2(43959)&lt;/Q&gt;&lt;R&gt;1&lt;/R&gt;&lt;C&gt;1&lt;/C&gt;&lt;D xsi:type="xsd:double"&gt;5.95476427589233&lt;/D&gt;&lt;/FQL&gt;&lt;FQL&gt;&lt;Q&gt;LMT^FG_FCF_YIELD_FY1(43959)&lt;/Q&gt;&lt;R&gt;1&lt;/R&gt;&lt;C&gt;1&lt;/C&gt;&lt;D xsi:type="xsd:double"&gt;5.64137974609278&lt;/D&gt;&lt;/FQL&gt;&lt;FQL&gt;&lt;Q&gt;LMT^FG_FCF_YIELD_NTM(43959)&lt;/Q&gt;&lt;R&gt;1&lt;/R&gt;&lt;C&gt;1&lt;/C&gt;&lt;D xsi:type="xsd:double"&gt;5.751279&lt;/D&gt;&lt;/FQL&gt;&lt;FQL&gt;&lt;Q&gt;RR-GB^FG_FCF_YIELD_FY2(43959)&lt;/Q&gt;&lt;R&gt;1&lt;/R&gt;&lt;C&gt;1&lt;/C&gt;&lt;D xsi:type="xsd:double"&gt;6.59925962906222&lt;/D&gt;&lt;/FQL&gt;&lt;FQL&gt;&lt;Q&gt;RR-GB^FG_FCF_YIELD_FY1(43959)&lt;/Q&gt;&lt;R&gt;0&lt;/R&gt;&lt;C&gt;0&lt;/C&gt;&lt;/FQL&gt;&lt;FQL&gt;&lt;Q&gt;RR-GB^FG_FCF_YIELD_NTM(43959)&lt;/Q&gt;&lt;R&gt;1&lt;/R&gt;&lt;C&gt;1&lt;/C&gt;&lt;D xsi:type="xsd:double"&gt;-0.7655412&lt;/D&gt;&lt;/FQL&gt;&lt;FQL&gt;&lt;Q&gt;MGGT-GB^FG_FCF_YIELD_FY2(43959)&lt;/Q&gt;&lt;R&gt;1&lt;/R&gt;&lt;C&gt;1&lt;/C&gt;&lt;D xsi:type="xsd:double"&gt;8.04986343004198&lt;/D&gt;&lt;/FQL&gt;&lt;FQL&gt;&lt;Q&gt;MGGT-GB^FG_FCF_YIELD_FY1(43959)&lt;/Q&gt;&lt;R&gt;1&lt;/R&gt;&lt;C&gt;1&lt;/C&gt;&lt;D xsi:type="xsd:double"&gt;8.35316165080192&lt;/D&gt;&lt;/FQL&gt;&lt;FQL&gt;&lt;Q&gt;MGGT-GB^FG_FCF_YIELD_NTM(43959)&lt;/Q&gt;&lt;R&gt;1&lt;/R&gt;&lt;C&gt;1&lt;/C&gt;&lt;D xsi:type="xsd:double"&gt;8.247631&lt;/D&gt;&lt;/FQL&gt;&lt;FQL&gt;&lt;Q&gt;MTX-DE^FG_FCF_YIELD_FY2(43959)&lt;/Q&gt;&lt;R&gt;1&lt;/R&gt;&lt;C&gt;1&lt;/C&gt;&lt;D xsi:type="xsd:double"&gt;6.15817392900118&lt;/D&gt;&lt;/FQL&gt;&lt;FQL&gt;&lt;Q&gt;MTX-DE^FG_FCF_YIELD_FY1(43959)&lt;/Q&gt;&lt;R&gt;1&lt;/R&gt;&lt;C&gt;1&lt;/C&gt;&lt;D xsi:type="xsd:double"&gt;3.08363306246701&lt;/D&gt;&lt;/FQL&gt;&lt;FQL&gt;&lt;Q&gt;MTX-DE^FG_FCF_YIELD_NTM(43959)&lt;/Q&gt;&lt;R&gt;1&lt;/R&gt;&lt;C&gt;1&lt;/C&gt;&lt;D xsi:type="xsd:double"&gt;4.161828&lt;/D&gt;&lt;/FQL&gt;&lt;FQL&gt;&lt;Q&gt;SAF-FR^FG_FCF_YIELD_FY2(43959)&lt;/Q&gt;&lt;R&gt;1&lt;/R&gt;&lt;C&gt;1&lt;/C&gt;&lt;D xsi:type="xsd:double"&gt;5.26090871781501&lt;/D&gt;&lt;/FQL&gt;&lt;FQL&gt;&lt;Q&gt;SAF-FR^FG_FCF_YIELD_FY1(43959)&lt;/Q&gt;&lt;R&gt;1&lt;/R&gt;&lt;C&gt;1&lt;/C&gt;&lt;D xsi:type="xsd:double"&gt;2.84711937003498&lt;/D&gt;&lt;/FQL&gt;&lt;FQL&gt;&lt;Q&gt;SAF-FR^FG_FCF_YIELD_NTM(43959)&lt;/Q&gt;&lt;R&gt;1&lt;/R&gt;&lt;C&gt;1&lt;/C&gt;&lt;D xsi:type="xsd:double"&gt;3.693599&lt;/D&gt;&lt;/FQL&gt;&lt;FQL&gt;&lt;Q&gt;WWD^FG_FCF_YIELD_FY2(43959)&lt;/Q&gt;&lt;R&gt;1&lt;/R&gt;&lt;C&gt;1&lt;/C&gt;&lt;D xsi:type="xsd:double"&gt;6.41358407368541&lt;/D&gt;&lt;/FQL&gt;&lt;FQL&gt;&lt;Q&gt;WWD^FG_FCF_YIELD_FY1(43959)&lt;/Q&gt;&lt;R&gt;1&lt;/R&gt;&lt;C&gt;1&lt;/C&gt;&lt;D xsi:type="xsd:double"&gt;5.94311111406946&lt;/D&gt;&lt;/FQL&gt;&lt;FQL&gt;&lt;Q&gt;WWD^FG_FCF_YIELD_NTM(43959)&lt;/Q&gt;&lt;R&gt;1&lt;/R&gt;&lt;C&gt;1&lt;/C&gt;&lt;D xsi:type="xsd:double"&gt;6.2266836&lt;/D&gt;&lt;/FQL&gt;&lt;FQL&gt;&lt;Q&gt;HXL^FG_FCF_YIELD_FY2(43959)&lt;/Q&gt;&lt;R&gt;1&lt;/R&gt;&lt;C&gt;1&lt;/C&gt;&lt;D xsi:type="xsd:double"&gt;10.5413499737678&lt;/D&gt;&lt;/FQL&gt;&lt;FQL&gt;&lt;Q&gt;HXL^FG_FCF_YIELD_FY1(43959)&lt;/Q&gt;&lt;R&gt;1&lt;/R&gt;&lt;C&gt;1&lt;/C&gt;&lt;D xsi:type="xsd:double"&gt;8.64813181759257&lt;/D&gt;&lt;/FQL&gt;&lt;FQL&gt;&lt;Q&gt;HXL^FG_FCF_YIELD_NTM(43959)&lt;/Q&gt;&lt;R&gt;1&lt;/R&gt;&lt;C&gt;1&lt;/C&gt;&lt;D xsi:type="xsd:double"&gt;9.312056&lt;/D&gt;&lt;/FQL&gt;&lt;FQL&gt;&lt;Q&gt;TDG^FG_FCF_YIELD_FY2(43959)&lt;/Q&gt;&lt;R&gt;1&lt;/R&gt;&lt;C&gt;1&lt;/C&gt;&lt;D xsi:type="xsd:double"&gt;4.46998294701506&lt;/D&gt;&lt;/FQL&gt;&lt;FQL&gt;&lt;Q&gt;TDG^FG_FCF_YIELD_FY1(43959)&lt;/Q&gt;&lt;R&gt;1&lt;/R&gt;&lt;C&gt;1&lt;/C&gt;&lt;D xsi:type="xsd:double"&gt;4.44803252401381&lt;/D&gt;&lt;/FQL&gt;&lt;FQL&gt;&lt;Q&gt;TDG^FG_FCF_YIELD_NTM(43959)&lt;/Q&gt;&lt;R&gt;1&lt;/R&gt;&lt;C&gt;1&lt;/C&gt;&lt;D xsi:type="xsd:double"&gt;4.461263&lt;/D&gt;&lt;/FQL&gt;&lt;FQL&gt;&lt;Q&gt;NOC^FG_FCF_YIELD_FY2(43994)&lt;/Q&gt;&lt;R&gt;1&lt;/R&gt;&lt;C&gt;1&lt;/C&gt;&lt;D xsi:type="xsd:double"&gt;7.11521149681566&lt;/D&gt;&lt;/FQL&gt;&lt;FQL&gt;&lt;Q&gt;NOC^FG_FCF_YIELD_FY1(43994)&lt;/Q&gt;&lt;R&gt;1&lt;/R&gt;&lt;C&gt;1&lt;/C&gt;&lt;D xsi:type="xsd:double"&gt;6.25646840627354&lt;/D&gt;&lt;/FQL&gt;&lt;FQL&gt;&lt;Q&gt;NOC^FG_FCF_YIELD_NTM(43994)&lt;/Q&gt;&lt;R&gt;1&lt;/R&gt;&lt;C&gt;1&lt;/C&gt;&lt;D xsi:type="xsd:double"&gt;6.6399617&lt;/D&gt;&lt;/FQL&gt;&lt;FQL&gt;&lt;Q&gt;LMT^FG_FCF_YIELD_FY2(43994)&lt;/Q&gt;&lt;R&gt;1&lt;/R&gt;&lt;C&gt;1&lt;/C&gt;&lt;D xsi:type="xsd:double"&gt;5.97410036321335&lt;/D&gt;&lt;/FQL&gt;&lt;FQL&gt;&lt;Q&gt;LMT^FG_FCF_YIELD_FY1(43994)&lt;/Q&gt;&lt;R&gt;1&lt;/R&gt;&lt;C&gt;1&lt;/C&gt;&lt;D xsi:type="xsd:double"&gt;5.67132108206991&lt;/D&gt;&lt;/FQL&gt;&lt;FQL&gt;&lt;Q&gt;LMT^FG_FCF_YIELD_NTM(43994)&lt;/Q&gt;&lt;R&gt;1&lt;/R&gt;&lt;C&gt;1&lt;/C&gt;&lt;D xsi:type="xsd:double"&gt;5.8065352&lt;/D&gt;&lt;/FQL&gt;&lt;FQL&gt;&lt;Q&gt;RR-GB^FG_FCF_YIELD_FY2(43994)&lt;/Q&gt;&lt;R&gt;1&lt;/R&gt;&lt;C&gt;1&lt;/C&gt;&lt;D xsi:type="xsd:double"&gt;5.78518296624612&lt;/D&gt;&lt;/FQL&gt;&lt;FQL&gt;&lt;Q&gt;RR-GB^FG_FCF_YIELD_FY1(43994)&lt;/Q&gt;&lt;R&gt;0&lt;/R&gt;&lt;C&gt;0&lt;/C&gt;&lt;/FQL&gt;&lt;FQL&gt;&lt;Q&gt;RR-GB^FG_FCF_YIELD_NTM(43994)&lt;/Q&gt;&lt;R&gt;1&lt;/R&gt;&lt;C&gt;1&lt;/C&gt;&lt;D xsi:type="xsd:double"&gt;0.30547643&lt;/D&gt;&lt;/FQL&gt;&lt;FQL&gt;&lt;Q&gt;MGGT-GB^FG_FCF_YIELD_FY2(43994)&lt;/Q&gt;&lt;R&gt;1&lt;/R&gt;&lt;C&gt;1&lt;/C&gt;&lt;D xsi:type="xsd:double"&gt;6.66668044447292&lt;/D&gt;&lt;/FQL&gt;&lt;FQL&gt;&lt;Q&gt;MGGT-GB^FG_FCF_YIELD_FY1(43994)&lt;/Q&gt;&lt;R&gt;1&lt;/R&gt;&lt;C&gt;1&lt;/C&gt;&lt;D xsi:type="xsd:double"&gt;6.04123237757412&lt;/D&gt;&lt;/FQL&gt;&lt;FQL&gt;&lt;Q&gt;MGGT-GB^FG_FCF_YIELD_NTM(43994)&lt;/Q&gt;&lt;R&gt;1&lt;/R&gt;&lt;C&gt;1&lt;/C&gt;&lt;D xsi:type="xsd:double"&gt;6.3205423&lt;/D&gt;&lt;/FQL&gt;&lt;FQL&gt;&lt;Q&gt;MTX-DE^FG_FCF_YIELD_FY2(43994)&lt;/Q&gt;&lt;R&gt;1&lt;/R&gt;&lt;C&gt;1&lt;/C&gt;&lt;D xsi:type="xsd:double"&gt;4.77343465234789&lt;/D&gt;&lt;/FQL&gt;&lt;FQL&gt;&lt;Q&gt;MTX-DE^FG_FCF_YIELD_FY1(43994)&lt;/Q&gt;&lt;R&gt;1&lt;/R&gt;&lt;C&gt;1&lt;/C&gt;&lt;D xsi:type="xsd:double"&gt;2.39354659626065&lt;/D&gt;&lt;/FQL&gt;&lt;FQL&gt;&lt;Q&gt;MTX-DE^FG_FCF_YIELD_NTM(43994)&lt;/Q&gt;&lt;R&gt;1&lt;/R&gt;&lt;C&gt;1&lt;/C&gt;&lt;D xsi:type="xsd:double"&gt;3.456346&lt;/D&gt;&lt;/FQL&gt;&lt;FQL&gt;&lt;Q&gt;SAF-FR^FG_FCF_YIELD_FY2(43994)&lt;/Q&gt;&lt;R&gt;1&lt;/R&gt;&lt;C&gt;1&lt;/C&gt;&lt;D xsi:type="xsd:double"&gt;4.60901304484353&lt;/D&gt;&lt;/FQL&gt;&lt;FQL&gt;&lt;Q&gt;SAF-FR^FG_FCF_YIELD_FY1(43994)&lt;/Q&gt;&lt;R&gt;1&lt;/R&gt;&lt;C&gt;1&lt;/C&gt;&lt;D xsi:type="xsd:double"&gt;2.32044457861771&lt;/D&gt;&lt;/FQL&gt;&lt;FQL&gt;&lt;Q&gt;SAF-FR^FG_FCF_YIELD_NTM(43994)&lt;/Q&gt;&lt;R&gt;1&lt;/R&gt;&lt;C&gt;1&lt;/C&gt;&lt;D xsi:type="xsd:double"&gt;3.3424628&lt;/D&gt;&lt;/FQL&gt;&lt;FQL&gt;&lt;Q&gt;WWD^FG_FCF_YIELD_FY2(43994)&lt;/Q&gt;&lt;R&gt;1&lt;/R&gt;&lt;C&gt;1&lt;/C&gt;&lt;D xsi:type="xsd:double"&gt;4.95428532303873&lt;/D&gt;&lt;/FQL&gt;&lt;FQL&gt;&lt;Q&gt;WWD^FG_FCF_YIELD_FY1(43994)&lt;/Q&gt;&lt;R&gt;1&lt;/R&gt;&lt;C&gt;1&lt;/C&gt;&lt;D xsi:type="xsd:double"&gt;4.69756335509746&lt;/D&gt;&lt;/FQL&gt;&lt;FQL&gt;&lt;Q&gt;WWD^FG_FCF_YIELD_NTM(43994)&lt;/Q&gt;&lt;R&gt;1&lt;/R&gt;&lt;C&gt;1&lt;/C&gt;&lt;D xsi:type="xsd:double"&gt;4.8769174&lt;/D&gt;&lt;/FQL&gt;&lt;FQL&gt;&lt;Q&gt;HXL^FG_FCF_YIELD_FY2(43994)&lt;/Q&gt;&lt;R&gt;1&lt;/R&gt;&lt;C&gt;1&lt;/C&gt;&lt;D xsi:type="xsd:double"&gt;6.59411796105521&lt;/D&gt;&lt;/FQL&gt;&lt;FQL&gt;&lt;Q&gt;HXL^FG_FCF_YIELD_FY1(43994)&lt;/Q&gt;&lt;R&gt;1&lt;/R&gt;&lt;C&gt;1&lt;/C&gt;&lt;D xsi:type="xsd:double"&gt;4.84593770614922&lt;/D&gt;&lt;/FQL&gt;&lt;FQL&gt;&lt;Q&gt;HXL^FG_FCF_YIELD_NTM(43994)&lt;/Q&gt;&lt;R&gt;1&lt;/R&gt;&lt;C&gt;1&lt;/C&gt;&lt;D xsi:type="xsd:double"&gt;5.6266317&lt;/D&gt;&lt;/FQL&gt;&lt;FQL&gt;&lt;Q&gt;TDG^FG_FCF_YIELD_FY2(43994)&lt;/Q&gt;&lt;R&gt;1&lt;/R&gt;&lt;C&gt;1&lt;/C&gt;&lt;D xsi:type="xsd:double"&gt;3.28344014692475&lt;/D&gt;&lt;/FQL&gt;&lt;FQL&gt;&lt;Q&gt;TDG^FG_FCF_YIELD_FY1(43994)&lt;/Q&gt;&lt;R&gt;1&lt;/R&gt;&lt;C&gt;1&lt;/C&gt;&lt;D xsi:type="xsd:double"&gt;3.25314440805622&lt;/D&gt;&lt;/FQL&gt;&lt;FQL&gt;&lt;Q&gt;TDG^FG_FCF_YIELD_NTM(43994)&lt;/Q&gt;&lt;R&gt;1&lt;/R&gt;&lt;C&gt;1&lt;/C&gt;&lt;D xsi:type="xsd:double"&gt;3.27431&lt;/D&gt;&lt;/FQL&gt;&lt;FQL&gt;&lt;Q&gt;NOC^FG_FCF_YIELD_FY2(44040)&lt;/Q&gt;&lt;R&gt;1&lt;/R&gt;&lt;C&gt;1&lt;/C&gt;&lt;D xsi:type="xsd:double"&gt;7.09146479098368&lt;/D&gt;&lt;/FQL&gt;&lt;FQL&gt;&lt;Q&gt;NOC^FG_FCF_YIELD_FY1(44040)&lt;/Q&gt;&lt;R&gt;1&lt;/R&gt;&lt;C&gt;1&lt;/C&gt;&lt;D xsi:type="xsd:double"&gt;6.23558799724138&lt;/D&gt;&lt;/FQL&gt;&lt;FQL&gt;&lt;Q&gt;NOC^FG_FCF_YIELD_NTM(44040)&lt;/Q&gt;&lt;R&gt;1&lt;/R&gt;&lt;C&gt;1&lt;/C&gt;&lt;D xsi:type="xsd:double"&gt;6.725665&lt;/D&gt;&lt;/FQL&gt;&lt;FQL&gt;&lt;Q&gt;LMT^FG_FCF_YIELD_FY2(44040)&lt;/Q&gt;&lt;R&gt;1&lt;/R&gt;&lt;C&gt;1&lt;/C&gt;&lt;D xsi:type="xsd:double"&gt;5.82090574806875&lt;/D&gt;&lt;/FQL&gt;&lt;FQL&gt;&lt;Q&gt;LMT^FG_FCF_YIELD_FY1(44040)&lt;/Q&gt;&lt;R&gt;1&lt;/R&gt;&lt;C&gt;1&lt;/C&gt;&lt;D xsi:type="xsd:double"&gt;5.98765823883811&lt;/D&gt;&lt;/FQL&gt;&lt;FQL&gt;&lt;Q&gt;LMT^FG_FCF_YIELD_NTM(44040)&lt;/Q&gt;&lt;R&gt;1&lt;/R&gt;&lt;C&gt;1&lt;/C&gt;&lt;D xsi:type="xsd:double"&gt;5.8921757&lt;/D&gt;&lt;/FQL&gt;&lt;FQL&gt;&lt;Q&gt;RR-GB^FG_FCF_YIELD_FY2(44040)&lt;/Q&gt;&lt;R&gt;1&lt;/R&gt;&lt;C&gt;1&lt;/C&gt;&lt;D xsi:type="xsd:double"&gt;1.533333364&lt;/D&gt;&lt;/FQL&gt;&lt;FQL&gt;&lt;Q&gt;RR-GB^FG_FCF_YIELD_FY1(44040)&lt;/Q&gt;&lt;R&gt;0&lt;/R&gt;&lt;C&gt;0&lt;/C&gt;&lt;/FQL&gt;&lt;FQL&gt;&lt;Q&gt;RR-GB^FG_FCF_YIELD_NTM(44040)&lt;/Q&gt;&lt;R&gt;1&lt;/R&gt;&lt;C&gt;1&lt;/C&gt;&lt;D xsi:type="xsd:double"&gt;-15.255551&lt;/D&gt;&lt;/FQL&gt;&lt;FQL&gt;&lt;Q&gt;MGGT-GB^FG_FCF_YIELD_FY2(44040)&lt;/Q&gt;&lt;R&gt;1&lt;/R&gt;&lt;C&gt;1&lt;/C&gt;&lt;D xsi:type="xsd:double"&gt;5.83467915070177&lt;/D&gt;&lt;/FQL&gt;&lt;FQL&gt;&lt;Q&gt;MGGT-GB^FG_FCF_YIELD_FY1(44040)&lt;/Q&gt;&lt;R&gt;1&lt;/R&gt;&lt;C&gt;1&lt;/C&gt;&lt;D xsi:type="xsd:double"&gt;4.79143483109593&lt;/D&gt;&lt;/FQL&gt;&lt;FQL&gt;&lt;Q&gt;MGGT-GB^FG_FCF_YIELD_NTM(44040)&lt;/Q&gt;&lt;R&gt;1&lt;/R&gt;&lt;C&gt;1&lt;/C&gt;&lt;D xsi:type="xsd:double"&gt;5.3887997&lt;/D&gt;&lt;/FQL&gt;&lt;FQL&gt;&lt;Q&gt;MTX-DE^FG_FCF_YIELD_FY2(44040)&lt;/Q&gt;&lt;R&gt;1&lt;/R&gt;&lt;C&gt;1&lt;/C&gt;&lt;D xsi:type="xsd:double"&gt;5.12252306800201&lt;/D&gt;&lt;/FQL&gt;&lt;FQL&gt;&lt;Q&gt;MTX-DE^FG_FCF_YIELD_FY1(44040)&lt;/Q&gt;&lt;R&gt;1&lt;/R&gt;&lt;C&gt;1&lt;/C&gt;&lt;D xsi:type="xsd:double"&gt;1.98797059115586&lt;/D&gt;&lt;/FQL&gt;&lt;FQL&gt;&lt;Q&gt;MTX-DE^FG_FCF_YIELD_NTM(44040)&lt;/Q&gt;&lt;R&gt;1&lt;/R&gt;&lt;C&gt;1&lt;/C&gt;&lt;D xsi:type="xsd:double"&gt;3.782824&lt;/D&gt;&lt;/FQL&gt;&lt;FQL&gt;&lt;Q&gt;SAF-FR^FG_FCF_YIELD_FY2(44040)&lt;/Q&gt;&lt;R&gt;1&lt;/R&gt;&lt;C&gt;1&lt;/C&gt;&lt;D xsi:type="xsd:double"&gt;4.19455609537162&lt;/D&gt;&lt;/FQL&gt;&lt;FQL&gt;&lt;Q&gt;SAF-FR^FG_FCF_YIELD_FY1(44040)&lt;/Q&gt;&lt;R&gt;1&lt;/R&gt;&lt;C&gt;1&lt;/C&gt;&lt;D xsi:type="xsd:double"&gt;1.75602316384204&lt;/D&gt;&lt;/FQL&gt;&lt;FQL&gt;&lt;Q&gt;SAF-FR^FG_FCF_YIELD_NTM(44040)&lt;/Q&gt;&lt;R&gt;1&lt;/R&gt;&lt;C&gt;1&lt;/C&gt;&lt;D xsi:type="xsd:double"&gt;3.1523335&lt;/D&gt;&lt;/FQL&gt;&lt;FQL&gt;&lt;Q&gt;WWD^FG_FCF_YIELD_FY2(44040)&lt;/Q&gt;&lt;R&gt;1&lt;/R&gt;&lt;C&gt;1&lt;/C&gt;&lt;D xsi:type="xsd:double"&gt;4.01666982243026&lt;/D&gt;&lt;/FQL&gt;&lt;FQL&gt;&lt;Q&gt;WWD^FG_FCF_YIELD_FY1(44040)&lt;/Q&gt;&lt;R&gt;1&lt;/R&gt;&lt;C&gt;1&lt;/C&gt;&lt;D xsi:type="xsd:double"&gt;4.85853666025842&lt;/D&gt;&lt;/FQL&gt;&lt;FQL&gt;&lt;Q&gt;WWD^FG_FCF_YIELD_NTM(44040)&lt;/Q&gt;&lt;R&gt;1&lt;/R&gt;&lt;C&gt;1&lt;/C&gt;&lt;D xsi:type="xsd:double"&gt;4.1642847&lt;/D&gt;&lt;/FQL&gt;&lt;FQL&gt;&lt;Q&gt;HXL^FG_FCF_YIELD_FY2(44040)&lt;/Q&gt;&lt;R&gt;1&lt;/R&gt;&lt;C&gt;1&lt;/C&gt;&lt;D xsi:type="xsd:double"&gt;5.85884861906938&lt;/D&gt;&lt;/FQL&gt;&lt;FQL&gt;&lt;Q&gt;HXL^FG_FCF_YIELD_FY1(44040)&lt;/Q&gt;&lt;R&gt;1&lt;/R&gt;&lt;C&gt;1&lt;/C&gt;&lt;D xsi:type="xsd:double"&gt;5.75878300790451&lt;/D&gt;&lt;/FQL&gt;&lt;FQL&gt;&lt;Q&gt;HXL^FG_FCF_YIELD_NTM(44040)&lt;/Q&gt;&lt;R&gt;1&lt;/R&gt;&lt;C&gt;1&lt;/C&gt;&lt;D xsi:type="xsd:double"&gt;5.816081&lt;/D&gt;&lt;/FQL&gt;&lt;FQL&gt;&lt;Q&gt;TDG^FG_FCF_YIELD_FY2(44040)&lt;/Q&gt;&lt;R&gt;1&lt;/R&gt;&lt;C&gt;1&lt;/C&gt;&lt;D xsi:type="xsd:double"&gt;3.45618122112965&lt;/D&gt;&lt;/FQL&gt;&lt;FQL&gt;&lt;Q&gt;TDG^FG_FCF_YIELD_FY1(44040)&lt;/Q&gt;&lt;R&gt;1&lt;/R&gt;&lt;C&gt;1&lt;/C&gt;&lt;D xsi:type="xsd:double"&gt;3.14404564600926&lt;/D&gt;&lt;/FQL&gt;&lt;FQL&gt;&lt;Q&gt;TDG^FG_FCF_YIELD_NTM(44040)&lt;/Q&gt;&lt;R&gt;1&lt;/R&gt;&lt;C&gt;1&lt;/C&gt;&lt;D xsi:type="xsd:double"&gt;3.4014509&lt;/D&gt;&lt;/FQL&gt;&lt;FQL&gt;&lt;Q&gt;JCI^FE_VALUATION(EV_EBITDA,MEAN,ANNUAL_ROLL,+2,44040,,,'')&lt;/Q&gt;&lt;R&gt;1&lt;/R&gt;&lt;C&gt;1&lt;/C&gt;&lt;D xsi:type="xsd:double"&gt;10.706698&lt;/D&gt;&lt;/FQL&gt;&lt;FQL&gt;&lt;Q&gt;NOC^FG_FCF_YIELD_FY2(44089)&lt;/Q&gt;&lt;R&gt;1&lt;/R&gt;&lt;C&gt;1&lt;/C&gt;&lt;D xsi:type="xsd:double"&gt;6.89704450607643&lt;/D&gt;&lt;/FQL&gt;&lt;FQL&gt;&lt;Q&gt;NOC^FG_FCF_YIELD_FY1(44089)&lt;/Q&gt;&lt;R</t>
        </r>
      </text>
    </comment>
    <comment ref="A2" authorId="0" shapeId="0" xr:uid="{358D2314-E884-4677-8653-CB764508B86C}">
      <text>
        <r>
          <rPr>
            <b/>
            <sz val="9"/>
            <color indexed="81"/>
            <rFont val="Tahoma"/>
            <family val="2"/>
          </rPr>
          <t>&gt;1&lt;/R&gt;&lt;C&gt;1&lt;/C&gt;&lt;D xsi:type="xsd:double"&gt;5.98733451231933&lt;/D&gt;&lt;/FQL&gt;&lt;FQL&gt;&lt;Q&gt;NOC^FG_FCF_YIELD_NTM(44089)&lt;/Q&gt;&lt;R&gt;1&lt;/R&gt;&lt;C&gt;1&lt;/C&gt;&lt;D xsi:type="xsd:double"&gt;6.6303625&lt;/D&gt;&lt;/FQL&gt;&lt;FQL&gt;&lt;Q&gt;LMT^FG_FCF_YIELD_FY2(44089)&lt;/Q&gt;&lt;R&gt;1&lt;/R&gt;&lt;C&gt;1&lt;/C&gt;&lt;D xsi:type="xsd:double"&gt;5.82342027059221&lt;/D&gt;&lt;/FQL&gt;&lt;FQL&gt;&lt;Q&gt;LMT^FG_FCF_YIELD_FY1(44089)&lt;/Q&gt;&lt;R&gt;1&lt;/R&gt;&lt;C&gt;1&lt;/C&gt;&lt;D xsi:type="xsd:double"&gt;5.97599538270693&lt;/D&gt;&lt;/FQL&gt;&lt;FQL&gt;&lt;Q&gt;LMT^FG_FCF_YIELD_NTM(44089)&lt;/Q&gt;&lt;R&gt;1&lt;/R&gt;&lt;C&gt;1&lt;/C&gt;&lt;D xsi:type="xsd:double"&gt;5.868148&lt;/D&gt;&lt;/FQL&gt;&lt;FQL&gt;&lt;Q&gt;RR-GB^FG_FCF_YIELD_FY2(44089)&lt;/Q&gt;&lt;R&gt;0&lt;/R&gt;&lt;C&gt;0&lt;/C&gt;&lt;/FQL&gt;&lt;FQL&gt;&lt;Q&gt;MGGT-GB^FG_FCF_YIELD_FY2(44089)&lt;/Q&gt;&lt;R&gt;1&lt;/R&gt;&lt;C&gt;1&lt;/C&gt;&lt;D xsi:type="xsd:double"&gt;5.41158953591236&lt;/D&gt;&lt;/FQL&gt;&lt;FQL&gt;&lt;Q&gt;MGGT-GB^FG_FCF_YIELD_FY1(44089)&lt;/Q&gt;&lt;R&gt;0&lt;/R&gt;&lt;C&gt;0&lt;/C&gt;&lt;/FQL&gt;&lt;FQL&gt;&lt;Q&gt;MGGT-GB^FG_FCF_YIELD_NTM(44089)&lt;/Q&gt;&lt;R&gt;1&lt;/R&gt;&lt;C&gt;1&lt;/C&gt;&lt;D xsi:type="xsd:double"&gt;3.6963005&lt;/D&gt;&lt;/FQL&gt;&lt;FQL&gt;&lt;Q&gt;MTX-DE^FG_FCF_YIELD_FY2(44089)&lt;/Q&gt;&lt;R&gt;1&lt;/R&gt;&lt;C&gt;1&lt;/C&gt;&lt;D xsi:type="xsd:double"&gt;4.11597178567196&lt;/D&gt;&lt;/FQL&gt;&lt;FQL&gt;&lt;Q&gt;MTX-DE^FG_FCF_YIELD_FY1(44089)&lt;/Q&gt;&lt;R&gt;1&lt;/R&gt;&lt;C&gt;1&lt;/C&gt;&lt;D xsi:type="xsd:double"&gt;1.85584177419661&lt;/D&gt;&lt;/FQL&gt;&lt;FQL&gt;&lt;Q&gt;MTX-DE^FG_FCF_YIELD_NTM(44089)&lt;/Q&gt;&lt;R&gt;1&lt;/R&gt;&lt;C&gt;1&lt;/C&gt;&lt;D xsi:type="xsd:double"&gt;3.4534125&lt;/D&gt;&lt;/FQL&gt;&lt;FQL&gt;&lt;Q&gt;SAF-FR^FG_FCF_YIELD_FY2(44089)&lt;/Q&gt;&lt;R&gt;1&lt;/R&gt;&lt;C&gt;1&lt;/C&gt;&lt;D xsi:type="xsd:double"&gt;4.04273723065061&lt;/D&gt;&lt;/FQL&gt;&lt;FQL&gt;&lt;Q&gt;SAF-FR^FG_FCF_YIELD_FY1(44089)&lt;/Q&gt;&lt;R&gt;1&lt;/R&gt;&lt;C&gt;1&lt;/C&gt;&lt;D xsi:type="xsd:double"&gt;3.23453636091112&lt;/D&gt;&lt;/FQL&gt;&lt;FQL&gt;&lt;Q&gt;SAF-FR^FG_FCF_YIELD_NTM(44089)&lt;/Q&gt;&lt;R&gt;1&lt;/R&gt;&lt;C&gt;1&lt;/C&gt;&lt;D xsi:type="xsd:double"&gt;3.8058124&lt;/D&gt;&lt;/FQL&gt;&lt;FQL&gt;&lt;Q&gt;WWD^FG_FCF_YIELD_FY2(44089)&lt;/Q&gt;&lt;R&gt;1&lt;/R&gt;&lt;C&gt;1&lt;/C&gt;&lt;D xsi:type="xsd:double"&gt;4.52852855246309&lt;/D&gt;&lt;/FQL&gt;&lt;FQL&gt;&lt;Q&gt;WWD^FG_FCF_YIELD_FY1(44089)&lt;/Q&gt;&lt;R&gt;1&lt;/R&gt;&lt;C&gt;1&lt;/C&gt;&lt;D xsi:type="xsd:double"&gt;4.8048048048048&lt;/D&gt;&lt;/FQL&gt;&lt;FQL&gt;&lt;Q&gt;WWD^FG_FCF_YIELD_NTM(44089)&lt;/Q&gt;&lt;R&gt;1&lt;/R&gt;&lt;C&gt;1&lt;/C&gt;&lt;D xsi:type="xsd:double"&gt;4.539882&lt;/D&gt;&lt;/FQL&gt;&lt;FQL&gt;&lt;Q&gt;HXL^FG_FCF_YIELD_FY2(44089)&lt;/Q&gt;&lt;R&gt;1&lt;/R&gt;&lt;C&gt;1&lt;/C&gt;&lt;D xsi:type="xsd:double"&gt;5.99436649436859&lt;/D&gt;&lt;/FQL&gt;&lt;FQL&gt;&lt;Q&gt;HXL^FG_FCF_YIELD_FY1(44089)&lt;/Q&gt;&lt;R&gt;1&lt;/R&gt;&lt;C&gt;1&lt;/C&gt;&lt;D xsi:type="xsd:double"&gt;4.57048961004308&lt;/D&gt;&lt;/FQL&gt;&lt;FQL&gt;&lt;Q&gt;HXL^FG_FCF_YIELD_NTM(44089)&lt;/Q&gt;&lt;R&gt;1&lt;/R&gt;&lt;C&gt;1&lt;/C&gt;&lt;D xsi:type="xsd:double"&gt;5.576956&lt;/D&gt;&lt;/FQL&gt;&lt;FQL&gt;&lt;Q&gt;TDG^FG_FCF_YIELD_FY2(44089)&lt;/Q&gt;&lt;R&gt;1&lt;/R&gt;&lt;C&gt;1&lt;/C&gt;&lt;D xsi:type="xsd:double"&gt;2.85978660729902&lt;/D&gt;&lt;/FQL&gt;&lt;FQL&gt;&lt;Q&gt;TDG^FG_FCF_YIELD_FY1(44089)&lt;/Q&gt;&lt;R&gt;1&lt;/R&gt;&lt;C&gt;1&lt;/C&gt;&lt;D xsi:type="xsd:double"&gt;3.5787522322467&lt;/D&gt;&lt;/FQL&gt;&lt;FQL&gt;&lt;Q&gt;TDG^FG_FCF_YIELD_NTM(44089)&lt;/Q&gt;&lt;R&gt;1&lt;/R&gt;&lt;C&gt;1&lt;/C&gt;&lt;D xsi:type="xsd:double"&gt;2.889333&lt;/D&gt;&lt;/FQL&gt;&lt;FQL&gt;&lt;Q&gt;NOC^FG_FCF_YIELD_FY2(44131)&lt;/Q&gt;&lt;R&gt;1&lt;/R&gt;&lt;C&gt;1&lt;/C&gt;&lt;D xsi:type="xsd:double"&gt;7.01562133324166&lt;/D&gt;&lt;/FQL&gt;&lt;FQL&gt;&lt;Q&gt;NOC^FG_FCF_YIELD_FY1(44131)&lt;/Q&gt;&lt;R&gt;1&lt;/R&gt;&lt;C&gt;1&lt;/C&gt;&lt;D xsi:type="xsd:double"&gt;6.81808497038394&lt;/D&gt;&lt;/FQL&gt;&lt;FQL&gt;&lt;Q&gt;NOC^FG_FCF_YIELD_NTM(44131)&lt;/Q&gt;&lt;R&gt;1&lt;/R&gt;&lt;C&gt;1&lt;/C&gt;&lt;D xsi:type="xsd:double"&gt;6.980444&lt;/D&gt;&lt;/FQL&gt;&lt;FQL&gt;&lt;Q&gt;LMT^FG_FCF_YIELD_FY2(44131)&lt;/Q&gt;&lt;R&gt;1&lt;/R&gt;&lt;C&gt;1&lt;/C&gt;&lt;D xsi:type="xsd:double"&gt;6.40794256791762&lt;/D&gt;&lt;/FQL&gt;&lt;FQL&gt;&lt;Q&gt;LMT^FG_FCF_YIELD_FY1(44131)&lt;/Q&gt;&lt;R&gt;1&lt;/R&gt;&lt;C&gt;1&lt;/C&gt;&lt;D xsi:type="xsd:double"&gt;6.32947105844611&lt;/D&gt;&lt;/FQL&gt;&lt;FQL&gt;&lt;Q&gt;LMT^FG_FCF_YIELD_NTM(44131)&lt;/Q&gt;&lt;R&gt;1&lt;/R&gt;&lt;C&gt;1&lt;/C&gt;&lt;D xsi:type="xsd:double"&gt;6.393968&lt;/D&gt;&lt;/FQL&gt;&lt;FQL&gt;&lt;Q&gt;MGGT-GB^FG_FCF_YIELD_FY2(44131)&lt;/Q&gt;&lt;R&gt;1&lt;/R&gt;&lt;C&gt;1&lt;/C&gt;&lt;D xsi:type="xsd:double"&gt;4.45589232496609&lt;/D&gt;&lt;/FQL&gt;&lt;FQL&gt;&lt;Q&gt;MTX-DE^FG_FCF_YIELD_FY2(44131)&lt;/Q&gt;&lt;R&gt;1&lt;/R&gt;&lt;C&gt;1&lt;/C&gt;&lt;D xsi:type="xsd:double"&gt;4.26552700884781&lt;/D&gt;&lt;/FQL&gt;&lt;FQL&gt;&lt;Q&gt;MTX-DE^FG_FCF_YIELD_FY1(44131)&lt;/Q&gt;&lt;R&gt;1&lt;/R&gt;&lt;C&gt;1&lt;/C&gt;&lt;D xsi:type="xsd:double"&gt;1.89610842706429&lt;/D&gt;&lt;/FQL&gt;&lt;FQL&gt;&lt;Q&gt;SAF-FR^FG_FCF_YIELD_FY2(44131)&lt;/Q&gt;&lt;R&gt;1&lt;/R&gt;&lt;C&gt;1&lt;/C&gt;&lt;D xsi:type="xsd:double"&gt;4.08853209268735&lt;/D&gt;&lt;/FQL&gt;&lt;FQL&gt;&lt;Q&gt;SAF-FR^FG_FCF_YIELD_FY1(44131)&lt;/Q&gt;&lt;R&gt;1&lt;/R&gt;&lt;C&gt;1&lt;/C&gt;&lt;D xsi:type="xsd:double"&gt;3.34522449132516&lt;/D&gt;&lt;/FQL&gt;&lt;FQL&gt;&lt;Q&gt;WWD^FG_FCF_YIELD_FY2(44131)&lt;/Q&gt;&lt;R&gt;1&lt;/R&gt;&lt;C&gt;1&lt;/C&gt;&lt;D xsi:type="xsd:double"&gt;4.79619320389975&lt;/D&gt;&lt;/FQL&gt;&lt;FQL&gt;&lt;Q&gt;WWD^FG_FCF_YIELD_FY1(44131)&lt;/Q&gt;&lt;R&gt;1&lt;/R&gt;&lt;C&gt;1&lt;/C&gt;&lt;D xsi:type="xsd:double"&gt;5.17517260623814&lt;/D&gt;&lt;/FQL&gt;&lt;FQL&gt;&lt;Q&gt;HXL^FG_FCF_YIELD_FY2(44131)&lt;/Q&gt;&lt;R&gt;1&lt;/R&gt;&lt;C&gt;1&lt;/C&gt;&lt;D xsi:type="xsd:double"&gt;4.76062098111352&lt;/D&gt;&lt;/FQL&gt;&lt;FQL&gt;&lt;Q&gt;HXL^FG_FCF_YIELD_FY1(44131)&lt;/Q&gt;&lt;R&gt;1&lt;/R&gt;&lt;C&gt;1&lt;/C&gt;&lt;D xsi:type="xsd:double"&gt;4.84490255689732&lt;/D&gt;&lt;/FQL&gt;&lt;FQL&gt;&lt;Q&gt;TDG^FG_FCF_YIELD_FY2(44131)&lt;/Q&gt;&lt;R&gt;1&lt;/R&gt;&lt;C&gt;1&lt;/C&gt;&lt;D xsi:type="xsd:double"&gt;3.12034386189358&lt;/D&gt;&lt;/FQL&gt;&lt;FQL&gt;&lt;Q&gt;TDG^FG_FCF_YIELD_FY1(44131)&lt;/Q&gt;&lt;R&gt;1&lt;/R&gt;&lt;C&gt;1&lt;/C&gt;&lt;D xsi:type="xsd:double"&gt;3.92726393020152&lt;/D&gt;&lt;/FQL&gt;&lt;FQL&gt;&lt;Q&gt;MGGT-GB^FG_FCF_YIELD_NTM(44131)&lt;/Q&gt;&lt;R&gt;1&lt;/R&gt;&lt;C&gt;1&lt;/C&gt;&lt;D xsi:type="xsd:double"&gt;3.5212803&lt;/D&gt;&lt;/FQL&gt;&lt;FQL&gt;&lt;Q&gt;MTX-DE^FG_FCF_YIELD_NTM(44131)&lt;/Q&gt;&lt;R&gt;1&lt;/R&gt;&lt;C&gt;1&lt;/C&gt;&lt;D xsi:type="xsd:double"&gt;3.8435757&lt;/D&gt;&lt;/FQL&gt;&lt;FQL&gt;&lt;Q&gt;SAF-FR^FG_FCF_YIELD_NTM(44131)&lt;/Q&gt;&lt;R&gt;1&lt;/R&gt;&lt;C&gt;1&lt;/C&gt;&lt;D xsi:type="xsd:double"&gt;3.9561625&lt;/D&gt;&lt;/FQL&gt;&lt;FQL&gt;&lt;Q&gt;WWD^FG_FCF_YIELD_NTM(44131)&lt;/Q&gt;&lt;R&gt;1&lt;/R&gt;&lt;C&gt;1&lt;/C&gt;&lt;D xsi:type="xsd:double"&gt;4.885279&lt;/D&gt;&lt;/FQL&gt;&lt;FQL&gt;&lt;Q&gt;HXL^FG_FCF_YIELD_NTM(44131)&lt;/Q&gt;&lt;R&gt;1&lt;/R&gt;&lt;C&gt;1&lt;/C&gt;&lt;D xsi:type="xsd:double"&gt;4.7756305&lt;/D&gt;&lt;/FQL&gt;&lt;FQL&gt;&lt;Q&gt;TDG^FG_FCF_YIELD_NTM(44131)&lt;/Q&gt;&lt;R&gt;1&lt;/R&gt;&lt;C&gt;1&lt;/C&gt;&lt;D xsi:type="xsd:double"&gt;3.197878&lt;/D&gt;&lt;/FQL&gt;&lt;FQL&gt;&lt;Q&gt;JCI^FE_VALUATION(EV_EBITDA,MEAN,ANNUAL_ROLL,+2,44131,,,'')&lt;/Q&gt;&lt;R&gt;1&lt;/R&gt;&lt;C&gt;1&lt;/C&gt;&lt;D xsi:type="xsd:double"&gt;11.190215&lt;/D&gt;&lt;/FQL&gt;&lt;FQL&gt;&lt;Q&gt;NOC^FG_FCF_YIELD_FY2(44153)&lt;/Q&gt;&lt;R&gt;1&lt;/R&gt;&lt;C&gt;1&lt;/C&gt;&lt;D xsi:type="xsd:double"&gt;6.86148621712679&lt;/D&gt;&lt;/FQL&gt;&lt;FQL&gt;&lt;Q&gt;NOC^FG_FCF_YIELD_FY1(44153)&lt;/Q&gt;&lt;R&gt;1&lt;/R&gt;&lt;C&gt;1&lt;/C&gt;&lt;D xsi:type="xsd:double"&gt;6.66828972838656&lt;/D&gt;&lt;/FQL&gt;&lt;FQL&gt;&lt;Q&gt;NOC^FG_FCF_YIELD_NTM(44153)&lt;/Q&gt;&lt;R&gt;1&lt;/R&gt;&lt;C&gt;1&lt;/C&gt;&lt;D xsi:type="xsd:double"&gt;6.838726&lt;/D&gt;&lt;/FQL&gt;&lt;FQL&gt;&lt;Q&gt;LMT^FG_FCF_YIELD_FY2(44153)&lt;/Q&gt;&lt;R&gt;1&lt;/R&gt;&lt;C&gt;1&lt;/C&gt;&lt;D xsi:type="xsd:double"&gt;6.14894327027981&lt;/D&gt;&lt;/FQL&gt;&lt;FQL&gt;&lt;Q&gt;LMT^FG_FCF_YIELD_FY1(44153)&lt;/Q&gt;&lt;R&gt;1&lt;/R&gt;&lt;C&gt;1&lt;/C&gt;&lt;D xsi:type="xsd:double"&gt;6.07364415004816&lt;/D&gt;&lt;/FQL&gt;&lt;FQL&gt;&lt;Q&gt;LMT^FG_FCF_YIELD_NTM(44153)&lt;/Q&gt;&lt;R&gt;1&lt;/R&gt;&lt;C&gt;1&lt;/C&gt;&lt;D xsi:type="xsd:double"&gt;6.1400723&lt;/D&gt;&lt;/FQL&gt;&lt;FQL&gt;&lt;Q&gt;MGGT-GB^FG_FCF_YIELD_FY2(44153)&lt;/Q&gt;&lt;R&gt;1&lt;/R&gt;&lt;C&gt;1&lt;/C&gt;&lt;D xsi:type="xsd:double"&gt;2.99531323338372&lt;/D&gt;&lt;/FQL&gt;&lt;FQL&gt;&lt;Q&gt;MTX-DE^FG_FCF_YIELD_FY2(44153)&lt;/Q&gt;&lt;R&gt;1&lt;/R&gt;&lt;C&gt;1&lt;/C&gt;&lt;D xsi:type="xsd:double"&gt;3.17027449187633&lt;/D&gt;&lt;/FQL&gt;&lt;FQL&gt;&lt;Q&gt;MTX-DE^FG_FCF_YIELD_FY1(44153)&lt;/Q&gt;&lt;R&gt;1&lt;/R&gt;&lt;C&gt;1&lt;/C&gt;&lt;D xsi:type="xsd:double"&gt;1.53759327136884&lt;/D&gt;&lt;/FQL&gt;&lt;FQL&gt;&lt;Q&gt;SAF-FR^FG_FCF_YIELD_FY2(44153)&lt;/Q&gt;&lt;R&gt;1&lt;/R&gt;&lt;C&gt;1&lt;/C&gt;&lt;D xsi:type="xsd:double"&gt;3.11651081931012&lt;/D&gt;&lt;/FQL&gt;&lt;FQL&gt;&lt;Q&gt;SAF-FR^FG_FCF_YIELD_FY1(44153)&lt;/Q&gt;&lt;R&gt;1&lt;/R&gt;&lt;C&gt;1&lt;/C&gt;&lt;D xsi:type="xsd:double"&gt;2.12232860111358&lt;/D&gt;&lt;/FQL&gt;&lt;FQL&gt;&lt;Q&gt;WWD^FG_FCF_YIELD_FY2(44153)&lt;/Q&gt;&lt;R&gt;1&lt;/R&gt;&lt;C&gt;1&lt;/C&gt;&lt;D xsi:type="xsd:double"&gt;3.46838411799165&lt;/D&gt;&lt;/FQL&gt;&lt;FQL&gt;&lt;Q&gt;WWD^FG_FCF_YIELD_FY1(44153)&lt;/Q&gt;&lt;R&gt;1&lt;/R&gt;&lt;C&gt;1&lt;/C&gt;&lt;D xsi:type="xsd:double"&gt;3.74244451910205&lt;/D&gt;&lt;/FQL&gt;&lt;FQL&gt;&lt;Q&gt;HXL^FG_FCF_YIELD_FY2(44153)&lt;/Q&gt;&lt;R&gt;1&lt;/R&gt;&lt;C&gt;1&lt;/C&gt;&lt;D xsi:type="xsd:double"&gt;2.81787099420265&lt;/D&gt;&lt;/FQL&gt;&lt;FQL&gt;&lt;Q&gt;HXL^FG_FCF_YIELD_FY1(44153)&lt;/Q&gt;&lt;R&gt;1&lt;/R&gt;&lt;C&gt;1&lt;/C&gt;&lt;D xsi:type="xsd:double"&gt;2.95793298696332&lt;/D&gt;&lt;/FQL&gt;&lt;FQL&gt;&lt;Q&gt;TDG^FG_FCF_YIELD_FY2(44153)&lt;/Q&gt;&lt;R&gt;1&lt;/R&gt;&lt;C&gt;1&lt;/C&gt;&lt;D xsi:type="xsd:double"&gt;3.12200482661946&lt;/D&gt;&lt;/FQL&gt;&lt;FQL&gt;&lt;Q&gt;TDG^FG_FCF_YIELD_FY1(44153)&lt;/Q&gt;&lt;R&gt;1&lt;/R&gt;&lt;C&gt;1&lt;/C&gt;&lt;D xsi:type="xsd:double"&gt;1.98961160115466&lt;/D&gt;&lt;/FQL&gt;&lt;FQL&gt;&lt;Q&gt;MGGT-GB^FG_FCF_YIELD_NTM(44153)&lt;/Q&gt;&lt;R&gt;1&lt;/R&gt;&lt;C&gt;1&lt;/C&gt;&lt;D xsi:type="xsd:double"&gt;2.5930178&lt;/D&gt;&lt;/FQL&gt;&lt;FQL&gt;&lt;Q&gt;MTX-DE^FG_FCF_YIELD_NTM(44153)&lt;/Q&gt;&lt;R&gt;1&lt;/R&gt;&lt;C&gt;1&lt;/C&gt;&lt;D xsi:type="xsd:double"&gt;2.977931&lt;/D&gt;&lt;/FQL&gt;&lt;FQL&gt;&lt;Q&gt;SAF-FR^FG_FCF_YIELD_NTM(44153)&lt;/Q&gt;&lt;R&gt;1&lt;/R&gt;&lt;C&gt;1&lt;/C&gt;&lt;D xsi:type="xsd:double"&gt;2.999388&lt;/D&gt;&lt;/FQL&gt;&lt;FQL&gt;&lt;Q&gt;WWD^FG_FCF_YIELD_NTM(44153)&lt;/Q&gt;&lt;R&gt;1&lt;/R&gt;&lt;C&gt;1&lt;/C&gt;&lt;D xsi:type="xsd:double"&gt;3.5853&lt;/D&gt;&lt;/FQL&gt;&lt;FQL&gt;&lt;Q&gt;HXL^FG_FCF_YIELD_NTM(44153)&lt;/Q&gt;&lt;R&gt;1&lt;/R&gt;&lt;C&gt;1&lt;/C&gt;&lt;D xsi:type="xsd:double"&gt;2.8343713&lt;/D&gt;&lt;/FQL&gt;&lt;FQL&gt;&lt;Q&gt;TDG^FG_FCF_YIELD_NTM(44153)&lt;/Q&gt;&lt;R&gt;1&lt;/R&gt;&lt;C&gt;1&lt;/C&gt;&lt;D xsi:type="xsd:double"&gt;2.1416314&lt;/D&gt;&lt;/FQL&gt;&lt;FQL&gt;&lt;Q&gt;JCI^FE_VALUATION(EV_EBITDA,MEAN,ANNUAL_ROLL,+2,44153,,,'')&lt;/Q&gt;&lt;R&gt;1&lt;/R&gt;&lt;C&gt;1&lt;/C&gt;&lt;D xsi:type="xsd:double"&gt;11.088622&lt;/D&gt;&lt;/FQL&gt;&lt;/Schema&gt;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Parsons, Gavin [GIR]</author>
    <author>Blake, BEN [GIR]</author>
    <author>Dessert, Connor H [GIR]</author>
    <author>khalom</author>
    <author>shenzh</author>
    <author>massle</author>
  </authors>
  <commentList>
    <comment ref="CM15" authorId="0" shapeId="0" xr:uid="{00000000-0006-0000-0300-000001000000}">
      <text>
        <r>
          <rPr>
            <b/>
            <sz val="9"/>
            <color indexed="81"/>
            <rFont val="Tahoma"/>
            <family val="2"/>
          </rPr>
          <t>Parsons, Gavin [GIR]:</t>
        </r>
        <r>
          <rPr>
            <sz val="9"/>
            <color indexed="81"/>
            <rFont val="Tahoma"/>
            <family val="2"/>
          </rPr>
          <t xml:space="preserve">
Goodwill impairment</t>
        </r>
      </text>
    </comment>
    <comment ref="CM91" authorId="0" shapeId="0" xr:uid="{00000000-0006-0000-0300-000002000000}">
      <text>
        <r>
          <rPr>
            <b/>
            <sz val="9"/>
            <color indexed="81"/>
            <rFont val="Tahoma"/>
            <family val="2"/>
          </rPr>
          <t>Parsons, Gavin [GIR]:</t>
        </r>
        <r>
          <rPr>
            <sz val="9"/>
            <color indexed="81"/>
            <rFont val="Tahoma"/>
            <family val="2"/>
          </rPr>
          <t xml:space="preserve">
Below is quarter ended
Reported 6mo does not reflect RTX pro forma</t>
        </r>
      </text>
    </comment>
    <comment ref="CM114" authorId="0" shapeId="0" xr:uid="{00000000-0006-0000-0300-000003000000}">
      <text>
        <r>
          <rPr>
            <b/>
            <sz val="9"/>
            <color indexed="81"/>
            <rFont val="Tahoma"/>
            <family val="2"/>
          </rPr>
          <t>Parsons, Gavin [GIR]:</t>
        </r>
        <r>
          <rPr>
            <sz val="9"/>
            <color indexed="81"/>
            <rFont val="Tahoma"/>
            <family val="2"/>
          </rPr>
          <t xml:space="preserve">
cash acquired in RTN merger</t>
        </r>
      </text>
    </comment>
    <comment ref="CK132" authorId="0" shapeId="0" xr:uid="{00000000-0006-0000-0300-000004000000}">
      <text>
        <r>
          <rPr>
            <b/>
            <sz val="9"/>
            <color indexed="81"/>
            <rFont val="Tahoma"/>
            <family val="2"/>
          </rPr>
          <t>Parsons, Gavin [GIR]:</t>
        </r>
        <r>
          <rPr>
            <sz val="9"/>
            <color indexed="81"/>
            <rFont val="Tahoma"/>
            <family val="2"/>
          </rPr>
          <t xml:space="preserve">
all 2019 restated for 2Q20 provided PF</t>
        </r>
      </text>
    </comment>
    <comment ref="CP132" authorId="0" shapeId="0" xr:uid="{00000000-0006-0000-0300-000005000000}">
      <text>
        <r>
          <rPr>
            <b/>
            <sz val="9"/>
            <color indexed="81"/>
            <rFont val="Tahoma"/>
            <family val="2"/>
          </rPr>
          <t>Parsons, Gavin [GIR]:</t>
        </r>
        <r>
          <rPr>
            <sz val="9"/>
            <color indexed="81"/>
            <rFont val="Tahoma"/>
            <family val="2"/>
          </rPr>
          <t xml:space="preserve">
2020 restated with 4Q20 Raytheon segment recast</t>
        </r>
      </text>
    </comment>
    <comment ref="CF134" authorId="0" shapeId="0" xr:uid="{00000000-0006-0000-0300-000006000000}">
      <text>
        <r>
          <rPr>
            <b/>
            <sz val="9"/>
            <color indexed="81"/>
            <rFont val="Tahoma"/>
            <family val="2"/>
          </rPr>
          <t>Parsons, Gavin [GIR]:</t>
        </r>
        <r>
          <rPr>
            <sz val="9"/>
            <color indexed="81"/>
            <rFont val="Tahoma"/>
            <family val="2"/>
          </rPr>
          <t xml:space="preserve">
PF for full year of COL</t>
        </r>
      </text>
    </comment>
    <comment ref="CV134" authorId="1" shapeId="0" xr:uid="{30101C7E-DB4C-4B5E-B324-E753D8AEE425}">
      <text>
        <r>
          <rPr>
            <b/>
            <sz val="9"/>
            <color indexed="81"/>
            <rFont val="Tahoma"/>
            <family val="2"/>
          </rPr>
          <t>Blake, BEN [GIR]:</t>
        </r>
        <r>
          <rPr>
            <sz val="9"/>
            <color indexed="81"/>
            <rFont val="Tahoma"/>
            <family val="2"/>
          </rPr>
          <t xml:space="preserve">
Adjusted for segment recast as of 2Q23</t>
        </r>
      </text>
    </comment>
    <comment ref="CW134" authorId="1" shapeId="0" xr:uid="{A0235C2B-1693-4681-9236-676373E22A4D}">
      <text>
        <r>
          <rPr>
            <b/>
            <sz val="9"/>
            <color indexed="81"/>
            <rFont val="Tahoma"/>
            <family val="2"/>
          </rPr>
          <t>Blake, BEN [GIR]:</t>
        </r>
        <r>
          <rPr>
            <sz val="9"/>
            <color indexed="81"/>
            <rFont val="Tahoma"/>
            <family val="2"/>
          </rPr>
          <t xml:space="preserve">
Adjusted for segment recast as of 2Q23</t>
        </r>
      </text>
    </comment>
    <comment ref="CX134" authorId="1" shapeId="0" xr:uid="{1933B457-6C2B-4BC9-98D4-65BD0465D366}">
      <text>
        <r>
          <rPr>
            <b/>
            <sz val="9"/>
            <color indexed="81"/>
            <rFont val="Tahoma"/>
            <family val="2"/>
          </rPr>
          <t>Blake, BEN [GIR]:</t>
        </r>
        <r>
          <rPr>
            <sz val="9"/>
            <color indexed="81"/>
            <rFont val="Tahoma"/>
            <family val="2"/>
          </rPr>
          <t xml:space="preserve">
Adjusted for segment recast as of 2Q23</t>
        </r>
      </text>
    </comment>
    <comment ref="CY134" authorId="1" shapeId="0" xr:uid="{00DEDEA3-1397-4170-9291-682DC5B832CD}">
      <text>
        <r>
          <rPr>
            <b/>
            <sz val="9"/>
            <color indexed="81"/>
            <rFont val="Tahoma"/>
            <family val="2"/>
          </rPr>
          <t>Blake, BEN [GIR]:</t>
        </r>
        <r>
          <rPr>
            <sz val="9"/>
            <color indexed="81"/>
            <rFont val="Tahoma"/>
            <family val="2"/>
          </rPr>
          <t xml:space="preserve">
Adjusted for segment recast as of 2Q23</t>
        </r>
      </text>
    </comment>
    <comment ref="CZ134" authorId="1" shapeId="0" xr:uid="{6358584B-FFD7-47D8-BFCC-B23788D2FE52}">
      <text>
        <r>
          <rPr>
            <b/>
            <sz val="9"/>
            <color indexed="81"/>
            <rFont val="Tahoma"/>
            <family val="2"/>
          </rPr>
          <t>Blake, BEN [GIR]:</t>
        </r>
        <r>
          <rPr>
            <sz val="9"/>
            <color indexed="81"/>
            <rFont val="Tahoma"/>
            <family val="2"/>
          </rPr>
          <t xml:space="preserve">
Adjusted for segment recast as of 2Q23</t>
        </r>
      </text>
    </comment>
    <comment ref="DA134" authorId="1" shapeId="0" xr:uid="{CC5F4C6F-359B-46F9-86FA-C0CE6762EB3C}">
      <text>
        <r>
          <rPr>
            <b/>
            <sz val="9"/>
            <color indexed="81"/>
            <rFont val="Tahoma"/>
            <family val="2"/>
          </rPr>
          <t>Blake, BEN [GIR]:</t>
        </r>
        <r>
          <rPr>
            <sz val="9"/>
            <color indexed="81"/>
            <rFont val="Tahoma"/>
            <family val="2"/>
          </rPr>
          <t xml:space="preserve">
Adjusted for segment recast as of 2Q23</t>
        </r>
      </text>
    </comment>
    <comment ref="DB134" authorId="1" shapeId="0" xr:uid="{D6C7ADC1-21B5-4529-ADAF-61E881DD0812}">
      <text>
        <r>
          <rPr>
            <b/>
            <sz val="9"/>
            <color indexed="81"/>
            <rFont val="Tahoma"/>
            <family val="2"/>
          </rPr>
          <t>Blake, BEN [GIR]:</t>
        </r>
        <r>
          <rPr>
            <sz val="9"/>
            <color indexed="81"/>
            <rFont val="Tahoma"/>
            <family val="2"/>
          </rPr>
          <t xml:space="preserve">
Adjusted for segment recast as of 2Q23</t>
        </r>
      </text>
    </comment>
    <comment ref="CF135" authorId="0" shapeId="0" xr:uid="{00000000-0006-0000-0300-000007000000}">
      <text>
        <r>
          <rPr>
            <b/>
            <sz val="9"/>
            <color indexed="81"/>
            <rFont val="Tahoma"/>
            <family val="2"/>
          </rPr>
          <t>Parsons, Gavin [GIR]:</t>
        </r>
        <r>
          <rPr>
            <sz val="9"/>
            <color indexed="81"/>
            <rFont val="Tahoma"/>
            <family val="2"/>
          </rPr>
          <t xml:space="preserve">
incl UTC Mission Systems</t>
        </r>
      </text>
    </comment>
    <comment ref="CK135" authorId="0" shapeId="0" xr:uid="{00000000-0006-0000-0300-000008000000}">
      <text>
        <r>
          <rPr>
            <b/>
            <sz val="9"/>
            <color indexed="81"/>
            <rFont val="Tahoma"/>
            <family val="2"/>
          </rPr>
          <t>Parsons, Gavin [GIR]:</t>
        </r>
        <r>
          <rPr>
            <sz val="9"/>
            <color indexed="81"/>
            <rFont val="Tahoma"/>
            <family val="2"/>
          </rPr>
          <t xml:space="preserve">
restated</t>
        </r>
      </text>
    </comment>
    <comment ref="CK136" authorId="0" shapeId="0" xr:uid="{00000000-0006-0000-0300-000009000000}">
      <text>
        <r>
          <rPr>
            <b/>
            <sz val="9"/>
            <color indexed="81"/>
            <rFont val="Tahoma"/>
            <family val="2"/>
          </rPr>
          <t>Parsons, Gavin [GIR]:</t>
        </r>
        <r>
          <rPr>
            <sz val="9"/>
            <color indexed="81"/>
            <rFont val="Tahoma"/>
            <family val="2"/>
          </rPr>
          <t xml:space="preserve">
restated</t>
        </r>
      </text>
    </comment>
    <comment ref="CV137" authorId="1" shapeId="0" xr:uid="{CA0C2F38-34FB-4015-979B-58EF73DBC8DC}">
      <text>
        <r>
          <rPr>
            <b/>
            <sz val="9"/>
            <color indexed="81"/>
            <rFont val="Tahoma"/>
            <family val="2"/>
          </rPr>
          <t>Blake, BEN [GIR]:</t>
        </r>
        <r>
          <rPr>
            <sz val="9"/>
            <color indexed="81"/>
            <rFont val="Tahoma"/>
            <family val="2"/>
          </rPr>
          <t xml:space="preserve">
Adjusted for segment recast as of 2Q23</t>
        </r>
      </text>
    </comment>
    <comment ref="CW137" authorId="1" shapeId="0" xr:uid="{D578225C-FA55-4D23-8649-7767D89338C7}">
      <text>
        <r>
          <rPr>
            <b/>
            <sz val="9"/>
            <color indexed="81"/>
            <rFont val="Tahoma"/>
            <family val="2"/>
          </rPr>
          <t>Blake, BEN [GIR]:</t>
        </r>
        <r>
          <rPr>
            <sz val="9"/>
            <color indexed="81"/>
            <rFont val="Tahoma"/>
            <family val="2"/>
          </rPr>
          <t xml:space="preserve">
Adjusted for segment recast as of 2Q23</t>
        </r>
      </text>
    </comment>
    <comment ref="CX137" authorId="1" shapeId="0" xr:uid="{BC6CF5F4-6556-44BD-8BBE-B01193ADB468}">
      <text>
        <r>
          <rPr>
            <b/>
            <sz val="9"/>
            <color indexed="81"/>
            <rFont val="Tahoma"/>
            <family val="2"/>
          </rPr>
          <t>Blake, BEN [GIR]:</t>
        </r>
        <r>
          <rPr>
            <sz val="9"/>
            <color indexed="81"/>
            <rFont val="Tahoma"/>
            <family val="2"/>
          </rPr>
          <t xml:space="preserve">
Adjusted for segment recast as of 2Q23</t>
        </r>
      </text>
    </comment>
    <comment ref="CY137" authorId="1" shapeId="0" xr:uid="{9812AC8B-2553-47EE-980F-1040106F4CF0}">
      <text>
        <r>
          <rPr>
            <b/>
            <sz val="9"/>
            <color indexed="81"/>
            <rFont val="Tahoma"/>
            <family val="2"/>
          </rPr>
          <t>Blake, BEN [GIR]:</t>
        </r>
        <r>
          <rPr>
            <sz val="9"/>
            <color indexed="81"/>
            <rFont val="Tahoma"/>
            <family val="2"/>
          </rPr>
          <t xml:space="preserve">
Adjusted for segment recast as of 2Q23</t>
        </r>
      </text>
    </comment>
    <comment ref="CZ137" authorId="1" shapeId="0" xr:uid="{E3E0F8E3-1C58-4794-9FAF-30C6C756910C}">
      <text>
        <r>
          <rPr>
            <b/>
            <sz val="9"/>
            <color indexed="81"/>
            <rFont val="Tahoma"/>
            <family val="2"/>
          </rPr>
          <t>Blake, BEN [GIR]:</t>
        </r>
        <r>
          <rPr>
            <sz val="9"/>
            <color indexed="81"/>
            <rFont val="Tahoma"/>
            <family val="2"/>
          </rPr>
          <t xml:space="preserve">
Adjusted for segment recast as of 2Q23</t>
        </r>
      </text>
    </comment>
    <comment ref="DA137" authorId="1" shapeId="0" xr:uid="{C5707FAC-8E57-4C92-AF97-0A88B059B703}">
      <text>
        <r>
          <rPr>
            <b/>
            <sz val="9"/>
            <color indexed="81"/>
            <rFont val="Tahoma"/>
            <family val="2"/>
          </rPr>
          <t>Blake, BEN [GIR]:</t>
        </r>
        <r>
          <rPr>
            <sz val="9"/>
            <color indexed="81"/>
            <rFont val="Tahoma"/>
            <family val="2"/>
          </rPr>
          <t xml:space="preserve">
Adjusted for segment recast as of 2Q23</t>
        </r>
      </text>
    </comment>
    <comment ref="DB137" authorId="1" shapeId="0" xr:uid="{DDE8D524-AF24-4524-A02C-B60E4EE9608F}">
      <text>
        <r>
          <rPr>
            <b/>
            <sz val="9"/>
            <color indexed="81"/>
            <rFont val="Tahoma"/>
            <family val="2"/>
          </rPr>
          <t>Blake, BEN [GIR]:</t>
        </r>
        <r>
          <rPr>
            <sz val="9"/>
            <color indexed="81"/>
            <rFont val="Tahoma"/>
            <family val="2"/>
          </rPr>
          <t xml:space="preserve">
Adjusted for segment recast as of 2Q23</t>
        </r>
      </text>
    </comment>
    <comment ref="DG137" authorId="2" shapeId="0" xr:uid="{FFD998DE-E35C-4BE5-B935-F3435887B1A4}">
      <text>
        <r>
          <rPr>
            <b/>
            <sz val="9"/>
            <color indexed="81"/>
            <rFont val="Tahoma"/>
            <family val="2"/>
          </rPr>
          <t>Dessert, Connor H [GIR]:</t>
        </r>
        <r>
          <rPr>
            <sz val="9"/>
            <color indexed="81"/>
            <rFont val="Tahoma"/>
            <family val="2"/>
          </rPr>
          <t xml:space="preserve">
6,511 reported</t>
        </r>
      </text>
    </comment>
    <comment ref="CF138" authorId="0" shapeId="0" xr:uid="{00000000-0006-0000-0300-00000A000000}">
      <text>
        <r>
          <rPr>
            <b/>
            <sz val="9"/>
            <color indexed="81"/>
            <rFont val="Tahoma"/>
            <family val="2"/>
          </rPr>
          <t>Parsons, Gavin [GIR]:</t>
        </r>
        <r>
          <rPr>
            <sz val="9"/>
            <color indexed="81"/>
            <rFont val="Tahoma"/>
            <family val="2"/>
          </rPr>
          <t xml:space="preserve">
Additional from UTC to RTN sales, RTN deferred revenue adjustment</t>
        </r>
      </text>
    </comment>
    <comment ref="CV138" authorId="1" shapeId="0" xr:uid="{096EAA73-9B30-4FF8-8967-75B6EF5BB117}">
      <text>
        <r>
          <rPr>
            <b/>
            <sz val="9"/>
            <color indexed="81"/>
            <rFont val="Tahoma"/>
            <family val="2"/>
          </rPr>
          <t>Blake, BEN [GIR]:</t>
        </r>
        <r>
          <rPr>
            <sz val="9"/>
            <color indexed="81"/>
            <rFont val="Tahoma"/>
            <family val="2"/>
          </rPr>
          <t xml:space="preserve">
Adjusted for segment recast as of 2Q23</t>
        </r>
      </text>
    </comment>
    <comment ref="CW138" authorId="1" shapeId="0" xr:uid="{A31D1747-5846-4945-A0C2-FED45B0F0D2E}">
      <text>
        <r>
          <rPr>
            <b/>
            <sz val="9"/>
            <color indexed="81"/>
            <rFont val="Tahoma"/>
            <family val="2"/>
          </rPr>
          <t>Blake, BEN [GIR]:</t>
        </r>
        <r>
          <rPr>
            <sz val="9"/>
            <color indexed="81"/>
            <rFont val="Tahoma"/>
            <family val="2"/>
          </rPr>
          <t xml:space="preserve">
Adjusted for segment recast as of 2Q23</t>
        </r>
      </text>
    </comment>
    <comment ref="CX138" authorId="1" shapeId="0" xr:uid="{0BF547BE-1D7C-4746-9279-9BE8DE315FA3}">
      <text>
        <r>
          <rPr>
            <b/>
            <sz val="9"/>
            <color indexed="81"/>
            <rFont val="Tahoma"/>
            <family val="2"/>
          </rPr>
          <t>Blake, BEN [GIR]:</t>
        </r>
        <r>
          <rPr>
            <sz val="9"/>
            <color indexed="81"/>
            <rFont val="Tahoma"/>
            <family val="2"/>
          </rPr>
          <t xml:space="preserve">
Adjusted for segment recast as of 2Q23</t>
        </r>
      </text>
    </comment>
    <comment ref="CY138" authorId="1" shapeId="0" xr:uid="{E55A833A-D4D8-4373-9448-24DD2392234A}">
      <text>
        <r>
          <rPr>
            <b/>
            <sz val="9"/>
            <color indexed="81"/>
            <rFont val="Tahoma"/>
            <family val="2"/>
          </rPr>
          <t>Blake, BEN [GIR]:</t>
        </r>
        <r>
          <rPr>
            <sz val="9"/>
            <color indexed="81"/>
            <rFont val="Tahoma"/>
            <family val="2"/>
          </rPr>
          <t xml:space="preserve">
Adjusted for segment recast as of 2Q23</t>
        </r>
      </text>
    </comment>
    <comment ref="CZ138" authorId="1" shapeId="0" xr:uid="{405155E4-464C-4446-9D07-13465A6C1B49}">
      <text>
        <r>
          <rPr>
            <b/>
            <sz val="9"/>
            <color indexed="81"/>
            <rFont val="Tahoma"/>
            <family val="2"/>
          </rPr>
          <t>Blake, BEN [GIR]:</t>
        </r>
        <r>
          <rPr>
            <sz val="9"/>
            <color indexed="81"/>
            <rFont val="Tahoma"/>
            <family val="2"/>
          </rPr>
          <t xml:space="preserve">
Adjusted for segment recast as of 2Q23</t>
        </r>
      </text>
    </comment>
    <comment ref="DA138" authorId="1" shapeId="0" xr:uid="{9FD5A2F4-8AC0-4890-ADB8-BB0780DC3EEB}">
      <text>
        <r>
          <rPr>
            <b/>
            <sz val="9"/>
            <color indexed="81"/>
            <rFont val="Tahoma"/>
            <family val="2"/>
          </rPr>
          <t>Blake, BEN [GIR]:</t>
        </r>
        <r>
          <rPr>
            <sz val="9"/>
            <color indexed="81"/>
            <rFont val="Tahoma"/>
            <family val="2"/>
          </rPr>
          <t xml:space="preserve">
Adjusted for segment recast as of 2Q23</t>
        </r>
      </text>
    </comment>
    <comment ref="DB138" authorId="1" shapeId="0" xr:uid="{49A0E9A4-7180-4BDE-B570-E7DAB8E83D68}">
      <text>
        <r>
          <rPr>
            <b/>
            <sz val="9"/>
            <color indexed="81"/>
            <rFont val="Tahoma"/>
            <family val="2"/>
          </rPr>
          <t>Blake, BEN [GIR]:</t>
        </r>
        <r>
          <rPr>
            <sz val="9"/>
            <color indexed="81"/>
            <rFont val="Tahoma"/>
            <family val="2"/>
          </rPr>
          <t xml:space="preserve">
Adjusted for segment recast as of 2Q23</t>
        </r>
      </text>
    </comment>
    <comment ref="CK164" authorId="0" shapeId="0" xr:uid="{00000000-0006-0000-0300-00000B000000}">
      <text>
        <r>
          <rPr>
            <b/>
            <sz val="9"/>
            <color indexed="81"/>
            <rFont val="Tahoma"/>
            <family val="2"/>
          </rPr>
          <t>Parsons, Gavin [GIR]:</t>
        </r>
        <r>
          <rPr>
            <sz val="9"/>
            <color indexed="81"/>
            <rFont val="Tahoma"/>
            <family val="2"/>
          </rPr>
          <t xml:space="preserve">
excl 290 amort
incl 150 corporate</t>
        </r>
      </text>
    </comment>
    <comment ref="CF165" authorId="0" shapeId="0" xr:uid="{00000000-0006-0000-0300-00000C000000}">
      <text>
        <r>
          <rPr>
            <b/>
            <sz val="9"/>
            <color indexed="81"/>
            <rFont val="Tahoma"/>
            <family val="2"/>
          </rPr>
          <t>Parsons, Gavin [GIR]:</t>
        </r>
        <r>
          <rPr>
            <sz val="9"/>
            <color indexed="81"/>
            <rFont val="Tahoma"/>
            <family val="2"/>
          </rPr>
          <t xml:space="preserve">
PF for full year of COL EBIT</t>
        </r>
      </text>
    </comment>
    <comment ref="CK165" authorId="0" shapeId="0" xr:uid="{00000000-0006-0000-0300-00000D000000}">
      <text>
        <r>
          <rPr>
            <b/>
            <sz val="9"/>
            <color indexed="81"/>
            <rFont val="Tahoma"/>
            <family val="2"/>
          </rPr>
          <t>Parsons, Gavin [GIR]:</t>
        </r>
        <r>
          <rPr>
            <sz val="9"/>
            <color indexed="81"/>
            <rFont val="Tahoma"/>
            <family val="2"/>
          </rPr>
          <t xml:space="preserve">
excl 620 amort
incl 200 corporate</t>
        </r>
      </text>
    </comment>
    <comment ref="CV165" authorId="1" shapeId="0" xr:uid="{85847B80-46A4-4B84-B875-C4B54576EC81}">
      <text>
        <r>
          <rPr>
            <b/>
            <sz val="9"/>
            <color indexed="81"/>
            <rFont val="Tahoma"/>
            <family val="2"/>
          </rPr>
          <t>Blake, BEN [GIR]:</t>
        </r>
        <r>
          <rPr>
            <sz val="9"/>
            <color indexed="81"/>
            <rFont val="Tahoma"/>
            <family val="2"/>
          </rPr>
          <t xml:space="preserve">
Adjusted for segment recast as of 2Q23</t>
        </r>
      </text>
    </comment>
    <comment ref="CW165" authorId="1" shapeId="0" xr:uid="{51C7A27A-A134-42AD-87DA-58C42A37E0E1}">
      <text>
        <r>
          <rPr>
            <b/>
            <sz val="9"/>
            <color indexed="81"/>
            <rFont val="Tahoma"/>
            <family val="2"/>
          </rPr>
          <t>Blake, BEN [GIR]:</t>
        </r>
        <r>
          <rPr>
            <sz val="9"/>
            <color indexed="81"/>
            <rFont val="Tahoma"/>
            <family val="2"/>
          </rPr>
          <t xml:space="preserve">
Adjusted for segment recast as of 2Q23</t>
        </r>
      </text>
    </comment>
    <comment ref="CX165" authorId="1" shapeId="0" xr:uid="{4D7FAC5D-8FEE-4F01-81FA-C41400FBAED5}">
      <text>
        <r>
          <rPr>
            <b/>
            <sz val="9"/>
            <color indexed="81"/>
            <rFont val="Tahoma"/>
            <family val="2"/>
          </rPr>
          <t>Blake, BEN [GIR]:</t>
        </r>
        <r>
          <rPr>
            <sz val="9"/>
            <color indexed="81"/>
            <rFont val="Tahoma"/>
            <family val="2"/>
          </rPr>
          <t xml:space="preserve">
Adjusted for segment recast as of 2Q23</t>
        </r>
      </text>
    </comment>
    <comment ref="CY165" authorId="1" shapeId="0" xr:uid="{2F4AE4A3-AC64-4DDC-8050-4194E73155CB}">
      <text>
        <r>
          <rPr>
            <b/>
            <sz val="9"/>
            <color indexed="81"/>
            <rFont val="Tahoma"/>
            <family val="2"/>
          </rPr>
          <t>Blake, BEN [GIR]:</t>
        </r>
        <r>
          <rPr>
            <sz val="9"/>
            <color indexed="81"/>
            <rFont val="Tahoma"/>
            <family val="2"/>
          </rPr>
          <t xml:space="preserve">
Adjusted for segment recast as of 2Q23</t>
        </r>
      </text>
    </comment>
    <comment ref="CZ165" authorId="1" shapeId="0" xr:uid="{A82EA349-7792-48C7-A4C3-FDFD527AC72B}">
      <text>
        <r>
          <rPr>
            <b/>
            <sz val="9"/>
            <color indexed="81"/>
            <rFont val="Tahoma"/>
            <family val="2"/>
          </rPr>
          <t>Blake, BEN [GIR]:</t>
        </r>
        <r>
          <rPr>
            <sz val="9"/>
            <color indexed="81"/>
            <rFont val="Tahoma"/>
            <family val="2"/>
          </rPr>
          <t xml:space="preserve">
Adjusted for segment recast as of 2Q23</t>
        </r>
      </text>
    </comment>
    <comment ref="DA165" authorId="1" shapeId="0" xr:uid="{9042FFB0-8DDA-4B2F-BAA1-1B501EFF2FDC}">
      <text>
        <r>
          <rPr>
            <b/>
            <sz val="9"/>
            <color indexed="81"/>
            <rFont val="Tahoma"/>
            <family val="2"/>
          </rPr>
          <t>Blake, BEN [GIR]:</t>
        </r>
        <r>
          <rPr>
            <sz val="9"/>
            <color indexed="81"/>
            <rFont val="Tahoma"/>
            <family val="2"/>
          </rPr>
          <t xml:space="preserve">
Adjusted for segment recast as of 2Q23</t>
        </r>
      </text>
    </comment>
    <comment ref="DB165" authorId="1" shapeId="0" xr:uid="{796B7937-E7AA-4490-AE6E-EE881969AF58}">
      <text>
        <r>
          <rPr>
            <b/>
            <sz val="9"/>
            <color indexed="81"/>
            <rFont val="Tahoma"/>
            <family val="2"/>
          </rPr>
          <t>Blake, BEN [GIR]:</t>
        </r>
        <r>
          <rPr>
            <sz val="9"/>
            <color indexed="81"/>
            <rFont val="Tahoma"/>
            <family val="2"/>
          </rPr>
          <t xml:space="preserve">
Adjusted for segment recast as of 2Q23</t>
        </r>
      </text>
    </comment>
    <comment ref="CK166" authorId="0" shapeId="0" xr:uid="{00000000-0006-0000-0300-00000E000000}">
      <text>
        <r>
          <rPr>
            <b/>
            <sz val="9"/>
            <color indexed="81"/>
            <rFont val="Tahoma"/>
            <family val="2"/>
          </rPr>
          <t>Parsons, Gavin [GIR]:</t>
        </r>
        <r>
          <rPr>
            <sz val="9"/>
            <color indexed="81"/>
            <rFont val="Tahoma"/>
            <family val="2"/>
          </rPr>
          <t xml:space="preserve">
incl impl 76 corporate</t>
        </r>
      </text>
    </comment>
    <comment ref="CK167" authorId="0" shapeId="0" xr:uid="{00000000-0006-0000-0300-00000F000000}">
      <text>
        <r>
          <rPr>
            <b/>
            <sz val="9"/>
            <color indexed="81"/>
            <rFont val="Tahoma"/>
            <family val="2"/>
          </rPr>
          <t>Parsons, Gavin [GIR]:</t>
        </r>
        <r>
          <rPr>
            <sz val="9"/>
            <color indexed="81"/>
            <rFont val="Tahoma"/>
            <family val="2"/>
          </rPr>
          <t xml:space="preserve">
incl 76 impl corporate</t>
        </r>
      </text>
    </comment>
    <comment ref="CV168" authorId="1" shapeId="0" xr:uid="{BEB24DB7-1F29-4A49-9A82-B8499E8D5F87}">
      <text>
        <r>
          <rPr>
            <b/>
            <sz val="9"/>
            <color indexed="81"/>
            <rFont val="Tahoma"/>
            <family val="2"/>
          </rPr>
          <t>Blake, BEN [GIR]:</t>
        </r>
        <r>
          <rPr>
            <sz val="9"/>
            <color indexed="81"/>
            <rFont val="Tahoma"/>
            <family val="2"/>
          </rPr>
          <t xml:space="preserve">
Adjusted for segment recast as of 2Q23</t>
        </r>
      </text>
    </comment>
    <comment ref="CW168" authorId="1" shapeId="0" xr:uid="{A5E520BD-2ED9-472D-B7B3-6772BBBF4F95}">
      <text>
        <r>
          <rPr>
            <b/>
            <sz val="9"/>
            <color indexed="81"/>
            <rFont val="Tahoma"/>
            <family val="2"/>
          </rPr>
          <t>Blake, BEN [GIR]:</t>
        </r>
        <r>
          <rPr>
            <sz val="9"/>
            <color indexed="81"/>
            <rFont val="Tahoma"/>
            <family val="2"/>
          </rPr>
          <t xml:space="preserve">
Adjusted for segment recast as of 2Q23</t>
        </r>
      </text>
    </comment>
    <comment ref="CX168" authorId="1" shapeId="0" xr:uid="{0A58DA60-7AC8-47C4-ADF6-4AC752953473}">
      <text>
        <r>
          <rPr>
            <b/>
            <sz val="9"/>
            <color indexed="81"/>
            <rFont val="Tahoma"/>
            <family val="2"/>
          </rPr>
          <t>Blake, BEN [GIR]:</t>
        </r>
        <r>
          <rPr>
            <sz val="9"/>
            <color indexed="81"/>
            <rFont val="Tahoma"/>
            <family val="2"/>
          </rPr>
          <t xml:space="preserve">
Adjusted for segment recast as of 2Q23</t>
        </r>
      </text>
    </comment>
    <comment ref="CY168" authorId="1" shapeId="0" xr:uid="{D33CC1B7-66C6-4FF0-B2F2-5547142C4D19}">
      <text>
        <r>
          <rPr>
            <b/>
            <sz val="9"/>
            <color indexed="81"/>
            <rFont val="Tahoma"/>
            <family val="2"/>
          </rPr>
          <t>Blake, BEN [GIR]:</t>
        </r>
        <r>
          <rPr>
            <sz val="9"/>
            <color indexed="81"/>
            <rFont val="Tahoma"/>
            <family val="2"/>
          </rPr>
          <t xml:space="preserve">
Adjusted for segment recast as of 2Q23</t>
        </r>
      </text>
    </comment>
    <comment ref="CZ168" authorId="1" shapeId="0" xr:uid="{DD39A73D-B278-4601-8F45-5DA5162FF3F8}">
      <text>
        <r>
          <rPr>
            <b/>
            <sz val="9"/>
            <color indexed="81"/>
            <rFont val="Tahoma"/>
            <family val="2"/>
          </rPr>
          <t>Blake, BEN [GIR]:</t>
        </r>
        <r>
          <rPr>
            <sz val="9"/>
            <color indexed="81"/>
            <rFont val="Tahoma"/>
            <family val="2"/>
          </rPr>
          <t xml:space="preserve">
Adjusted for segment recast as of 2Q23</t>
        </r>
      </text>
    </comment>
    <comment ref="DA168" authorId="1" shapeId="0" xr:uid="{BC55D606-C773-4732-B9C4-2BBDC66A403E}">
      <text>
        <r>
          <rPr>
            <b/>
            <sz val="9"/>
            <color indexed="81"/>
            <rFont val="Tahoma"/>
            <family val="2"/>
          </rPr>
          <t>Blake, BEN [GIR]:</t>
        </r>
        <r>
          <rPr>
            <sz val="9"/>
            <color indexed="81"/>
            <rFont val="Tahoma"/>
            <family val="2"/>
          </rPr>
          <t xml:space="preserve">
Adjusted for segment recast as of 2Q23</t>
        </r>
      </text>
    </comment>
    <comment ref="DB168" authorId="1" shapeId="0" xr:uid="{348160E5-810D-4401-8A9C-8360C7FCA81C}">
      <text>
        <r>
          <rPr>
            <b/>
            <sz val="9"/>
            <color indexed="81"/>
            <rFont val="Tahoma"/>
            <family val="2"/>
          </rPr>
          <t>Blake, BEN [GIR]:</t>
        </r>
        <r>
          <rPr>
            <sz val="9"/>
            <color indexed="81"/>
            <rFont val="Tahoma"/>
            <family val="2"/>
          </rPr>
          <t xml:space="preserve">
Adjusted for segment recast as of 2Q23</t>
        </r>
      </text>
    </comment>
    <comment ref="CV169" authorId="1" shapeId="0" xr:uid="{B85CE89D-0AD2-4323-885B-1A5B5601A5A0}">
      <text>
        <r>
          <rPr>
            <b/>
            <sz val="9"/>
            <color indexed="81"/>
            <rFont val="Tahoma"/>
            <family val="2"/>
          </rPr>
          <t>Blake, BEN [GIR]:</t>
        </r>
        <r>
          <rPr>
            <sz val="9"/>
            <color indexed="81"/>
            <rFont val="Tahoma"/>
            <family val="2"/>
          </rPr>
          <t xml:space="preserve">
Adjusted for segment recast as of 2Q23</t>
        </r>
      </text>
    </comment>
    <comment ref="CW169" authorId="1" shapeId="0" xr:uid="{4268177D-A2AD-4C15-A34B-9A005D14FC5E}">
      <text>
        <r>
          <rPr>
            <b/>
            <sz val="9"/>
            <color indexed="81"/>
            <rFont val="Tahoma"/>
            <family val="2"/>
          </rPr>
          <t>Blake, BEN [GIR]:</t>
        </r>
        <r>
          <rPr>
            <sz val="9"/>
            <color indexed="81"/>
            <rFont val="Tahoma"/>
            <family val="2"/>
          </rPr>
          <t xml:space="preserve">
Adjusted for segment recast as of 2Q23</t>
        </r>
      </text>
    </comment>
    <comment ref="CX169" authorId="1" shapeId="0" xr:uid="{4890C41A-CF7A-436E-942A-FFC54354E260}">
      <text>
        <r>
          <rPr>
            <b/>
            <sz val="9"/>
            <color indexed="81"/>
            <rFont val="Tahoma"/>
            <family val="2"/>
          </rPr>
          <t>Blake, BEN [GIR]:</t>
        </r>
        <r>
          <rPr>
            <sz val="9"/>
            <color indexed="81"/>
            <rFont val="Tahoma"/>
            <family val="2"/>
          </rPr>
          <t xml:space="preserve">
Adjusted for segment recast as of 2Q23</t>
        </r>
      </text>
    </comment>
    <comment ref="CY169" authorId="1" shapeId="0" xr:uid="{D8997298-0CA0-42FB-AC28-107E463F42FD}">
      <text>
        <r>
          <rPr>
            <b/>
            <sz val="9"/>
            <color indexed="81"/>
            <rFont val="Tahoma"/>
            <family val="2"/>
          </rPr>
          <t>Blake, BEN [GIR]:</t>
        </r>
        <r>
          <rPr>
            <sz val="9"/>
            <color indexed="81"/>
            <rFont val="Tahoma"/>
            <family val="2"/>
          </rPr>
          <t xml:space="preserve">
Adjusted for segment recast as of 2Q23</t>
        </r>
      </text>
    </comment>
    <comment ref="CZ169" authorId="1" shapeId="0" xr:uid="{62595F67-4723-44C6-9240-2BAE84BFC4B3}">
      <text>
        <r>
          <rPr>
            <b/>
            <sz val="9"/>
            <color indexed="81"/>
            <rFont val="Tahoma"/>
            <family val="2"/>
          </rPr>
          <t>Blake, BEN [GIR]:</t>
        </r>
        <r>
          <rPr>
            <sz val="9"/>
            <color indexed="81"/>
            <rFont val="Tahoma"/>
            <family val="2"/>
          </rPr>
          <t xml:space="preserve">
Adjusted for segment recast as of 2Q23</t>
        </r>
      </text>
    </comment>
    <comment ref="DA169" authorId="1" shapeId="0" xr:uid="{42B78F24-04CD-4E4C-8C0E-1C3354AE9049}">
      <text>
        <r>
          <rPr>
            <b/>
            <sz val="9"/>
            <color indexed="81"/>
            <rFont val="Tahoma"/>
            <family val="2"/>
          </rPr>
          <t>Blake, BEN [GIR]:</t>
        </r>
        <r>
          <rPr>
            <sz val="9"/>
            <color indexed="81"/>
            <rFont val="Tahoma"/>
            <family val="2"/>
          </rPr>
          <t xml:space="preserve">
Adjusted for segment recast as of 2Q23</t>
        </r>
      </text>
    </comment>
    <comment ref="DB169" authorId="1" shapeId="0" xr:uid="{FCA42D89-6D6D-45B0-8675-8994904AA261}">
      <text>
        <r>
          <rPr>
            <b/>
            <sz val="9"/>
            <color indexed="81"/>
            <rFont val="Tahoma"/>
            <family val="2"/>
          </rPr>
          <t>Blake, BEN [GIR]:</t>
        </r>
        <r>
          <rPr>
            <sz val="9"/>
            <color indexed="81"/>
            <rFont val="Tahoma"/>
            <family val="2"/>
          </rPr>
          <t xml:space="preserve">
Adjusted for segment recast as of 2Q23</t>
        </r>
      </text>
    </comment>
    <comment ref="CV171" authorId="1" shapeId="0" xr:uid="{2121BC10-4048-4FBE-94B7-87705AFD5722}">
      <text>
        <r>
          <rPr>
            <b/>
            <sz val="9"/>
            <color indexed="81"/>
            <rFont val="Tahoma"/>
            <family val="2"/>
          </rPr>
          <t>Blake, BEN [GIR]:</t>
        </r>
        <r>
          <rPr>
            <sz val="9"/>
            <color indexed="81"/>
            <rFont val="Tahoma"/>
            <family val="2"/>
          </rPr>
          <t xml:space="preserve">
Adjusted for segment recast as of 2Q23</t>
        </r>
      </text>
    </comment>
    <comment ref="CW171" authorId="1" shapeId="0" xr:uid="{9DEEE141-87E8-4893-9C7B-9E168B7A919F}">
      <text>
        <r>
          <rPr>
            <b/>
            <sz val="9"/>
            <color indexed="81"/>
            <rFont val="Tahoma"/>
            <family val="2"/>
          </rPr>
          <t>Blake, BEN [GIR]:</t>
        </r>
        <r>
          <rPr>
            <sz val="9"/>
            <color indexed="81"/>
            <rFont val="Tahoma"/>
            <family val="2"/>
          </rPr>
          <t xml:space="preserve">
Adjusted for segment recast as of 2Q23</t>
        </r>
      </text>
    </comment>
    <comment ref="CX171" authorId="1" shapeId="0" xr:uid="{9881C9A3-42CA-45FB-9BBC-F939FC35F8E4}">
      <text>
        <r>
          <rPr>
            <b/>
            <sz val="9"/>
            <color indexed="81"/>
            <rFont val="Tahoma"/>
            <family val="2"/>
          </rPr>
          <t>Blake, BEN [GIR]:</t>
        </r>
        <r>
          <rPr>
            <sz val="9"/>
            <color indexed="81"/>
            <rFont val="Tahoma"/>
            <family val="2"/>
          </rPr>
          <t xml:space="preserve">
Adjusted for segment recast as of 2Q23</t>
        </r>
      </text>
    </comment>
    <comment ref="CY171" authorId="1" shapeId="0" xr:uid="{8CAC1C50-5D36-4AB3-B700-1BB7E578C42A}">
      <text>
        <r>
          <rPr>
            <b/>
            <sz val="9"/>
            <color indexed="81"/>
            <rFont val="Tahoma"/>
            <family val="2"/>
          </rPr>
          <t>Blake, BEN [GIR]:</t>
        </r>
        <r>
          <rPr>
            <sz val="9"/>
            <color indexed="81"/>
            <rFont val="Tahoma"/>
            <family val="2"/>
          </rPr>
          <t xml:space="preserve">
Adjusted for segment recast as of 2Q23</t>
        </r>
      </text>
    </comment>
    <comment ref="CZ171" authorId="1" shapeId="0" xr:uid="{63DCE4E4-BC8C-4F42-9614-3036BA4001C5}">
      <text>
        <r>
          <rPr>
            <b/>
            <sz val="9"/>
            <color indexed="81"/>
            <rFont val="Tahoma"/>
            <family val="2"/>
          </rPr>
          <t>Blake, BEN [GIR]:</t>
        </r>
        <r>
          <rPr>
            <sz val="9"/>
            <color indexed="81"/>
            <rFont val="Tahoma"/>
            <family val="2"/>
          </rPr>
          <t xml:space="preserve">
Adjusted for segment recast as of 2Q23</t>
        </r>
      </text>
    </comment>
    <comment ref="DA171" authorId="1" shapeId="0" xr:uid="{5EE71F9E-6F0D-4105-8228-B70CC1F71F17}">
      <text>
        <r>
          <rPr>
            <b/>
            <sz val="9"/>
            <color indexed="81"/>
            <rFont val="Tahoma"/>
            <family val="2"/>
          </rPr>
          <t>Blake, BEN [GIR]:</t>
        </r>
        <r>
          <rPr>
            <sz val="9"/>
            <color indexed="81"/>
            <rFont val="Tahoma"/>
            <family val="2"/>
          </rPr>
          <t xml:space="preserve">
Adjusted for segment recast as of 2Q23</t>
        </r>
      </text>
    </comment>
    <comment ref="DB171" authorId="1" shapeId="0" xr:uid="{75890907-8168-4274-A2B4-1E5772C38B71}">
      <text>
        <r>
          <rPr>
            <b/>
            <sz val="9"/>
            <color indexed="81"/>
            <rFont val="Tahoma"/>
            <family val="2"/>
          </rPr>
          <t>Blake, BEN [GIR]:</t>
        </r>
        <r>
          <rPr>
            <sz val="9"/>
            <color indexed="81"/>
            <rFont val="Tahoma"/>
            <family val="2"/>
          </rPr>
          <t xml:space="preserve">
Adjusted for segment recast as of 2Q23</t>
        </r>
      </text>
    </comment>
    <comment ref="BW176" authorId="0" shapeId="0" xr:uid="{00000000-0006-0000-0300-000010000000}">
      <text>
        <r>
          <rPr>
            <b/>
            <sz val="9"/>
            <color indexed="81"/>
            <rFont val="Tahoma"/>
            <family val="2"/>
          </rPr>
          <t>Parsons, Gavin [GIR]:</t>
        </r>
        <r>
          <rPr>
            <sz val="9"/>
            <color indexed="81"/>
            <rFont val="Tahoma"/>
            <family val="2"/>
          </rPr>
          <t xml:space="preserve">
Restated for ASU 2017-07</t>
        </r>
      </text>
    </comment>
    <comment ref="BX176" authorId="0" shapeId="0" xr:uid="{00000000-0006-0000-0300-000011000000}">
      <text>
        <r>
          <rPr>
            <b/>
            <sz val="9"/>
            <color indexed="81"/>
            <rFont val="Tahoma"/>
            <family val="2"/>
          </rPr>
          <t>Parsons, Gavin [GIR]:</t>
        </r>
        <r>
          <rPr>
            <sz val="9"/>
            <color indexed="81"/>
            <rFont val="Tahoma"/>
            <family val="2"/>
          </rPr>
          <t xml:space="preserve">
Restated for ASU 2017-07</t>
        </r>
      </text>
    </comment>
    <comment ref="BY176" authorId="0" shapeId="0" xr:uid="{00000000-0006-0000-0300-000012000000}">
      <text>
        <r>
          <rPr>
            <b/>
            <sz val="9"/>
            <color indexed="81"/>
            <rFont val="Tahoma"/>
            <family val="2"/>
          </rPr>
          <t>Parsons, Gavin [GIR]:</t>
        </r>
        <r>
          <rPr>
            <sz val="9"/>
            <color indexed="81"/>
            <rFont val="Tahoma"/>
            <family val="2"/>
          </rPr>
          <t xml:space="preserve">
Restated for ASU 2017-07</t>
        </r>
      </text>
    </comment>
    <comment ref="BZ176" authorId="0" shapeId="0" xr:uid="{00000000-0006-0000-0300-000013000000}">
      <text>
        <r>
          <rPr>
            <b/>
            <sz val="9"/>
            <color indexed="81"/>
            <rFont val="Tahoma"/>
            <family val="2"/>
          </rPr>
          <t>Parsons, Gavin [GIR]:</t>
        </r>
        <r>
          <rPr>
            <sz val="9"/>
            <color indexed="81"/>
            <rFont val="Tahoma"/>
            <family val="2"/>
          </rPr>
          <t xml:space="preserve">
Restated for ASU 2017-07</t>
        </r>
      </text>
    </comment>
    <comment ref="CA176" authorId="0" shapeId="0" xr:uid="{00000000-0006-0000-0300-000014000000}">
      <text>
        <r>
          <rPr>
            <b/>
            <sz val="9"/>
            <color indexed="81"/>
            <rFont val="Tahoma"/>
            <family val="2"/>
          </rPr>
          <t>Parsons, Gavin [GIR]:</t>
        </r>
        <r>
          <rPr>
            <sz val="9"/>
            <color indexed="81"/>
            <rFont val="Tahoma"/>
            <family val="2"/>
          </rPr>
          <t xml:space="preserve">
Restated for ASU 2017-07</t>
        </r>
      </text>
    </comment>
    <comment ref="BO183" authorId="0" shapeId="0" xr:uid="{00000000-0006-0000-0300-000015000000}">
      <text>
        <r>
          <rPr>
            <b/>
            <sz val="9"/>
            <color indexed="81"/>
            <rFont val="Tahoma"/>
            <family val="2"/>
          </rPr>
          <t>Parsons, Gavin [GIR]:</t>
        </r>
        <r>
          <rPr>
            <sz val="9"/>
            <color indexed="81"/>
            <rFont val="Tahoma"/>
            <family val="2"/>
          </rPr>
          <t xml:space="preserve">
includes 110mn pension curtailment
139mn of restructuring costs in disco ops</t>
        </r>
      </text>
    </comment>
    <comment ref="DD207" authorId="1" shapeId="0" xr:uid="{55CDD51C-D6F8-4568-B5B3-C244AB00EC17}">
      <text>
        <r>
          <rPr>
            <b/>
            <sz val="9"/>
            <color indexed="81"/>
            <rFont val="Tahoma"/>
            <family val="2"/>
          </rPr>
          <t xml:space="preserve">Blake, BEN [GIR]:
</t>
        </r>
        <r>
          <rPr>
            <sz val="9"/>
            <color indexed="81"/>
            <rFont val="Tahoma"/>
            <family val="2"/>
          </rPr>
          <t>Top of PR</t>
        </r>
      </text>
    </comment>
    <comment ref="AZ216" authorId="3" shapeId="0" xr:uid="{00000000-0006-0000-0300-000016000000}">
      <text>
        <r>
          <rPr>
            <b/>
            <sz val="8"/>
            <color indexed="81"/>
            <rFont val="Tahoma"/>
            <family val="2"/>
          </rPr>
          <t>khalom:</t>
        </r>
        <r>
          <rPr>
            <sz val="8"/>
            <color indexed="81"/>
            <rFont val="Tahoma"/>
            <family val="2"/>
          </rPr>
          <t xml:space="preserve">
3q12: NA and EU up DD. </t>
        </r>
      </text>
    </comment>
    <comment ref="AE217" authorId="3" shapeId="0" xr:uid="{00000000-0006-0000-0300-000017000000}">
      <text>
        <r>
          <rPr>
            <b/>
            <sz val="8"/>
            <color indexed="81"/>
            <rFont val="Tahoma"/>
            <family val="2"/>
          </rPr>
          <t>khalom:</t>
        </r>
        <r>
          <rPr>
            <sz val="8"/>
            <color indexed="81"/>
            <rFont val="Tahoma"/>
            <family val="2"/>
          </rPr>
          <t xml:space="preserve">
up double digits</t>
        </r>
      </text>
    </comment>
    <comment ref="AF217" authorId="3" shapeId="0" xr:uid="{00000000-0006-0000-0300-000018000000}">
      <text>
        <r>
          <rPr>
            <b/>
            <sz val="8"/>
            <color indexed="81"/>
            <rFont val="Tahoma"/>
            <family val="2"/>
          </rPr>
          <t>khalom:</t>
        </r>
        <r>
          <rPr>
            <sz val="8"/>
            <color indexed="81"/>
            <rFont val="Tahoma"/>
            <family val="2"/>
          </rPr>
          <t xml:space="preserve">
up double digits</t>
        </r>
      </text>
    </comment>
    <comment ref="AG218" authorId="3" shapeId="0" xr:uid="{00000000-0006-0000-0300-000019000000}">
      <text>
        <r>
          <rPr>
            <b/>
            <sz val="8"/>
            <color indexed="81"/>
            <rFont val="Tahoma"/>
            <family val="2"/>
          </rPr>
          <t>khalom:</t>
        </r>
        <r>
          <rPr>
            <sz val="8"/>
            <color indexed="81"/>
            <rFont val="Tahoma"/>
            <family val="2"/>
          </rPr>
          <t xml:space="preserve">
down slightly</t>
        </r>
      </text>
    </comment>
    <comment ref="AE219" authorId="3" shapeId="0" xr:uid="{00000000-0006-0000-0300-00001A000000}">
      <text>
        <r>
          <rPr>
            <b/>
            <sz val="8"/>
            <color indexed="81"/>
            <rFont val="Tahoma"/>
            <family val="2"/>
          </rPr>
          <t>khalom:</t>
        </r>
        <r>
          <rPr>
            <sz val="8"/>
            <color indexed="81"/>
            <rFont val="Tahoma"/>
            <family val="2"/>
          </rPr>
          <t xml:space="preserve">
mid single digits
</t>
        </r>
      </text>
    </comment>
    <comment ref="AF219" authorId="3" shapeId="0" xr:uid="{00000000-0006-0000-0300-00001B000000}">
      <text>
        <r>
          <rPr>
            <b/>
            <sz val="8"/>
            <color indexed="81"/>
            <rFont val="Tahoma"/>
            <family val="2"/>
          </rPr>
          <t>khalom:</t>
        </r>
        <r>
          <rPr>
            <sz val="8"/>
            <color indexed="81"/>
            <rFont val="Tahoma"/>
            <family val="2"/>
          </rPr>
          <t xml:space="preserve">
up single digits</t>
        </r>
      </text>
    </comment>
    <comment ref="B225" authorId="0" shapeId="0" xr:uid="{00000000-0006-0000-0300-00001C000000}">
      <text>
        <r>
          <rPr>
            <b/>
            <sz val="9"/>
            <color indexed="81"/>
            <rFont val="Tahoma"/>
            <family val="2"/>
          </rPr>
          <t>Parsons, Gavin [GIR]:</t>
        </r>
        <r>
          <rPr>
            <sz val="9"/>
            <color indexed="81"/>
            <rFont val="Tahoma"/>
            <family val="2"/>
          </rPr>
          <t xml:space="preserve">
issuer purchase of equity securities</t>
        </r>
      </text>
    </comment>
    <comment ref="BC231" authorId="4" shapeId="0" xr:uid="{00000000-0006-0000-0300-00001D000000}">
      <text>
        <r>
          <rPr>
            <b/>
            <sz val="9"/>
            <color indexed="81"/>
            <rFont val="Tahoma"/>
            <family val="2"/>
          </rPr>
          <t>shenzh:</t>
        </r>
        <r>
          <rPr>
            <sz val="9"/>
            <color indexed="81"/>
            <rFont val="Tahoma"/>
            <family val="2"/>
          </rPr>
          <t xml:space="preserve">
in shares
</t>
        </r>
      </text>
    </comment>
    <comment ref="B239" authorId="0" shapeId="0" xr:uid="{00000000-0006-0000-0300-00001E000000}">
      <text>
        <r>
          <rPr>
            <b/>
            <sz val="9"/>
            <color indexed="81"/>
            <rFont val="Tahoma"/>
            <family val="2"/>
          </rPr>
          <t>Parsons, Gavin [GIR]:</t>
        </r>
        <r>
          <rPr>
            <sz val="9"/>
            <color indexed="81"/>
            <rFont val="Tahoma"/>
            <family val="2"/>
          </rPr>
          <t xml:space="preserve">
total net periodic benefit cost</t>
        </r>
      </text>
    </comment>
    <comment ref="B257" authorId="0" shapeId="0" xr:uid="{00000000-0006-0000-0300-00001F000000}">
      <text>
        <r>
          <rPr>
            <b/>
            <sz val="9"/>
            <color indexed="81"/>
            <rFont val="Tahoma"/>
            <family val="2"/>
          </rPr>
          <t>Parsons, Gavin [GIR]:</t>
        </r>
        <r>
          <rPr>
            <sz val="9"/>
            <color indexed="81"/>
            <rFont val="Tahoma"/>
            <family val="2"/>
          </rPr>
          <t xml:space="preserve">
in "other" on balance sheet</t>
        </r>
      </text>
    </comment>
    <comment ref="BH257" authorId="0" shapeId="0" xr:uid="{00000000-0006-0000-0300-000020000000}">
      <text>
        <r>
          <rPr>
            <b/>
            <sz val="8"/>
            <color indexed="81"/>
            <rFont val="Tahoma"/>
            <family val="2"/>
          </rPr>
          <t>Parsons, Gavin [GIR]:</t>
        </r>
        <r>
          <rPr>
            <sz val="8"/>
            <color indexed="81"/>
            <rFont val="Tahoma"/>
            <family val="2"/>
          </rPr>
          <t xml:space="preserve">
not given</t>
        </r>
      </text>
    </comment>
    <comment ref="B259" authorId="0" shapeId="0" xr:uid="{00000000-0006-0000-0300-000021000000}">
      <text>
        <r>
          <rPr>
            <b/>
            <sz val="9"/>
            <color indexed="81"/>
            <rFont val="Tahoma"/>
            <family val="2"/>
          </rPr>
          <t>Parsons, Gavin [GIR]:</t>
        </r>
        <r>
          <rPr>
            <sz val="9"/>
            <color indexed="81"/>
            <rFont val="Tahoma"/>
            <family val="2"/>
          </rPr>
          <t xml:space="preserve">
Tax loss carryforwards</t>
        </r>
      </text>
    </comment>
    <comment ref="B261" authorId="0" shapeId="0" xr:uid="{00000000-0006-0000-0300-000022000000}">
      <text>
        <r>
          <rPr>
            <b/>
            <sz val="9"/>
            <color indexed="81"/>
            <rFont val="Tahoma"/>
            <family val="2"/>
          </rPr>
          <t>Parsons, Gavin [GIR]:</t>
        </r>
        <r>
          <rPr>
            <sz val="9"/>
            <color indexed="81"/>
            <rFont val="Tahoma"/>
            <family val="2"/>
          </rPr>
          <t xml:space="preserve">
foreign subsidiaries</t>
        </r>
      </text>
    </comment>
    <comment ref="B278" authorId="0" shapeId="0" xr:uid="{00000000-0006-0000-0300-000023000000}">
      <text>
        <r>
          <rPr>
            <b/>
            <sz val="9"/>
            <color indexed="81"/>
            <rFont val="Tahoma"/>
            <family val="2"/>
          </rPr>
          <t>Parsons, Gavin [GIR]:</t>
        </r>
        <r>
          <rPr>
            <sz val="9"/>
            <color indexed="81"/>
            <rFont val="Tahoma"/>
            <family val="2"/>
          </rPr>
          <t xml:space="preserve">
U.S. Government</t>
        </r>
      </text>
    </comment>
    <comment ref="AW366" authorId="5" shapeId="0" xr:uid="{00000000-0006-0000-0300-000024000000}">
      <text>
        <r>
          <rPr>
            <b/>
            <sz val="9"/>
            <color indexed="81"/>
            <rFont val="Tahoma"/>
            <family val="2"/>
          </rPr>
          <t>massle:</t>
        </r>
        <r>
          <rPr>
            <sz val="9"/>
            <color indexed="81"/>
            <rFont val="Tahoma"/>
            <family val="2"/>
          </rPr>
          <t xml:space="preserve">
titanium</t>
        </r>
      </text>
    </comment>
    <comment ref="BB366" authorId="5" shapeId="0" xr:uid="{00000000-0006-0000-0300-000025000000}">
      <text>
        <r>
          <rPr>
            <b/>
            <sz val="9"/>
            <color indexed="81"/>
            <rFont val="Tahoma"/>
            <family val="2"/>
          </rPr>
          <t>massle:</t>
        </r>
        <r>
          <rPr>
            <sz val="9"/>
            <color indexed="81"/>
            <rFont val="Tahoma"/>
            <family val="2"/>
          </rPr>
          <t xml:space="preserve">
titanium</t>
        </r>
      </text>
    </comment>
    <comment ref="BG366" authorId="5" shapeId="0" xr:uid="{00000000-0006-0000-0300-000026000000}">
      <text>
        <r>
          <rPr>
            <b/>
            <sz val="9"/>
            <color indexed="81"/>
            <rFont val="Tahoma"/>
            <family val="2"/>
          </rPr>
          <t>massle:</t>
        </r>
        <r>
          <rPr>
            <sz val="9"/>
            <color indexed="81"/>
            <rFont val="Tahoma"/>
            <family val="2"/>
          </rPr>
          <t xml:space="preserve">
titanium</t>
        </r>
      </text>
    </comment>
    <comment ref="BL366" authorId="5" shapeId="0" xr:uid="{00000000-0006-0000-0300-000027000000}">
      <text>
        <r>
          <rPr>
            <b/>
            <sz val="9"/>
            <color indexed="81"/>
            <rFont val="Tahoma"/>
            <family val="2"/>
          </rPr>
          <t>massle:</t>
        </r>
        <r>
          <rPr>
            <sz val="9"/>
            <color indexed="81"/>
            <rFont val="Tahoma"/>
            <family val="2"/>
          </rPr>
          <t xml:space="preserve">
titanium</t>
        </r>
      </text>
    </comment>
    <comment ref="BQ366" authorId="5" shapeId="0" xr:uid="{00000000-0006-0000-0300-000028000000}">
      <text>
        <r>
          <rPr>
            <b/>
            <sz val="9"/>
            <color indexed="81"/>
            <rFont val="Tahoma"/>
            <family val="2"/>
          </rPr>
          <t>massle:</t>
        </r>
        <r>
          <rPr>
            <sz val="9"/>
            <color indexed="81"/>
            <rFont val="Tahoma"/>
            <family val="2"/>
          </rPr>
          <t xml:space="preserve">
titanium</t>
        </r>
      </text>
    </comment>
    <comment ref="BV366" authorId="5" shapeId="0" xr:uid="{00000000-0006-0000-0300-000029000000}">
      <text>
        <r>
          <rPr>
            <b/>
            <sz val="9"/>
            <color indexed="81"/>
            <rFont val="Tahoma"/>
            <family val="2"/>
          </rPr>
          <t>massle:</t>
        </r>
        <r>
          <rPr>
            <sz val="9"/>
            <color indexed="81"/>
            <rFont val="Tahoma"/>
            <family val="2"/>
          </rPr>
          <t xml:space="preserve">
titanium</t>
        </r>
      </text>
    </comment>
    <comment ref="CA366" authorId="5" shapeId="0" xr:uid="{00000000-0006-0000-0300-00002A000000}">
      <text>
        <r>
          <rPr>
            <b/>
            <sz val="9"/>
            <color indexed="81"/>
            <rFont val="Tahoma"/>
            <family val="2"/>
          </rPr>
          <t>massle:</t>
        </r>
        <r>
          <rPr>
            <sz val="9"/>
            <color indexed="81"/>
            <rFont val="Tahoma"/>
            <family val="2"/>
          </rPr>
          <t xml:space="preserve">
titanium</t>
        </r>
      </text>
    </comment>
    <comment ref="CF366" authorId="5" shapeId="0" xr:uid="{00000000-0006-0000-0300-00002B000000}">
      <text>
        <r>
          <rPr>
            <b/>
            <sz val="9"/>
            <color indexed="81"/>
            <rFont val="Tahoma"/>
            <family val="2"/>
          </rPr>
          <t>massle:</t>
        </r>
        <r>
          <rPr>
            <sz val="9"/>
            <color indexed="81"/>
            <rFont val="Tahoma"/>
            <family val="2"/>
          </rPr>
          <t xml:space="preserve">
titanium</t>
        </r>
      </text>
    </comment>
    <comment ref="CK366" authorId="5" shapeId="0" xr:uid="{00000000-0006-0000-0300-00002C000000}">
      <text>
        <r>
          <rPr>
            <b/>
            <sz val="9"/>
            <color indexed="81"/>
            <rFont val="Tahoma"/>
            <family val="2"/>
          </rPr>
          <t>massle:</t>
        </r>
        <r>
          <rPr>
            <sz val="9"/>
            <color indexed="81"/>
            <rFont val="Tahoma"/>
            <family val="2"/>
          </rPr>
          <t xml:space="preserve">
titanium</t>
        </r>
      </text>
    </comment>
    <comment ref="CP366" authorId="5" shapeId="0" xr:uid="{00000000-0006-0000-0300-00002D000000}">
      <text>
        <r>
          <rPr>
            <b/>
            <sz val="9"/>
            <color indexed="81"/>
            <rFont val="Tahoma"/>
            <family val="2"/>
          </rPr>
          <t>massle:</t>
        </r>
        <r>
          <rPr>
            <sz val="9"/>
            <color indexed="81"/>
            <rFont val="Tahoma"/>
            <family val="2"/>
          </rPr>
          <t xml:space="preserve">
titanium</t>
        </r>
      </text>
    </comment>
    <comment ref="CU366" authorId="5" shapeId="0" xr:uid="{00000000-0006-0000-0300-00002E000000}">
      <text>
        <r>
          <rPr>
            <b/>
            <sz val="9"/>
            <color indexed="81"/>
            <rFont val="Tahoma"/>
            <family val="2"/>
          </rPr>
          <t>massle:</t>
        </r>
        <r>
          <rPr>
            <sz val="9"/>
            <color indexed="81"/>
            <rFont val="Tahoma"/>
            <family val="2"/>
          </rPr>
          <t xml:space="preserve">
titanium</t>
        </r>
      </text>
    </comment>
    <comment ref="CZ366" authorId="5" shapeId="0" xr:uid="{00000000-0006-0000-0300-00002F000000}">
      <text>
        <r>
          <rPr>
            <b/>
            <sz val="9"/>
            <color indexed="81"/>
            <rFont val="Tahoma"/>
            <family val="2"/>
          </rPr>
          <t>massle:</t>
        </r>
        <r>
          <rPr>
            <sz val="9"/>
            <color indexed="81"/>
            <rFont val="Tahoma"/>
            <family val="2"/>
          </rPr>
          <t xml:space="preserve">
titanium</t>
        </r>
      </text>
    </comment>
    <comment ref="DE366" authorId="5" shapeId="0" xr:uid="{00000000-0006-0000-0300-000030000000}">
      <text>
        <r>
          <rPr>
            <b/>
            <sz val="9"/>
            <color indexed="81"/>
            <rFont val="Tahoma"/>
            <family val="2"/>
          </rPr>
          <t>massle:</t>
        </r>
        <r>
          <rPr>
            <sz val="9"/>
            <color indexed="81"/>
            <rFont val="Tahoma"/>
            <family val="2"/>
          </rPr>
          <t xml:space="preserve">
titanium</t>
        </r>
      </text>
    </comment>
    <comment ref="DJ366" authorId="5" shapeId="0" xr:uid="{00000000-0006-0000-0300-000031000000}">
      <text>
        <r>
          <rPr>
            <b/>
            <sz val="9"/>
            <color indexed="81"/>
            <rFont val="Tahoma"/>
            <family val="2"/>
          </rPr>
          <t>massle:</t>
        </r>
        <r>
          <rPr>
            <sz val="9"/>
            <color indexed="81"/>
            <rFont val="Tahoma"/>
            <family val="2"/>
          </rPr>
          <t xml:space="preserve">
titanium</t>
        </r>
      </text>
    </comment>
    <comment ref="DO366" authorId="5" shapeId="0" xr:uid="{00000000-0006-0000-0300-000032000000}">
      <text>
        <r>
          <rPr>
            <b/>
            <sz val="9"/>
            <color indexed="81"/>
            <rFont val="Tahoma"/>
            <family val="2"/>
          </rPr>
          <t>massle:</t>
        </r>
        <r>
          <rPr>
            <sz val="9"/>
            <color indexed="81"/>
            <rFont val="Tahoma"/>
            <family val="2"/>
          </rPr>
          <t xml:space="preserve">
titanium</t>
        </r>
      </text>
    </comment>
    <comment ref="DT366" authorId="5" shapeId="0" xr:uid="{F1DE9373-F76B-4DEB-8A1E-147AA6BA5EC2}">
      <text>
        <r>
          <rPr>
            <b/>
            <sz val="9"/>
            <color indexed="81"/>
            <rFont val="Tahoma"/>
            <family val="2"/>
          </rPr>
          <t>massle:</t>
        </r>
        <r>
          <rPr>
            <sz val="9"/>
            <color indexed="81"/>
            <rFont val="Tahoma"/>
            <family val="2"/>
          </rPr>
          <t xml:space="preserve">
titanium</t>
        </r>
      </text>
    </comment>
    <comment ref="DU366" authorId="5" shapeId="0" xr:uid="{06A0C5AE-ECAC-4433-A8F6-2390EA93D7BC}">
      <text>
        <r>
          <rPr>
            <b/>
            <sz val="9"/>
            <color indexed="81"/>
            <rFont val="Tahoma"/>
            <family val="2"/>
          </rPr>
          <t>massle:</t>
        </r>
        <r>
          <rPr>
            <sz val="9"/>
            <color indexed="81"/>
            <rFont val="Tahoma"/>
            <family val="2"/>
          </rPr>
          <t xml:space="preserve">
titanium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Blake, BEN [GIR]</author>
    <author>Parsons, Gavin [GIR]</author>
    <author>Medart, Mason [GIR]</author>
    <author>Dessert, Connor H [GIR]</author>
    <author>Valentini, Anthony [GIR]</author>
    <author>sammun</author>
    <author>Porat, Matthew [GIR]</author>
    <author>Correa, Tais [GIR]</author>
    <author>carral</author>
    <author>wachun</author>
    <author>khalom</author>
    <author>Ortmayer, Will [GIR]</author>
  </authors>
  <commentList>
    <comment ref="DB6" authorId="0" shapeId="0" xr:uid="{EFA65DB3-5C60-4D4A-8F94-15453A4E2467}">
      <text>
        <r>
          <rPr>
            <b/>
            <sz val="9"/>
            <color indexed="81"/>
            <rFont val="Tahoma"/>
            <family val="2"/>
          </rPr>
          <t>Blake, BEN [GIR]:</t>
        </r>
        <r>
          <rPr>
            <sz val="9"/>
            <color indexed="81"/>
            <rFont val="Tahoma"/>
            <family val="2"/>
          </rPr>
          <t xml:space="preserve">
June 23: C&amp;C and Air traffic management moved from RI&amp;S to Collins
Raytheon business unit created, included consolidated RI&amp;S and RMD
IS&amp;R moved from Collins to Raytheon segment
BBN Technologies moved from RI&amp;S to RTX Corpoate</t>
        </r>
      </text>
    </comment>
    <comment ref="DC12" authorId="0" shapeId="0" xr:uid="{1AC8E1F5-FCCF-4E8B-BE0C-05B4098A1871}">
      <text>
        <r>
          <rPr>
            <b/>
            <sz val="9"/>
            <color indexed="81"/>
            <rFont val="Tahoma"/>
            <family val="2"/>
          </rPr>
          <t>Blake, BEN [GIR]:</t>
        </r>
        <r>
          <rPr>
            <sz val="9"/>
            <color indexed="81"/>
            <rFont val="Tahoma"/>
            <family val="2"/>
          </rPr>
          <t xml:space="preserve">
Sep23: one-time charge related to P&amp;W powder metal issue </t>
        </r>
      </text>
    </comment>
    <comment ref="BP14" authorId="1" shapeId="0" xr:uid="{00000000-0006-0000-0600-000001000000}">
      <text>
        <r>
          <rPr>
            <b/>
            <sz val="9"/>
            <color indexed="81"/>
            <rFont val="Tahoma"/>
            <family val="2"/>
          </rPr>
          <t>Parsons, Gavin [GIR]:</t>
        </r>
        <r>
          <rPr>
            <sz val="9"/>
            <color indexed="81"/>
            <rFont val="Tahoma"/>
            <family val="2"/>
          </rPr>
          <t xml:space="preserve">
3q15: strong on 3Q15 missed shipment catch-up</t>
        </r>
      </text>
    </comment>
    <comment ref="CK14" authorId="2" shapeId="0" xr:uid="{00000000-0006-0000-0600-000002000000}">
      <text>
        <r>
          <rPr>
            <b/>
            <sz val="9"/>
            <color indexed="81"/>
            <rFont val="Tahoma"/>
            <family val="2"/>
          </rPr>
          <t>Medart, Mason [GIR]:</t>
        </r>
        <r>
          <rPr>
            <sz val="9"/>
            <color indexed="81"/>
            <rFont val="Tahoma"/>
            <family val="2"/>
          </rPr>
          <t xml:space="preserve">
Feb 19: 21,000+</t>
        </r>
      </text>
    </comment>
    <comment ref="CM14" authorId="1" shapeId="0" xr:uid="{00000000-0006-0000-0600-000003000000}">
      <text>
        <r>
          <rPr>
            <b/>
            <sz val="9"/>
            <color indexed="81"/>
            <rFont val="Tahoma"/>
            <family val="2"/>
          </rPr>
          <t>Parsons, Gavin [GIR]:</t>
        </r>
        <r>
          <rPr>
            <sz val="9"/>
            <color indexed="81"/>
            <rFont val="Tahoma"/>
            <family val="2"/>
          </rPr>
          <t xml:space="preserve">
3607 adjusted</t>
        </r>
      </text>
    </comment>
    <comment ref="CN14" authorId="1" shapeId="0" xr:uid="{00000000-0006-0000-0600-000004000000}">
      <text>
        <r>
          <rPr>
            <b/>
            <sz val="9"/>
            <color indexed="81"/>
            <rFont val="Tahoma"/>
            <family val="2"/>
          </rPr>
          <t>Parsons, Gavin [GIR]:</t>
        </r>
        <r>
          <rPr>
            <sz val="9"/>
            <color indexed="81"/>
            <rFont val="Tahoma"/>
            <family val="2"/>
          </rPr>
          <t xml:space="preserve">
3790 adjusted</t>
        </r>
      </text>
    </comment>
    <comment ref="CO14" authorId="1" shapeId="0" xr:uid="{00000000-0006-0000-0600-000005000000}">
      <text>
        <r>
          <rPr>
            <b/>
            <sz val="9"/>
            <color indexed="81"/>
            <rFont val="Tahoma"/>
            <family val="2"/>
          </rPr>
          <t>Parsons, Gavin [GIR]:</t>
        </r>
        <r>
          <rPr>
            <sz val="9"/>
            <color indexed="81"/>
            <rFont val="Tahoma"/>
            <family val="2"/>
          </rPr>
          <t xml:space="preserve">
3q20: slight improvement vs. 3Q</t>
        </r>
      </text>
    </comment>
    <comment ref="CP14" authorId="1" shapeId="0" xr:uid="{00000000-0006-0000-0600-000006000000}">
      <text>
        <r>
          <rPr>
            <b/>
            <sz val="9"/>
            <color indexed="81"/>
            <rFont val="Tahoma"/>
            <family val="2"/>
          </rPr>
          <t>Parsons, Gavin [GIR]:</t>
        </r>
        <r>
          <rPr>
            <sz val="9"/>
            <color indexed="81"/>
            <rFont val="Tahoma"/>
            <family val="2"/>
          </rPr>
          <t xml:space="preserve">
dec 19: +MSD
1q20: [pulled]</t>
        </r>
      </text>
    </comment>
    <comment ref="DC14" authorId="3" shapeId="0" xr:uid="{22BE5BF9-2290-4961-AACE-C8D602578B59}">
      <text>
        <r>
          <rPr>
            <b/>
            <sz val="9"/>
            <color indexed="81"/>
            <rFont val="Tahoma"/>
            <family val="2"/>
          </rPr>
          <t>Dessert, Connor H [GIR]:</t>
        </r>
        <r>
          <rPr>
            <sz val="9"/>
            <color indexed="81"/>
            <rFont val="Tahoma"/>
            <family val="2"/>
          </rPr>
          <t xml:space="preserve">
6,327 adjusted</t>
        </r>
      </text>
    </comment>
    <comment ref="DO14" authorId="4" shapeId="0" xr:uid="{00000000-0006-0000-0600-000007000000}">
      <text>
        <r>
          <rPr>
            <b/>
            <sz val="9"/>
            <color indexed="81"/>
            <rFont val="Tahoma"/>
            <family val="2"/>
          </rPr>
          <t>Valentini, Anthony [GIR]:</t>
        </r>
        <r>
          <rPr>
            <sz val="9"/>
            <color indexed="81"/>
            <rFont val="Tahoma"/>
            <family val="2"/>
          </rPr>
          <t xml:space="preserve">
may21: 9-10% CAGR 2020-2025E
(implied 27,100 at midpoint)</t>
        </r>
      </text>
    </comment>
    <comment ref="B21" authorId="3" shapeId="0" xr:uid="{67FF357F-B0F8-4463-A09C-0BA0F860A7C9}">
      <text>
        <r>
          <rPr>
            <b/>
            <sz val="9"/>
            <color indexed="81"/>
            <rFont val="Tahoma"/>
            <family val="2"/>
          </rPr>
          <t>Dessert, Connor H [GIR]:</t>
        </r>
        <r>
          <rPr>
            <sz val="9"/>
            <color indexed="81"/>
            <rFont val="Tahoma"/>
            <family val="2"/>
          </rPr>
          <t xml:space="preserve">
TDG PR information:
Purchase price: $765mn, cash on hand
CY2025 revenue: $350mn
Employees: 900
Rev / employee: $0.39mn
Announced: 6/30/2025
Closed: 10/6/2025
40% of Simmonds' revenue is derived from the aftermarket.
Nearly all of Simmonds' revenue is generated from proprietary products.
From the PR: TransDigm Group Incorporated ("TransDigm Group") (NYSE: TDG) today announced that it has successfully completed its acquisition of the Simmonds Precision Products, Inc. Business ("Simmonds" or "the Company") of Goodrich Corporation from RTX Corporation (NYSE: RTX)</t>
        </r>
      </text>
    </comment>
    <comment ref="CB23" authorId="2" shapeId="0" xr:uid="{00000000-0006-0000-0600-000008000000}">
      <text>
        <r>
          <rPr>
            <b/>
            <sz val="9"/>
            <color indexed="81"/>
            <rFont val="Tahoma"/>
            <family val="2"/>
          </rPr>
          <t>Medart, Mason [GIR]:</t>
        </r>
        <r>
          <rPr>
            <sz val="9"/>
            <color indexed="81"/>
            <rFont val="Tahoma"/>
            <family val="2"/>
          </rPr>
          <t xml:space="preserve">
divested business to close COL deal ($160mn annual sales)</t>
        </r>
      </text>
    </comment>
    <comment ref="BG26" authorId="5" shapeId="0" xr:uid="{00000000-0006-0000-0600-000009000000}">
      <text>
        <r>
          <rPr>
            <b/>
            <sz val="8"/>
            <color indexed="81"/>
            <rFont val="Tahoma"/>
            <family val="2"/>
          </rPr>
          <t>sammun:</t>
        </r>
        <r>
          <rPr>
            <sz val="8"/>
            <color indexed="81"/>
            <rFont val="Tahoma"/>
            <family val="2"/>
          </rPr>
          <t xml:space="preserve">
4q12: 13.5 - 14.0bn
1q13: same
2q13:~13.5bn
3q13: same</t>
        </r>
      </text>
    </comment>
    <comment ref="CM26" authorId="1" shapeId="0" xr:uid="{00000000-0006-0000-0600-00000A000000}">
      <text>
        <r>
          <rPr>
            <b/>
            <sz val="9"/>
            <color indexed="81"/>
            <rFont val="Tahoma"/>
            <family val="2"/>
          </rPr>
          <t>Parsons, Gavin [GIR]:</t>
        </r>
        <r>
          <rPr>
            <sz val="9"/>
            <color indexed="81"/>
            <rFont val="Tahoma"/>
            <family val="2"/>
          </rPr>
          <t xml:space="preserve">
4,298 adjusted</t>
        </r>
      </text>
    </comment>
    <comment ref="CN26" authorId="1" shapeId="0" xr:uid="{00000000-0006-0000-0600-00000B000000}">
      <text>
        <r>
          <rPr>
            <b/>
            <sz val="9"/>
            <color indexed="81"/>
            <rFont val="Tahoma"/>
            <family val="2"/>
          </rPr>
          <t>Parsons, Gavin [GIR]:</t>
        </r>
        <r>
          <rPr>
            <sz val="9"/>
            <color indexed="81"/>
            <rFont val="Tahoma"/>
            <family val="2"/>
          </rPr>
          <t xml:space="preserve">
4278 adjusted</t>
        </r>
      </text>
    </comment>
    <comment ref="CO26" authorId="1" shapeId="0" xr:uid="{00000000-0006-0000-0600-00000C000000}">
      <text>
        <r>
          <rPr>
            <b/>
            <sz val="9"/>
            <color indexed="81"/>
            <rFont val="Tahoma"/>
            <family val="2"/>
          </rPr>
          <t>Parsons, Gavin [GIR]:</t>
        </r>
        <r>
          <rPr>
            <sz val="9"/>
            <color indexed="81"/>
            <rFont val="Tahoma"/>
            <family val="2"/>
          </rPr>
          <t xml:space="preserve">
3q20: in-line with 3Q</t>
        </r>
      </text>
    </comment>
    <comment ref="CP26" authorId="1" shapeId="0" xr:uid="{00000000-0006-0000-0600-00000D000000}">
      <text>
        <r>
          <rPr>
            <b/>
            <sz val="9"/>
            <color indexed="81"/>
            <rFont val="Tahoma"/>
            <family val="2"/>
          </rPr>
          <t>Parsons, Gavin [GIR]:</t>
        </r>
        <r>
          <rPr>
            <sz val="9"/>
            <color indexed="81"/>
            <rFont val="Tahoma"/>
            <family val="2"/>
          </rPr>
          <t xml:space="preserve">
dec 19: down LSD
1q20: [pulled]</t>
        </r>
      </text>
    </comment>
    <comment ref="CW26" authorId="1" shapeId="0" xr:uid="{00000000-0006-0000-0600-00000E000000}">
      <text>
        <r>
          <rPr>
            <b/>
            <sz val="9"/>
            <color indexed="81"/>
            <rFont val="Tahoma"/>
            <family val="2"/>
          </rPr>
          <t>Parsons, Gavin [GIR]:</t>
        </r>
        <r>
          <rPr>
            <sz val="9"/>
            <color indexed="81"/>
            <rFont val="Tahoma"/>
            <family val="2"/>
          </rPr>
          <t xml:space="preserve">
1q22: up LSD sequential </t>
        </r>
      </text>
    </comment>
    <comment ref="CX26" authorId="1" shapeId="0" xr:uid="{00000000-0006-0000-0600-00000F000000}">
      <text>
        <r>
          <rPr>
            <b/>
            <sz val="9"/>
            <color indexed="81"/>
            <rFont val="Tahoma"/>
            <family val="2"/>
          </rPr>
          <t>Parsons, Gavin [GIR]:</t>
        </r>
        <r>
          <rPr>
            <sz val="9"/>
            <color indexed="81"/>
            <rFont val="Tahoma"/>
            <family val="2"/>
          </rPr>
          <t xml:space="preserve">
1q22: up LSD sequential </t>
        </r>
      </text>
    </comment>
    <comment ref="CY26" authorId="1" shapeId="0" xr:uid="{00000000-0006-0000-0600-000010000000}">
      <text>
        <r>
          <rPr>
            <b/>
            <sz val="9"/>
            <color indexed="81"/>
            <rFont val="Tahoma"/>
            <family val="2"/>
          </rPr>
          <t>Parsons, Gavin [GIR]:</t>
        </r>
        <r>
          <rPr>
            <sz val="9"/>
            <color indexed="81"/>
            <rFont val="Tahoma"/>
            <family val="2"/>
          </rPr>
          <t xml:space="preserve">
1q22: up LSD sequential </t>
        </r>
      </text>
    </comment>
    <comment ref="DC26" authorId="3" shapeId="0" xr:uid="{8A4FF9FD-C5EC-48B7-AFED-77E17638D739}">
      <text>
        <r>
          <rPr>
            <b/>
            <sz val="9"/>
            <color indexed="81"/>
            <rFont val="Tahoma"/>
            <family val="2"/>
          </rPr>
          <t>Dessert, Connor H [GIR]:</t>
        </r>
        <r>
          <rPr>
            <sz val="9"/>
            <color indexed="81"/>
            <rFont val="Tahoma"/>
            <family val="2"/>
          </rPr>
          <t xml:space="preserve">
6,686 adjusted</t>
        </r>
      </text>
    </comment>
    <comment ref="DO26" authorId="4" shapeId="0" xr:uid="{00000000-0006-0000-0600-000011000000}">
      <text>
        <r>
          <rPr>
            <b/>
            <sz val="9"/>
            <color indexed="81"/>
            <rFont val="Tahoma"/>
            <family val="2"/>
          </rPr>
          <t>Valentini, Anthony [GIR]:</t>
        </r>
        <r>
          <rPr>
            <sz val="9"/>
            <color indexed="81"/>
            <rFont val="Tahoma"/>
            <family val="2"/>
          </rPr>
          <t xml:space="preserve">
may21: 6-7% CAGR 2020-25E (26,620 implied midpoint)</t>
        </r>
      </text>
    </comment>
    <comment ref="B29" authorId="6" shapeId="0" xr:uid="{00000000-0006-0000-0600-000012000000}">
      <text>
        <r>
          <rPr>
            <b/>
            <sz val="9"/>
            <color indexed="81"/>
            <rFont val="Tahoma"/>
            <family val="2"/>
          </rPr>
          <t>Porat, Matthew [GIR]:</t>
        </r>
        <r>
          <rPr>
            <sz val="9"/>
            <color indexed="81"/>
            <rFont val="Tahoma"/>
            <family val="2"/>
          </rPr>
          <t xml:space="preserve">
1q19: increased share from 50% to 60%, causing it to be consolidated</t>
        </r>
      </text>
    </comment>
    <comment ref="B31" authorId="7" shapeId="0" xr:uid="{00000000-0006-0000-0600-000013000000}">
      <text>
        <r>
          <rPr>
            <b/>
            <sz val="9"/>
            <color indexed="81"/>
            <rFont val="Tahoma"/>
            <family val="2"/>
          </rPr>
          <t>Correa, Tais [GIR]:</t>
        </r>
        <r>
          <rPr>
            <sz val="9"/>
            <color indexed="81"/>
            <rFont val="Tahoma"/>
            <family val="2"/>
          </rPr>
          <t xml:space="preserve">
Closed on January 13, 2016
2012 revs: $40mn (~25% annual growth then)
Assumes $60mn 2016 revs 
Low/negative profit margins historically
300bp hit to previous Forcepoint 15% margin: implies 0.15% margin for Stonesoft
Rationale: Firewall product/expertise</t>
        </r>
      </text>
    </comment>
    <comment ref="BQ32" authorId="1" shapeId="0" xr:uid="{00000000-0006-0000-0600-000014000000}">
      <text>
        <r>
          <rPr>
            <b/>
            <sz val="9"/>
            <color indexed="81"/>
            <rFont val="Tahoma"/>
            <family val="2"/>
          </rPr>
          <t>Parsons, Gavin [GIR]:</t>
        </r>
        <r>
          <rPr>
            <sz val="9"/>
            <color indexed="81"/>
            <rFont val="Tahoma"/>
            <family val="2"/>
          </rPr>
          <t xml:space="preserve">
apr 14: 375 annual</t>
        </r>
      </text>
    </comment>
    <comment ref="B35" authorId="8" shapeId="0" xr:uid="{00000000-0006-0000-0600-000015000000}">
      <text>
        <r>
          <rPr>
            <b/>
            <sz val="8"/>
            <color indexed="81"/>
            <rFont val="Tahoma"/>
            <family val="2"/>
          </rPr>
          <t>carral:</t>
        </r>
        <r>
          <rPr>
            <sz val="8"/>
            <color indexed="81"/>
            <rFont val="Tahoma"/>
            <family val="2"/>
          </rPr>
          <t xml:space="preserve">
Will be part of SAS. ISR business for $38 per share. Total deal value of $490mn. Closes 1Q 2011</t>
        </r>
      </text>
    </comment>
    <comment ref="AS35" authorId="8" shapeId="0" xr:uid="{00000000-0006-0000-0600-000016000000}">
      <text>
        <r>
          <rPr>
            <b/>
            <sz val="8"/>
            <color indexed="81"/>
            <rFont val="Tahoma"/>
            <family val="2"/>
          </rPr>
          <t>carral:</t>
        </r>
        <r>
          <rPr>
            <sz val="8"/>
            <color indexed="81"/>
            <rFont val="Tahoma"/>
            <family val="2"/>
          </rPr>
          <t xml:space="preserve">
Consensus $63mn</t>
        </r>
      </text>
    </comment>
    <comment ref="AT35" authorId="8" shapeId="0" xr:uid="{00000000-0006-0000-0600-000017000000}">
      <text>
        <r>
          <rPr>
            <b/>
            <sz val="8"/>
            <color indexed="81"/>
            <rFont val="Tahoma"/>
            <family val="2"/>
          </rPr>
          <t>carral:</t>
        </r>
        <r>
          <rPr>
            <sz val="8"/>
            <color indexed="81"/>
            <rFont val="Tahoma"/>
            <family val="2"/>
          </rPr>
          <t xml:space="preserve">
Consensus $65mn</t>
        </r>
      </text>
    </comment>
    <comment ref="AU35" authorId="8" shapeId="0" xr:uid="{00000000-0006-0000-0600-000018000000}">
      <text>
        <r>
          <rPr>
            <b/>
            <sz val="8"/>
            <color indexed="81"/>
            <rFont val="Tahoma"/>
            <family val="2"/>
          </rPr>
          <t>carral:</t>
        </r>
        <r>
          <rPr>
            <sz val="8"/>
            <color indexed="81"/>
            <rFont val="Tahoma"/>
            <family val="2"/>
          </rPr>
          <t xml:space="preserve">
Consensus $70mn</t>
        </r>
      </text>
    </comment>
    <comment ref="AV35" authorId="8" shapeId="0" xr:uid="{00000000-0006-0000-0600-000019000000}">
      <text>
        <r>
          <rPr>
            <b/>
            <sz val="8"/>
            <color indexed="81"/>
            <rFont val="Tahoma"/>
            <family val="2"/>
          </rPr>
          <t>carral:</t>
        </r>
        <r>
          <rPr>
            <sz val="8"/>
            <color indexed="81"/>
            <rFont val="Tahoma"/>
            <family val="2"/>
          </rPr>
          <t xml:space="preserve">
Consensus $61mn</t>
        </r>
      </text>
    </comment>
    <comment ref="B39" authorId="1" shapeId="0" xr:uid="{00000000-0006-0000-0600-00001A000000}">
      <text>
        <r>
          <rPr>
            <b/>
            <sz val="9"/>
            <color indexed="81"/>
            <rFont val="Tahoma"/>
            <family val="2"/>
          </rPr>
          <t>Parsons, Gavin [GIR]:</t>
        </r>
        <r>
          <rPr>
            <sz val="9"/>
            <color indexed="81"/>
            <rFont val="Tahoma"/>
            <family val="2"/>
          </rPr>
          <t xml:space="preserve">
$1bn revenue, 10% EBIT margin, sold to Vertex 12/7/21</t>
        </r>
      </text>
    </comment>
    <comment ref="B40" authorId="1" shapeId="0" xr:uid="{00000000-0006-0000-0600-00001B000000}">
      <text>
        <r>
          <rPr>
            <b/>
            <sz val="9"/>
            <color indexed="81"/>
            <rFont val="Tahoma"/>
            <family val="2"/>
          </rPr>
          <t>Parsons, Gavin [GIR]:</t>
        </r>
        <r>
          <rPr>
            <sz val="9"/>
            <color indexed="81"/>
            <rFont val="Tahoma"/>
            <family val="2"/>
          </rPr>
          <t xml:space="preserve">
$275mn, sold to BAE
$120mn annual revenue, high teens EBIT margin</t>
        </r>
      </text>
    </comment>
    <comment ref="CK41" authorId="1" shapeId="0" xr:uid="{00000000-0006-0000-0600-00001C000000}">
      <text>
        <r>
          <rPr>
            <b/>
            <sz val="9"/>
            <color indexed="81"/>
            <rFont val="Tahoma"/>
            <family val="2"/>
          </rPr>
          <t>Parsons, Gavin [GIR]:</t>
        </r>
        <r>
          <rPr>
            <sz val="9"/>
            <color indexed="81"/>
            <rFont val="Tahoma"/>
            <family val="2"/>
          </rPr>
          <t xml:space="preserve">
restated</t>
        </r>
      </text>
    </comment>
    <comment ref="CP41" authorId="1" shapeId="0" xr:uid="{00000000-0006-0000-0600-00001D000000}">
      <text>
        <r>
          <rPr>
            <b/>
            <sz val="9"/>
            <color indexed="81"/>
            <rFont val="Tahoma"/>
            <family val="2"/>
          </rPr>
          <t>Parsons, Gavin [GIR]:</t>
        </r>
        <r>
          <rPr>
            <sz val="9"/>
            <color indexed="81"/>
            <rFont val="Tahoma"/>
            <family val="2"/>
          </rPr>
          <t xml:space="preserve">
4q19: 15.2-15.5
1q20: 14.8-15.1
2q20: same
3q20: 14.8</t>
        </r>
      </text>
    </comment>
    <comment ref="DO41" authorId="4" shapeId="0" xr:uid="{00000000-0006-0000-0600-00001E000000}">
      <text>
        <r>
          <rPr>
            <b/>
            <sz val="9"/>
            <color indexed="81"/>
            <rFont val="Tahoma"/>
            <family val="2"/>
          </rPr>
          <t>Valentini, Anthony [GIR]:</t>
        </r>
        <r>
          <rPr>
            <sz val="9"/>
            <color indexed="81"/>
            <rFont val="Tahoma"/>
            <family val="2"/>
          </rPr>
          <t xml:space="preserve">
may21: 4-5% CAGR 2020-25E (18,650 implied midpoint)</t>
        </r>
      </text>
    </comment>
    <comment ref="B44" authorId="9" shapeId="0" xr:uid="{00000000-0006-0000-0600-00001F000000}">
      <text>
        <r>
          <rPr>
            <b/>
            <sz val="8"/>
            <color indexed="81"/>
            <rFont val="Tahoma"/>
            <family val="2"/>
          </rPr>
          <t>wachun:</t>
        </r>
        <r>
          <rPr>
            <sz val="8"/>
            <color indexed="81"/>
            <rFont val="Tahoma"/>
            <family val="2"/>
          </rPr>
          <t xml:space="preserve">
330 employees, 63mn revenue in 2010</t>
        </r>
      </text>
    </comment>
    <comment ref="CK48" authorId="1" shapeId="0" xr:uid="{00000000-0006-0000-0600-000020000000}">
      <text>
        <r>
          <rPr>
            <b/>
            <sz val="9"/>
            <color indexed="81"/>
            <rFont val="Tahoma"/>
            <family val="2"/>
          </rPr>
          <t>Parsons, Gavin [GIR]:</t>
        </r>
        <r>
          <rPr>
            <sz val="9"/>
            <color indexed="81"/>
            <rFont val="Tahoma"/>
            <family val="2"/>
          </rPr>
          <t xml:space="preserve">
restated</t>
        </r>
      </text>
    </comment>
    <comment ref="CP48" authorId="1" shapeId="0" xr:uid="{00000000-0006-0000-0600-000021000000}">
      <text>
        <r>
          <rPr>
            <b/>
            <sz val="9"/>
            <color indexed="81"/>
            <rFont val="Tahoma"/>
            <family val="2"/>
          </rPr>
          <t>Parsons, Gavin [GIR]:</t>
        </r>
        <r>
          <rPr>
            <sz val="9"/>
            <color indexed="81"/>
            <rFont val="Tahoma"/>
            <family val="2"/>
          </rPr>
          <t xml:space="preserve">
4q19: 16.5-16.8
1q20: 16.1-16.4
2q20: same
3q20: 16.1</t>
        </r>
      </text>
    </comment>
    <comment ref="DO48" authorId="4" shapeId="0" xr:uid="{00000000-0006-0000-0600-000022000000}">
      <text>
        <r>
          <rPr>
            <b/>
            <sz val="9"/>
            <color indexed="81"/>
            <rFont val="Tahoma"/>
            <family val="2"/>
          </rPr>
          <t>Valentini, Anthony [GIR]:</t>
        </r>
        <r>
          <rPr>
            <sz val="9"/>
            <color indexed="81"/>
            <rFont val="Tahoma"/>
            <family val="2"/>
          </rPr>
          <t xml:space="preserve">
may21: 3-4% CAGR 2020-25E (18,200 implied midpoint)</t>
        </r>
      </text>
    </comment>
    <comment ref="CP50" authorId="0" shapeId="0" xr:uid="{57429B8D-FF60-473D-8478-9BFD1651566C}">
      <text>
        <r>
          <rPr>
            <b/>
            <sz val="9"/>
            <color indexed="81"/>
            <rFont val="Tahoma"/>
            <family val="2"/>
          </rPr>
          <t>Blake, BEN [GIR]:</t>
        </r>
        <r>
          <rPr>
            <sz val="9"/>
            <color indexed="81"/>
            <rFont val="Tahoma"/>
            <family val="2"/>
          </rPr>
          <t xml:space="preserve">
june23: Recast combined raytheon segment annual actuals given</t>
        </r>
      </text>
    </comment>
    <comment ref="CU50" authorId="0" shapeId="0" xr:uid="{2B35FCAB-1C91-4CA7-A750-C6CA5B6BE8A8}">
      <text>
        <r>
          <rPr>
            <b/>
            <sz val="9"/>
            <color indexed="81"/>
            <rFont val="Tahoma"/>
            <family val="2"/>
          </rPr>
          <t>Blake, BEN [GIR]:</t>
        </r>
        <r>
          <rPr>
            <sz val="9"/>
            <color indexed="81"/>
            <rFont val="Tahoma"/>
            <family val="2"/>
          </rPr>
          <t xml:space="preserve">
june23: Recast combined raytheon segment annual actuals given</t>
        </r>
      </text>
    </comment>
    <comment ref="DG50" authorId="3" shapeId="0" xr:uid="{E3E0CFA2-6361-489A-AF65-BC65F0318527}">
      <text>
        <r>
          <rPr>
            <b/>
            <sz val="9"/>
            <color indexed="81"/>
            <rFont val="Tahoma"/>
            <family val="2"/>
          </rPr>
          <t>Dessert, Connor H [GIR]:</t>
        </r>
        <r>
          <rPr>
            <sz val="9"/>
            <color indexed="81"/>
            <rFont val="Tahoma"/>
            <family val="2"/>
          </rPr>
          <t xml:space="preserve">
6,511 reported</t>
        </r>
      </text>
    </comment>
    <comment ref="B57" authorId="3" shapeId="0" xr:uid="{100B016A-B4BD-4B4F-9CD8-BE7E8EFA0D91}">
      <text>
        <r>
          <rPr>
            <b/>
            <sz val="9"/>
            <color indexed="81"/>
            <rFont val="Tahoma"/>
            <family val="2"/>
          </rPr>
          <t>Dessert, Connor H [GIR]:</t>
        </r>
        <r>
          <rPr>
            <sz val="9"/>
            <color indexed="81"/>
            <rFont val="Tahoma"/>
            <family val="2"/>
          </rPr>
          <t xml:space="preserve">
1Q24: Completed sale of Raytheon's cybersecurity business at the end of the first quarter, with gross proceeds of $1.3bn.
"As a reminder, the profit outlook includes an $80mn yoy headwind from the sale of the cybersecurity business."
Assume cybersecurity biz EBIT = $80mn.
Assume RTX Defense segment margin = 9.5%.
$80mn / 9.5% = $842mn
$842mn / 4 = ~$210.5mn / quarter
Will start booking divestiture revenue in 2Q24.</t>
        </r>
      </text>
    </comment>
    <comment ref="BM61" authorId="1" shapeId="0" xr:uid="{00000000-0006-0000-0600-000023000000}">
      <text>
        <r>
          <rPr>
            <b/>
            <sz val="9"/>
            <color indexed="81"/>
            <rFont val="Tahoma"/>
            <family val="2"/>
          </rPr>
          <t>Parsons, Gavin [GIR]:</t>
        </r>
        <r>
          <rPr>
            <sz val="9"/>
            <color indexed="81"/>
            <rFont val="Tahoma"/>
            <family val="2"/>
          </rPr>
          <t xml:space="preserve">
back-out Sikorsky elims</t>
        </r>
      </text>
    </comment>
    <comment ref="BN61" authorId="1" shapeId="0" xr:uid="{00000000-0006-0000-0600-000024000000}">
      <text>
        <r>
          <rPr>
            <b/>
            <sz val="9"/>
            <color indexed="81"/>
            <rFont val="Tahoma"/>
            <family val="2"/>
          </rPr>
          <t>Parsons, Gavin [GIR]:</t>
        </r>
        <r>
          <rPr>
            <sz val="9"/>
            <color indexed="81"/>
            <rFont val="Tahoma"/>
            <family val="2"/>
          </rPr>
          <t xml:space="preserve">
back-out Sikorsky elims</t>
        </r>
      </text>
    </comment>
    <comment ref="CU61" authorId="1" shapeId="0" xr:uid="{00000000-0006-0000-0600-000025000000}">
      <text>
        <r>
          <rPr>
            <b/>
            <sz val="9"/>
            <color indexed="81"/>
            <rFont val="Tahoma"/>
            <family val="2"/>
          </rPr>
          <t>Parsons, Gavin [GIR]:</t>
        </r>
        <r>
          <rPr>
            <sz val="9"/>
            <color indexed="81"/>
            <rFont val="Tahoma"/>
            <family val="2"/>
          </rPr>
          <t xml:space="preserve">
4q20: ~650 Forcepoint divestiture</t>
        </r>
      </text>
    </comment>
    <comment ref="DC61" authorId="3" shapeId="0" xr:uid="{A5942C2C-E393-4584-B085-0C0FAA1EFAD2}">
      <text>
        <r>
          <rPr>
            <b/>
            <sz val="9"/>
            <color indexed="81"/>
            <rFont val="Tahoma"/>
            <family val="2"/>
          </rPr>
          <t>Dessert, Connor H [GIR]:</t>
        </r>
        <r>
          <rPr>
            <sz val="9"/>
            <color indexed="81"/>
            <rFont val="Tahoma"/>
            <family val="2"/>
          </rPr>
          <t xml:space="preserve">
(533) adjusted</t>
        </r>
      </text>
    </comment>
    <comment ref="DE61" authorId="1" shapeId="0" xr:uid="{32DFB460-A5D3-45F1-A92A-82FBCE1DA96F}">
      <text>
        <r>
          <rPr>
            <b/>
            <sz val="9"/>
            <color indexed="81"/>
            <rFont val="Tahoma"/>
            <family val="2"/>
          </rPr>
          <t>Parsons, Gavin [GIR]:</t>
        </r>
        <r>
          <rPr>
            <sz val="9"/>
            <color indexed="81"/>
            <rFont val="Tahoma"/>
            <family val="2"/>
          </rPr>
          <t xml:space="preserve">
4q22: +10% yoy
1q23: unchanged</t>
        </r>
      </text>
    </comment>
    <comment ref="CM62" authorId="1" shapeId="0" xr:uid="{00000000-0006-0000-0600-000026000000}">
      <text>
        <r>
          <rPr>
            <b/>
            <sz val="9"/>
            <color indexed="81"/>
            <rFont val="Tahoma"/>
            <family val="2"/>
          </rPr>
          <t>Parsons, Gavin [GIR]:</t>
        </r>
        <r>
          <rPr>
            <sz val="9"/>
            <color indexed="81"/>
            <rFont val="Tahoma"/>
            <family val="2"/>
          </rPr>
          <t xml:space="preserve">
14,277 adjusted</t>
        </r>
      </text>
    </comment>
    <comment ref="CN62" authorId="1" shapeId="0" xr:uid="{00000000-0006-0000-0600-000027000000}">
      <text>
        <r>
          <rPr>
            <b/>
            <sz val="9"/>
            <color indexed="81"/>
            <rFont val="Tahoma"/>
            <family val="2"/>
          </rPr>
          <t>Parsons, Gavin [GIR]:</t>
        </r>
        <r>
          <rPr>
            <sz val="9"/>
            <color indexed="81"/>
            <rFont val="Tahoma"/>
            <family val="2"/>
          </rPr>
          <t xml:space="preserve">
2q20: higher sequentially</t>
        </r>
      </text>
    </comment>
    <comment ref="CO62" authorId="1" shapeId="0" xr:uid="{00000000-0006-0000-0600-000028000000}">
      <text>
        <r>
          <rPr>
            <b/>
            <sz val="9"/>
            <color indexed="81"/>
            <rFont val="Tahoma"/>
            <family val="2"/>
          </rPr>
          <t>Parsons, Gavin [GIR]:</t>
        </r>
        <r>
          <rPr>
            <sz val="9"/>
            <color indexed="81"/>
            <rFont val="Tahoma"/>
            <family val="2"/>
          </rPr>
          <t xml:space="preserve">
3q20: 16.2-16.4</t>
        </r>
      </text>
    </comment>
    <comment ref="CP62" authorId="0" shapeId="0" xr:uid="{F6264C8A-EA13-46B7-A6E4-75ACE3A52B4D}">
      <text>
        <r>
          <rPr>
            <b/>
            <sz val="9"/>
            <color indexed="81"/>
            <rFont val="Tahoma"/>
            <family val="2"/>
          </rPr>
          <t>Blake, BEN [GIR]:</t>
        </r>
        <r>
          <rPr>
            <sz val="9"/>
            <color indexed="81"/>
            <rFont val="Tahoma"/>
            <family val="2"/>
          </rPr>
          <t xml:space="preserve">
2q23: adjusted for recasted Raytheon segment</t>
        </r>
      </text>
    </comment>
    <comment ref="CQ62" authorId="0" shapeId="0" xr:uid="{7929D675-53F7-4C23-A5F0-64ECBD40EA65}">
      <text>
        <r>
          <rPr>
            <b/>
            <sz val="9"/>
            <color indexed="81"/>
            <rFont val="Tahoma"/>
            <family val="2"/>
          </rPr>
          <t>Blake, BEN [GIR]:</t>
        </r>
        <r>
          <rPr>
            <sz val="9"/>
            <color indexed="81"/>
            <rFont val="Tahoma"/>
            <family val="2"/>
          </rPr>
          <t xml:space="preserve">
2q23: adjusted for recasted Raytheon segment</t>
        </r>
      </text>
    </comment>
    <comment ref="CR62" authorId="0" shapeId="0" xr:uid="{548CBA88-E26B-4DD3-BC37-93558CC54F87}">
      <text>
        <r>
          <rPr>
            <b/>
            <sz val="9"/>
            <color indexed="81"/>
            <rFont val="Tahoma"/>
            <family val="2"/>
          </rPr>
          <t>Blake, BEN [GIR]:</t>
        </r>
        <r>
          <rPr>
            <sz val="9"/>
            <color indexed="81"/>
            <rFont val="Tahoma"/>
            <family val="2"/>
          </rPr>
          <t xml:space="preserve">
2q23: adjusted for recasted Raytheon segment</t>
        </r>
      </text>
    </comment>
    <comment ref="CS62" authorId="0" shapeId="0" xr:uid="{5EFEB606-472F-453B-9E2F-BF71C5644AEB}">
      <text>
        <r>
          <rPr>
            <b/>
            <sz val="9"/>
            <color indexed="81"/>
            <rFont val="Tahoma"/>
            <family val="2"/>
          </rPr>
          <t>Blake, BEN [GIR]:</t>
        </r>
        <r>
          <rPr>
            <sz val="9"/>
            <color indexed="81"/>
            <rFont val="Tahoma"/>
            <family val="2"/>
          </rPr>
          <t xml:space="preserve">
2q23: adjusted for recasted Raytheon segment</t>
        </r>
      </text>
    </comment>
    <comment ref="CT62" authorId="0" shapeId="0" xr:uid="{E303ACCF-1000-4845-A124-02E7CC23AD5C}">
      <text>
        <r>
          <rPr>
            <b/>
            <sz val="9"/>
            <color indexed="81"/>
            <rFont val="Tahoma"/>
            <family val="2"/>
          </rPr>
          <t>Blake, BEN [GIR]:</t>
        </r>
        <r>
          <rPr>
            <sz val="9"/>
            <color indexed="81"/>
            <rFont val="Tahoma"/>
            <family val="2"/>
          </rPr>
          <t xml:space="preserve">
2q23: adjusted for recasted Raytheon segment</t>
        </r>
      </text>
    </comment>
    <comment ref="CU62" authorId="0" shapeId="0" xr:uid="{6F47490F-DEDF-4EBB-9AB0-12F7EFED5D28}">
      <text>
        <r>
          <rPr>
            <b/>
            <sz val="9"/>
            <color indexed="81"/>
            <rFont val="Tahoma"/>
            <family val="2"/>
          </rPr>
          <t>Blake, BEN [GIR]:</t>
        </r>
        <r>
          <rPr>
            <sz val="9"/>
            <color indexed="81"/>
            <rFont val="Tahoma"/>
            <family val="2"/>
          </rPr>
          <t xml:space="preserve">
2q23: adjusted for recasted Raytheon segment</t>
        </r>
      </text>
    </comment>
    <comment ref="CZ62" authorId="1" shapeId="0" xr:uid="{00000000-0006-0000-0600-00002E000000}">
      <text>
        <r>
          <rPr>
            <b/>
            <sz val="9"/>
            <color indexed="81"/>
            <rFont val="Tahoma"/>
            <family val="2"/>
          </rPr>
          <t>Parsons, Gavin [GIR]:</t>
        </r>
        <r>
          <rPr>
            <sz val="9"/>
            <color indexed="81"/>
            <rFont val="Tahoma"/>
            <family val="2"/>
          </rPr>
          <t xml:space="preserve">
4q21: 68.5-69.5
1q22: 67.75-68.75
2q22: same
3q22: 67.0-67.3</t>
        </r>
      </text>
    </comment>
    <comment ref="DE62" authorId="1" shapeId="0" xr:uid="{C4310A90-6AB2-4A23-B45F-48A3371BAFB5}">
      <text>
        <r>
          <rPr>
            <b/>
            <sz val="9"/>
            <color indexed="81"/>
            <rFont val="Tahoma"/>
            <family val="2"/>
          </rPr>
          <t>Parsons, Gavin [GIR]:</t>
        </r>
        <r>
          <rPr>
            <sz val="9"/>
            <color indexed="81"/>
            <rFont val="Tahoma"/>
            <family val="2"/>
          </rPr>
          <t xml:space="preserve">
4q22: 72.0-73.0
1q23: same
jun23: same
2q23: 73-74
Sept 23: Reported 67.5-68.5 (adj unchanged)
3q23: 68.5 (reported); ~74.0 (adjusted)</t>
        </r>
      </text>
    </comment>
    <comment ref="DG62" authorId="3" shapeId="0" xr:uid="{1E3616F4-98F4-405C-8DDD-8C2A025CC43D}">
      <text>
        <r>
          <rPr>
            <b/>
            <sz val="9"/>
            <color indexed="81"/>
            <rFont val="Tahoma"/>
            <family val="2"/>
          </rPr>
          <t>Dessert, Connor H [GIR]:</t>
        </r>
        <r>
          <rPr>
            <sz val="9"/>
            <color indexed="81"/>
            <rFont val="Tahoma"/>
            <family val="2"/>
          </rPr>
          <t xml:space="preserve">
19,721 reported</t>
        </r>
      </text>
    </comment>
    <comment ref="DJ62" authorId="0" shapeId="0" xr:uid="{C5509591-9138-4479-9154-AEF460AF8E43}">
      <text>
        <r>
          <rPr>
            <b/>
            <sz val="9"/>
            <color indexed="81"/>
            <rFont val="Tahoma"/>
            <family val="2"/>
          </rPr>
          <t>Blake, BEN [GIR]:</t>
        </r>
        <r>
          <rPr>
            <sz val="9"/>
            <color indexed="81"/>
            <rFont val="Tahoma"/>
            <family val="2"/>
          </rPr>
          <t xml:space="preserve">
4q23: 78.0-79.0
1q24: same
2q24: 78.75-79.50
3q24: 79.25-79.75</t>
        </r>
      </text>
    </comment>
    <comment ref="DO62" authorId="4" shapeId="0" xr:uid="{00000000-0006-0000-0600-00002F000000}">
      <text>
        <r>
          <rPr>
            <b/>
            <sz val="9"/>
            <color indexed="81"/>
            <rFont val="Tahoma"/>
            <family val="2"/>
          </rPr>
          <t>Valentini, Anthony [GIR]:</t>
        </r>
        <r>
          <rPr>
            <sz val="9"/>
            <color indexed="81"/>
            <rFont val="Tahoma"/>
            <family val="2"/>
          </rPr>
          <t xml:space="preserve">
may21: 6-7% CAGR 2020-25E (implied 88,250 at midpoint)
4q21: same
4q23: 5.5-6.0%
4q24: 83,000 - 84,000
1q25: same
2q25: 84,750 - 85,500
3q25: 85,500 - 87,000</t>
        </r>
      </text>
    </comment>
    <comment ref="CB65" authorId="1" shapeId="0" xr:uid="{00000000-0006-0000-0600-000030000000}">
      <text>
        <r>
          <rPr>
            <b/>
            <sz val="9"/>
            <color indexed="81"/>
            <rFont val="Tahoma"/>
            <family val="2"/>
          </rPr>
          <t>Parsons, Gavin [GIR]:</t>
        </r>
        <r>
          <rPr>
            <sz val="9"/>
            <color indexed="81"/>
            <rFont val="Tahoma"/>
            <family val="2"/>
          </rPr>
          <t xml:space="preserve">
rev-rec change</t>
        </r>
      </text>
    </comment>
    <comment ref="AR82" authorId="10" shapeId="0" xr:uid="{00000000-0006-0000-0600-000031000000}">
      <text>
        <r>
          <rPr>
            <b/>
            <sz val="8"/>
            <color indexed="81"/>
            <rFont val="Tahoma"/>
            <family val="2"/>
          </rPr>
          <t>khalom:</t>
        </r>
        <r>
          <rPr>
            <sz val="8"/>
            <color indexed="81"/>
            <rFont val="Tahoma"/>
            <family val="2"/>
          </rPr>
          <t xml:space="preserve">
1q10: + LSD
2q10: same
3q10: same</t>
        </r>
      </text>
    </comment>
    <comment ref="AW82" authorId="10" shapeId="0" xr:uid="{00000000-0006-0000-0600-000032000000}">
      <text>
        <r>
          <rPr>
            <b/>
            <sz val="8"/>
            <color indexed="81"/>
            <rFont val="Tahoma"/>
            <family val="2"/>
          </rPr>
          <t>khalom:</t>
        </r>
        <r>
          <rPr>
            <sz val="8"/>
            <color indexed="81"/>
            <rFont val="Tahoma"/>
            <family val="2"/>
          </rPr>
          <t xml:space="preserve">
4q10: flat yoy
1q11: same
2q11: up slightly
3q11: same</t>
        </r>
      </text>
    </comment>
    <comment ref="BB82" authorId="10" shapeId="0" xr:uid="{00000000-0006-0000-0600-000033000000}">
      <text>
        <r>
          <rPr>
            <b/>
            <sz val="8"/>
            <color indexed="81"/>
            <rFont val="Tahoma"/>
            <family val="2"/>
          </rPr>
          <t xml:space="preserve">khalom:
</t>
        </r>
        <r>
          <rPr>
            <sz val="8"/>
            <color indexed="81"/>
            <rFont val="Tahoma"/>
            <family val="2"/>
          </rPr>
          <t>4q11: up HSD</t>
        </r>
        <r>
          <rPr>
            <b/>
            <sz val="8"/>
            <color indexed="81"/>
            <rFont val="Tahoma"/>
            <family val="2"/>
          </rPr>
          <t xml:space="preserve">
</t>
        </r>
        <r>
          <rPr>
            <sz val="8"/>
            <color indexed="81"/>
            <rFont val="Tahoma"/>
            <family val="2"/>
          </rPr>
          <t>1q12: same   
2q12: up MSD   
3q12: same</t>
        </r>
      </text>
    </comment>
    <comment ref="BG82" authorId="5" shapeId="0" xr:uid="{00000000-0006-0000-0600-000034000000}">
      <text>
        <r>
          <rPr>
            <b/>
            <sz val="8"/>
            <color indexed="81"/>
            <rFont val="Tahoma"/>
            <family val="2"/>
          </rPr>
          <t>sammun:</t>
        </r>
        <r>
          <rPr>
            <sz val="8"/>
            <color indexed="81"/>
            <rFont val="Tahoma"/>
            <family val="2"/>
          </rPr>
          <t xml:space="preserve">
4q12: +LSD
1q13: same
2q13: same
3q13: flat</t>
        </r>
      </text>
    </comment>
    <comment ref="BL82" authorId="10" shapeId="0" xr:uid="{00000000-0006-0000-0600-000035000000}">
      <text>
        <r>
          <rPr>
            <b/>
            <sz val="8"/>
            <color indexed="81"/>
            <rFont val="Tahoma"/>
            <family val="2"/>
          </rPr>
          <t>khalom:</t>
        </r>
        <r>
          <rPr>
            <sz val="8"/>
            <color indexed="81"/>
            <rFont val="Tahoma"/>
            <family val="2"/>
          </rPr>
          <t xml:space="preserve">
dec 13: +MSD
2q14: same
3q14: same</t>
        </r>
      </text>
    </comment>
    <comment ref="BQ82" authorId="1" shapeId="0" xr:uid="{00000000-0006-0000-0600-000036000000}">
      <text>
        <r>
          <rPr>
            <b/>
            <sz val="8"/>
            <color indexed="81"/>
            <rFont val="Tahoma"/>
            <family val="2"/>
          </rPr>
          <t>Parsons, Gavin [GIR]:</t>
        </r>
        <r>
          <rPr>
            <sz val="8"/>
            <color indexed="81"/>
            <rFont val="Tahoma"/>
            <family val="2"/>
          </rPr>
          <t xml:space="preserve">
dec 14: +LSD
mar 15: same
1q15: same
2q15: same</t>
        </r>
      </text>
    </comment>
    <comment ref="BV82" authorId="1" shapeId="0" xr:uid="{00000000-0006-0000-0600-000037000000}">
      <text>
        <r>
          <rPr>
            <b/>
            <sz val="9"/>
            <color indexed="81"/>
            <rFont val="Tahoma"/>
            <family val="2"/>
          </rPr>
          <t>Parsons, Gavin [GIR]:</t>
        </r>
        <r>
          <rPr>
            <sz val="9"/>
            <color indexed="81"/>
            <rFont val="Tahoma"/>
            <family val="2"/>
          </rPr>
          <t xml:space="preserve">
3q15: +LSD
dec 15: flat
mar 16: +LSD
1q16: possibly more than 0-2% guidance
3q16: +LSD</t>
        </r>
      </text>
    </comment>
    <comment ref="BY82" authorId="7" shapeId="0" xr:uid="{00000000-0006-0000-0600-000038000000}">
      <text>
        <r>
          <rPr>
            <b/>
            <sz val="9"/>
            <color indexed="81"/>
            <rFont val="Tahoma"/>
            <family val="2"/>
          </rPr>
          <t>Correa, Tais [GIR]:</t>
        </r>
        <r>
          <rPr>
            <sz val="9"/>
            <color indexed="81"/>
            <rFont val="Tahoma"/>
            <family val="2"/>
          </rPr>
          <t xml:space="preserve">
</t>
        </r>
        <r>
          <rPr>
            <sz val="8"/>
            <color indexed="81"/>
            <rFont val="Tahoma"/>
            <family val="2"/>
          </rPr>
          <t>4q16: 4%-5% UTAS + PW in 2H17</t>
        </r>
      </text>
    </comment>
    <comment ref="BZ82" authorId="7" shapeId="0" xr:uid="{00000000-0006-0000-0600-000039000000}">
      <text>
        <r>
          <rPr>
            <b/>
            <sz val="9"/>
            <color indexed="81"/>
            <rFont val="Tahoma"/>
            <family val="2"/>
          </rPr>
          <t>Correa, Tais [GIR]:</t>
        </r>
        <r>
          <rPr>
            <sz val="9"/>
            <color indexed="81"/>
            <rFont val="Tahoma"/>
            <family val="2"/>
          </rPr>
          <t xml:space="preserve">
</t>
        </r>
        <r>
          <rPr>
            <sz val="8"/>
            <color indexed="81"/>
            <rFont val="Tahoma"/>
            <family val="2"/>
          </rPr>
          <t>4q16: 4%-5% UTAS + PW in 2H17</t>
        </r>
      </text>
    </comment>
    <comment ref="CA82" authorId="1" shapeId="0" xr:uid="{00000000-0006-0000-0600-00003A000000}">
      <text>
        <r>
          <rPr>
            <b/>
            <sz val="9"/>
            <color indexed="81"/>
            <rFont val="Tahoma"/>
            <family val="2"/>
          </rPr>
          <t>Parsons, Gavin [GIR]:</t>
        </r>
        <r>
          <rPr>
            <sz val="9"/>
            <color indexed="81"/>
            <rFont val="Tahoma"/>
            <family val="2"/>
          </rPr>
          <t xml:space="preserve">
dec 16: +HSD
1q17: same</t>
        </r>
      </text>
    </comment>
    <comment ref="CF82" authorId="1" shapeId="0" xr:uid="{00000000-0006-0000-0600-00003B000000}">
      <text>
        <r>
          <rPr>
            <b/>
            <sz val="9"/>
            <color indexed="81"/>
            <rFont val="Tahoma"/>
            <family val="2"/>
          </rPr>
          <t>Parsons, Gavin [GIR]:</t>
        </r>
        <r>
          <rPr>
            <sz val="9"/>
            <color indexed="81"/>
            <rFont val="Tahoma"/>
            <family val="2"/>
          </rPr>
          <t xml:space="preserve">
4q17: up low teens
mar 18: same
2q18: same
3q18: same</t>
        </r>
      </text>
    </comment>
    <comment ref="CK82" authorId="6" shapeId="0" xr:uid="{00000000-0006-0000-0600-00003C000000}">
      <text>
        <r>
          <rPr>
            <b/>
            <sz val="9"/>
            <color indexed="81"/>
            <rFont val="Tahoma"/>
            <family val="2"/>
          </rPr>
          <t>Porat, Matthew [GIR]:</t>
        </r>
        <r>
          <rPr>
            <sz val="9"/>
            <color indexed="81"/>
            <rFont val="Tahoma"/>
            <family val="2"/>
          </rPr>
          <t xml:space="preserve">
4q18: +HSD
2q19: same
3q19: same</t>
        </r>
      </text>
    </comment>
    <comment ref="CP82" authorId="1" shapeId="0" xr:uid="{00000000-0006-0000-0600-00003D000000}">
      <text>
        <r>
          <rPr>
            <b/>
            <sz val="9"/>
            <color indexed="81"/>
            <rFont val="Tahoma"/>
            <family val="2"/>
          </rPr>
          <t>Parsons, Gavin [GIR]:</t>
        </r>
        <r>
          <rPr>
            <sz val="9"/>
            <color indexed="81"/>
            <rFont val="Tahoma"/>
            <family val="2"/>
          </rPr>
          <t xml:space="preserve">
2016-2020 CAGR:
mar 16: 10%+
dec 16: same
2q17: same
3q17: same
4q17: same
4q19: +MSD
[pulled]</t>
        </r>
      </text>
    </comment>
    <comment ref="CU82" authorId="1" shapeId="0" xr:uid="{00000000-0006-0000-0600-00003E000000}">
      <text>
        <r>
          <rPr>
            <b/>
            <sz val="9"/>
            <color indexed="81"/>
            <rFont val="Tahoma"/>
            <family val="2"/>
          </rPr>
          <t>Parsons, Gavin [GIR]:</t>
        </r>
        <r>
          <rPr>
            <sz val="9"/>
            <color indexed="81"/>
            <rFont val="Tahoma"/>
            <family val="2"/>
          </rPr>
          <t xml:space="preserve">
4q20: flat-up MSD; 2-4Q +LDD-mid teens
1q21: +L-MSD
may21: same
2q21: same
3q21: +MSD</t>
        </r>
      </text>
    </comment>
    <comment ref="CZ82" authorId="1" shapeId="0" xr:uid="{00000000-0006-0000-0600-00003F000000}">
      <text>
        <r>
          <rPr>
            <b/>
            <sz val="9"/>
            <color indexed="81"/>
            <rFont val="Tahoma"/>
            <family val="2"/>
          </rPr>
          <t>Parsons, Gavin [GIR]:</t>
        </r>
        <r>
          <rPr>
            <sz val="9"/>
            <color indexed="81"/>
            <rFont val="Tahoma"/>
            <family val="2"/>
          </rPr>
          <t xml:space="preserve">
4q21: +LDD
1q22: +HSD-LDD (absorb 375 Russia headwind)
2q22: +low teens
3q22: same</t>
        </r>
      </text>
    </comment>
    <comment ref="DE82" authorId="1" shapeId="0" xr:uid="{2167D760-3876-4762-9716-E52A6F5E7387}">
      <text>
        <r>
          <rPr>
            <b/>
            <sz val="9"/>
            <color indexed="81"/>
            <rFont val="Tahoma"/>
            <family val="2"/>
          </rPr>
          <t>Parsons, Gavin [GIR]:</t>
        </r>
        <r>
          <rPr>
            <sz val="9"/>
            <color indexed="81"/>
            <rFont val="Tahoma"/>
            <family val="2"/>
          </rPr>
          <t xml:space="preserve">
4q22: +low-mid teens
1q23: unchanged
2q23: unchanged
Sep23: unchanged
3q23: mid-teens</t>
        </r>
      </text>
    </comment>
    <comment ref="DJ82" authorId="0" shapeId="0" xr:uid="{7E280806-55EA-4288-935C-C4CEBB6B5DA6}">
      <text>
        <r>
          <rPr>
            <b/>
            <sz val="9"/>
            <color indexed="81"/>
            <rFont val="Tahoma"/>
            <family val="2"/>
          </rPr>
          <t>Blake, BEN [GIR]:</t>
        </r>
        <r>
          <rPr>
            <sz val="9"/>
            <color indexed="81"/>
            <rFont val="Tahoma"/>
            <family val="2"/>
          </rPr>
          <t xml:space="preserve">
4q23: +LDD
1q24: same
2q24: +mid teens
3q24: same</t>
        </r>
      </text>
    </comment>
    <comment ref="DO82" authorId="4" shapeId="0" xr:uid="{42338BD3-D10B-405C-A063-4AABE1427CC3}">
      <text>
        <r>
          <rPr>
            <b/>
            <sz val="9"/>
            <color indexed="81"/>
            <rFont val="Tahoma"/>
            <family val="2"/>
          </rPr>
          <t>Valentini, Anthony [GIR]:</t>
        </r>
        <r>
          <rPr>
            <sz val="9"/>
            <color indexed="81"/>
            <rFont val="Tahoma"/>
            <family val="2"/>
          </rPr>
          <t xml:space="preserve">
jun23: 9-10% FY20-255 CAGR
4q23: unchanged
4q24: +HSD%
1q25: same
2q25: +LDD%
3q25: +low-mid teens</t>
        </r>
      </text>
    </comment>
    <comment ref="AR83" authorId="10" shapeId="0" xr:uid="{00000000-0006-0000-0600-000040000000}">
      <text>
        <r>
          <rPr>
            <b/>
            <sz val="8"/>
            <color indexed="81"/>
            <rFont val="Tahoma"/>
            <family val="2"/>
          </rPr>
          <t>khalom:</t>
        </r>
        <r>
          <rPr>
            <sz val="8"/>
            <color indexed="81"/>
            <rFont val="Tahoma"/>
            <family val="2"/>
          </rPr>
          <t xml:space="preserve">
1q10: up slightly
2q10: same
3q10: same</t>
        </r>
      </text>
    </comment>
    <comment ref="AW83" authorId="10" shapeId="0" xr:uid="{00000000-0006-0000-0600-000041000000}">
      <text>
        <r>
          <rPr>
            <b/>
            <sz val="8"/>
            <color indexed="81"/>
            <rFont val="Tahoma"/>
            <family val="2"/>
          </rPr>
          <t>khalom:</t>
        </r>
        <r>
          <rPr>
            <sz val="8"/>
            <color indexed="81"/>
            <rFont val="Tahoma"/>
            <family val="2"/>
          </rPr>
          <t xml:space="preserve">
4q10: up MSD yoy
1q11: same
2q11: same
3q11: up HSD</t>
        </r>
      </text>
    </comment>
    <comment ref="BB83" authorId="10" shapeId="0" xr:uid="{00000000-0006-0000-0600-000042000000}">
      <text>
        <r>
          <rPr>
            <b/>
            <sz val="8"/>
            <color indexed="81"/>
            <rFont val="Tahoma"/>
            <family val="2"/>
          </rPr>
          <t xml:space="preserve">khalom:
</t>
        </r>
        <r>
          <rPr>
            <sz val="8"/>
            <color indexed="81"/>
            <rFont val="Tahoma"/>
            <family val="2"/>
          </rPr>
          <t>4q11: up 10% yoy</t>
        </r>
        <r>
          <rPr>
            <b/>
            <sz val="8"/>
            <color indexed="81"/>
            <rFont val="Tahoma"/>
            <family val="2"/>
          </rPr>
          <t xml:space="preserve">
</t>
        </r>
        <r>
          <rPr>
            <sz val="8"/>
            <color indexed="81"/>
            <rFont val="Tahoma"/>
            <family val="2"/>
          </rPr>
          <t>1q12:up HSD
2q12: up HSD
3q12: up ~$4bn.</t>
        </r>
      </text>
    </comment>
    <comment ref="BG83" authorId="5" shapeId="0" xr:uid="{00000000-0006-0000-0600-000043000000}">
      <text>
        <r>
          <rPr>
            <b/>
            <sz val="8"/>
            <color indexed="81"/>
            <rFont val="Tahoma"/>
            <family val="2"/>
          </rPr>
          <t>sammun:</t>
        </r>
        <r>
          <rPr>
            <sz val="8"/>
            <color indexed="81"/>
            <rFont val="Tahoma"/>
            <family val="2"/>
          </rPr>
          <t xml:space="preserve">
4q12: +HSD
1q13: same
2q13: +MSD
3q13: +MSD</t>
        </r>
      </text>
    </comment>
    <comment ref="BL83" authorId="10" shapeId="0" xr:uid="{00000000-0006-0000-0600-000044000000}">
      <text>
        <r>
          <rPr>
            <b/>
            <sz val="8"/>
            <color indexed="81"/>
            <rFont val="Tahoma"/>
            <family val="2"/>
          </rPr>
          <t>khalom:</t>
        </r>
        <r>
          <rPr>
            <sz val="8"/>
            <color indexed="81"/>
            <rFont val="Tahoma"/>
            <family val="2"/>
          </rPr>
          <t xml:space="preserve">
dec 13: +MSD - HSD
1q14: same
2q14: same
3q14: same</t>
        </r>
      </text>
    </comment>
    <comment ref="BQ83" authorId="1" shapeId="0" xr:uid="{00000000-0006-0000-0600-000045000000}">
      <text>
        <r>
          <rPr>
            <b/>
            <sz val="8"/>
            <color indexed="81"/>
            <rFont val="Tahoma"/>
            <family val="2"/>
          </rPr>
          <t>Parsons, Gavin [GIR]:</t>
        </r>
        <r>
          <rPr>
            <sz val="8"/>
            <color indexed="81"/>
            <rFont val="Tahoma"/>
            <family val="2"/>
          </rPr>
          <t xml:space="preserve">
dec 14: +MSD
mar 15: same
1q15: same
2q15: +LSD</t>
        </r>
      </text>
    </comment>
    <comment ref="BV83" authorId="1" shapeId="0" xr:uid="{00000000-0006-0000-0600-000046000000}">
      <text>
        <r>
          <rPr>
            <b/>
            <sz val="9"/>
            <color indexed="81"/>
            <rFont val="Tahoma"/>
            <family val="2"/>
          </rPr>
          <t>Parsons, Gavin [GIR]:</t>
        </r>
        <r>
          <rPr>
            <sz val="9"/>
            <color indexed="81"/>
            <rFont val="Tahoma"/>
            <family val="2"/>
          </rPr>
          <t xml:space="preserve">
3q15: +LSD
dec 15: same
mar 16: same
1q16: same
3q16: same</t>
        </r>
      </text>
    </comment>
    <comment ref="BY83" authorId="7" shapeId="0" xr:uid="{00000000-0006-0000-0600-000047000000}">
      <text>
        <r>
          <rPr>
            <b/>
            <sz val="9"/>
            <color indexed="81"/>
            <rFont val="Tahoma"/>
            <family val="2"/>
          </rPr>
          <t>Correa, Tais [GIR]:</t>
        </r>
        <r>
          <rPr>
            <sz val="9"/>
            <color indexed="81"/>
            <rFont val="Tahoma"/>
            <family val="2"/>
          </rPr>
          <t xml:space="preserve">
</t>
        </r>
        <r>
          <rPr>
            <sz val="8"/>
            <color indexed="81"/>
            <rFont val="Tahoma"/>
            <family val="2"/>
          </rPr>
          <t>4q16: 4%-5% UTAS + PW in 2H17</t>
        </r>
      </text>
    </comment>
    <comment ref="BZ83" authorId="7" shapeId="0" xr:uid="{00000000-0006-0000-0600-000048000000}">
      <text>
        <r>
          <rPr>
            <b/>
            <sz val="9"/>
            <color indexed="81"/>
            <rFont val="Tahoma"/>
            <family val="2"/>
          </rPr>
          <t>Correa, Tais [GIR]:</t>
        </r>
        <r>
          <rPr>
            <sz val="9"/>
            <color indexed="81"/>
            <rFont val="Tahoma"/>
            <family val="2"/>
          </rPr>
          <t xml:space="preserve">
</t>
        </r>
        <r>
          <rPr>
            <sz val="8"/>
            <color indexed="81"/>
            <rFont val="Tahoma"/>
            <family val="2"/>
          </rPr>
          <t>4q16: 4%-5% UTAS + PW in 2H17</t>
        </r>
      </text>
    </comment>
    <comment ref="CA83" authorId="1" shapeId="0" xr:uid="{00000000-0006-0000-0600-000049000000}">
      <text>
        <r>
          <rPr>
            <b/>
            <sz val="9"/>
            <color indexed="81"/>
            <rFont val="Tahoma"/>
            <family val="2"/>
          </rPr>
          <t>Parsons, Gavin [GIR]:</t>
        </r>
        <r>
          <rPr>
            <sz val="9"/>
            <color indexed="81"/>
            <rFont val="Tahoma"/>
            <family val="2"/>
          </rPr>
          <t xml:space="preserve">
dec 16: +LSD
1q17: same
3q17: same, high end</t>
        </r>
      </text>
    </comment>
    <comment ref="CF83" authorId="1" shapeId="0" xr:uid="{00000000-0006-0000-0600-00004A000000}">
      <text>
        <r>
          <rPr>
            <b/>
            <sz val="9"/>
            <color indexed="81"/>
            <rFont val="Tahoma"/>
            <family val="2"/>
          </rPr>
          <t>Parsons, Gavin [GIR]:</t>
        </r>
        <r>
          <rPr>
            <sz val="9"/>
            <color indexed="81"/>
            <rFont val="Tahoma"/>
            <family val="2"/>
          </rPr>
          <t xml:space="preserve">
4q17: +LSD
mar 18: same
2q18: +L-MSD
3q18: +MSD</t>
        </r>
      </text>
    </comment>
    <comment ref="CK83" authorId="6" shapeId="0" xr:uid="{00000000-0006-0000-0600-00004B000000}">
      <text>
        <r>
          <rPr>
            <b/>
            <sz val="9"/>
            <color indexed="81"/>
            <rFont val="Tahoma"/>
            <family val="2"/>
          </rPr>
          <t>Porat, Matthew [GIR]:</t>
        </r>
        <r>
          <rPr>
            <sz val="9"/>
            <color indexed="81"/>
            <rFont val="Tahoma"/>
            <family val="2"/>
          </rPr>
          <t xml:space="preserve">
4q18: +MSD
2q19: same
3q19: +M-HSD</t>
        </r>
      </text>
    </comment>
    <comment ref="CN83" authorId="1" shapeId="0" xr:uid="{00000000-0006-0000-0600-00004C000000}">
      <text>
        <r>
          <rPr>
            <b/>
            <sz val="9"/>
            <color indexed="81"/>
            <rFont val="Tahoma"/>
            <family val="2"/>
          </rPr>
          <t>Parsons, Gavin [GIR]:</t>
        </r>
        <r>
          <rPr>
            <sz val="9"/>
            <color indexed="81"/>
            <rFont val="Tahoma"/>
            <family val="2"/>
          </rPr>
          <t xml:space="preserve">
2q20: similar to 2Q</t>
        </r>
      </text>
    </comment>
    <comment ref="CO83" authorId="1" shapeId="0" xr:uid="{00000000-0006-0000-0600-00004D000000}">
      <text>
        <r>
          <rPr>
            <b/>
            <sz val="9"/>
            <color indexed="81"/>
            <rFont val="Tahoma"/>
            <family val="2"/>
          </rPr>
          <t>Parsons, Gavin [GIR]:</t>
        </r>
        <r>
          <rPr>
            <sz val="9"/>
            <color indexed="81"/>
            <rFont val="Tahoma"/>
            <family val="2"/>
          </rPr>
          <t xml:space="preserve">
2q20: gradual recovery</t>
        </r>
      </text>
    </comment>
    <comment ref="CP83" authorId="1" shapeId="0" xr:uid="{00000000-0006-0000-0600-00004E000000}">
      <text>
        <r>
          <rPr>
            <b/>
            <sz val="9"/>
            <color indexed="81"/>
            <rFont val="Tahoma"/>
            <family val="2"/>
          </rPr>
          <t>Parsons, Gavin [GIR]:</t>
        </r>
        <r>
          <rPr>
            <sz val="9"/>
            <color indexed="81"/>
            <rFont val="Tahoma"/>
            <family val="2"/>
          </rPr>
          <t xml:space="preserve">
2016-2020 CAGR:
mar 16: 5-7%
dec 16: same
2q17: same
3q17: same
4q17: same
4Q19: down slightly
[pulled]</t>
        </r>
      </text>
    </comment>
    <comment ref="CU83" authorId="1" shapeId="0" xr:uid="{00000000-0006-0000-0600-00004F000000}">
      <text>
        <r>
          <rPr>
            <b/>
            <sz val="9"/>
            <color indexed="81"/>
            <rFont val="Tahoma"/>
            <family val="2"/>
          </rPr>
          <t>Parsons, Gavin [GIR]:</t>
        </r>
        <r>
          <rPr>
            <sz val="9"/>
            <color indexed="81"/>
            <rFont val="Tahoma"/>
            <family val="2"/>
          </rPr>
          <t xml:space="preserve">
4q20: organic down MSD to down slightly
1q21: implied down LSD to down slightly
may21: down MSD-LSD
2q21: same
3q21: down MSD</t>
        </r>
      </text>
    </comment>
    <comment ref="CZ83" authorId="1" shapeId="0" xr:uid="{00000000-0006-0000-0600-000050000000}">
      <text>
        <r>
          <rPr>
            <b/>
            <sz val="9"/>
            <color indexed="81"/>
            <rFont val="Tahoma"/>
            <family val="2"/>
          </rPr>
          <t>Parsons, Gavin [GIR]:</t>
        </r>
        <r>
          <rPr>
            <sz val="9"/>
            <color indexed="81"/>
            <rFont val="Tahoma"/>
            <family val="2"/>
          </rPr>
          <t xml:space="preserve">
4q21: +LDD
1q22: same (absorb 375 Russia headwind)
2q22: same
3q22: same</t>
        </r>
      </text>
    </comment>
    <comment ref="DE83" authorId="1" shapeId="0" xr:uid="{60F6BD3E-8FEA-4E10-9666-5CA4C7A93AB8}">
      <text>
        <r>
          <rPr>
            <b/>
            <sz val="9"/>
            <color indexed="81"/>
            <rFont val="Tahoma"/>
            <family val="2"/>
          </rPr>
          <t>Parsons, Gavin [GIR]:</t>
        </r>
        <r>
          <rPr>
            <sz val="9"/>
            <color indexed="81"/>
            <rFont val="Tahoma"/>
            <family val="2"/>
          </rPr>
          <t xml:space="preserve">
4q22: +LDD
1q23: unchanged
2q23: LDD-low teens
Sep23: unchanged
3q23: low-mid teens</t>
        </r>
      </text>
    </comment>
    <comment ref="DJ83" authorId="0" shapeId="0" xr:uid="{DBFEFE27-4AC6-4B82-9583-D2D4684925D2}">
      <text>
        <r>
          <rPr>
            <b/>
            <sz val="9"/>
            <color indexed="81"/>
            <rFont val="Tahoma"/>
            <family val="2"/>
          </rPr>
          <t>Blake, BEN [GIR]:</t>
        </r>
        <r>
          <rPr>
            <sz val="9"/>
            <color indexed="81"/>
            <rFont val="Tahoma"/>
            <family val="2"/>
          </rPr>
          <t xml:space="preserve">
4q23: +MSD-HSD
1q24: same
2q24: +HSD
3q24: same</t>
        </r>
      </text>
    </comment>
    <comment ref="DO83" authorId="4" shapeId="0" xr:uid="{D9EE8F6B-5351-430B-B735-E7D98B3A6417}">
      <text>
        <r>
          <rPr>
            <b/>
            <sz val="9"/>
            <color indexed="81"/>
            <rFont val="Tahoma"/>
            <family val="2"/>
          </rPr>
          <t>Valentini, Anthony [GIR]:</t>
        </r>
        <r>
          <rPr>
            <sz val="9"/>
            <color indexed="81"/>
            <rFont val="Tahoma"/>
            <family val="2"/>
          </rPr>
          <t xml:space="preserve">
jun23: 6-7% FY20-255 CAGR
4q23: unchanged
4q24: +MSD%
1q25: same
2q25: +HSD%
3q25: same</t>
        </r>
      </text>
    </comment>
    <comment ref="CM84" authorId="1" shapeId="0" xr:uid="{00000000-0006-0000-0600-000052000000}">
      <text>
        <r>
          <rPr>
            <b/>
            <sz val="9"/>
            <color indexed="81"/>
            <rFont val="Tahoma"/>
            <family val="2"/>
          </rPr>
          <t>Parsons, Gavin [GIR]:</t>
        </r>
        <r>
          <rPr>
            <sz val="9"/>
            <color indexed="81"/>
            <rFont val="Tahoma"/>
            <family val="2"/>
          </rPr>
          <t xml:space="preserve">
adjusted for stub period; 1% ex EAC change</t>
        </r>
      </text>
    </comment>
    <comment ref="CU84" authorId="1" shapeId="0" xr:uid="{00000000-0006-0000-0600-000053000000}">
      <text>
        <r>
          <rPr>
            <b/>
            <sz val="9"/>
            <color indexed="81"/>
            <rFont val="Tahoma"/>
            <family val="2"/>
          </rPr>
          <t>Parsons, Gavin [GIR]:</t>
        </r>
        <r>
          <rPr>
            <sz val="9"/>
            <color indexed="81"/>
            <rFont val="Tahoma"/>
            <family val="2"/>
          </rPr>
          <t xml:space="preserve">
4q20: +L-MSD
1q21: same
may21: same
2q21: same
3q21: +LSD</t>
        </r>
      </text>
    </comment>
    <comment ref="CV84" authorId="1" shapeId="0" xr:uid="{00000000-0006-0000-0600-000054000000}">
      <text>
        <r>
          <rPr>
            <b/>
            <sz val="9"/>
            <color indexed="81"/>
            <rFont val="Tahoma"/>
            <family val="2"/>
          </rPr>
          <t>Parsons, Gavin [GIR]:</t>
        </r>
        <r>
          <rPr>
            <sz val="9"/>
            <color indexed="81"/>
            <rFont val="Tahoma"/>
            <family val="2"/>
          </rPr>
          <t xml:space="preserve">
4q21: down yoy</t>
        </r>
      </text>
    </comment>
    <comment ref="CZ84" authorId="1" shapeId="0" xr:uid="{00000000-0006-0000-0600-000055000000}">
      <text>
        <r>
          <rPr>
            <b/>
            <sz val="9"/>
            <color indexed="81"/>
            <rFont val="Tahoma"/>
            <family val="2"/>
          </rPr>
          <t>Parsons, Gavin [GIR]:</t>
        </r>
        <r>
          <rPr>
            <sz val="9"/>
            <color indexed="81"/>
            <rFont val="Tahoma"/>
            <family val="2"/>
          </rPr>
          <t xml:space="preserve">
4q21: +LSD
1q22: same
2q22: flat
3q22: down slightly</t>
        </r>
      </text>
    </comment>
    <comment ref="DE84" authorId="1" shapeId="0" xr:uid="{23738A75-D74F-4719-B85B-E458D4D582C2}">
      <text>
        <r>
          <rPr>
            <b/>
            <sz val="9"/>
            <color indexed="81"/>
            <rFont val="Tahoma"/>
            <family val="2"/>
          </rPr>
          <t>Parsons, Gavin [GIR]:</t>
        </r>
        <r>
          <rPr>
            <sz val="9"/>
            <color indexed="81"/>
            <rFont val="Tahoma"/>
            <family val="2"/>
          </rPr>
          <t xml:space="preserve">
4q22: flat
1q23: unchanged
2q23: Combined Raytheon - MSD</t>
        </r>
      </text>
    </comment>
    <comment ref="DO84" authorId="4" shapeId="0" xr:uid="{96434894-9D7B-4325-B585-BB2085BF2088}">
      <text>
        <r>
          <rPr>
            <b/>
            <sz val="9"/>
            <color indexed="81"/>
            <rFont val="Tahoma"/>
            <family val="2"/>
          </rPr>
          <t>Valentini, Anthony [GIR]:</t>
        </r>
        <r>
          <rPr>
            <sz val="9"/>
            <color indexed="81"/>
            <rFont val="Tahoma"/>
            <family val="2"/>
          </rPr>
          <t xml:space="preserve">
jun23: 3.5-4.5% FY20-25E CAGR (RTX Total)</t>
        </r>
      </text>
    </comment>
    <comment ref="CM85" authorId="1" shapeId="0" xr:uid="{00000000-0006-0000-0600-000056000000}">
      <text>
        <r>
          <rPr>
            <b/>
            <sz val="9"/>
            <color indexed="81"/>
            <rFont val="Tahoma"/>
            <family val="2"/>
          </rPr>
          <t>Parsons, Gavin [GIR]:</t>
        </r>
        <r>
          <rPr>
            <sz val="9"/>
            <color indexed="81"/>
            <rFont val="Tahoma"/>
            <family val="2"/>
          </rPr>
          <t xml:space="preserve">
adjusted for stub period; 1% ex EAC change</t>
        </r>
      </text>
    </comment>
    <comment ref="CU85" authorId="1" shapeId="0" xr:uid="{00000000-0006-0000-0600-000057000000}">
      <text>
        <r>
          <rPr>
            <b/>
            <sz val="9"/>
            <color indexed="81"/>
            <rFont val="Tahoma"/>
            <family val="2"/>
          </rPr>
          <t>Parsons, Gavin [GIR]:</t>
        </r>
        <r>
          <rPr>
            <sz val="9"/>
            <color indexed="81"/>
            <rFont val="Tahoma"/>
            <family val="2"/>
          </rPr>
          <t xml:space="preserve">
4q20: +L-MSD
1q21: same
may21: same
2q21: same
3q21: same</t>
        </r>
      </text>
    </comment>
    <comment ref="CV85" authorId="1" shapeId="0" xr:uid="{00000000-0006-0000-0600-000058000000}">
      <text>
        <r>
          <rPr>
            <b/>
            <sz val="9"/>
            <color indexed="81"/>
            <rFont val="Tahoma"/>
            <family val="2"/>
          </rPr>
          <t>Parsons, Gavin [GIR]:</t>
        </r>
        <r>
          <rPr>
            <sz val="9"/>
            <color indexed="81"/>
            <rFont val="Tahoma"/>
            <family val="2"/>
          </rPr>
          <t xml:space="preserve">
4q21: down yoy</t>
        </r>
      </text>
    </comment>
    <comment ref="CZ85" authorId="1" shapeId="0" xr:uid="{00000000-0006-0000-0600-000059000000}">
      <text>
        <r>
          <rPr>
            <b/>
            <sz val="9"/>
            <color indexed="81"/>
            <rFont val="Tahoma"/>
            <family val="2"/>
          </rPr>
          <t>Parsons, Gavin [GIR]:</t>
        </r>
        <r>
          <rPr>
            <sz val="9"/>
            <color indexed="81"/>
            <rFont val="Tahoma"/>
            <family val="2"/>
          </rPr>
          <t xml:space="preserve">
4q21: +L-MSD
1q22: same
2q22: up slightly
3q22: down LSD</t>
        </r>
      </text>
    </comment>
    <comment ref="DE85" authorId="1" shapeId="0" xr:uid="{E983BDA1-71A5-4E22-AD7E-3E985583E3B6}">
      <text>
        <r>
          <rPr>
            <b/>
            <sz val="9"/>
            <color indexed="81"/>
            <rFont val="Tahoma"/>
            <family val="2"/>
          </rPr>
          <t>Parsons, Gavin [GIR]:</t>
        </r>
        <r>
          <rPr>
            <sz val="9"/>
            <color indexed="81"/>
            <rFont val="Tahoma"/>
            <family val="2"/>
          </rPr>
          <t xml:space="preserve">
4q22: +L-MSD
1q23: unchanged
2q23: Combined Raytheon - MSD</t>
        </r>
      </text>
    </comment>
    <comment ref="CV86" authorId="1" shapeId="0" xr:uid="{6D24790A-0018-44C0-A2FB-E19060EFF5B1}">
      <text>
        <r>
          <rPr>
            <b/>
            <sz val="9"/>
            <color indexed="81"/>
            <rFont val="Tahoma"/>
            <family val="2"/>
          </rPr>
          <t>Parsons, Gavin [GIR]:</t>
        </r>
        <r>
          <rPr>
            <sz val="9"/>
            <color indexed="81"/>
            <rFont val="Tahoma"/>
            <family val="2"/>
          </rPr>
          <t xml:space="preserve">
4q21: down yoy</t>
        </r>
      </text>
    </comment>
    <comment ref="DE86" authorId="1" shapeId="0" xr:uid="{9D222D7E-E1B9-44EF-A310-A48C51D89049}">
      <text>
        <r>
          <rPr>
            <b/>
            <sz val="9"/>
            <color indexed="81"/>
            <rFont val="Tahoma"/>
            <family val="2"/>
          </rPr>
          <t>Parsons, Gavin [GIR]:</t>
        </r>
        <r>
          <rPr>
            <sz val="9"/>
            <color indexed="81"/>
            <rFont val="Tahoma"/>
            <family val="2"/>
          </rPr>
          <t xml:space="preserve">
4q22: +L-MSD
1q23: unchanged
2q23: Combined Raytheon - MSD
Sep23: low to MSD
3q23: MSD</t>
        </r>
      </text>
    </comment>
    <comment ref="DJ86" authorId="0" shapeId="0" xr:uid="{0E836219-B90A-4D07-97DB-93CA6AF10A53}">
      <text>
        <r>
          <rPr>
            <b/>
            <sz val="9"/>
            <color indexed="81"/>
            <rFont val="Tahoma"/>
            <family val="2"/>
          </rPr>
          <t>Blake, BEN [GIR]:</t>
        </r>
        <r>
          <rPr>
            <sz val="9"/>
            <color indexed="81"/>
            <rFont val="Tahoma"/>
            <family val="2"/>
          </rPr>
          <t xml:space="preserve">
4q23: +LSD-MSD
1q24: same
2q24: +MSD
3q24: same</t>
        </r>
      </text>
    </comment>
    <comment ref="DO86" authorId="3" shapeId="0" xr:uid="{E5354A74-3655-4905-85E6-3F8ADFEFAF62}">
      <text>
        <r>
          <rPr>
            <b/>
            <sz val="9"/>
            <color indexed="81"/>
            <rFont val="Tahoma"/>
            <family val="2"/>
          </rPr>
          <t>Dessert, Connor H [GIR]:</t>
        </r>
        <r>
          <rPr>
            <sz val="9"/>
            <color indexed="81"/>
            <rFont val="Tahoma"/>
            <family val="2"/>
          </rPr>
          <t xml:space="preserve">
4q24: +MSD%
1q25: same
2q25: same
3q25: same</t>
        </r>
      </text>
    </comment>
    <comment ref="CQ87" authorId="1" shapeId="0" xr:uid="{00000000-0006-0000-0600-00005A000000}">
      <text>
        <r>
          <rPr>
            <b/>
            <sz val="9"/>
            <color indexed="81"/>
            <rFont val="Tahoma"/>
            <family val="2"/>
          </rPr>
          <t>Parsons, Gavin [GIR]:</t>
        </r>
        <r>
          <rPr>
            <sz val="9"/>
            <color indexed="81"/>
            <rFont val="Tahoma"/>
            <family val="2"/>
          </rPr>
          <t xml:space="preserve">
4q20: (18%)-(15)%</t>
        </r>
      </text>
    </comment>
    <comment ref="CR87" authorId="1" shapeId="0" xr:uid="{00000000-0006-0000-0600-00005B000000}">
      <text>
        <r>
          <rPr>
            <b/>
            <sz val="9"/>
            <color indexed="81"/>
            <rFont val="Tahoma"/>
            <family val="2"/>
          </rPr>
          <t>Parsons, Gavin [GIR]:</t>
        </r>
        <r>
          <rPr>
            <sz val="9"/>
            <color indexed="81"/>
            <rFont val="Tahoma"/>
            <family val="2"/>
          </rPr>
          <t xml:space="preserve">
4q20: 2-4Q 7-10%
1q21: 8-12%</t>
        </r>
      </text>
    </comment>
    <comment ref="CS87" authorId="1" shapeId="0" xr:uid="{00000000-0006-0000-0600-00005C000000}">
      <text>
        <r>
          <rPr>
            <b/>
            <sz val="9"/>
            <color indexed="81"/>
            <rFont val="Tahoma"/>
            <family val="2"/>
          </rPr>
          <t>Parsons, Gavin [GIR]:</t>
        </r>
        <r>
          <rPr>
            <sz val="9"/>
            <color indexed="81"/>
            <rFont val="Tahoma"/>
            <family val="2"/>
          </rPr>
          <t xml:space="preserve">
4q20: 2-4Q 7-10%</t>
        </r>
      </text>
    </comment>
    <comment ref="CT87" authorId="1" shapeId="0" xr:uid="{00000000-0006-0000-0600-00005D000000}">
      <text>
        <r>
          <rPr>
            <b/>
            <sz val="9"/>
            <color indexed="81"/>
            <rFont val="Tahoma"/>
            <family val="2"/>
          </rPr>
          <t>Parsons, Gavin [GIR]:</t>
        </r>
        <r>
          <rPr>
            <sz val="9"/>
            <color indexed="81"/>
            <rFont val="Tahoma"/>
            <family val="2"/>
          </rPr>
          <t xml:space="preserve">
4q20: 2-4Q 7-10%</t>
        </r>
      </text>
    </comment>
    <comment ref="CU87" authorId="1" shapeId="0" xr:uid="{00000000-0006-0000-0600-00005E000000}">
      <text>
        <r>
          <rPr>
            <b/>
            <sz val="9"/>
            <color indexed="81"/>
            <rFont val="Tahoma"/>
            <family val="2"/>
          </rPr>
          <t>Parsons, Gavin [GIR]:</t>
        </r>
        <r>
          <rPr>
            <sz val="9"/>
            <color indexed="81"/>
            <rFont val="Tahoma"/>
            <family val="2"/>
          </rPr>
          <t xml:space="preserve">
4q20: flat to +3%
1q21: 1-3%
may21: same
2q21: same
3q21: 1%</t>
        </r>
      </text>
    </comment>
    <comment ref="CV87" authorId="1" shapeId="0" xr:uid="{00000000-0006-0000-0600-00005F000000}">
      <text>
        <r>
          <rPr>
            <b/>
            <sz val="9"/>
            <color indexed="81"/>
            <rFont val="Tahoma"/>
            <family val="2"/>
          </rPr>
          <t>Parsons, Gavin [GIR]:</t>
        </r>
        <r>
          <rPr>
            <sz val="9"/>
            <color indexed="81"/>
            <rFont val="Tahoma"/>
            <family val="2"/>
          </rPr>
          <t xml:space="preserve">
4q21: +MSD
feb22: 2-3%</t>
        </r>
      </text>
    </comment>
    <comment ref="CZ87" authorId="1" shapeId="0" xr:uid="{00000000-0006-0000-0600-000060000000}">
      <text>
        <r>
          <rPr>
            <b/>
            <sz val="9"/>
            <color indexed="81"/>
            <rFont val="Tahoma"/>
            <family val="2"/>
          </rPr>
          <t>Parsons, Gavin [GIR]:</t>
        </r>
        <r>
          <rPr>
            <sz val="9"/>
            <color indexed="81"/>
            <rFont val="Tahoma"/>
            <family val="2"/>
          </rPr>
          <t xml:space="preserve">
4q21: 7-9%
feb22: same
1q22: 6-8%
2q22: same
3q22: 5-6%</t>
        </r>
      </text>
    </comment>
    <comment ref="DB87" authorId="4" shapeId="0" xr:uid="{8AAF91FE-BAFE-42F2-AE43-87ED546DAF50}">
      <text>
        <r>
          <rPr>
            <b/>
            <sz val="9"/>
            <color indexed="81"/>
            <rFont val="Tahoma"/>
            <family val="2"/>
          </rPr>
          <t>Valentini, Anthony [GIR]:</t>
        </r>
        <r>
          <rPr>
            <sz val="9"/>
            <color indexed="81"/>
            <rFont val="Tahoma"/>
            <family val="2"/>
          </rPr>
          <t xml:space="preserve">
jun23: 9-10%</t>
        </r>
      </text>
    </comment>
    <comment ref="DE87" authorId="1" shapeId="0" xr:uid="{0505A1C9-F8E7-4F68-B272-5771F6B9336D}">
      <text>
        <r>
          <rPr>
            <b/>
            <sz val="9"/>
            <color indexed="81"/>
            <rFont val="Tahoma"/>
            <family val="2"/>
          </rPr>
          <t>Parsons, Gavin [GIR]:</t>
        </r>
        <r>
          <rPr>
            <sz val="9"/>
            <color indexed="81"/>
            <rFont val="Tahoma"/>
            <family val="2"/>
          </rPr>
          <t xml:space="preserve">
3q22: up M-HSD
4q22: 7-9%
1q23: same
2q23: 9-10%
Sep23: unchanged
3q23: ~10%</t>
        </r>
      </text>
    </comment>
    <comment ref="DJ87" authorId="0" shapeId="0" xr:uid="{560DD972-E182-434D-B2A3-E3F30BD04CB7}">
      <text>
        <r>
          <rPr>
            <b/>
            <sz val="9"/>
            <color indexed="81"/>
            <rFont val="Tahoma"/>
            <family val="2"/>
          </rPr>
          <t>Blake, BEN [GIR]:</t>
        </r>
        <r>
          <rPr>
            <sz val="9"/>
            <color indexed="81"/>
            <rFont val="Tahoma"/>
            <family val="2"/>
          </rPr>
          <t xml:space="preserve">
4q23: 7-8%
1q24: same
2q24: +8-9%
3q24: same</t>
        </r>
      </text>
    </comment>
    <comment ref="DO87" authorId="4" shapeId="0" xr:uid="{00000000-0006-0000-0600-000061000000}">
      <text>
        <r>
          <rPr>
            <b/>
            <sz val="9"/>
            <color indexed="81"/>
            <rFont val="Tahoma"/>
            <family val="2"/>
          </rPr>
          <t>Valentini, Anthony [GIR]:</t>
        </r>
        <r>
          <rPr>
            <sz val="9"/>
            <color indexed="81"/>
            <rFont val="Tahoma"/>
            <family val="2"/>
          </rPr>
          <t xml:space="preserve">
may21: 6-7% CAGR 2020-25E
4q21: same
jun23: same
4q23: 5.5-6.0% CAGR 2020-25E
4q24: 4 - 6%
1q25: same
2q25: 6 - 7%
3q25: 8-9%</t>
        </r>
      </text>
    </comment>
    <comment ref="BG100" authorId="5" shapeId="0" xr:uid="{00000000-0006-0000-0600-000062000000}">
      <text>
        <r>
          <rPr>
            <b/>
            <sz val="8"/>
            <color indexed="81"/>
            <rFont val="Tahoma"/>
            <family val="2"/>
          </rPr>
          <t>sammun:</t>
        </r>
        <r>
          <rPr>
            <sz val="8"/>
            <color indexed="81"/>
            <rFont val="Tahoma"/>
            <family val="2"/>
          </rPr>
          <t xml:space="preserve">
4q12: +MSD-HSD
1q13: same
2q13: +MSD
3q13: +LSD</t>
        </r>
      </text>
    </comment>
    <comment ref="BL100" authorId="10" shapeId="0" xr:uid="{00000000-0006-0000-0600-000063000000}">
      <text>
        <r>
          <rPr>
            <b/>
            <sz val="8"/>
            <color indexed="81"/>
            <rFont val="Tahoma"/>
            <family val="2"/>
          </rPr>
          <t>khalom:</t>
        </r>
        <r>
          <rPr>
            <sz val="8"/>
            <color indexed="81"/>
            <rFont val="Tahoma"/>
            <family val="2"/>
          </rPr>
          <t xml:space="preserve">
dec 13: +LSD
mar 14: same
1q14: same
2q14: same
3q14: same</t>
        </r>
      </text>
    </comment>
    <comment ref="BQ100" authorId="1" shapeId="0" xr:uid="{00000000-0006-0000-0600-000064000000}">
      <text>
        <r>
          <rPr>
            <b/>
            <sz val="8"/>
            <color indexed="81"/>
            <rFont val="Tahoma"/>
            <family val="2"/>
          </rPr>
          <t>Parsons, Gavin [GIR]:</t>
        </r>
        <r>
          <rPr>
            <sz val="8"/>
            <color indexed="81"/>
            <rFont val="Tahoma"/>
            <family val="2"/>
          </rPr>
          <t xml:space="preserve">
dec 14: +LSD
mar 15: same
1q15: same</t>
        </r>
      </text>
    </comment>
    <comment ref="BV100" authorId="1" shapeId="0" xr:uid="{00000000-0006-0000-0600-000065000000}">
      <text>
        <r>
          <rPr>
            <b/>
            <sz val="9"/>
            <color indexed="81"/>
            <rFont val="Tahoma"/>
            <family val="2"/>
          </rPr>
          <t>Parsons, Gavin [GIR]:</t>
        </r>
        <r>
          <rPr>
            <sz val="9"/>
            <color indexed="81"/>
            <rFont val="Tahoma"/>
            <family val="2"/>
          </rPr>
          <t xml:space="preserve">
dec 15: up slightly
mar 16: +LSD
3q16: same</t>
        </r>
      </text>
    </comment>
    <comment ref="CA100" authorId="1" shapeId="0" xr:uid="{00000000-0006-0000-0600-000066000000}">
      <text>
        <r>
          <rPr>
            <b/>
            <sz val="9"/>
            <color indexed="81"/>
            <rFont val="Tahoma"/>
            <family val="2"/>
          </rPr>
          <t>Parsons, Gavin [GIR]:</t>
        </r>
        <r>
          <rPr>
            <sz val="9"/>
            <color indexed="81"/>
            <rFont val="Tahoma"/>
            <family val="2"/>
          </rPr>
          <t xml:space="preserve">
dec 16: +HSD
1q17: same</t>
        </r>
      </text>
    </comment>
    <comment ref="CF100" authorId="1" shapeId="0" xr:uid="{00000000-0006-0000-0600-000067000000}">
      <text>
        <r>
          <rPr>
            <b/>
            <sz val="9"/>
            <color indexed="81"/>
            <rFont val="Tahoma"/>
            <family val="2"/>
          </rPr>
          <t>Parsons, Gavin [GIR]:</t>
        </r>
        <r>
          <rPr>
            <sz val="9"/>
            <color indexed="81"/>
            <rFont val="Tahoma"/>
            <family val="2"/>
          </rPr>
          <t xml:space="preserve">
4q17: up low teens
2q18: same
3q18: same</t>
        </r>
      </text>
    </comment>
    <comment ref="CK100" authorId="6" shapeId="0" xr:uid="{00000000-0006-0000-0600-000068000000}">
      <text>
        <r>
          <rPr>
            <b/>
            <sz val="9"/>
            <color indexed="81"/>
            <rFont val="Tahoma"/>
            <family val="2"/>
          </rPr>
          <t>Porat, Matthew [GIR]:</t>
        </r>
        <r>
          <rPr>
            <sz val="9"/>
            <color indexed="81"/>
            <rFont val="Tahoma"/>
            <family val="2"/>
          </rPr>
          <t xml:space="preserve">
4q18: +HSD
2q19: same</t>
        </r>
      </text>
    </comment>
    <comment ref="CZ100" authorId="1" shapeId="0" xr:uid="{00000000-0006-0000-0600-000069000000}">
      <text>
        <r>
          <rPr>
            <b/>
            <sz val="9"/>
            <color indexed="81"/>
            <rFont val="Tahoma"/>
            <family val="2"/>
          </rPr>
          <t>Parsons, Gavin [GIR]:</t>
        </r>
        <r>
          <rPr>
            <sz val="9"/>
            <color indexed="81"/>
            <rFont val="Tahoma"/>
            <family val="2"/>
          </rPr>
          <t xml:space="preserve">
4q21: +LDD
1q22: +HSD-LDD
2q22: up low teens
3q22: same</t>
        </r>
      </text>
    </comment>
    <comment ref="BL101" authorId="10" shapeId="0" xr:uid="{00000000-0006-0000-0600-00006A000000}">
      <text>
        <r>
          <rPr>
            <b/>
            <sz val="8"/>
            <color indexed="81"/>
            <rFont val="Tahoma"/>
            <family val="2"/>
          </rPr>
          <t>khalom:</t>
        </r>
        <r>
          <rPr>
            <sz val="8"/>
            <color indexed="81"/>
            <rFont val="Tahoma"/>
            <family val="2"/>
          </rPr>
          <t xml:space="preserve">
dec 13: +MSD-HSD
mar 14: same
1q14: same
2q14: same
3q14: same</t>
        </r>
      </text>
    </comment>
    <comment ref="BQ101" authorId="1" shapeId="0" xr:uid="{00000000-0006-0000-0600-00006B000000}">
      <text>
        <r>
          <rPr>
            <b/>
            <sz val="8"/>
            <color indexed="81"/>
            <rFont val="Tahoma"/>
            <family val="2"/>
          </rPr>
          <t>Parsons, Gavin [GIR]:</t>
        </r>
        <r>
          <rPr>
            <sz val="8"/>
            <color indexed="81"/>
            <rFont val="Tahoma"/>
            <family val="2"/>
          </rPr>
          <t xml:space="preserve">
dec 14: +MSD
mar 15: same
1q15: same</t>
        </r>
      </text>
    </comment>
    <comment ref="BV101" authorId="1" shapeId="0" xr:uid="{00000000-0006-0000-0600-00006C000000}">
      <text>
        <r>
          <rPr>
            <b/>
            <sz val="9"/>
            <color indexed="81"/>
            <rFont val="Tahoma"/>
            <family val="2"/>
          </rPr>
          <t>Parsons, Gavin [GIR]:</t>
        </r>
        <r>
          <rPr>
            <sz val="9"/>
            <color indexed="81"/>
            <rFont val="Tahoma"/>
            <family val="2"/>
          </rPr>
          <t xml:space="preserve">
dec 15: +LSD
mar 16: same
1q16: same
3q16: same</t>
        </r>
      </text>
    </comment>
    <comment ref="CA101" authorId="1" shapeId="0" xr:uid="{00000000-0006-0000-0600-00006D000000}">
      <text>
        <r>
          <rPr>
            <b/>
            <sz val="9"/>
            <color indexed="81"/>
            <rFont val="Tahoma"/>
            <family val="2"/>
          </rPr>
          <t>Parsons, Gavin [GIR]:</t>
        </r>
        <r>
          <rPr>
            <sz val="9"/>
            <color indexed="81"/>
            <rFont val="Tahoma"/>
            <family val="2"/>
          </rPr>
          <t xml:space="preserve">
dec 16: +LSD
1q17: same</t>
        </r>
      </text>
    </comment>
    <comment ref="CF101" authorId="6" shapeId="0" xr:uid="{00000000-0006-0000-0600-00006E000000}">
      <text>
        <r>
          <rPr>
            <b/>
            <sz val="9"/>
            <color indexed="81"/>
            <rFont val="Tahoma"/>
            <family val="2"/>
          </rPr>
          <t>Porat, Matthew [GIR]:</t>
        </r>
        <r>
          <rPr>
            <sz val="9"/>
            <color indexed="81"/>
            <rFont val="Tahoma"/>
            <family val="2"/>
          </rPr>
          <t xml:space="preserve">
2q16: 5-7% revenue growth through 2020
4q17: +LSD
2q18: +L-MSD
3q18: +MSD</t>
        </r>
      </text>
    </comment>
    <comment ref="CK101" authorId="6" shapeId="0" xr:uid="{00000000-0006-0000-0600-00006F000000}">
      <text>
        <r>
          <rPr>
            <b/>
            <sz val="9"/>
            <color indexed="81"/>
            <rFont val="Tahoma"/>
            <family val="2"/>
          </rPr>
          <t>Porat, Matthew [GIR]:</t>
        </r>
        <r>
          <rPr>
            <sz val="9"/>
            <color indexed="81"/>
            <rFont val="Tahoma"/>
            <family val="2"/>
          </rPr>
          <t xml:space="preserve">
4q18: + &gt;50%
2q19: same
3q19: +55%</t>
        </r>
      </text>
    </comment>
    <comment ref="CU101" authorId="1" shapeId="0" xr:uid="{00000000-0006-0000-0600-000070000000}">
      <text>
        <r>
          <rPr>
            <b/>
            <sz val="9"/>
            <color indexed="81"/>
            <rFont val="Tahoma"/>
            <family val="2"/>
          </rPr>
          <t>Parsons, Gavin [GIR]:</t>
        </r>
        <r>
          <rPr>
            <sz val="9"/>
            <color indexed="81"/>
            <rFont val="Tahoma"/>
            <family val="2"/>
          </rPr>
          <t xml:space="preserve">
4q20: down H-LSD; 2-4Q +MSD-LDD
1q21: down M-LSD</t>
        </r>
      </text>
    </comment>
    <comment ref="CZ101" authorId="1" shapeId="0" xr:uid="{00000000-0006-0000-0600-000071000000}">
      <text>
        <r>
          <rPr>
            <b/>
            <sz val="9"/>
            <color indexed="81"/>
            <rFont val="Tahoma"/>
            <family val="2"/>
          </rPr>
          <t>Parsons, Gavin [GIR]:</t>
        </r>
        <r>
          <rPr>
            <sz val="9"/>
            <color indexed="81"/>
            <rFont val="Tahoma"/>
            <family val="2"/>
          </rPr>
          <t xml:space="preserve">
4q21: +LDD
1q22: same
2q22: same
3q22: same</t>
        </r>
      </text>
    </comment>
    <comment ref="CZ102" authorId="1" shapeId="0" xr:uid="{00000000-0006-0000-0600-000072000000}">
      <text>
        <r>
          <rPr>
            <b/>
            <sz val="9"/>
            <color indexed="81"/>
            <rFont val="Tahoma"/>
            <family val="2"/>
          </rPr>
          <t>Parsons, Gavin [GIR]:</t>
        </r>
        <r>
          <rPr>
            <sz val="9"/>
            <color indexed="81"/>
            <rFont val="Tahoma"/>
            <family val="2"/>
          </rPr>
          <t xml:space="preserve">
4q21: down slightly
1q22: same
2q22: down L-MSD
3q22: down MSD</t>
        </r>
      </text>
    </comment>
    <comment ref="CZ103" authorId="1" shapeId="0" xr:uid="{00000000-0006-0000-0600-000073000000}">
      <text>
        <r>
          <rPr>
            <b/>
            <sz val="9"/>
            <color indexed="81"/>
            <rFont val="Tahoma"/>
            <family val="2"/>
          </rPr>
          <t>Parsons, Gavin [GIR]:</t>
        </r>
        <r>
          <rPr>
            <sz val="9"/>
            <color indexed="81"/>
            <rFont val="Tahoma"/>
            <family val="2"/>
          </rPr>
          <t xml:space="preserve">
4q21: +L-MSD
1q22: same
2q22: up slightly
3q22: down LSD</t>
        </r>
      </text>
    </comment>
    <comment ref="AR132" authorId="10" shapeId="0" xr:uid="{00000000-0006-0000-0600-000074000000}">
      <text>
        <r>
          <rPr>
            <b/>
            <sz val="8"/>
            <color indexed="81"/>
            <rFont val="Tahoma"/>
            <family val="2"/>
          </rPr>
          <t>khalom:</t>
        </r>
        <r>
          <rPr>
            <sz val="8"/>
            <color indexed="81"/>
            <rFont val="Tahoma"/>
            <family val="2"/>
          </rPr>
          <t xml:space="preserve">
1q10: $75 mn - $100 mn
2q10: same
3q10: same</t>
        </r>
      </text>
    </comment>
    <comment ref="AW132" authorId="10" shapeId="0" xr:uid="{00000000-0006-0000-0600-000075000000}">
      <text>
        <r>
          <rPr>
            <b/>
            <sz val="8"/>
            <color indexed="81"/>
            <rFont val="Tahoma"/>
            <family val="2"/>
          </rPr>
          <t>khalom:</t>
        </r>
        <r>
          <rPr>
            <sz val="8"/>
            <color indexed="81"/>
            <rFont val="Tahoma"/>
            <family val="2"/>
          </rPr>
          <t xml:space="preserve">
4q10: down ~$50 mn yoy
1q11: same
2q11: down ~$100 mn yoy
3q11: same</t>
        </r>
      </text>
    </comment>
    <comment ref="BB132" authorId="10" shapeId="0" xr:uid="{00000000-0006-0000-0600-000076000000}">
      <text>
        <r>
          <rPr>
            <b/>
            <sz val="8"/>
            <color indexed="81"/>
            <rFont val="Tahoma"/>
            <family val="2"/>
          </rPr>
          <t>khalom:</t>
        </r>
        <r>
          <rPr>
            <sz val="8"/>
            <color indexed="81"/>
            <rFont val="Tahoma"/>
            <family val="2"/>
          </rPr>
          <t xml:space="preserve">
4q11: down $0 - $50 mn yoy
1q12: down $25 - $50 mn yoy
2q12: down $100-$125mn yoy
3q12: down $175-$200mn yoy
</t>
        </r>
      </text>
    </comment>
    <comment ref="BG132" authorId="5" shapeId="0" xr:uid="{00000000-0006-0000-0600-000077000000}">
      <text>
        <r>
          <rPr>
            <b/>
            <sz val="8"/>
            <color indexed="81"/>
            <rFont val="Tahoma"/>
            <family val="2"/>
          </rPr>
          <t>sammun:</t>
        </r>
        <r>
          <rPr>
            <sz val="8"/>
            <color indexed="81"/>
            <rFont val="Tahoma"/>
            <family val="2"/>
          </rPr>
          <t xml:space="preserve">
4q12: +100-150 yoy
1q13: same
2q13: same
3q13: +150 yoy</t>
        </r>
      </text>
    </comment>
    <comment ref="BL132" authorId="10" shapeId="0" xr:uid="{00000000-0006-0000-0600-000078000000}">
      <text>
        <r>
          <rPr>
            <b/>
            <sz val="8"/>
            <color indexed="81"/>
            <rFont val="Tahoma"/>
            <family val="2"/>
          </rPr>
          <t>khalom:</t>
        </r>
        <r>
          <rPr>
            <sz val="8"/>
            <color indexed="81"/>
            <rFont val="Tahoma"/>
            <family val="2"/>
          </rPr>
          <t xml:space="preserve">
dec 13: +175-200 yoy
mar 14: same
1q14: same
2q14: same
3q14: +200</t>
        </r>
      </text>
    </comment>
    <comment ref="BQ132" authorId="1" shapeId="0" xr:uid="{00000000-0006-0000-0600-000079000000}">
      <text>
        <r>
          <rPr>
            <b/>
            <sz val="8"/>
            <color indexed="81"/>
            <rFont val="Tahoma"/>
            <family val="2"/>
          </rPr>
          <t>Parsons, Gavin [GIR]:</t>
        </r>
        <r>
          <rPr>
            <sz val="8"/>
            <color indexed="81"/>
            <rFont val="Tahoma"/>
            <family val="2"/>
          </rPr>
          <t xml:space="preserve">
dec 14: down 25-100 yoy
mar 15: down 50-125 yoy
1q15: same
2q15: same
3q15: same</t>
        </r>
      </text>
    </comment>
    <comment ref="CM132" authorId="1" shapeId="0" xr:uid="{00000000-0006-0000-0600-00007A000000}">
      <text>
        <r>
          <rPr>
            <b/>
            <sz val="9"/>
            <color indexed="81"/>
            <rFont val="Tahoma"/>
            <family val="2"/>
          </rPr>
          <t>Parsons, Gavin [GIR]:</t>
        </r>
        <r>
          <rPr>
            <sz val="9"/>
            <color indexed="81"/>
            <rFont val="Tahoma"/>
            <family val="2"/>
          </rPr>
          <t xml:space="preserve">
jun 20: negative</t>
        </r>
      </text>
    </comment>
    <comment ref="AR133" authorId="10" shapeId="0" xr:uid="{00000000-0006-0000-0600-00007B000000}">
      <text>
        <r>
          <rPr>
            <b/>
            <sz val="8"/>
            <color indexed="81"/>
            <rFont val="Tahoma"/>
            <family val="2"/>
          </rPr>
          <t>khalom:</t>
        </r>
        <r>
          <rPr>
            <sz val="8"/>
            <color indexed="81"/>
            <rFont val="Tahoma"/>
            <family val="2"/>
          </rPr>
          <t xml:space="preserve">
1q10: up $25 mn - $50 mn
2q10: same
3q10 : same</t>
        </r>
      </text>
    </comment>
    <comment ref="AW133" authorId="10" shapeId="0" xr:uid="{00000000-0006-0000-0600-00007C000000}">
      <text>
        <r>
          <rPr>
            <b/>
            <sz val="8"/>
            <color indexed="81"/>
            <rFont val="Tahoma"/>
            <family val="2"/>
          </rPr>
          <t>khalom:</t>
        </r>
        <r>
          <rPr>
            <sz val="8"/>
            <color indexed="81"/>
            <rFont val="Tahoma"/>
            <family val="2"/>
          </rPr>
          <t xml:space="preserve">
4q10: up ~$100 mn yoy
1q11: same
2q11: same
3q11: up ~$100 mn Plus yoy </t>
        </r>
      </text>
    </comment>
    <comment ref="BB133" authorId="10" shapeId="0" xr:uid="{00000000-0006-0000-0600-00007D000000}">
      <text>
        <r>
          <rPr>
            <b/>
            <sz val="8"/>
            <color indexed="81"/>
            <rFont val="Tahoma"/>
            <family val="2"/>
          </rPr>
          <t>khalom:</t>
        </r>
        <r>
          <rPr>
            <sz val="8"/>
            <color indexed="81"/>
            <rFont val="Tahoma"/>
            <family val="2"/>
          </rPr>
          <t xml:space="preserve">
4q11: up ~$150 mn yoy
1q12:  up $75-100mn yoy
2q12: same
3q12: up $275mn - $300 mn</t>
        </r>
      </text>
    </comment>
    <comment ref="BG133" authorId="5" shapeId="0" xr:uid="{00000000-0006-0000-0600-00007E000000}">
      <text>
        <r>
          <rPr>
            <b/>
            <sz val="8"/>
            <color indexed="81"/>
            <rFont val="Tahoma"/>
            <family val="2"/>
          </rPr>
          <t>sammun:</t>
        </r>
        <r>
          <rPr>
            <sz val="8"/>
            <color indexed="81"/>
            <rFont val="Tahoma"/>
            <family val="2"/>
          </rPr>
          <t xml:space="preserve">
4q12: 2.1 bn
1q13: same
2q13: same
3q13: same</t>
        </r>
      </text>
    </comment>
    <comment ref="BL133" authorId="10" shapeId="0" xr:uid="{00000000-0006-0000-0600-00007F000000}">
      <text>
        <r>
          <rPr>
            <b/>
            <sz val="8"/>
            <color indexed="81"/>
            <rFont val="Tahoma"/>
            <family val="2"/>
          </rPr>
          <t>khalom:</t>
        </r>
        <r>
          <rPr>
            <sz val="8"/>
            <color indexed="81"/>
            <rFont val="Tahoma"/>
            <family val="2"/>
          </rPr>
          <t xml:space="preserve">
dec 13: +300-350 yoy
mar 14: same
1q14: same
2q14: same
3q14: +325-350</t>
        </r>
      </text>
    </comment>
    <comment ref="BQ133" authorId="1" shapeId="0" xr:uid="{00000000-0006-0000-0600-000080000000}">
      <text>
        <r>
          <rPr>
            <b/>
            <sz val="8"/>
            <color indexed="81"/>
            <rFont val="Tahoma"/>
            <family val="2"/>
          </rPr>
          <t>Parsons, Gavin [GIR]:</t>
        </r>
        <r>
          <rPr>
            <sz val="8"/>
            <color indexed="81"/>
            <rFont val="Tahoma"/>
            <family val="2"/>
          </rPr>
          <t xml:space="preserve">
dec 14: +225-275 yoy
mar 15: same
1q15: same
2q15: (75)-(25) yoy
3q15: same</t>
        </r>
      </text>
    </comment>
    <comment ref="CA133" authorId="6" shapeId="0" xr:uid="{00000000-0006-0000-0600-000081000000}">
      <text>
        <r>
          <rPr>
            <b/>
            <sz val="9"/>
            <color indexed="81"/>
            <rFont val="Tahoma"/>
            <family val="2"/>
          </rPr>
          <t>Porat, Matthew [GIR]:</t>
        </r>
        <r>
          <rPr>
            <sz val="9"/>
            <color indexed="81"/>
            <rFont val="Tahoma"/>
            <family val="2"/>
          </rPr>
          <t xml:space="preserve">
1q16: growth</t>
        </r>
      </text>
    </comment>
    <comment ref="CM133" authorId="1" shapeId="0" xr:uid="{00000000-0006-0000-0600-000082000000}">
      <text>
        <r>
          <rPr>
            <b/>
            <sz val="9"/>
            <color indexed="81"/>
            <rFont val="Tahoma"/>
            <family val="2"/>
          </rPr>
          <t>Parsons, Gavin [GIR]:</t>
        </r>
        <r>
          <rPr>
            <sz val="9"/>
            <color indexed="81"/>
            <rFont val="Tahoma"/>
            <family val="2"/>
          </rPr>
          <t xml:space="preserve">
jun 20: negative</t>
        </r>
      </text>
    </comment>
    <comment ref="CP141" authorId="1" shapeId="0" xr:uid="{00000000-0006-0000-0600-000083000000}">
      <text>
        <r>
          <rPr>
            <b/>
            <sz val="9"/>
            <color indexed="81"/>
            <rFont val="Tahoma"/>
            <family val="2"/>
          </rPr>
          <t>Parsons, Gavin [GIR]:</t>
        </r>
        <r>
          <rPr>
            <sz val="9"/>
            <color indexed="81"/>
            <rFont val="Tahoma"/>
            <family val="2"/>
          </rPr>
          <t xml:space="preserve">
1q20: 1,800 2Q-4Q
3q20: 1,700 2Q-4Q</t>
        </r>
      </text>
    </comment>
    <comment ref="CP144" authorId="0" shapeId="0" xr:uid="{66ED6560-952F-4191-8C07-53EE92E86C6B}">
      <text>
        <r>
          <rPr>
            <b/>
            <sz val="9"/>
            <color indexed="81"/>
            <rFont val="Tahoma"/>
            <family val="2"/>
          </rPr>
          <t>Blake, BEN [GIR]:</t>
        </r>
        <r>
          <rPr>
            <sz val="9"/>
            <color indexed="81"/>
            <rFont val="Tahoma"/>
            <family val="2"/>
          </rPr>
          <t xml:space="preserve">
2q23: adjusted for recasted Raytheon segment</t>
        </r>
      </text>
    </comment>
    <comment ref="CQ144" authorId="0" shapeId="0" xr:uid="{9DB7541A-EC49-458A-A049-2DA208BD07D9}">
      <text>
        <r>
          <rPr>
            <b/>
            <sz val="9"/>
            <color indexed="81"/>
            <rFont val="Tahoma"/>
            <family val="2"/>
          </rPr>
          <t>Blake, BEN [GIR]:</t>
        </r>
        <r>
          <rPr>
            <sz val="9"/>
            <color indexed="81"/>
            <rFont val="Tahoma"/>
            <family val="2"/>
          </rPr>
          <t xml:space="preserve">
2q23: adjusted for recasted Raytheon segment</t>
        </r>
      </text>
    </comment>
    <comment ref="CR144" authorId="0" shapeId="0" xr:uid="{41A8CB37-F2A9-4F0B-974C-F344B312D69E}">
      <text>
        <r>
          <rPr>
            <b/>
            <sz val="9"/>
            <color indexed="81"/>
            <rFont val="Tahoma"/>
            <family val="2"/>
          </rPr>
          <t>Blake, BEN [GIR]:</t>
        </r>
        <r>
          <rPr>
            <sz val="9"/>
            <color indexed="81"/>
            <rFont val="Tahoma"/>
            <family val="2"/>
          </rPr>
          <t xml:space="preserve">
2q23: adjusted for recasted Raytheon segment</t>
        </r>
      </text>
    </comment>
    <comment ref="CS144" authorId="0" shapeId="0" xr:uid="{C426FEAF-E5E2-47A4-9878-04CBCC61C887}">
      <text>
        <r>
          <rPr>
            <b/>
            <sz val="9"/>
            <color indexed="81"/>
            <rFont val="Tahoma"/>
            <family val="2"/>
          </rPr>
          <t>Blake, BEN [GIR]:</t>
        </r>
        <r>
          <rPr>
            <sz val="9"/>
            <color indexed="81"/>
            <rFont val="Tahoma"/>
            <family val="2"/>
          </rPr>
          <t xml:space="preserve">
2q23: adjusted for recasted Raytheon segment</t>
        </r>
      </text>
    </comment>
    <comment ref="CT144" authorId="0" shapeId="0" xr:uid="{38D173CF-3A73-46D2-9463-7B9C5B2FF235}">
      <text>
        <r>
          <rPr>
            <b/>
            <sz val="9"/>
            <color indexed="81"/>
            <rFont val="Tahoma"/>
            <family val="2"/>
          </rPr>
          <t>Blake, BEN [GIR]:</t>
        </r>
        <r>
          <rPr>
            <sz val="9"/>
            <color indexed="81"/>
            <rFont val="Tahoma"/>
            <family val="2"/>
          </rPr>
          <t xml:space="preserve">
2q23: adjusted for recasted Raytheon segment</t>
        </r>
      </text>
    </comment>
    <comment ref="CU144" authorId="0" shapeId="0" xr:uid="{9CDE70A0-CEA4-40A2-9BC0-34C57C01A659}">
      <text>
        <r>
          <rPr>
            <b/>
            <sz val="9"/>
            <color indexed="81"/>
            <rFont val="Tahoma"/>
            <family val="2"/>
          </rPr>
          <t>Blake, BEN [GIR]:</t>
        </r>
        <r>
          <rPr>
            <sz val="9"/>
            <color indexed="81"/>
            <rFont val="Tahoma"/>
            <family val="2"/>
          </rPr>
          <t xml:space="preserve">
2q23: adjusted for recasted Raytheon segment</t>
        </r>
      </text>
    </comment>
    <comment ref="CF147" authorId="6" shapeId="0" xr:uid="{00000000-0006-0000-0600-000084000000}">
      <text>
        <r>
          <rPr>
            <b/>
            <sz val="9"/>
            <color indexed="81"/>
            <rFont val="Tahoma"/>
            <family val="2"/>
          </rPr>
          <t>Porat, Matthew [GIR]:</t>
        </r>
        <r>
          <rPr>
            <sz val="9"/>
            <color indexed="81"/>
            <rFont val="Tahoma"/>
            <family val="2"/>
          </rPr>
          <t xml:space="preserve">
1q16: maximum negative engine margin in 2018; flatten and decrease by decade end</t>
        </r>
      </text>
    </comment>
    <comment ref="BV148" authorId="6" shapeId="0" xr:uid="{00000000-0006-0000-0600-000085000000}">
      <text>
        <r>
          <rPr>
            <b/>
            <sz val="9"/>
            <color indexed="81"/>
            <rFont val="Tahoma"/>
            <family val="2"/>
          </rPr>
          <t>Porat, Matthew [GIR]:</t>
        </r>
        <r>
          <rPr>
            <sz val="9"/>
            <color indexed="81"/>
            <rFont val="Tahoma"/>
            <family val="2"/>
          </rPr>
          <t xml:space="preserve">
1q16: improved mix and cost cutting over 1q in last 3 quarters</t>
        </r>
      </text>
    </comment>
    <comment ref="CG158" authorId="1" shapeId="0" xr:uid="{00000000-0006-0000-0600-000086000000}">
      <text>
        <r>
          <rPr>
            <b/>
            <sz val="9"/>
            <color indexed="81"/>
            <rFont val="Tahoma"/>
            <family val="2"/>
          </rPr>
          <t>Parsons, Gavin [GIR]:</t>
        </r>
        <r>
          <rPr>
            <sz val="9"/>
            <color indexed="81"/>
            <rFont val="Tahoma"/>
            <family val="2"/>
          </rPr>
          <t xml:space="preserve">
20 non-cash gain in IIS</t>
        </r>
      </text>
    </comment>
    <comment ref="CH158" authorId="1" shapeId="0" xr:uid="{00000000-0006-0000-0600-000087000000}">
      <text>
        <r>
          <rPr>
            <b/>
            <sz val="9"/>
            <color indexed="81"/>
            <rFont val="Tahoma"/>
            <family val="2"/>
          </rPr>
          <t>Parsons, Gavin [GIR]:</t>
        </r>
        <r>
          <rPr>
            <sz val="9"/>
            <color indexed="81"/>
            <rFont val="Tahoma"/>
            <family val="2"/>
          </rPr>
          <t xml:space="preserve">
23 total deal-related cost</t>
        </r>
      </text>
    </comment>
    <comment ref="CI158" authorId="1" shapeId="0" xr:uid="{00000000-0006-0000-0600-000088000000}">
      <text>
        <r>
          <rPr>
            <b/>
            <sz val="9"/>
            <color indexed="81"/>
            <rFont val="Tahoma"/>
            <family val="2"/>
          </rPr>
          <t>Parsons, Gavin [GIR]:</t>
        </r>
        <r>
          <rPr>
            <sz val="9"/>
            <color indexed="81"/>
            <rFont val="Tahoma"/>
            <family val="2"/>
          </rPr>
          <t xml:space="preserve">
14 gain in IIS
16 total deal-related cost</t>
        </r>
      </text>
    </comment>
    <comment ref="CJ158" authorId="1" shapeId="0" xr:uid="{00000000-0006-0000-0600-000089000000}">
      <text>
        <r>
          <rPr>
            <b/>
            <sz val="9"/>
            <color indexed="81"/>
            <rFont val="Tahoma"/>
            <family val="2"/>
          </rPr>
          <t>Parsons, Gavin [GIR]:</t>
        </r>
        <r>
          <rPr>
            <sz val="9"/>
            <color indexed="81"/>
            <rFont val="Tahoma"/>
            <family val="2"/>
          </rPr>
          <t xml:space="preserve">
12 total deal-related cost</t>
        </r>
      </text>
    </comment>
    <comment ref="CT158" authorId="1" shapeId="0" xr:uid="{00000000-0006-0000-0600-00008A000000}">
      <text>
        <r>
          <rPr>
            <b/>
            <sz val="9"/>
            <color indexed="81"/>
            <rFont val="Tahoma"/>
            <family val="2"/>
          </rPr>
          <t>Parsons, Gavin [GIR]:</t>
        </r>
        <r>
          <rPr>
            <sz val="9"/>
            <color indexed="81"/>
            <rFont val="Tahoma"/>
            <family val="2"/>
          </rPr>
          <t xml:space="preserve">
gain on Training divestiture</t>
        </r>
      </text>
    </comment>
    <comment ref="CH159" authorId="1" shapeId="0" xr:uid="{00000000-0006-0000-0600-00008B000000}">
      <text>
        <r>
          <rPr>
            <b/>
            <sz val="9"/>
            <color indexed="81"/>
            <rFont val="Tahoma"/>
            <family val="2"/>
          </rPr>
          <t>Parsons, Gavin [GIR]:</t>
        </r>
        <r>
          <rPr>
            <sz val="9"/>
            <color indexed="81"/>
            <rFont val="Tahoma"/>
            <family val="2"/>
          </rPr>
          <t xml:space="preserve">
23 total deal-related cost</t>
        </r>
      </text>
    </comment>
    <comment ref="CJ159" authorId="1" shapeId="0" xr:uid="{00000000-0006-0000-0600-00008C000000}">
      <text>
        <r>
          <rPr>
            <b/>
            <sz val="9"/>
            <color indexed="81"/>
            <rFont val="Tahoma"/>
            <family val="2"/>
          </rPr>
          <t>Parsons, Gavin [GIR]:</t>
        </r>
        <r>
          <rPr>
            <sz val="9"/>
            <color indexed="81"/>
            <rFont val="Tahoma"/>
            <family val="2"/>
          </rPr>
          <t xml:space="preserve">
12 total deal-related cost</t>
        </r>
      </text>
    </comment>
    <comment ref="BV161" authorId="6" shapeId="0" xr:uid="{00000000-0006-0000-0600-00008D000000}">
      <text>
        <r>
          <rPr>
            <b/>
            <sz val="9"/>
            <color indexed="81"/>
            <rFont val="Tahoma"/>
            <family val="2"/>
          </rPr>
          <t>Porat, Matthew [GIR]:</t>
        </r>
        <r>
          <rPr>
            <sz val="9"/>
            <color indexed="81"/>
            <rFont val="Tahoma"/>
            <family val="2"/>
          </rPr>
          <t xml:space="preserve">
1q16: planned 500 restructuring in 2016
2q16: 400</t>
        </r>
      </text>
    </comment>
    <comment ref="CG163" authorId="1" shapeId="0" xr:uid="{00000000-0006-0000-0600-00008E000000}">
      <text>
        <r>
          <rPr>
            <b/>
            <sz val="9"/>
            <color indexed="81"/>
            <rFont val="Tahoma"/>
            <family val="2"/>
          </rPr>
          <t>Parsons, Gavin [GIR]:</t>
        </r>
        <r>
          <rPr>
            <sz val="9"/>
            <color indexed="81"/>
            <rFont val="Tahoma"/>
            <family val="2"/>
          </rPr>
          <t xml:space="preserve">
COL costs, separation costs</t>
        </r>
      </text>
    </comment>
    <comment ref="CH163" authorId="1" shapeId="0" xr:uid="{00000000-0006-0000-0600-00008F000000}">
      <text>
        <r>
          <rPr>
            <b/>
            <sz val="9"/>
            <color indexed="81"/>
            <rFont val="Tahoma"/>
            <family val="2"/>
          </rPr>
          <t>Parsons, Gavin [GIR]:</t>
        </r>
        <r>
          <rPr>
            <sz val="9"/>
            <color indexed="81"/>
            <rFont val="Tahoma"/>
            <family val="2"/>
          </rPr>
          <t xml:space="preserve">
COL integration costs, separation costs, RTN transaction costs</t>
        </r>
      </text>
    </comment>
    <comment ref="CI163" authorId="1" shapeId="0" xr:uid="{00000000-0006-0000-0600-000090000000}">
      <text>
        <r>
          <rPr>
            <b/>
            <sz val="9"/>
            <color indexed="81"/>
            <rFont val="Tahoma"/>
            <family val="2"/>
          </rPr>
          <t>Parsons, Gavin [GIR]:</t>
        </r>
        <r>
          <rPr>
            <sz val="9"/>
            <color indexed="81"/>
            <rFont val="Tahoma"/>
            <family val="2"/>
          </rPr>
          <t xml:space="preserve">
restructuring, COL costs, separation costs, merger costs</t>
        </r>
      </text>
    </comment>
    <comment ref="CJ163" authorId="1" shapeId="0" xr:uid="{00000000-0006-0000-0600-000091000000}">
      <text>
        <r>
          <rPr>
            <b/>
            <sz val="9"/>
            <color indexed="81"/>
            <rFont val="Tahoma"/>
            <family val="2"/>
          </rPr>
          <t>Parsons, Gavin [GIR]:</t>
        </r>
        <r>
          <rPr>
            <sz val="9"/>
            <color indexed="81"/>
            <rFont val="Tahoma"/>
            <family val="2"/>
          </rPr>
          <t xml:space="preserve">
restructuring, COL transaction costs, separation costs, merger costs</t>
        </r>
      </text>
    </comment>
    <comment ref="CK163" authorId="1" shapeId="0" xr:uid="{00000000-0006-0000-0600-000092000000}">
      <text>
        <r>
          <rPr>
            <b/>
            <sz val="9"/>
            <color indexed="81"/>
            <rFont val="Tahoma"/>
            <family val="2"/>
          </rPr>
          <t>Parsons, Gavin [GIR]:</t>
        </r>
        <r>
          <rPr>
            <sz val="9"/>
            <color indexed="81"/>
            <rFont val="Tahoma"/>
            <family val="2"/>
          </rPr>
          <t xml:space="preserve">
separation costs, transaction costs, COL integration costs</t>
        </r>
      </text>
    </comment>
    <comment ref="BB165" authorId="10" shapeId="0" xr:uid="{00000000-0006-0000-0600-000093000000}">
      <text>
        <r>
          <rPr>
            <b/>
            <sz val="8"/>
            <color indexed="81"/>
            <rFont val="Tahoma"/>
            <family val="2"/>
          </rPr>
          <t>khalom:</t>
        </r>
        <r>
          <rPr>
            <sz val="8"/>
            <color indexed="81"/>
            <rFont val="Tahoma"/>
            <family val="2"/>
          </rPr>
          <t xml:space="preserve">
3q12: expect full year restructuring  to equal one-time gains.</t>
        </r>
      </text>
    </comment>
    <comment ref="BV168" authorId="1" shapeId="0" xr:uid="{00000000-0006-0000-0600-000094000000}">
      <text>
        <r>
          <rPr>
            <b/>
            <sz val="9"/>
            <color indexed="81"/>
            <rFont val="Tahoma"/>
            <family val="2"/>
          </rPr>
          <t>Parsons, Gavin [GIR]:</t>
        </r>
        <r>
          <rPr>
            <sz val="9"/>
            <color indexed="81"/>
            <rFont val="Tahoma"/>
            <family val="2"/>
          </rPr>
          <t xml:space="preserve">
3q15: flat to down
dec 15: flat to down 50
mar 16: same
1q16: same
2q16: down 50-100
3q16: down 125-150</t>
        </r>
      </text>
    </comment>
    <comment ref="CA168" authorId="1" shapeId="0" xr:uid="{00000000-0006-0000-0600-000095000000}">
      <text>
        <r>
          <rPr>
            <b/>
            <sz val="9"/>
            <color indexed="81"/>
            <rFont val="Tahoma"/>
            <family val="2"/>
          </rPr>
          <t>Parsons, Gavin [GIR]:</t>
        </r>
        <r>
          <rPr>
            <sz val="9"/>
            <color indexed="81"/>
            <rFont val="Tahoma"/>
            <family val="2"/>
          </rPr>
          <t xml:space="preserve">
3q16: down yoy
dec 16: down 150-200
1q17: same
2q17: same, closer to 200
3q17: down 125-175, closer to 125</t>
        </r>
      </text>
    </comment>
    <comment ref="CF168" authorId="1" shapeId="0" xr:uid="{00000000-0006-0000-0600-000096000000}">
      <text>
        <r>
          <rPr>
            <b/>
            <sz val="9"/>
            <color indexed="81"/>
            <rFont val="Tahoma"/>
            <family val="2"/>
          </rPr>
          <t>Parsons, Gavin [GIR]:</t>
        </r>
        <r>
          <rPr>
            <sz val="9"/>
            <color indexed="81"/>
            <rFont val="Tahoma"/>
            <family val="2"/>
          </rPr>
          <t xml:space="preserve">
sep 17: flat to up
3q17: same
4q17: +25-75
mar 18: same, low end
1q18: same
2q18: same
3q18: same, high end</t>
        </r>
      </text>
    </comment>
    <comment ref="CK168" authorId="6" shapeId="0" xr:uid="{00000000-0006-0000-0600-000097000000}">
      <text>
        <r>
          <rPr>
            <b/>
            <sz val="9"/>
            <color indexed="81"/>
            <rFont val="Tahoma"/>
            <family val="2"/>
          </rPr>
          <t>Porat, Matthew [GIR]:</t>
        </r>
        <r>
          <rPr>
            <sz val="9"/>
            <color indexed="81"/>
            <rFont val="Tahoma"/>
            <family val="2"/>
          </rPr>
          <t xml:space="preserve">
4q18: +200-250
1q19: same
2q19: same
3q19: +225-250</t>
        </r>
      </text>
    </comment>
    <comment ref="CM168" authorId="1" shapeId="0" xr:uid="{00000000-0006-0000-0600-000098000000}">
      <text>
        <r>
          <rPr>
            <b/>
            <sz val="9"/>
            <color indexed="81"/>
            <rFont val="Tahoma"/>
            <family val="2"/>
          </rPr>
          <t>Parsons, Gavin [GIR]:</t>
        </r>
        <r>
          <rPr>
            <sz val="9"/>
            <color indexed="81"/>
            <rFont val="Tahoma"/>
            <family val="2"/>
          </rPr>
          <t xml:space="preserve">
1q20: negative
jun 20: negative</t>
        </r>
      </text>
    </comment>
    <comment ref="CO168" authorId="1" shapeId="0" xr:uid="{00000000-0006-0000-0600-000099000000}">
      <text>
        <r>
          <rPr>
            <b/>
            <sz val="9"/>
            <color indexed="81"/>
            <rFont val="Tahoma"/>
            <family val="2"/>
          </rPr>
          <t>Parsons, Gavin [GIR]:</t>
        </r>
        <r>
          <rPr>
            <sz val="9"/>
            <color indexed="81"/>
            <rFont val="Tahoma"/>
            <family val="2"/>
          </rPr>
          <t xml:space="preserve">
3q20: slight improvement vs. 3Q</t>
        </r>
      </text>
    </comment>
    <comment ref="CP168" authorId="1" shapeId="0" xr:uid="{00000000-0006-0000-0600-00009A000000}">
      <text>
        <r>
          <rPr>
            <b/>
            <sz val="9"/>
            <color indexed="81"/>
            <rFont val="Tahoma"/>
            <family val="2"/>
          </rPr>
          <t>Parsons, Gavin [GIR]:</t>
        </r>
        <r>
          <rPr>
            <sz val="9"/>
            <color indexed="81"/>
            <rFont val="Tahoma"/>
            <family val="2"/>
          </rPr>
          <t xml:space="preserve">
4q20: +225-275
1q20: [withdrawn]</t>
        </r>
      </text>
    </comment>
    <comment ref="CU168" authorId="1" shapeId="0" xr:uid="{00000000-0006-0000-0600-00009B000000}">
      <text>
        <r>
          <rPr>
            <b/>
            <sz val="9"/>
            <color indexed="81"/>
            <rFont val="Tahoma"/>
            <family val="2"/>
          </rPr>
          <t>Parsons, Gavin [GIR]:</t>
        </r>
        <r>
          <rPr>
            <sz val="9"/>
            <color indexed="81"/>
            <rFont val="Tahoma"/>
            <family val="2"/>
          </rPr>
          <t xml:space="preserve">
4q20: (125)-25; 2-4Q +400-525
1q21: (75)-25
may21: same
2q21: (50)-25
3q21: 0-50</t>
        </r>
      </text>
    </comment>
    <comment ref="CZ168" authorId="1" shapeId="0" xr:uid="{00000000-0006-0000-0600-00009C000000}">
      <text>
        <r>
          <rPr>
            <b/>
            <sz val="9"/>
            <color indexed="81"/>
            <rFont val="Tahoma"/>
            <family val="2"/>
          </rPr>
          <t>Parsons, Gavin [GIR]:</t>
        </r>
        <r>
          <rPr>
            <sz val="9"/>
            <color indexed="81"/>
            <rFont val="Tahoma"/>
            <family val="2"/>
          </rPr>
          <t xml:space="preserve">
4q21: +500-600
1q22: same
2q22: +550-650
3q22: +650-700</t>
        </r>
      </text>
    </comment>
    <comment ref="DE168" authorId="1" shapeId="0" xr:uid="{0BD6364A-F8DC-48C9-A140-DEF9663C0AEA}">
      <text>
        <r>
          <rPr>
            <b/>
            <sz val="9"/>
            <color indexed="81"/>
            <rFont val="Tahoma"/>
            <family val="2"/>
          </rPr>
          <t>Parsons, Gavin [GIR]:</t>
        </r>
        <r>
          <rPr>
            <sz val="9"/>
            <color indexed="81"/>
            <rFont val="Tahoma"/>
            <family val="2"/>
          </rPr>
          <t xml:space="preserve">
4q22: +200-275
1q23: unchanged
2q23: unchanged
Sep23: unchanged
3q23: +350-400</t>
        </r>
      </text>
    </comment>
    <comment ref="DJ168" authorId="0" shapeId="0" xr:uid="{81793842-6BE1-448C-BB31-F9C252C0B4EF}">
      <text>
        <r>
          <rPr>
            <b/>
            <sz val="9"/>
            <color indexed="81"/>
            <rFont val="Tahoma"/>
            <family val="2"/>
          </rPr>
          <t>Blake, BEN [GIR]:</t>
        </r>
        <r>
          <rPr>
            <sz val="9"/>
            <color indexed="81"/>
            <rFont val="Tahoma"/>
            <family val="2"/>
          </rPr>
          <t xml:space="preserve">
4q23: +400-475
1q24: same
2q24: same
3q24: +475-525</t>
        </r>
      </text>
    </comment>
    <comment ref="DM168" authorId="11" shapeId="0" xr:uid="{70082354-A77A-4270-A37B-4EFBD11A3FCD}">
      <text>
        <r>
          <rPr>
            <b/>
            <sz val="9"/>
            <color indexed="81"/>
            <rFont val="Tahoma"/>
            <family val="2"/>
          </rPr>
          <t>Ortmayer, Will [GIR]:</t>
        </r>
        <r>
          <rPr>
            <sz val="9"/>
            <color indexed="81"/>
            <rFont val="Tahoma"/>
            <family val="2"/>
          </rPr>
          <t xml:space="preserve">
3q25: 90mn of tariff headwind</t>
        </r>
      </text>
    </comment>
    <comment ref="DO168" authorId="4" shapeId="0" xr:uid="{00000000-0006-0000-0600-00009D000000}">
      <text>
        <r>
          <rPr>
            <b/>
            <sz val="9"/>
            <color indexed="81"/>
            <rFont val="Tahoma"/>
            <family val="2"/>
          </rPr>
          <t>Valentini, Anthony [GIR]:</t>
        </r>
        <r>
          <rPr>
            <sz val="9"/>
            <color indexed="81"/>
            <rFont val="Tahoma"/>
            <family val="2"/>
          </rPr>
          <t xml:space="preserve">
may21: 44-47% CAGR 2020-25E (2,780 implied midpoint)
jun23: same
Sep23: unchanged
4q24: +325-400mn over 2024
1q25: same
2q25: +200-275mn
3q25: +350-400</t>
        </r>
      </text>
    </comment>
    <comment ref="BV169" authorId="1" shapeId="0" xr:uid="{00000000-0006-0000-0600-00009F000000}">
      <text>
        <r>
          <rPr>
            <b/>
            <sz val="9"/>
            <color indexed="81"/>
            <rFont val="Tahoma"/>
            <family val="2"/>
          </rPr>
          <t>Parsons, Gavin [GIR]:</t>
        </r>
        <r>
          <rPr>
            <sz val="9"/>
            <color indexed="81"/>
            <rFont val="Tahoma"/>
            <family val="2"/>
          </rPr>
          <t xml:space="preserve">
3q15: flat yoy
dec 15: flat to down 50
mar 16: same
1q16: same
2q16: same
3q16: flat to down 25</t>
        </r>
      </text>
    </comment>
    <comment ref="CA169" authorId="1" shapeId="0" xr:uid="{00000000-0006-0000-0600-0000A0000000}">
      <text>
        <r>
          <rPr>
            <b/>
            <sz val="9"/>
            <color indexed="81"/>
            <rFont val="Tahoma"/>
            <family val="2"/>
          </rPr>
          <t>Parsons, Gavin [GIR]:</t>
        </r>
        <r>
          <rPr>
            <sz val="9"/>
            <color indexed="81"/>
            <rFont val="Tahoma"/>
            <family val="2"/>
          </rPr>
          <t xml:space="preserve">
3q16: mix headwind
dec 16: up 50-100
1q17: same
2q17: same, high end
3q17: same</t>
        </r>
      </text>
    </comment>
    <comment ref="CF169" authorId="1" shapeId="0" xr:uid="{00000000-0006-0000-0600-0000A1000000}">
      <text>
        <r>
          <rPr>
            <b/>
            <sz val="9"/>
            <color indexed="81"/>
            <rFont val="Tahoma"/>
            <family val="2"/>
          </rPr>
          <t>Parsons, Gavin [GIR]:</t>
        </r>
        <r>
          <rPr>
            <sz val="9"/>
            <color indexed="81"/>
            <rFont val="Tahoma"/>
            <family val="2"/>
          </rPr>
          <t xml:space="preserve">
sep 17: flat to up
3q17: same
4q17: +150-200
mar 18: same
1q18: same
2q18: +175-225; high-end
3q18: +200-250; high-end</t>
        </r>
      </text>
    </comment>
    <comment ref="CK169" authorId="6" shapeId="0" xr:uid="{00000000-0006-0000-0600-0000A2000000}">
      <text>
        <r>
          <rPr>
            <b/>
            <sz val="9"/>
            <color indexed="81"/>
            <rFont val="Tahoma"/>
            <family val="2"/>
          </rPr>
          <t>Porat, Matthew [GIR]:</t>
        </r>
        <r>
          <rPr>
            <sz val="9"/>
            <color indexed="81"/>
            <rFont val="Tahoma"/>
            <family val="2"/>
          </rPr>
          <t xml:space="preserve">
4q18: +1550-1600
1q19: same
2q19: +1700-1750 (incl +25 FX)
3q19: +1850-1875 (same)</t>
        </r>
      </text>
    </comment>
    <comment ref="CM169" authorId="1" shapeId="0" xr:uid="{00000000-0006-0000-0600-0000A3000000}">
      <text>
        <r>
          <rPr>
            <b/>
            <sz val="9"/>
            <color indexed="81"/>
            <rFont val="Tahoma"/>
            <family val="2"/>
          </rPr>
          <t>Parsons, Gavin [GIR]:</t>
        </r>
        <r>
          <rPr>
            <sz val="9"/>
            <color indexed="81"/>
            <rFont val="Tahoma"/>
            <family val="2"/>
          </rPr>
          <t xml:space="preserve">
1q20: breakeven
jun 20: negative</t>
        </r>
      </text>
    </comment>
    <comment ref="CO169" authorId="1" shapeId="0" xr:uid="{00000000-0006-0000-0600-0000A4000000}">
      <text>
        <r>
          <rPr>
            <b/>
            <sz val="9"/>
            <color indexed="81"/>
            <rFont val="Tahoma"/>
            <family val="2"/>
          </rPr>
          <t>Parsons, Gavin [GIR]:</t>
        </r>
        <r>
          <rPr>
            <sz val="9"/>
            <color indexed="81"/>
            <rFont val="Tahoma"/>
            <family val="2"/>
          </rPr>
          <t xml:space="preserve">
3q20: in-line with 3Q</t>
        </r>
      </text>
    </comment>
    <comment ref="CP169" authorId="1" shapeId="0" xr:uid="{00000000-0006-0000-0600-0000A5000000}">
      <text>
        <r>
          <rPr>
            <b/>
            <sz val="9"/>
            <color indexed="81"/>
            <rFont val="Tahoma"/>
            <family val="2"/>
          </rPr>
          <t>Parsons, Gavin [GIR]:</t>
        </r>
        <r>
          <rPr>
            <sz val="9"/>
            <color indexed="81"/>
            <rFont val="Tahoma"/>
            <family val="2"/>
          </rPr>
          <t xml:space="preserve">
4q19: (325)-(275)
1q20: [withdrawn]</t>
        </r>
      </text>
    </comment>
    <comment ref="CU169" authorId="1" shapeId="0" xr:uid="{00000000-0006-0000-0600-0000A6000000}">
      <text>
        <r>
          <rPr>
            <b/>
            <sz val="9"/>
            <color indexed="81"/>
            <rFont val="Tahoma"/>
            <family val="2"/>
          </rPr>
          <t>Parsons, Gavin [GIR]:</t>
        </r>
        <r>
          <rPr>
            <sz val="9"/>
            <color indexed="81"/>
            <rFont val="Tahoma"/>
            <family val="2"/>
          </rPr>
          <t xml:space="preserve">
4q20: (275)-25; 2-4Q +800-1,050
1q21: (200)-25
may21: same
2q21: 100-275
3q21: 250-300</t>
        </r>
      </text>
    </comment>
    <comment ref="CV169" authorId="0" shapeId="0" xr:uid="{A771C12B-2A20-48C0-BDD8-C61916E17F5A}">
      <text>
        <r>
          <rPr>
            <b/>
            <sz val="9"/>
            <color indexed="81"/>
            <rFont val="Tahoma"/>
            <family val="2"/>
          </rPr>
          <t>Blake, BEN [GIR]:</t>
        </r>
        <r>
          <rPr>
            <sz val="9"/>
            <color indexed="81"/>
            <rFont val="Tahoma"/>
            <family val="2"/>
          </rPr>
          <t xml:space="preserve">
2q23: adjusted for recasted Raytheon segment</t>
        </r>
      </text>
    </comment>
    <comment ref="CW169" authorId="0" shapeId="0" xr:uid="{7D33E9B6-7F12-4B72-A819-9E0D9A442B31}">
      <text>
        <r>
          <rPr>
            <b/>
            <sz val="9"/>
            <color indexed="81"/>
            <rFont val="Tahoma"/>
            <family val="2"/>
          </rPr>
          <t>Blake, BEN [GIR]:</t>
        </r>
        <r>
          <rPr>
            <sz val="9"/>
            <color indexed="81"/>
            <rFont val="Tahoma"/>
            <family val="2"/>
          </rPr>
          <t xml:space="preserve">
2q23: adjusted for recasted Raytheon segment</t>
        </r>
      </text>
    </comment>
    <comment ref="CX169" authorId="0" shapeId="0" xr:uid="{543E2838-7646-46AB-B880-FFF065EF1D90}">
      <text>
        <r>
          <rPr>
            <b/>
            <sz val="9"/>
            <color indexed="81"/>
            <rFont val="Tahoma"/>
            <family val="2"/>
          </rPr>
          <t>Blake, BEN [GIR]:</t>
        </r>
        <r>
          <rPr>
            <sz val="9"/>
            <color indexed="81"/>
            <rFont val="Tahoma"/>
            <family val="2"/>
          </rPr>
          <t xml:space="preserve">
2q23: adjusted for recasted Raytheon segment</t>
        </r>
      </text>
    </comment>
    <comment ref="CY169" authorId="0" shapeId="0" xr:uid="{B77FD1A8-8D52-496E-8640-1976084D9830}">
      <text>
        <r>
          <rPr>
            <b/>
            <sz val="9"/>
            <color indexed="81"/>
            <rFont val="Tahoma"/>
            <family val="2"/>
          </rPr>
          <t>Blake, BEN [GIR]:</t>
        </r>
        <r>
          <rPr>
            <sz val="9"/>
            <color indexed="81"/>
            <rFont val="Tahoma"/>
            <family val="2"/>
          </rPr>
          <t xml:space="preserve">
2q23: adjusted for recasted Raytheon segment</t>
        </r>
      </text>
    </comment>
    <comment ref="CZ169" authorId="0" shapeId="0" xr:uid="{48978D73-55F4-4816-B973-73908CD66F1C}">
      <text>
        <r>
          <rPr>
            <b/>
            <sz val="9"/>
            <color indexed="81"/>
            <rFont val="Tahoma"/>
            <family val="2"/>
          </rPr>
          <t>Blake, BEN [GIR]:</t>
        </r>
        <r>
          <rPr>
            <sz val="9"/>
            <color indexed="81"/>
            <rFont val="Tahoma"/>
            <family val="2"/>
          </rPr>
          <t xml:space="preserve">
2q23: adjusted for recasted Raytheon segment</t>
        </r>
      </text>
    </comment>
    <comment ref="DA169" authorId="0" shapeId="0" xr:uid="{B5E9DA50-BAEB-4517-B580-190EA9B4ACDB}">
      <text>
        <r>
          <rPr>
            <b/>
            <sz val="9"/>
            <color indexed="81"/>
            <rFont val="Tahoma"/>
            <family val="2"/>
          </rPr>
          <t>Blake, BEN [GIR]:</t>
        </r>
        <r>
          <rPr>
            <sz val="9"/>
            <color indexed="81"/>
            <rFont val="Tahoma"/>
            <family val="2"/>
          </rPr>
          <t xml:space="preserve">
2q23: adjusted for recasted Raytheon segment</t>
        </r>
      </text>
    </comment>
    <comment ref="DB169" authorId="0" shapeId="0" xr:uid="{5B51CEB1-F564-4651-B78C-708242034E97}">
      <text>
        <r>
          <rPr>
            <b/>
            <sz val="9"/>
            <color indexed="81"/>
            <rFont val="Tahoma"/>
            <family val="2"/>
          </rPr>
          <t>Blake, BEN [GIR]:</t>
        </r>
        <r>
          <rPr>
            <sz val="9"/>
            <color indexed="81"/>
            <rFont val="Tahoma"/>
            <family val="2"/>
          </rPr>
          <t xml:space="preserve">
2q23: adjusted for recasted Raytheon segment</t>
        </r>
      </text>
    </comment>
    <comment ref="DE169" authorId="1" shapeId="0" xr:uid="{F4770503-17AE-45D8-A80A-519452F36F82}">
      <text>
        <r>
          <rPr>
            <b/>
            <sz val="9"/>
            <color indexed="81"/>
            <rFont val="Tahoma"/>
            <family val="2"/>
          </rPr>
          <t>Parsons, Gavin [GIR]:</t>
        </r>
        <r>
          <rPr>
            <sz val="9"/>
            <color indexed="81"/>
            <rFont val="Tahoma"/>
            <family val="2"/>
          </rPr>
          <t xml:space="preserve">
4q22: +750-825
1q23: unchanged
2q23: +825-875
3q23: unchanged</t>
        </r>
      </text>
    </comment>
    <comment ref="DJ169" authorId="0" shapeId="0" xr:uid="{1A243E9C-4844-4B18-A613-7381CA3C149A}">
      <text>
        <r>
          <rPr>
            <b/>
            <sz val="9"/>
            <color indexed="81"/>
            <rFont val="Tahoma"/>
            <family val="2"/>
          </rPr>
          <t>Blake, BEN [GIR]:</t>
        </r>
        <r>
          <rPr>
            <sz val="9"/>
            <color indexed="81"/>
            <rFont val="Tahoma"/>
            <family val="2"/>
          </rPr>
          <t xml:space="preserve">
4q23: +650-725
1q24: same
2q24: same
3q24: +575-650</t>
        </r>
      </text>
    </comment>
    <comment ref="DM169" authorId="11" shapeId="0" xr:uid="{993391BA-D6FD-43DD-B099-B1A250E4C11B}">
      <text>
        <r>
          <rPr>
            <b/>
            <sz val="9"/>
            <color indexed="81"/>
            <rFont val="Tahoma"/>
            <family val="2"/>
          </rPr>
          <t>Ortmayer, Will [GIR]:</t>
        </r>
        <r>
          <rPr>
            <sz val="9"/>
            <color indexed="81"/>
            <rFont val="Tahoma"/>
            <family val="2"/>
          </rPr>
          <t xml:space="preserve">
3q25: 90mn of tariff headwind</t>
        </r>
      </text>
    </comment>
    <comment ref="DO169" authorId="4" shapeId="0" xr:uid="{00000000-0006-0000-0600-0000A8000000}">
      <text>
        <r>
          <rPr>
            <b/>
            <sz val="9"/>
            <color indexed="81"/>
            <rFont val="Tahoma"/>
            <family val="2"/>
          </rPr>
          <t>Valentini, Anthony [GIR]:</t>
        </r>
        <r>
          <rPr>
            <sz val="9"/>
            <color indexed="81"/>
            <rFont val="Tahoma"/>
            <family val="2"/>
          </rPr>
          <t xml:space="preserve">
may21: 27-30% CAGR 2020-25E (5,160 implied midpoint)
jun23: 22-25% CAGR 2020-25E (4,223 implied midpoint)
4q24: +500-600 over 2024
1q25: same
2q25: +275-350
3q25: +325-375</t>
        </r>
      </text>
    </comment>
    <comment ref="CP170" authorId="1" shapeId="0" xr:uid="{00000000-0006-0000-0600-0000AA000000}">
      <text>
        <r>
          <rPr>
            <b/>
            <sz val="9"/>
            <color indexed="81"/>
            <rFont val="Tahoma"/>
            <family val="2"/>
          </rPr>
          <t>Parsons, Gavin [GIR]:</t>
        </r>
        <r>
          <rPr>
            <sz val="9"/>
            <color indexed="81"/>
            <rFont val="Tahoma"/>
            <family val="2"/>
          </rPr>
          <t xml:space="preserve">
4q19: 1,630-1,680
1q20: 1,484-1,534 (-120 purch acct)
2q20: same
3q20: same</t>
        </r>
      </text>
    </comment>
    <comment ref="CU170" authorId="1" shapeId="0" xr:uid="{00000000-0006-0000-0600-0000AB000000}">
      <text>
        <r>
          <rPr>
            <b/>
            <sz val="9"/>
            <color indexed="81"/>
            <rFont val="Tahoma"/>
            <family val="2"/>
          </rPr>
          <t>Parsons, Gavin [GIR]:</t>
        </r>
        <r>
          <rPr>
            <sz val="9"/>
            <color indexed="81"/>
            <rFont val="Tahoma"/>
            <family val="2"/>
          </rPr>
          <t xml:space="preserve">
4q20: +125-175; 2-4Q +175-200
1q21: same
may21: same
2q21: 150-175
3q21: same</t>
        </r>
      </text>
    </comment>
    <comment ref="CZ170" authorId="1" shapeId="0" xr:uid="{00000000-0006-0000-0600-0000AC000000}">
      <text>
        <r>
          <rPr>
            <b/>
            <sz val="9"/>
            <color indexed="81"/>
            <rFont val="Tahoma"/>
            <family val="2"/>
          </rPr>
          <t>Parsons, Gavin [GIR]:</t>
        </r>
        <r>
          <rPr>
            <sz val="9"/>
            <color indexed="81"/>
            <rFont val="Tahoma"/>
            <family val="2"/>
          </rPr>
          <t xml:space="preserve">
4q21: flat to +50
1q22: same
2q22: (50) to flat
3q22: (125)-(75)</t>
        </r>
      </text>
    </comment>
    <comment ref="DE170" authorId="1" shapeId="0" xr:uid="{99B15C95-A63A-45E1-915D-DE7BABD72B7F}">
      <text>
        <r>
          <rPr>
            <b/>
            <sz val="9"/>
            <color indexed="81"/>
            <rFont val="Tahoma"/>
            <family val="2"/>
          </rPr>
          <t>Parsons, Gavin [GIR]:</t>
        </r>
        <r>
          <rPr>
            <sz val="9"/>
            <color indexed="81"/>
            <rFont val="Tahoma"/>
            <family val="2"/>
          </rPr>
          <t xml:space="preserve">
4q22: +75-125
1q23: unchanged
</t>
        </r>
      </text>
    </comment>
    <comment ref="DO170" authorId="4" shapeId="0" xr:uid="{00000000-0006-0000-0600-0000AD000000}">
      <text>
        <r>
          <rPr>
            <b/>
            <sz val="9"/>
            <color indexed="81"/>
            <rFont val="Tahoma"/>
            <family val="2"/>
          </rPr>
          <t>Valentini, Anthony [GIR]:</t>
        </r>
        <r>
          <rPr>
            <sz val="9"/>
            <color indexed="81"/>
            <rFont val="Tahoma"/>
            <family val="2"/>
          </rPr>
          <t xml:space="preserve">
may21: 7-10% CAGR 2020-25E (2,170 implied midpoint)
jun23: 5.5-7.5% CAGR 2020-25E (4,657 implied midpoint total RTX)</t>
        </r>
      </text>
    </comment>
    <comment ref="CP171" authorId="1" shapeId="0" xr:uid="{00000000-0006-0000-0600-0000AF000000}">
      <text>
        <r>
          <rPr>
            <b/>
            <sz val="9"/>
            <color indexed="81"/>
            <rFont val="Tahoma"/>
            <family val="2"/>
          </rPr>
          <t>Parsons, Gavin [GIR]:</t>
        </r>
        <r>
          <rPr>
            <sz val="9"/>
            <color indexed="81"/>
            <rFont val="Tahoma"/>
            <family val="2"/>
          </rPr>
          <t xml:space="preserve">
4q19: 2,290-2,350
1q20: 2,048-2,108 (-227 purch acct)
2q20: same
3q20: same</t>
        </r>
      </text>
    </comment>
    <comment ref="CU171" authorId="1" shapeId="0" xr:uid="{00000000-0006-0000-0600-0000B0000000}">
      <text>
        <r>
          <rPr>
            <b/>
            <sz val="9"/>
            <color indexed="81"/>
            <rFont val="Tahoma"/>
            <family val="2"/>
          </rPr>
          <t>Parsons, Gavin [GIR]:</t>
        </r>
        <r>
          <rPr>
            <sz val="9"/>
            <color indexed="81"/>
            <rFont val="Tahoma"/>
            <family val="2"/>
          </rPr>
          <t xml:space="preserve">
4q20: +25-75; 2-4Q +150-175
1q21: same
may21: same
2q21: 50-75
3q21: same</t>
        </r>
      </text>
    </comment>
    <comment ref="CZ171" authorId="1" shapeId="0" xr:uid="{00000000-0006-0000-0600-0000B1000000}">
      <text>
        <r>
          <rPr>
            <b/>
            <sz val="9"/>
            <color indexed="81"/>
            <rFont val="Tahoma"/>
            <family val="2"/>
          </rPr>
          <t>Parsons, Gavin [GIR]:</t>
        </r>
        <r>
          <rPr>
            <sz val="9"/>
            <color indexed="81"/>
            <rFont val="Tahoma"/>
            <family val="2"/>
          </rPr>
          <t xml:space="preserve">
4q21: +150-200
1q22: same
2q22: (50) to flat
3q22: (300)-(250)</t>
        </r>
      </text>
    </comment>
    <comment ref="DE171" authorId="1" shapeId="0" xr:uid="{E9D3597C-1732-4BF5-A90D-9A5660CA98CA}">
      <text>
        <r>
          <rPr>
            <b/>
            <sz val="9"/>
            <color indexed="81"/>
            <rFont val="Tahoma"/>
            <family val="2"/>
          </rPr>
          <t>Parsons, Gavin [GIR]:</t>
        </r>
        <r>
          <rPr>
            <sz val="9"/>
            <color indexed="81"/>
            <rFont val="Tahoma"/>
            <family val="2"/>
          </rPr>
          <t xml:space="preserve">
4q22: +175-225
1q23: unchanged
</t>
        </r>
      </text>
    </comment>
    <comment ref="DO171" authorId="4" shapeId="0" xr:uid="{00000000-0006-0000-0600-0000B2000000}">
      <text>
        <r>
          <rPr>
            <b/>
            <sz val="9"/>
            <color indexed="81"/>
            <rFont val="Tahoma"/>
            <family val="2"/>
          </rPr>
          <t>Valentini, Anthony [GIR]:</t>
        </r>
        <r>
          <rPr>
            <sz val="9"/>
            <color indexed="81"/>
            <rFont val="Tahoma"/>
            <family val="2"/>
          </rPr>
          <t xml:space="preserve">
may21: 4-6% CAGR 2020-25E (2,500 implied midpoint)
jun23: 5.5-7.5% CAGR 2020-25E (4,657 implied midpoint total RTX)</t>
        </r>
      </text>
    </comment>
    <comment ref="CV172" authorId="0" shapeId="0" xr:uid="{215FBFF4-8AB2-4736-9994-782010961B1E}">
      <text>
        <r>
          <rPr>
            <b/>
            <sz val="9"/>
            <color indexed="81"/>
            <rFont val="Tahoma"/>
            <family val="2"/>
          </rPr>
          <t>Blake, BEN [GIR]:</t>
        </r>
        <r>
          <rPr>
            <sz val="9"/>
            <color indexed="81"/>
            <rFont val="Tahoma"/>
            <family val="2"/>
          </rPr>
          <t xml:space="preserve">
2q23: adjusted for recasted Raytheon segment</t>
        </r>
      </text>
    </comment>
    <comment ref="CW172" authorId="0" shapeId="0" xr:uid="{0DC30A3E-FE8A-4910-AE4C-A7DD40B1F032}">
      <text>
        <r>
          <rPr>
            <b/>
            <sz val="9"/>
            <color indexed="81"/>
            <rFont val="Tahoma"/>
            <family val="2"/>
          </rPr>
          <t>Blake, BEN [GIR]:</t>
        </r>
        <r>
          <rPr>
            <sz val="9"/>
            <color indexed="81"/>
            <rFont val="Tahoma"/>
            <family val="2"/>
          </rPr>
          <t xml:space="preserve">
2q23: adjusted for recasted Raytheon segment</t>
        </r>
      </text>
    </comment>
    <comment ref="CX172" authorId="0" shapeId="0" xr:uid="{9A4DEC3A-9E52-46EF-9F50-636618D8EF1C}">
      <text>
        <r>
          <rPr>
            <b/>
            <sz val="9"/>
            <color indexed="81"/>
            <rFont val="Tahoma"/>
            <family val="2"/>
          </rPr>
          <t>Blake, BEN [GIR]:</t>
        </r>
        <r>
          <rPr>
            <sz val="9"/>
            <color indexed="81"/>
            <rFont val="Tahoma"/>
            <family val="2"/>
          </rPr>
          <t xml:space="preserve">
2q23: adjusted for recasted Raytheon segment</t>
        </r>
      </text>
    </comment>
    <comment ref="CY172" authorId="0" shapeId="0" xr:uid="{58102485-09E1-4FF6-9B67-931961A18780}">
      <text>
        <r>
          <rPr>
            <b/>
            <sz val="9"/>
            <color indexed="81"/>
            <rFont val="Tahoma"/>
            <family val="2"/>
          </rPr>
          <t>Blake, BEN [GIR]:</t>
        </r>
        <r>
          <rPr>
            <sz val="9"/>
            <color indexed="81"/>
            <rFont val="Tahoma"/>
            <family val="2"/>
          </rPr>
          <t xml:space="preserve">
2q23: adjusted for recasted Raytheon segment</t>
        </r>
      </text>
    </comment>
    <comment ref="CZ172" authorId="0" shapeId="0" xr:uid="{C14D8E10-A3C0-437D-8BDE-D4358250B31D}">
      <text>
        <r>
          <rPr>
            <b/>
            <sz val="9"/>
            <color indexed="81"/>
            <rFont val="Tahoma"/>
            <family val="2"/>
          </rPr>
          <t>Blake, BEN [GIR]:</t>
        </r>
        <r>
          <rPr>
            <sz val="9"/>
            <color indexed="81"/>
            <rFont val="Tahoma"/>
            <family val="2"/>
          </rPr>
          <t xml:space="preserve">
2q23: adjusted for recasted Raytheon segment</t>
        </r>
      </text>
    </comment>
    <comment ref="DA172" authorId="0" shapeId="0" xr:uid="{2B3A0571-EF50-4800-ABCA-802D6C6DABFA}">
      <text>
        <r>
          <rPr>
            <b/>
            <sz val="9"/>
            <color indexed="81"/>
            <rFont val="Tahoma"/>
            <family val="2"/>
          </rPr>
          <t>Blake, BEN [GIR]:</t>
        </r>
        <r>
          <rPr>
            <sz val="9"/>
            <color indexed="81"/>
            <rFont val="Tahoma"/>
            <family val="2"/>
          </rPr>
          <t xml:space="preserve">
2q23: adjusted for recasted Raytheon segment</t>
        </r>
      </text>
    </comment>
    <comment ref="DB172" authorId="0" shapeId="0" xr:uid="{833E4BD4-31E6-47D9-961E-A8CE930A8087}">
      <text>
        <r>
          <rPr>
            <b/>
            <sz val="9"/>
            <color indexed="81"/>
            <rFont val="Tahoma"/>
            <family val="2"/>
          </rPr>
          <t>Blake, BEN [GIR]:</t>
        </r>
        <r>
          <rPr>
            <sz val="9"/>
            <color indexed="81"/>
            <rFont val="Tahoma"/>
            <family val="2"/>
          </rPr>
          <t xml:space="preserve">
2q23: adjusted for recasted Raytheon segment</t>
        </r>
      </text>
    </comment>
    <comment ref="DE172" authorId="0" shapeId="0" xr:uid="{8BBDF73C-38C7-4E8C-9D9E-23FCEE90A00A}">
      <text>
        <r>
          <rPr>
            <b/>
            <sz val="9"/>
            <color indexed="81"/>
            <rFont val="Tahoma"/>
            <family val="2"/>
          </rPr>
          <t>Blake, BEN [GIR]:</t>
        </r>
        <r>
          <rPr>
            <sz val="9"/>
            <color indexed="81"/>
            <rFont val="Tahoma"/>
            <family val="2"/>
          </rPr>
          <t xml:space="preserve">
2q23: +125-175
3q23: +25-75</t>
        </r>
      </text>
    </comment>
    <comment ref="DJ172" authorId="0" shapeId="0" xr:uid="{28A84E73-A860-46BC-8B22-0CB5C4553E6D}">
      <text>
        <r>
          <rPr>
            <b/>
            <sz val="9"/>
            <color indexed="81"/>
            <rFont val="Tahoma"/>
            <family val="2"/>
          </rPr>
          <t>Blake, BEN [GIR]:</t>
        </r>
        <r>
          <rPr>
            <sz val="9"/>
            <color indexed="81"/>
            <rFont val="Tahoma"/>
            <family val="2"/>
          </rPr>
          <t xml:space="preserve">
4q23: +100-200
1q24: same
2q24: +125-200
3q24: +200-250</t>
        </r>
      </text>
    </comment>
    <comment ref="DO172" authorId="3" shapeId="0" xr:uid="{370F4DA6-D09E-449D-9938-0F9AC9E04C75}">
      <text>
        <r>
          <rPr>
            <b/>
            <sz val="9"/>
            <color indexed="81"/>
            <rFont val="Tahoma"/>
            <family val="2"/>
          </rPr>
          <t>Dessert, Connor H [GIR]:</t>
        </r>
        <r>
          <rPr>
            <sz val="9"/>
            <color indexed="81"/>
            <rFont val="Tahoma"/>
            <family val="2"/>
          </rPr>
          <t xml:space="preserve">
4q24: +150-225 over 2024
1q25: same
2q25: +225-300
3q25: 400-450</t>
        </r>
      </text>
    </comment>
    <comment ref="CG173" authorId="1" shapeId="0" xr:uid="{00000000-0006-0000-0600-0000B4000000}">
      <text>
        <r>
          <rPr>
            <b/>
            <sz val="9"/>
            <color indexed="81"/>
            <rFont val="Tahoma"/>
            <family val="2"/>
          </rPr>
          <t>Parsons, Gavin [GIR]:</t>
        </r>
        <r>
          <rPr>
            <sz val="9"/>
            <color indexed="81"/>
            <rFont val="Tahoma"/>
            <family val="2"/>
          </rPr>
          <t xml:space="preserve">
4q18: 22% of full year</t>
        </r>
      </text>
    </comment>
    <comment ref="DE173" authorId="1" shapeId="0" xr:uid="{29E3EF19-9847-48F7-BBC9-9540F3F64489}">
      <text>
        <r>
          <rPr>
            <b/>
            <sz val="9"/>
            <color indexed="81"/>
            <rFont val="Tahoma"/>
            <family val="2"/>
          </rPr>
          <t>Parsons, Gavin [GIR]:</t>
        </r>
        <r>
          <rPr>
            <sz val="9"/>
            <color indexed="81"/>
            <rFont val="Tahoma"/>
            <family val="2"/>
          </rPr>
          <t xml:space="preserve">
3q22: up more than revenue
Sept23: 3bn charge due to GTF issue</t>
        </r>
      </text>
    </comment>
    <comment ref="DO173" authorId="4" shapeId="0" xr:uid="{00000000-0006-0000-0600-0000B5000000}">
      <text>
        <r>
          <rPr>
            <b/>
            <sz val="9"/>
            <color indexed="81"/>
            <rFont val="Tahoma"/>
            <family val="2"/>
          </rPr>
          <t>Valentini, Anthony [GIR]:</t>
        </r>
        <r>
          <rPr>
            <sz val="9"/>
            <color indexed="81"/>
            <rFont val="Tahoma"/>
            <family val="2"/>
          </rPr>
          <t xml:space="preserve">
may21: 17.6-20.3% implied CAGR 2020-25E (12,610 implied)</t>
        </r>
      </text>
    </comment>
    <comment ref="CV174" authorId="0" shapeId="0" xr:uid="{4197AA94-66CC-40FD-A609-8EE09DAA643B}">
      <text>
        <r>
          <rPr>
            <b/>
            <sz val="9"/>
            <color indexed="81"/>
            <rFont val="Tahoma"/>
            <family val="2"/>
          </rPr>
          <t>Blake, BEN [GIR]:</t>
        </r>
        <r>
          <rPr>
            <sz val="9"/>
            <color indexed="81"/>
            <rFont val="Tahoma"/>
            <family val="2"/>
          </rPr>
          <t xml:space="preserve">
2q23: adjusted for recasted Raytheon segment</t>
        </r>
      </text>
    </comment>
    <comment ref="CW174" authorId="0" shapeId="0" xr:uid="{BF1C6F03-45F9-42FE-90DF-7EA1B10CCE9A}">
      <text>
        <r>
          <rPr>
            <b/>
            <sz val="9"/>
            <color indexed="81"/>
            <rFont val="Tahoma"/>
            <family val="2"/>
          </rPr>
          <t>Blake, BEN [GIR]:</t>
        </r>
        <r>
          <rPr>
            <sz val="9"/>
            <color indexed="81"/>
            <rFont val="Tahoma"/>
            <family val="2"/>
          </rPr>
          <t xml:space="preserve">
2q23: adjusted for recasted Raytheon segment</t>
        </r>
      </text>
    </comment>
    <comment ref="CX174" authorId="0" shapeId="0" xr:uid="{592B87D4-89FE-40D9-9E16-904B4F499AC2}">
      <text>
        <r>
          <rPr>
            <b/>
            <sz val="9"/>
            <color indexed="81"/>
            <rFont val="Tahoma"/>
            <family val="2"/>
          </rPr>
          <t>Blake, BEN [GIR]:</t>
        </r>
        <r>
          <rPr>
            <sz val="9"/>
            <color indexed="81"/>
            <rFont val="Tahoma"/>
            <family val="2"/>
          </rPr>
          <t xml:space="preserve">
2q23: adjusted for recasted Raytheon segment</t>
        </r>
      </text>
    </comment>
    <comment ref="CY174" authorId="0" shapeId="0" xr:uid="{3075E55C-EF09-47B2-AF9F-BE137B06E98C}">
      <text>
        <r>
          <rPr>
            <b/>
            <sz val="9"/>
            <color indexed="81"/>
            <rFont val="Tahoma"/>
            <family val="2"/>
          </rPr>
          <t>Blake, BEN [GIR]:</t>
        </r>
        <r>
          <rPr>
            <sz val="9"/>
            <color indexed="81"/>
            <rFont val="Tahoma"/>
            <family val="2"/>
          </rPr>
          <t xml:space="preserve">
2q23: adjusted for recasted Raytheon segment</t>
        </r>
      </text>
    </comment>
    <comment ref="CZ174" authorId="0" shapeId="0" xr:uid="{FB639EA3-0D2F-45C4-ADC2-3520F8156FD1}">
      <text>
        <r>
          <rPr>
            <b/>
            <sz val="9"/>
            <color indexed="81"/>
            <rFont val="Tahoma"/>
            <family val="2"/>
          </rPr>
          <t>Blake, BEN [GIR]:</t>
        </r>
        <r>
          <rPr>
            <sz val="9"/>
            <color indexed="81"/>
            <rFont val="Tahoma"/>
            <family val="2"/>
          </rPr>
          <t xml:space="preserve">
2q23: adjusted for recasted Raytheon segment</t>
        </r>
      </text>
    </comment>
    <comment ref="DA174" authorId="0" shapeId="0" xr:uid="{77D186BD-78C7-4E39-8DFA-6494D92FC018}">
      <text>
        <r>
          <rPr>
            <b/>
            <sz val="9"/>
            <color indexed="81"/>
            <rFont val="Tahoma"/>
            <family val="2"/>
          </rPr>
          <t>Blake, BEN [GIR]:</t>
        </r>
        <r>
          <rPr>
            <sz val="9"/>
            <color indexed="81"/>
            <rFont val="Tahoma"/>
            <family val="2"/>
          </rPr>
          <t xml:space="preserve">
2q23: adjusted for recasted Raytheon segment</t>
        </r>
      </text>
    </comment>
    <comment ref="DB174" authorId="0" shapeId="0" xr:uid="{846F6157-4C27-4FDF-A831-6D619D0F3E21}">
      <text>
        <r>
          <rPr>
            <b/>
            <sz val="9"/>
            <color indexed="81"/>
            <rFont val="Tahoma"/>
            <family val="2"/>
          </rPr>
          <t>Blake, BEN [GIR]:</t>
        </r>
        <r>
          <rPr>
            <sz val="9"/>
            <color indexed="81"/>
            <rFont val="Tahoma"/>
            <family val="2"/>
          </rPr>
          <t xml:space="preserve">
2q23: adjusted for recasted Raytheon segment</t>
        </r>
      </text>
    </comment>
    <comment ref="DE174" authorId="1" shapeId="0" xr:uid="{2500FAF3-D131-4433-B2C3-269AC9815B7B}">
      <text>
        <r>
          <rPr>
            <b/>
            <sz val="9"/>
            <color indexed="81"/>
            <rFont val="Tahoma"/>
            <family val="2"/>
          </rPr>
          <t>Parsons, Gavin [GIR]:</t>
        </r>
        <r>
          <rPr>
            <sz val="9"/>
            <color indexed="81"/>
            <rFont val="Tahoma"/>
            <family val="2"/>
          </rPr>
          <t xml:space="preserve">
4q22: up more than sales elims</t>
        </r>
      </text>
    </comment>
    <comment ref="DJ174" authorId="0" shapeId="0" xr:uid="{782DDFF4-AF70-4EE7-85E3-08911F1A38FB}">
      <text>
        <r>
          <rPr>
            <b/>
            <sz val="9"/>
            <color indexed="81"/>
            <rFont val="Tahoma"/>
            <family val="2"/>
          </rPr>
          <t>Blake, BEN [GIR]:</t>
        </r>
        <r>
          <rPr>
            <sz val="9"/>
            <color indexed="81"/>
            <rFont val="Tahoma"/>
            <family val="2"/>
          </rPr>
          <t xml:space="preserve">
3q23: will grow with sales</t>
        </r>
      </text>
    </comment>
    <comment ref="CP175" authorId="1" shapeId="0" xr:uid="{00000000-0006-0000-0600-0000B6000000}">
      <text>
        <r>
          <rPr>
            <b/>
            <sz val="9"/>
            <color indexed="81"/>
            <rFont val="Tahoma"/>
            <family val="2"/>
          </rPr>
          <t>Parsons, Gavin [GIR]:</t>
        </r>
        <r>
          <rPr>
            <sz val="9"/>
            <color indexed="81"/>
            <rFont val="Tahoma"/>
            <family val="2"/>
          </rPr>
          <t xml:space="preserve">
1q20: 250-300 2Q-4Q
3q20: 120-140 2Q-4Q</t>
        </r>
      </text>
    </comment>
    <comment ref="CU175" authorId="1" shapeId="0" xr:uid="{00000000-0006-0000-0600-0000B7000000}">
      <text>
        <r>
          <rPr>
            <b/>
            <sz val="9"/>
            <color indexed="81"/>
            <rFont val="Tahoma"/>
            <family val="2"/>
          </rPr>
          <t>Parsons, Gavin [GIR]:</t>
        </r>
        <r>
          <rPr>
            <sz val="9"/>
            <color indexed="81"/>
            <rFont val="Tahoma"/>
            <family val="2"/>
          </rPr>
          <t xml:space="preserve">
4q20: 425-450
1q21: 425
2q21: 375
3q21: 325</t>
        </r>
      </text>
    </comment>
    <comment ref="CZ175" authorId="1" shapeId="0" xr:uid="{00000000-0006-0000-0600-0000B8000000}">
      <text>
        <r>
          <rPr>
            <b/>
            <sz val="9"/>
            <color indexed="81"/>
            <rFont val="Tahoma"/>
            <family val="2"/>
          </rPr>
          <t>Parsons, Gavin [GIR]:</t>
        </r>
        <r>
          <rPr>
            <sz val="9"/>
            <color indexed="81"/>
            <rFont val="Tahoma"/>
            <family val="2"/>
          </rPr>
          <t xml:space="preserve">
4q21: 375-400
1q22: same
2q22: 325
3q22: same</t>
        </r>
      </text>
    </comment>
    <comment ref="DE175" authorId="1" shapeId="0" xr:uid="{EBD2E20C-E6B9-4944-A7FE-F1C979ABC3AE}">
      <text>
        <r>
          <rPr>
            <b/>
            <sz val="9"/>
            <color indexed="81"/>
            <rFont val="Tahoma"/>
            <family val="2"/>
          </rPr>
          <t>Parsons, Gavin [GIR]:</t>
        </r>
        <r>
          <rPr>
            <sz val="9"/>
            <color indexed="81"/>
            <rFont val="Tahoma"/>
            <family val="2"/>
          </rPr>
          <t xml:space="preserve">
4q22: 300
1q23: unchanged
2q23: 175
3q23: ~150</t>
        </r>
      </text>
    </comment>
    <comment ref="DJ175" authorId="0" shapeId="0" xr:uid="{E8965A13-7EF8-4E73-9775-CF1E787EF585}">
      <text>
        <r>
          <rPr>
            <b/>
            <sz val="9"/>
            <color indexed="81"/>
            <rFont val="Tahoma"/>
            <family val="2"/>
          </rPr>
          <t>Blake, BEN [GIR]:</t>
        </r>
        <r>
          <rPr>
            <sz val="9"/>
            <color indexed="81"/>
            <rFont val="Tahoma"/>
            <family val="2"/>
          </rPr>
          <t xml:space="preserve">
3q23: won't be as high as FY21/22, but will go up YoY
4q23: ~225
1q24: same
2q24: 200
3q24: same</t>
        </r>
      </text>
    </comment>
    <comment ref="DO175" authorId="3" shapeId="0" xr:uid="{F1ED1123-6482-462C-B99B-C1B43163A334}">
      <text>
        <r>
          <rPr>
            <b/>
            <sz val="9"/>
            <color indexed="81"/>
            <rFont val="Tahoma"/>
            <family val="2"/>
          </rPr>
          <t>Dessert, Connor H [GIR]:</t>
        </r>
        <r>
          <rPr>
            <sz val="9"/>
            <color indexed="81"/>
            <rFont val="Tahoma"/>
            <family val="2"/>
          </rPr>
          <t xml:space="preserve">
4q24: 200-225
1q25: same
2q25: same
3q25: 175-200</t>
        </r>
      </text>
    </comment>
    <comment ref="CK176" authorId="6" shapeId="0" xr:uid="{00000000-0006-0000-0600-0000B9000000}">
      <text>
        <r>
          <rPr>
            <b/>
            <sz val="9"/>
            <color indexed="81"/>
            <rFont val="Tahoma"/>
            <family val="2"/>
          </rPr>
          <t>Porat, Matthew [GIR]:</t>
        </r>
        <r>
          <rPr>
            <sz val="9"/>
            <color indexed="81"/>
            <rFont val="Tahoma"/>
            <family val="2"/>
          </rPr>
          <t xml:space="preserve">
4q18: $(0.15) impact yoy implies (171) yoy = (269)</t>
        </r>
      </text>
    </comment>
    <comment ref="CP176" authorId="1" shapeId="0" xr:uid="{00000000-0006-0000-0600-0000BA000000}">
      <text>
        <r>
          <rPr>
            <b/>
            <sz val="9"/>
            <color indexed="81"/>
            <rFont val="Tahoma"/>
            <family val="2"/>
          </rPr>
          <t>Parsons, Gavin [GIR]:</t>
        </r>
        <r>
          <rPr>
            <sz val="9"/>
            <color indexed="81"/>
            <rFont val="Tahoma"/>
            <family val="2"/>
          </rPr>
          <t xml:space="preserve">
ASU 2017-17
4q17: 1,410 (CAS 1,859 | (449) service)
4q18: 1,525
1q20: 1,090-1,150 2Q-4Q
3q20: 1,110-1,115 2Q-4Q</t>
        </r>
      </text>
    </comment>
    <comment ref="CU176" authorId="4" shapeId="0" xr:uid="{00000000-0006-0000-0600-0000BB000000}">
      <text>
        <r>
          <rPr>
            <b/>
            <sz val="9"/>
            <color indexed="81"/>
            <rFont val="Tahoma"/>
            <family val="2"/>
          </rPr>
          <t>Valentini, Anthony [GIR]:</t>
        </r>
        <r>
          <rPr>
            <sz val="9"/>
            <color indexed="81"/>
            <rFont val="Tahoma"/>
            <family val="2"/>
          </rPr>
          <t xml:space="preserve">
4q18: 1,609
4q20: 1,675
1q21: same
May21: same
2q21: same
3q21: 1,785</t>
        </r>
      </text>
    </comment>
    <comment ref="CV176" authorId="0" shapeId="0" xr:uid="{712C296F-4B3F-4E30-99AA-59D345290347}">
      <text>
        <r>
          <rPr>
            <b/>
            <sz val="9"/>
            <color indexed="81"/>
            <rFont val="Tahoma"/>
            <family val="2"/>
          </rPr>
          <t>Blake, BEN [GIR]:</t>
        </r>
        <r>
          <rPr>
            <sz val="9"/>
            <color indexed="81"/>
            <rFont val="Tahoma"/>
            <family val="2"/>
          </rPr>
          <t xml:space="preserve">
2q23: adjusted for recasted Raytheon segment</t>
        </r>
      </text>
    </comment>
    <comment ref="CW176" authorId="0" shapeId="0" xr:uid="{CF2AE091-3123-4626-B649-51FDE167F935}">
      <text>
        <r>
          <rPr>
            <b/>
            <sz val="9"/>
            <color indexed="81"/>
            <rFont val="Tahoma"/>
            <family val="2"/>
          </rPr>
          <t>Blake, BEN [GIR]:</t>
        </r>
        <r>
          <rPr>
            <sz val="9"/>
            <color indexed="81"/>
            <rFont val="Tahoma"/>
            <family val="2"/>
          </rPr>
          <t xml:space="preserve">
2q23: adjusted for recasted Raytheon segment</t>
        </r>
      </text>
    </comment>
    <comment ref="CX176" authorId="0" shapeId="0" xr:uid="{D6A42A28-3D82-4C08-8BB7-14C7D247EE6D}">
      <text>
        <r>
          <rPr>
            <b/>
            <sz val="9"/>
            <color indexed="81"/>
            <rFont val="Tahoma"/>
            <family val="2"/>
          </rPr>
          <t>Blake, BEN [GIR]:</t>
        </r>
        <r>
          <rPr>
            <sz val="9"/>
            <color indexed="81"/>
            <rFont val="Tahoma"/>
            <family val="2"/>
          </rPr>
          <t xml:space="preserve">
2q23: adjusted for recasted Raytheon segment</t>
        </r>
      </text>
    </comment>
    <comment ref="CY176" authorId="0" shapeId="0" xr:uid="{D8EB6839-16A9-401D-AE51-E51CA66BA432}">
      <text>
        <r>
          <rPr>
            <b/>
            <sz val="9"/>
            <color indexed="81"/>
            <rFont val="Tahoma"/>
            <family val="2"/>
          </rPr>
          <t>Blake, BEN [GIR]:</t>
        </r>
        <r>
          <rPr>
            <sz val="9"/>
            <color indexed="81"/>
            <rFont val="Tahoma"/>
            <family val="2"/>
          </rPr>
          <t xml:space="preserve">
2q23: adjusted for recasted Raytheon segment</t>
        </r>
      </text>
    </comment>
    <comment ref="CZ176" authorId="0" shapeId="0" xr:uid="{D288D2C5-DB93-4901-B7C2-BBBF3B90BFCA}">
      <text>
        <r>
          <rPr>
            <b/>
            <sz val="9"/>
            <color indexed="81"/>
            <rFont val="Tahoma"/>
            <family val="2"/>
          </rPr>
          <t>Blake, BEN [GIR]:</t>
        </r>
        <r>
          <rPr>
            <sz val="9"/>
            <color indexed="81"/>
            <rFont val="Tahoma"/>
            <family val="2"/>
          </rPr>
          <t xml:space="preserve">
2q23: adjusted for recasted Raytheon segment</t>
        </r>
      </text>
    </comment>
    <comment ref="DA176" authorId="0" shapeId="0" xr:uid="{44C69495-3854-40C5-BC4C-471AD54AC55B}">
      <text>
        <r>
          <rPr>
            <b/>
            <sz val="9"/>
            <color indexed="81"/>
            <rFont val="Tahoma"/>
            <family val="2"/>
          </rPr>
          <t>Blake, BEN [GIR]:</t>
        </r>
        <r>
          <rPr>
            <sz val="9"/>
            <color indexed="81"/>
            <rFont val="Tahoma"/>
            <family val="2"/>
          </rPr>
          <t xml:space="preserve">
2q23: adjusted for recasted Raytheon segment</t>
        </r>
      </text>
    </comment>
    <comment ref="DB176" authorId="0" shapeId="0" xr:uid="{32C1B80D-0469-424B-9E4F-E7918BD83EE9}">
      <text>
        <r>
          <rPr>
            <b/>
            <sz val="9"/>
            <color indexed="81"/>
            <rFont val="Tahoma"/>
            <family val="2"/>
          </rPr>
          <t>Blake, BEN [GIR]:</t>
        </r>
        <r>
          <rPr>
            <sz val="9"/>
            <color indexed="81"/>
            <rFont val="Tahoma"/>
            <family val="2"/>
          </rPr>
          <t xml:space="preserve">
2q23: adjusted for recasted Raytheon segment</t>
        </r>
      </text>
    </comment>
    <comment ref="DE176" authorId="0" shapeId="0" xr:uid="{D2D0161F-E071-4A96-9BF1-E324B70D0A1A}">
      <text>
        <r>
          <rPr>
            <b/>
            <sz val="9"/>
            <color indexed="81"/>
            <rFont val="Tahoma"/>
            <family val="2"/>
          </rPr>
          <t>Blake, BEN [GIR]:</t>
        </r>
        <r>
          <rPr>
            <sz val="9"/>
            <color indexed="81"/>
            <rFont val="Tahoma"/>
            <family val="2"/>
          </rPr>
          <t xml:space="preserve">
1q23: 1,250
2q23: 1,150
3q23: ~1,125</t>
        </r>
      </text>
    </comment>
    <comment ref="DJ176" authorId="1" shapeId="0" xr:uid="{00000000-0006-0000-0600-0000BE000000}">
      <text>
        <r>
          <rPr>
            <b/>
            <sz val="9"/>
            <color indexed="81"/>
            <rFont val="Tahoma"/>
            <family val="2"/>
          </rPr>
          <t>Parsons, Gavin [GIR]:</t>
        </r>
        <r>
          <rPr>
            <sz val="9"/>
            <color indexed="81"/>
            <rFont val="Tahoma"/>
            <family val="2"/>
          </rPr>
          <t xml:space="preserve">
May21: 625
2q21: same
4q21: 675
4q23: 775
1q24: same
2q24: 800
3q24: 840</t>
        </r>
      </text>
    </comment>
    <comment ref="DO176" authorId="1" shapeId="0" xr:uid="{00000000-0006-0000-0600-0000BF000000}">
      <text>
        <r>
          <rPr>
            <b/>
            <sz val="9"/>
            <color indexed="81"/>
            <rFont val="Tahoma"/>
            <family val="2"/>
          </rPr>
          <t>Parsons, Gavin [GIR]:</t>
        </r>
        <r>
          <rPr>
            <sz val="9"/>
            <color indexed="81"/>
            <rFont val="Tahoma"/>
            <family val="2"/>
          </rPr>
          <t xml:space="preserve">
May21: 350
2q21: same
4q21: 375
4q24: 700
1q25: same
2q25: same
3q25: 740</t>
        </r>
      </text>
    </comment>
    <comment ref="CN177" authorId="1" shapeId="0" xr:uid="{00000000-0006-0000-0600-0000C0000000}">
      <text>
        <r>
          <rPr>
            <b/>
            <sz val="9"/>
            <color indexed="81"/>
            <rFont val="Tahoma"/>
            <family val="2"/>
          </rPr>
          <t>Parsons, Gavin [GIR]:</t>
        </r>
        <r>
          <rPr>
            <sz val="9"/>
            <color indexed="81"/>
            <rFont val="Tahoma"/>
            <family val="2"/>
          </rPr>
          <t xml:space="preserve">
actual: 65 in Q, 100 YTD; 40 from COL</t>
        </r>
      </text>
    </comment>
    <comment ref="CP177" authorId="1" shapeId="0" xr:uid="{00000000-0006-0000-0600-0000C1000000}">
      <text>
        <r>
          <rPr>
            <b/>
            <sz val="9"/>
            <color indexed="81"/>
            <rFont val="Tahoma"/>
            <family val="2"/>
          </rPr>
          <t>Parsons, Gavin [GIR]:</t>
        </r>
        <r>
          <rPr>
            <sz val="9"/>
            <color indexed="81"/>
            <rFont val="Tahoma"/>
            <family val="2"/>
          </rPr>
          <t xml:space="preserve">
1q20: 200 RTX
3q20: 225
240 actual</t>
        </r>
      </text>
    </comment>
    <comment ref="CU177" authorId="1" shapeId="0" xr:uid="{00000000-0006-0000-0600-0000C2000000}">
      <text>
        <r>
          <rPr>
            <b/>
            <sz val="9"/>
            <color indexed="81"/>
            <rFont val="Tahoma"/>
            <family val="2"/>
          </rPr>
          <t>Parsons, Gavin [GIR]:</t>
        </r>
        <r>
          <rPr>
            <sz val="9"/>
            <color indexed="81"/>
            <rFont val="Tahoma"/>
            <family val="2"/>
          </rPr>
          <t xml:space="preserve">
4q20: 850 RTX</t>
        </r>
      </text>
    </comment>
    <comment ref="CP178" authorId="0" shapeId="0" xr:uid="{A05CFA1E-E8CD-4402-A29D-914A3E859D54}">
      <text>
        <r>
          <rPr>
            <b/>
            <sz val="9"/>
            <color indexed="81"/>
            <rFont val="Tahoma"/>
            <family val="2"/>
          </rPr>
          <t>Blake, BEN [GIR]:</t>
        </r>
        <r>
          <rPr>
            <sz val="9"/>
            <color indexed="81"/>
            <rFont val="Tahoma"/>
            <family val="2"/>
          </rPr>
          <t xml:space="preserve">
2q23: adjusted for recasted Raytheon segment</t>
        </r>
      </text>
    </comment>
    <comment ref="CQ178" authorId="0" shapeId="0" xr:uid="{58974791-BBB4-454A-8B8F-509D63492FBC}">
      <text>
        <r>
          <rPr>
            <b/>
            <sz val="9"/>
            <color indexed="81"/>
            <rFont val="Tahoma"/>
            <family val="2"/>
          </rPr>
          <t>Blake, BEN [GIR]:</t>
        </r>
        <r>
          <rPr>
            <sz val="9"/>
            <color indexed="81"/>
            <rFont val="Tahoma"/>
            <family val="2"/>
          </rPr>
          <t xml:space="preserve">
2q23: adjusted for recasted Raytheon segment</t>
        </r>
      </text>
    </comment>
    <comment ref="CR178" authorId="0" shapeId="0" xr:uid="{DBA93218-5199-4209-878B-067D98EE529F}">
      <text>
        <r>
          <rPr>
            <b/>
            <sz val="9"/>
            <color indexed="81"/>
            <rFont val="Tahoma"/>
            <family val="2"/>
          </rPr>
          <t>Blake, BEN [GIR]:</t>
        </r>
        <r>
          <rPr>
            <sz val="9"/>
            <color indexed="81"/>
            <rFont val="Tahoma"/>
            <family val="2"/>
          </rPr>
          <t xml:space="preserve">
2q23: adjusted for recasted Raytheon segment</t>
        </r>
      </text>
    </comment>
    <comment ref="CS178" authorId="0" shapeId="0" xr:uid="{20F9CD7A-47C9-42C3-B268-8E00BA4D80E7}">
      <text>
        <r>
          <rPr>
            <b/>
            <sz val="9"/>
            <color indexed="81"/>
            <rFont val="Tahoma"/>
            <family val="2"/>
          </rPr>
          <t>Blake, BEN [GIR]:</t>
        </r>
        <r>
          <rPr>
            <sz val="9"/>
            <color indexed="81"/>
            <rFont val="Tahoma"/>
            <family val="2"/>
          </rPr>
          <t xml:space="preserve">
2q23: adjusted for recasted Raytheon segment</t>
        </r>
      </text>
    </comment>
    <comment ref="CT178" authorId="0" shapeId="0" xr:uid="{36E8503C-B8BB-4D37-B00E-A70806637E33}">
      <text>
        <r>
          <rPr>
            <b/>
            <sz val="9"/>
            <color indexed="81"/>
            <rFont val="Tahoma"/>
            <family val="2"/>
          </rPr>
          <t>Blake, BEN [GIR]:</t>
        </r>
        <r>
          <rPr>
            <sz val="9"/>
            <color indexed="81"/>
            <rFont val="Tahoma"/>
            <family val="2"/>
          </rPr>
          <t xml:space="preserve">
2q23: adjusted for recasted Raytheon segment</t>
        </r>
      </text>
    </comment>
    <comment ref="CU178" authorId="0" shapeId="0" xr:uid="{2045EEFB-7B4C-4999-9B15-C661728E09D1}">
      <text>
        <r>
          <rPr>
            <b/>
            <sz val="9"/>
            <color indexed="81"/>
            <rFont val="Tahoma"/>
            <family val="2"/>
          </rPr>
          <t>Blake, BEN [GIR]:</t>
        </r>
        <r>
          <rPr>
            <sz val="9"/>
            <color indexed="81"/>
            <rFont val="Tahoma"/>
            <family val="2"/>
          </rPr>
          <t xml:space="preserve">
2q23: adjusted for recasted Raytheon segment</t>
        </r>
      </text>
    </comment>
    <comment ref="CM189" authorId="1" shapeId="0" xr:uid="{00000000-0006-0000-0600-0000C4000000}">
      <text>
        <r>
          <rPr>
            <b/>
            <sz val="9"/>
            <color indexed="81"/>
            <rFont val="Tahoma"/>
            <family val="2"/>
          </rPr>
          <t>Parsons, Gavin [GIR]:</t>
        </r>
        <r>
          <rPr>
            <sz val="9"/>
            <color indexed="81"/>
            <rFont val="Tahoma"/>
            <family val="2"/>
          </rPr>
          <t xml:space="preserve">
1q20: negative
jun 20: negative</t>
        </r>
      </text>
    </comment>
    <comment ref="DC189" authorId="0" shapeId="0" xr:uid="{72BECD8A-E4AD-4E5E-A18E-5DD289440A99}">
      <text>
        <r>
          <rPr>
            <b/>
            <sz val="9"/>
            <color indexed="81"/>
            <rFont val="Tahoma"/>
            <family val="2"/>
          </rPr>
          <t>Blake, BEN [GIR]:</t>
        </r>
        <r>
          <rPr>
            <sz val="9"/>
            <color indexed="81"/>
            <rFont val="Tahoma"/>
            <family val="2"/>
          </rPr>
          <t xml:space="preserve">
Sep23: ~5.9% without $5.5bn revenue charge</t>
        </r>
      </text>
    </comment>
    <comment ref="DO189" authorId="4" shapeId="0" xr:uid="{00000000-0006-0000-0600-0000C5000000}">
      <text>
        <r>
          <rPr>
            <b/>
            <sz val="9"/>
            <color indexed="81"/>
            <rFont val="Tahoma"/>
            <family val="2"/>
          </rPr>
          <t>Valentini, Anthony [GIR]:</t>
        </r>
        <r>
          <rPr>
            <sz val="9"/>
            <color indexed="81"/>
            <rFont val="Tahoma"/>
            <family val="2"/>
          </rPr>
          <t xml:space="preserve">
may21: 10.3% implied midpoint
Sep23: modest impact from GTF disc issue (~100bps margin headwind specific to GTF revenue)</t>
        </r>
      </text>
    </comment>
    <comment ref="CM190" authorId="1" shapeId="0" xr:uid="{00000000-0006-0000-0600-0000C6000000}">
      <text>
        <r>
          <rPr>
            <b/>
            <sz val="9"/>
            <color indexed="81"/>
            <rFont val="Tahoma"/>
            <family val="2"/>
          </rPr>
          <t>Parsons, Gavin [GIR]:</t>
        </r>
        <r>
          <rPr>
            <sz val="9"/>
            <color indexed="81"/>
            <rFont val="Tahoma"/>
            <family val="2"/>
          </rPr>
          <t xml:space="preserve">
1q20: breakeven
jun 20: negative</t>
        </r>
      </text>
    </comment>
    <comment ref="DO190" authorId="4" shapeId="0" xr:uid="{85F7FFB5-7661-4B4F-97B5-94C078000996}">
      <text>
        <r>
          <rPr>
            <b/>
            <sz val="9"/>
            <color indexed="81"/>
            <rFont val="Tahoma"/>
            <family val="2"/>
          </rPr>
          <t>Valentini, Anthony [GIR]:</t>
        </r>
        <r>
          <rPr>
            <sz val="9"/>
            <color indexed="81"/>
            <rFont val="Tahoma"/>
            <family val="2"/>
          </rPr>
          <t xml:space="preserve">
jun23: 19%</t>
        </r>
      </text>
    </comment>
    <comment ref="CW191" authorId="1" shapeId="0" xr:uid="{00000000-0006-0000-0600-0000C8000000}">
      <text>
        <r>
          <rPr>
            <b/>
            <sz val="9"/>
            <color indexed="81"/>
            <rFont val="Tahoma"/>
            <family val="2"/>
          </rPr>
          <t>Parsons, Gavin [GIR]:</t>
        </r>
        <r>
          <rPr>
            <sz val="9"/>
            <color indexed="81"/>
            <rFont val="Tahoma"/>
            <family val="2"/>
          </rPr>
          <t xml:space="preserve">
1q22: +20-30bps qoq</t>
        </r>
      </text>
    </comment>
    <comment ref="CX191" authorId="1" shapeId="0" xr:uid="{00000000-0006-0000-0600-0000C9000000}">
      <text>
        <r>
          <rPr>
            <b/>
            <sz val="9"/>
            <color indexed="81"/>
            <rFont val="Tahoma"/>
            <family val="2"/>
          </rPr>
          <t>Parsons, Gavin [GIR]:</t>
        </r>
        <r>
          <rPr>
            <sz val="9"/>
            <color indexed="81"/>
            <rFont val="Tahoma"/>
            <family val="2"/>
          </rPr>
          <t xml:space="preserve">
1q22: +20-30bps qoq</t>
        </r>
      </text>
    </comment>
    <comment ref="CY191" authorId="1" shapeId="0" xr:uid="{00000000-0006-0000-0600-0000CA000000}">
      <text>
        <r>
          <rPr>
            <b/>
            <sz val="9"/>
            <color indexed="81"/>
            <rFont val="Tahoma"/>
            <family val="2"/>
          </rPr>
          <t>Parsons, Gavin [GIR]:</t>
        </r>
        <r>
          <rPr>
            <sz val="9"/>
            <color indexed="81"/>
            <rFont val="Tahoma"/>
            <family val="2"/>
          </rPr>
          <t xml:space="preserve">
1q22: +20-30bps qoq</t>
        </r>
      </text>
    </comment>
    <comment ref="DD191" authorId="1" shapeId="0" xr:uid="{EF835E12-65A6-4B57-B7AB-A5659EE8A9A3}">
      <text>
        <r>
          <rPr>
            <b/>
            <sz val="9"/>
            <color indexed="81"/>
            <rFont val="Tahoma"/>
            <family val="2"/>
          </rPr>
          <t>Parsons, Gavin [GIR]:</t>
        </r>
        <r>
          <rPr>
            <sz val="9"/>
            <color indexed="81"/>
            <rFont val="Tahoma"/>
            <family val="2"/>
          </rPr>
          <t xml:space="preserve">
1q22: +20-30bps qoq</t>
        </r>
      </text>
    </comment>
    <comment ref="DO191" authorId="4" shapeId="0" xr:uid="{00000000-0006-0000-0600-0000CB000000}">
      <text>
        <r>
          <rPr>
            <b/>
            <sz val="9"/>
            <color indexed="81"/>
            <rFont val="Tahoma"/>
            <family val="2"/>
          </rPr>
          <t>Valentini, Anthony [GIR]:</t>
        </r>
        <r>
          <rPr>
            <sz val="9"/>
            <color indexed="81"/>
            <rFont val="Tahoma"/>
            <family val="2"/>
          </rPr>
          <t xml:space="preserve">
may21: 11.6% implied midpoint</t>
        </r>
      </text>
    </comment>
    <comment ref="CV192" authorId="1" shapeId="0" xr:uid="{00000000-0006-0000-0600-0000CC000000}">
      <text>
        <r>
          <rPr>
            <b/>
            <sz val="9"/>
            <color indexed="81"/>
            <rFont val="Tahoma"/>
            <family val="2"/>
          </rPr>
          <t>Parsons, Gavin [GIR]:</t>
        </r>
        <r>
          <rPr>
            <sz val="9"/>
            <color indexed="81"/>
            <rFont val="Tahoma"/>
            <family val="2"/>
          </rPr>
          <t xml:space="preserve">
1q22: lowest for year</t>
        </r>
      </text>
    </comment>
    <comment ref="CZ192" authorId="1" shapeId="0" xr:uid="{00000000-0006-0000-0600-0000CD000000}">
      <text>
        <r>
          <rPr>
            <b/>
            <sz val="9"/>
            <color indexed="81"/>
            <rFont val="Tahoma"/>
            <family val="2"/>
          </rPr>
          <t>Parsons, Gavin [GIR]:</t>
        </r>
        <r>
          <rPr>
            <sz val="9"/>
            <color indexed="81"/>
            <rFont val="Tahoma"/>
            <family val="2"/>
          </rPr>
          <t xml:space="preserve">
1q22: 13-14%</t>
        </r>
      </text>
    </comment>
    <comment ref="DO192" authorId="4" shapeId="0" xr:uid="{00000000-0006-0000-0600-0000CE000000}">
      <text>
        <r>
          <rPr>
            <b/>
            <sz val="9"/>
            <color indexed="81"/>
            <rFont val="Tahoma"/>
            <family val="2"/>
          </rPr>
          <t>Valentini, Anthony [GIR]:</t>
        </r>
        <r>
          <rPr>
            <sz val="9"/>
            <color indexed="81"/>
            <rFont val="Tahoma"/>
            <family val="2"/>
          </rPr>
          <t xml:space="preserve">
may21: 13.8% implied midpoint</t>
        </r>
      </text>
    </comment>
    <comment ref="DO193" authorId="0" shapeId="0" xr:uid="{07EB1509-2D36-44D5-AA16-D26EE548933F}">
      <text>
        <r>
          <rPr>
            <b/>
            <sz val="9"/>
            <color indexed="81"/>
            <rFont val="Tahoma"/>
            <family val="2"/>
          </rPr>
          <t>Blake, BEN [GIR]:</t>
        </r>
        <r>
          <rPr>
            <sz val="9"/>
            <color indexed="81"/>
            <rFont val="Tahoma"/>
            <family val="2"/>
          </rPr>
          <t xml:space="preserve">
3q23: slightly over 12% at midpoint</t>
        </r>
      </text>
    </comment>
    <comment ref="DO194" authorId="4" shapeId="0" xr:uid="{00000000-0006-0000-0600-0000CF000000}">
      <text>
        <r>
          <rPr>
            <b/>
            <sz val="9"/>
            <color indexed="81"/>
            <rFont val="Tahoma"/>
            <family val="2"/>
          </rPr>
          <t>Valentini, Anthony [GIR]:</t>
        </r>
        <r>
          <rPr>
            <sz val="9"/>
            <color indexed="81"/>
            <rFont val="Tahoma"/>
            <family val="2"/>
          </rPr>
          <t xml:space="preserve">
may21: 13.4-14.4% 
(13.9% implied midpoint)
4q21: same (+550-650bps)
jun23: 13.6-14.6% (+550-650bps FY20-25)
Sept 23: unchanged
4q23: 13.1-13.6% (+500-550bps FY20-25)</t>
        </r>
      </text>
    </comment>
    <comment ref="CW199" authorId="1" shapeId="0" xr:uid="{00000000-0006-0000-0600-0000D0000000}">
      <text>
        <r>
          <rPr>
            <b/>
            <sz val="9"/>
            <color indexed="81"/>
            <rFont val="Tahoma"/>
            <family val="2"/>
          </rPr>
          <t>Parsons, Gavin [GIR]:</t>
        </r>
        <r>
          <rPr>
            <sz val="9"/>
            <color indexed="81"/>
            <rFont val="Tahoma"/>
            <family val="2"/>
          </rPr>
          <t xml:space="preserve">
1q22: mid 30s</t>
        </r>
      </text>
    </comment>
    <comment ref="CX199" authorId="1" shapeId="0" xr:uid="{00000000-0006-0000-0600-0000D1000000}">
      <text>
        <r>
          <rPr>
            <b/>
            <sz val="9"/>
            <color indexed="81"/>
            <rFont val="Tahoma"/>
            <family val="2"/>
          </rPr>
          <t>Parsons, Gavin [GIR]:</t>
        </r>
        <r>
          <rPr>
            <sz val="9"/>
            <color indexed="81"/>
            <rFont val="Tahoma"/>
            <family val="2"/>
          </rPr>
          <t xml:space="preserve">
1q22: mid 30s</t>
        </r>
      </text>
    </comment>
    <comment ref="CY199" authorId="1" shapeId="0" xr:uid="{00000000-0006-0000-0600-0000D2000000}">
      <text>
        <r>
          <rPr>
            <b/>
            <sz val="9"/>
            <color indexed="81"/>
            <rFont val="Tahoma"/>
            <family val="2"/>
          </rPr>
          <t>Parsons, Gavin [GIR]:</t>
        </r>
        <r>
          <rPr>
            <sz val="9"/>
            <color indexed="81"/>
            <rFont val="Tahoma"/>
            <family val="2"/>
          </rPr>
          <t xml:space="preserve">
1q22: mid 30s</t>
        </r>
      </text>
    </comment>
    <comment ref="DH228" authorId="3" shapeId="0" xr:uid="{036FC31E-3722-4BE1-A76C-9AC070730C61}">
      <text>
        <r>
          <rPr>
            <b/>
            <sz val="9"/>
            <color indexed="81"/>
            <rFont val="Tahoma"/>
            <family val="2"/>
          </rPr>
          <t>Dessert, Connor H [GIR]:</t>
        </r>
        <r>
          <rPr>
            <sz val="9"/>
            <color indexed="81"/>
            <rFont val="Tahoma"/>
            <family val="2"/>
          </rPr>
          <t xml:space="preserve">
44% of this is international, not expected materialize until post 2025</t>
        </r>
      </text>
    </comment>
    <comment ref="CF234" authorId="1" shapeId="0" xr:uid="{00000000-0006-0000-0600-0000D3000000}">
      <text>
        <r>
          <rPr>
            <b/>
            <sz val="9"/>
            <color indexed="81"/>
            <rFont val="Tahoma"/>
            <family val="2"/>
          </rPr>
          <t>Parsons, Gavin [GIR]:</t>
        </r>
        <r>
          <rPr>
            <sz val="9"/>
            <color indexed="81"/>
            <rFont val="Tahoma"/>
            <family val="2"/>
          </rPr>
          <t xml:space="preserve">
PF for COL addition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Parsons, Gavin [GIR]</author>
    <author>Blake, BEN [GIR]</author>
    <author>Valentini, Anthony [GIR]</author>
    <author>Dessert, Connor H [GIR]</author>
  </authors>
  <commentList>
    <comment ref="CQ6" authorId="0" shapeId="0" xr:uid="{00000000-0006-0000-0700-000001000000}">
      <text>
        <r>
          <rPr>
            <b/>
            <sz val="9"/>
            <color indexed="81"/>
            <rFont val="Tahoma"/>
            <family val="2"/>
          </rPr>
          <t>Parsons, Gavin [GIR]:</t>
        </r>
        <r>
          <rPr>
            <sz val="9"/>
            <color indexed="81"/>
            <rFont val="Tahoma"/>
            <family val="2"/>
          </rPr>
          <t xml:space="preserve">
4q20: 14.8-15.4
4/9/21: above midpoint</t>
        </r>
      </text>
    </comment>
    <comment ref="CR6" authorId="0" shapeId="0" xr:uid="{00000000-0006-0000-0700-000002000000}">
      <text>
        <r>
          <rPr>
            <b/>
            <sz val="9"/>
            <color indexed="81"/>
            <rFont val="Tahoma"/>
            <family val="2"/>
          </rPr>
          <t>Parsons, Gavin [GIR]:</t>
        </r>
        <r>
          <rPr>
            <sz val="9"/>
            <color indexed="81"/>
            <rFont val="Tahoma"/>
            <family val="2"/>
          </rPr>
          <t xml:space="preserve">
4q20: 2-4Q 48.6-50.0</t>
        </r>
      </text>
    </comment>
    <comment ref="CS6" authorId="0" shapeId="0" xr:uid="{00000000-0006-0000-0700-000003000000}">
      <text>
        <r>
          <rPr>
            <b/>
            <sz val="9"/>
            <color indexed="81"/>
            <rFont val="Tahoma"/>
            <family val="2"/>
          </rPr>
          <t>Parsons, Gavin [GIR]:</t>
        </r>
        <r>
          <rPr>
            <sz val="9"/>
            <color indexed="81"/>
            <rFont val="Tahoma"/>
            <family val="2"/>
          </rPr>
          <t xml:space="preserve">
4q20: 2-4Q 48.6-50.0</t>
        </r>
      </text>
    </comment>
    <comment ref="CT6" authorId="0" shapeId="0" xr:uid="{00000000-0006-0000-0700-000004000000}">
      <text>
        <r>
          <rPr>
            <b/>
            <sz val="9"/>
            <color indexed="81"/>
            <rFont val="Tahoma"/>
            <family val="2"/>
          </rPr>
          <t>Parsons, Gavin [GIR]:</t>
        </r>
        <r>
          <rPr>
            <sz val="9"/>
            <color indexed="81"/>
            <rFont val="Tahoma"/>
            <family val="2"/>
          </rPr>
          <t xml:space="preserve">
4q20: 2-4Q 48.6-50.0</t>
        </r>
      </text>
    </comment>
    <comment ref="CU6" authorId="0" shapeId="0" xr:uid="{00000000-0006-0000-0700-000005000000}">
      <text>
        <r>
          <rPr>
            <b/>
            <sz val="9"/>
            <color indexed="81"/>
            <rFont val="Tahoma"/>
            <family val="2"/>
          </rPr>
          <t>Parsons, Gavin [GIR]:</t>
        </r>
        <r>
          <rPr>
            <sz val="9"/>
            <color indexed="81"/>
            <rFont val="Tahoma"/>
            <family val="2"/>
          </rPr>
          <t xml:space="preserve">
4q20: 63.4-65.4
1q21: 63.9-65.4
may21: same
2q21: 64.4-65.4
3q21: 64.5</t>
        </r>
      </text>
    </comment>
    <comment ref="CZ6" authorId="0" shapeId="0" xr:uid="{00000000-0006-0000-0700-000006000000}">
      <text>
        <r>
          <rPr>
            <b/>
            <sz val="9"/>
            <color indexed="81"/>
            <rFont val="Tahoma"/>
            <family val="2"/>
          </rPr>
          <t>Parsons, Gavin [GIR]:</t>
        </r>
        <r>
          <rPr>
            <sz val="9"/>
            <color indexed="81"/>
            <rFont val="Tahoma"/>
            <family val="2"/>
          </rPr>
          <t xml:space="preserve">
4q21: 68.5-69.5
1q22: 67.75-68.75
2q22: same
3q22: 67.0-67.3</t>
        </r>
      </text>
    </comment>
    <comment ref="DE6" authorId="0" shapeId="0" xr:uid="{7039F8D1-D3C6-4A9E-9D86-53924EB6BF1E}">
      <text>
        <r>
          <rPr>
            <b/>
            <sz val="9"/>
            <color indexed="81"/>
            <rFont val="Tahoma"/>
            <family val="2"/>
          </rPr>
          <t>Parsons, Gavin [GIR]:</t>
        </r>
        <r>
          <rPr>
            <sz val="9"/>
            <color indexed="81"/>
            <rFont val="Tahoma"/>
            <family val="2"/>
          </rPr>
          <t xml:space="preserve">
4q22: 72.0-73.0
1q23: same
jun23: same
2q23: 73.0-74.0
Sept 23: Reported 67.5-68.5 (Adj unchanged)
3q23: ~68.5 (reported); ~74.0 (adjusted)</t>
        </r>
      </text>
    </comment>
    <comment ref="DJ6" authorId="1" shapeId="0" xr:uid="{A303319C-2598-4A62-9642-E51D83CDA770}">
      <text>
        <r>
          <rPr>
            <b/>
            <sz val="9"/>
            <color indexed="81"/>
            <rFont val="Tahoma"/>
            <family val="2"/>
          </rPr>
          <t>Blake, BEN [GIR]:</t>
        </r>
        <r>
          <rPr>
            <sz val="9"/>
            <color indexed="81"/>
            <rFont val="Tahoma"/>
            <family val="2"/>
          </rPr>
          <t xml:space="preserve">
4q23: 78.0-79.0
1q24: same
2q24: 78.75-79.50
3q24: 79.25-79.75</t>
        </r>
      </text>
    </comment>
    <comment ref="DO6" authorId="2" shapeId="0" xr:uid="{00000000-0006-0000-0700-000007000000}">
      <text>
        <r>
          <rPr>
            <b/>
            <sz val="9"/>
            <color indexed="81"/>
            <rFont val="Tahoma"/>
            <family val="2"/>
          </rPr>
          <t>Valentini, Anthony [GIR]:</t>
        </r>
        <r>
          <rPr>
            <sz val="9"/>
            <color indexed="81"/>
            <rFont val="Tahoma"/>
            <family val="2"/>
          </rPr>
          <t xml:space="preserve">
may21: 6-7% CAGR 2020-25E (implied 88,250 at midpoint)
Sept 23: unchanged
4q23: 5.5-6%
4q24: 83,000 - 84,000
1q25: same
2q25: 84,750 - 85,500
3q25: 85,500 - 87,000</t>
        </r>
      </text>
    </comment>
    <comment ref="CP14" authorId="0" shapeId="0" xr:uid="{00000000-0006-0000-0700-000008000000}">
      <text>
        <r>
          <rPr>
            <b/>
            <sz val="9"/>
            <color indexed="81"/>
            <rFont val="Tahoma"/>
            <family val="2"/>
          </rPr>
          <t>Parsons, Gavin [GIR]:</t>
        </r>
        <r>
          <rPr>
            <sz val="9"/>
            <color indexed="81"/>
            <rFont val="Tahoma"/>
            <family val="2"/>
          </rPr>
          <t xml:space="preserve">
1q20: 785-815 2Q-4Q
3q20: 795-805 2Q-4Q</t>
        </r>
      </text>
    </comment>
    <comment ref="CU14" authorId="0" shapeId="0" xr:uid="{00000000-0006-0000-0700-000009000000}">
      <text>
        <r>
          <rPr>
            <b/>
            <sz val="9"/>
            <color indexed="81"/>
            <rFont val="Tahoma"/>
            <family val="2"/>
          </rPr>
          <t>Parsons, Gavin [GIR]:</t>
        </r>
        <r>
          <rPr>
            <sz val="9"/>
            <color indexed="81"/>
            <rFont val="Tahoma"/>
            <family val="2"/>
          </rPr>
          <t xml:space="preserve">
4q20: 1,925
1q21: same
May21: same
2q21: same
3q21: 1,950</t>
        </r>
      </text>
    </comment>
    <comment ref="CZ14" authorId="0" shapeId="0" xr:uid="{00000000-0006-0000-0700-00000A000000}">
      <text>
        <r>
          <rPr>
            <b/>
            <sz val="9"/>
            <color indexed="81"/>
            <rFont val="Tahoma"/>
            <family val="2"/>
          </rPr>
          <t>Parsons, Gavin [GIR]:</t>
        </r>
        <r>
          <rPr>
            <sz val="9"/>
            <color indexed="81"/>
            <rFont val="Tahoma"/>
            <family val="2"/>
          </rPr>
          <t xml:space="preserve">
4q20: 2,000
1q21: same
May21: same
2q21: same
4q21: 1,875
1q22: same
2q22: same
3q22: same</t>
        </r>
      </text>
    </comment>
    <comment ref="DE14" authorId="0" shapeId="0" xr:uid="{00000000-0006-0000-0700-00000B000000}">
      <text>
        <r>
          <rPr>
            <b/>
            <sz val="9"/>
            <color indexed="81"/>
            <rFont val="Tahoma"/>
            <family val="2"/>
          </rPr>
          <t>Parsons, Gavin [GIR]:</t>
        </r>
        <r>
          <rPr>
            <sz val="9"/>
            <color indexed="81"/>
            <rFont val="Tahoma"/>
            <family val="2"/>
          </rPr>
          <t xml:space="preserve">
4q20: 2,200
1q21: same
May21: same
2q21: same
4q21: 2,000
4q22: 1,780
1q23: unchanged
2q23: uinchanged
3q23: unchanged</t>
        </r>
      </text>
    </comment>
    <comment ref="DJ14" authorId="0" shapeId="0" xr:uid="{00000000-0006-0000-0700-00000C000000}">
      <text>
        <r>
          <rPr>
            <b/>
            <sz val="9"/>
            <color indexed="81"/>
            <rFont val="Tahoma"/>
            <family val="2"/>
          </rPr>
          <t>Parsons, Gavin [GIR]:</t>
        </r>
        <r>
          <rPr>
            <sz val="9"/>
            <color indexed="81"/>
            <rFont val="Tahoma"/>
            <family val="2"/>
          </rPr>
          <t xml:space="preserve">
May21: 2,500
2q21: same
4q21: 2,300
4q23: 1,500
1q24: same
2q24: same
3q24: same</t>
        </r>
      </text>
    </comment>
    <comment ref="DO14" authorId="0" shapeId="0" xr:uid="{00000000-0006-0000-0700-00000D000000}">
      <text>
        <r>
          <rPr>
            <b/>
            <sz val="9"/>
            <color indexed="81"/>
            <rFont val="Tahoma"/>
            <family val="2"/>
          </rPr>
          <t>Parsons, Gavin [GIR]:</t>
        </r>
        <r>
          <rPr>
            <sz val="9"/>
            <color indexed="81"/>
            <rFont val="Tahoma"/>
            <family val="2"/>
          </rPr>
          <t xml:space="preserve">
May21: 2,700
2q21: same
4q21: 2,600
4q24: 1,400
1q25: same
2q25: same
3q25: 1,435</t>
        </r>
      </text>
    </comment>
    <comment ref="CP15" authorId="0" shapeId="0" xr:uid="{00000000-0006-0000-0700-00000E000000}">
      <text>
        <r>
          <rPr>
            <b/>
            <sz val="9"/>
            <color indexed="81"/>
            <rFont val="Tahoma"/>
            <family val="2"/>
          </rPr>
          <t>Parsons, Gavin [GIR]:</t>
        </r>
        <r>
          <rPr>
            <sz val="9"/>
            <color indexed="81"/>
            <rFont val="Tahoma"/>
            <family val="2"/>
          </rPr>
          <t xml:space="preserve">
1q20: 1,075-1,125 2Q-4Q
3q20: 1,045-1,055 2Q-4Q</t>
        </r>
      </text>
    </comment>
    <comment ref="CU15" authorId="0" shapeId="0" xr:uid="{00000000-0006-0000-0700-00000F000000}">
      <text>
        <r>
          <rPr>
            <b/>
            <sz val="9"/>
            <color indexed="81"/>
            <rFont val="Tahoma"/>
            <family val="2"/>
          </rPr>
          <t>Parsons, Gavin [GIR]:</t>
        </r>
        <r>
          <rPr>
            <sz val="9"/>
            <color indexed="81"/>
            <rFont val="Tahoma"/>
            <family val="2"/>
          </rPr>
          <t xml:space="preserve">
4q20: 1,400-1,425
1q21: 1,400
2q21: same
3q21: 1,350</t>
        </r>
      </text>
    </comment>
    <comment ref="CZ15" authorId="0" shapeId="0" xr:uid="{00000000-0006-0000-0700-000010000000}">
      <text>
        <r>
          <rPr>
            <b/>
            <sz val="9"/>
            <color indexed="81"/>
            <rFont val="Tahoma"/>
            <family val="2"/>
          </rPr>
          <t>Parsons, Gavin [GIR]:</t>
        </r>
        <r>
          <rPr>
            <sz val="9"/>
            <color indexed="81"/>
            <rFont val="Tahoma"/>
            <family val="2"/>
          </rPr>
          <t xml:space="preserve">
4q21: 1,300
1q22: same
2q22: same
3q22: same</t>
        </r>
      </text>
    </comment>
    <comment ref="DE15" authorId="0" shapeId="0" xr:uid="{F9C42AF9-E866-4F1F-AD35-AC8D7FC21C95}">
      <text>
        <r>
          <rPr>
            <b/>
            <sz val="9"/>
            <color indexed="81"/>
            <rFont val="Tahoma"/>
            <family val="2"/>
          </rPr>
          <t>Parsons, Gavin [GIR]:</t>
        </r>
        <r>
          <rPr>
            <sz val="9"/>
            <color indexed="81"/>
            <rFont val="Tahoma"/>
            <family val="2"/>
          </rPr>
          <t xml:space="preserve">
4q22: 1,450
1q23: unchanged
2q23: 1,425
3q23: 1,590</t>
        </r>
      </text>
    </comment>
    <comment ref="DJ15" authorId="1" shapeId="0" xr:uid="{0936C942-CBD5-44DC-B1D8-3C96696F25CF}">
      <text>
        <r>
          <rPr>
            <b/>
            <sz val="9"/>
            <color indexed="81"/>
            <rFont val="Tahoma"/>
            <family val="2"/>
          </rPr>
          <t>Blake, BEN [GIR]:</t>
        </r>
        <r>
          <rPr>
            <sz val="9"/>
            <color indexed="81"/>
            <rFont val="Tahoma"/>
            <family val="2"/>
          </rPr>
          <t xml:space="preserve">
4q23: ~2,050
1q24: same
2q24: 1,975
3q24: 1,935</t>
        </r>
      </text>
    </comment>
    <comment ref="DO15" authorId="3" shapeId="0" xr:uid="{941B27D0-7157-47CB-8E32-D5B276AB6588}">
      <text>
        <r>
          <rPr>
            <b/>
            <sz val="9"/>
            <color indexed="81"/>
            <rFont val="Tahoma"/>
            <family val="2"/>
          </rPr>
          <t>Dessert, Connor H [GIR]:</t>
        </r>
        <r>
          <rPr>
            <sz val="9"/>
            <color indexed="81"/>
            <rFont val="Tahoma"/>
            <family val="2"/>
          </rPr>
          <t xml:space="preserve">
4q24: 1,850
1q25: same
2q25: same
3q25: 1,825</t>
        </r>
      </text>
    </comment>
    <comment ref="DA23" authorId="1" shapeId="0" xr:uid="{C92CEE35-8AC0-4864-838A-F914409DD310}">
      <text>
        <r>
          <rPr>
            <b/>
            <sz val="9"/>
            <color indexed="81"/>
            <rFont val="Tahoma"/>
            <family val="2"/>
          </rPr>
          <t>Blake, BEN [GIR]:</t>
        </r>
        <r>
          <rPr>
            <sz val="9"/>
            <color indexed="81"/>
            <rFont val="Tahoma"/>
            <family val="2"/>
          </rPr>
          <t xml:space="preserve">
Bottom of PR</t>
        </r>
      </text>
    </comment>
    <comment ref="CP26" authorId="0" shapeId="0" xr:uid="{00000000-0006-0000-0700-000011000000}">
      <text>
        <r>
          <rPr>
            <b/>
            <sz val="9"/>
            <color indexed="81"/>
            <rFont val="Tahoma"/>
            <family val="2"/>
          </rPr>
          <t>Parsons, Gavin [GIR]:</t>
        </r>
        <r>
          <rPr>
            <sz val="9"/>
            <color indexed="81"/>
            <rFont val="Tahoma"/>
            <family val="2"/>
          </rPr>
          <t xml:space="preserve">
1q20: 1,800 2Q-4Q</t>
        </r>
      </text>
    </comment>
    <comment ref="CM29" authorId="0" shapeId="0" xr:uid="{00000000-0006-0000-0700-000012000000}">
      <text>
        <r>
          <rPr>
            <b/>
            <sz val="9"/>
            <color indexed="81"/>
            <rFont val="Tahoma"/>
            <family val="2"/>
          </rPr>
          <t>Parsons, Gavin [GIR]:</t>
        </r>
        <r>
          <rPr>
            <sz val="9"/>
            <color indexed="81"/>
            <rFont val="Tahoma"/>
            <family val="2"/>
          </rPr>
          <t xml:space="preserve">
jun 20: slightly positive</t>
        </r>
      </text>
    </comment>
    <comment ref="CN29" authorId="0" shapeId="0" xr:uid="{00000000-0006-0000-0700-000013000000}">
      <text>
        <r>
          <rPr>
            <b/>
            <sz val="9"/>
            <color indexed="81"/>
            <rFont val="Tahoma"/>
            <family val="2"/>
          </rPr>
          <t>Parsons, Gavin [GIR]:</t>
        </r>
        <r>
          <rPr>
            <sz val="9"/>
            <color indexed="81"/>
            <rFont val="Tahoma"/>
            <family val="2"/>
          </rPr>
          <t xml:space="preserve">
2q20: similar/better than 2Q</t>
        </r>
      </text>
    </comment>
    <comment ref="CO29" authorId="0" shapeId="0" xr:uid="{00000000-0006-0000-0700-000014000000}">
      <text>
        <r>
          <rPr>
            <b/>
            <sz val="9"/>
            <color indexed="81"/>
            <rFont val="Tahoma"/>
            <family val="2"/>
          </rPr>
          <t>Parsons, Gavin [GIR]:</t>
        </r>
        <r>
          <rPr>
            <sz val="9"/>
            <color indexed="81"/>
            <rFont val="Tahoma"/>
            <family val="2"/>
          </rPr>
          <t xml:space="preserve">
2q20: better than 3Q
3q20: $0.65-$0.70</t>
        </r>
      </text>
    </comment>
    <comment ref="CQ29" authorId="0" shapeId="0" xr:uid="{00000000-0006-0000-0700-000015000000}">
      <text>
        <r>
          <rPr>
            <b/>
            <sz val="9"/>
            <color indexed="81"/>
            <rFont val="Tahoma"/>
            <family val="2"/>
          </rPr>
          <t>Parsons, Gavin [GIR]:</t>
        </r>
        <r>
          <rPr>
            <sz val="9"/>
            <color indexed="81"/>
            <rFont val="Tahoma"/>
            <family val="2"/>
          </rPr>
          <t xml:space="preserve">
4q20: $0.70-$0.75
4/9/21: $0.87-$0.90</t>
        </r>
      </text>
    </comment>
    <comment ref="CR29" authorId="0" shapeId="0" xr:uid="{00000000-0006-0000-0700-000016000000}">
      <text>
        <r>
          <rPr>
            <b/>
            <sz val="9"/>
            <color indexed="81"/>
            <rFont val="Tahoma"/>
            <family val="2"/>
          </rPr>
          <t>Parsons, Gavin [GIR]:</t>
        </r>
        <r>
          <rPr>
            <sz val="9"/>
            <color indexed="81"/>
            <rFont val="Tahoma"/>
            <family val="2"/>
          </rPr>
          <t xml:space="preserve">
4q20: 2Q-4Q $2.70-$2.95
1q21: $0.90-$0.95</t>
        </r>
      </text>
    </comment>
    <comment ref="CS29" authorId="0" shapeId="0" xr:uid="{00000000-0006-0000-0700-000017000000}">
      <text>
        <r>
          <rPr>
            <b/>
            <sz val="9"/>
            <color indexed="81"/>
            <rFont val="Tahoma"/>
            <family val="2"/>
          </rPr>
          <t>Parsons, Gavin [GIR]:</t>
        </r>
        <r>
          <rPr>
            <sz val="9"/>
            <color indexed="81"/>
            <rFont val="Tahoma"/>
            <family val="2"/>
          </rPr>
          <t xml:space="preserve">
4q20: 2Q-4Q $2.70-$2.95</t>
        </r>
      </text>
    </comment>
    <comment ref="CT29" authorId="0" shapeId="0" xr:uid="{00000000-0006-0000-0700-000018000000}">
      <text>
        <r>
          <rPr>
            <b/>
            <sz val="9"/>
            <color indexed="81"/>
            <rFont val="Tahoma"/>
            <family val="2"/>
          </rPr>
          <t>Parsons, Gavin [GIR]:</t>
        </r>
        <r>
          <rPr>
            <sz val="9"/>
            <color indexed="81"/>
            <rFont val="Tahoma"/>
            <family val="2"/>
          </rPr>
          <t xml:space="preserve">
4q20: 2Q-4Q $2.70-$2.95</t>
        </r>
      </text>
    </comment>
    <comment ref="CU29" authorId="0" shapeId="0" xr:uid="{00000000-0006-0000-0700-000019000000}">
      <text>
        <r>
          <rPr>
            <b/>
            <sz val="9"/>
            <color indexed="81"/>
            <rFont val="Tahoma"/>
            <family val="2"/>
          </rPr>
          <t>Parsons, Gavin [GIR]:</t>
        </r>
        <r>
          <rPr>
            <sz val="9"/>
            <color indexed="81"/>
            <rFont val="Tahoma"/>
            <family val="2"/>
          </rPr>
          <t xml:space="preserve">
4q20: $3.40-$3.70
1q21: $3.50-$3.70
may21: same
2q21: $3.85-$4.00
3q21: $4.10-$4.20</t>
        </r>
      </text>
    </comment>
    <comment ref="CZ29" authorId="0" shapeId="0" xr:uid="{00000000-0006-0000-0700-00001A000000}">
      <text>
        <r>
          <rPr>
            <b/>
            <sz val="9"/>
            <color indexed="81"/>
            <rFont val="Tahoma"/>
            <family val="2"/>
          </rPr>
          <t>Parsons, Gavin [GIR]:</t>
        </r>
        <r>
          <rPr>
            <sz val="9"/>
            <color indexed="81"/>
            <rFont val="Tahoma"/>
            <family val="2"/>
          </rPr>
          <t xml:space="preserve">
4q21: $4.60-$4.80
1q22: same
2q22: same
3q22: $4.70-$4.80</t>
        </r>
      </text>
    </comment>
    <comment ref="DE29" authorId="0" shapeId="0" xr:uid="{155B0F84-4C6C-48C6-B8B2-C324B4DB3D9E}">
      <text>
        <r>
          <rPr>
            <b/>
            <sz val="9"/>
            <color indexed="81"/>
            <rFont val="Tahoma"/>
            <family val="2"/>
          </rPr>
          <t>Parsons, Gavin [GIR]:</t>
        </r>
        <r>
          <rPr>
            <sz val="9"/>
            <color indexed="81"/>
            <rFont val="Tahoma"/>
            <family val="2"/>
          </rPr>
          <t xml:space="preserve">
4q22: $4.90-$5.05
1q23: same
jun23: same
2q23: $4.95-5.05
Sept 23: unchanged
3q23: 4.98-5.02</t>
        </r>
      </text>
    </comment>
    <comment ref="DJ29" authorId="1" shapeId="0" xr:uid="{6A104EC8-0F4B-4AEE-A120-732B2FC6DF3B}">
      <text>
        <r>
          <rPr>
            <b/>
            <sz val="9"/>
            <color indexed="81"/>
            <rFont val="Tahoma"/>
            <family val="2"/>
          </rPr>
          <t>Blake, BEN [GIR]:</t>
        </r>
        <r>
          <rPr>
            <sz val="9"/>
            <color indexed="81"/>
            <rFont val="Tahoma"/>
            <family val="2"/>
          </rPr>
          <t xml:space="preserve">
4q23: 5.25-5.40
1q24: same
2q24: 5.35-5.45
3q24: 5.50-5.58</t>
        </r>
      </text>
    </comment>
    <comment ref="DO29" authorId="3" shapeId="0" xr:uid="{F0FC2A6B-0B29-4DB6-A0D3-70847EA3A93F}">
      <text>
        <r>
          <rPr>
            <b/>
            <sz val="9"/>
            <color indexed="81"/>
            <rFont val="Tahoma"/>
            <family val="2"/>
          </rPr>
          <t>Dessert, Connor H [GIR]:</t>
        </r>
        <r>
          <rPr>
            <sz val="9"/>
            <color indexed="81"/>
            <rFont val="Tahoma"/>
            <family val="2"/>
          </rPr>
          <t xml:space="preserve">
4q24: 6.00 - 6.15
1q25: same
2q25: 5.80-5.95 (0.30 tariff headwind, 0.10 gtf tailwind)
3q25: 6.10-6.20</t>
        </r>
      </text>
    </comment>
    <comment ref="CP33" authorId="0" shapeId="0" xr:uid="{00000000-0006-0000-0700-00001B000000}">
      <text>
        <r>
          <rPr>
            <b/>
            <sz val="9"/>
            <color indexed="81"/>
            <rFont val="Tahoma"/>
            <family val="2"/>
          </rPr>
          <t>Parsons, Gavin [GIR]:</t>
        </r>
        <r>
          <rPr>
            <sz val="9"/>
            <color indexed="81"/>
            <rFont val="Tahoma"/>
            <family val="2"/>
          </rPr>
          <t xml:space="preserve">
1q20: 1,525
3q20: 1,516 (4Q20 avg)</t>
        </r>
      </text>
    </comment>
    <comment ref="DE54" authorId="0" shapeId="0" xr:uid="{74BC67B8-41D6-4AE9-B6BC-2388225E5601}">
      <text>
        <r>
          <rPr>
            <b/>
            <sz val="9"/>
            <color indexed="81"/>
            <rFont val="Tahoma"/>
            <family val="2"/>
          </rPr>
          <t>Parsons, Gavin [GIR]:</t>
        </r>
        <r>
          <rPr>
            <sz val="9"/>
            <color indexed="81"/>
            <rFont val="Tahoma"/>
            <family val="2"/>
          </rPr>
          <t xml:space="preserve">
4q22: 18%
1q23: unchanged
2q23: 18.5%
</t>
        </r>
      </text>
    </comment>
    <comment ref="CP55" authorId="0" shapeId="0" xr:uid="{00000000-0006-0000-0700-00001D000000}">
      <text>
        <r>
          <rPr>
            <b/>
            <sz val="9"/>
            <color indexed="81"/>
            <rFont val="Tahoma"/>
            <family val="2"/>
          </rPr>
          <t>Parsons, Gavin [GIR]:</t>
        </r>
        <r>
          <rPr>
            <sz val="9"/>
            <color indexed="81"/>
            <rFont val="Tahoma"/>
            <family val="2"/>
          </rPr>
          <t xml:space="preserve">
1q20: 22% 2Q-4Q
3q20: 20% 2Q-4Q</t>
        </r>
      </text>
    </comment>
    <comment ref="CU55" authorId="0" shapeId="0" xr:uid="{00000000-0006-0000-0700-00001E000000}">
      <text>
        <r>
          <rPr>
            <b/>
            <sz val="9"/>
            <color indexed="81"/>
            <rFont val="Tahoma"/>
            <family val="2"/>
          </rPr>
          <t>Parsons, Gavin [GIR]:</t>
        </r>
        <r>
          <rPr>
            <sz val="9"/>
            <color indexed="81"/>
            <rFont val="Tahoma"/>
            <family val="2"/>
          </rPr>
          <t xml:space="preserve">
4q20: 19%
1q21: same
2q21: 16%
3q21: same</t>
        </r>
      </text>
    </comment>
    <comment ref="CZ55" authorId="0" shapeId="0" xr:uid="{B1E004CF-7CE7-4FA2-BC30-FE2234CCAF72}">
      <text>
        <r>
          <rPr>
            <b/>
            <sz val="9"/>
            <color indexed="81"/>
            <rFont val="Tahoma"/>
            <family val="2"/>
          </rPr>
          <t>Parsons, Gavin [GIR]:</t>
        </r>
        <r>
          <rPr>
            <sz val="9"/>
            <color indexed="81"/>
            <rFont val="Tahoma"/>
            <family val="2"/>
          </rPr>
          <t xml:space="preserve">
4q21: 18.5-19%
1q22: same
2q22: 18-18.5%
3q22: 15.5%</t>
        </r>
      </text>
    </comment>
    <comment ref="DE55" authorId="1" shapeId="0" xr:uid="{8A96BE7C-A7EA-4E54-BBC5-418FBF801C46}">
      <text>
        <r>
          <rPr>
            <b/>
            <sz val="9"/>
            <color indexed="81"/>
            <rFont val="Tahoma"/>
            <family val="2"/>
          </rPr>
          <t>Blake, BEN [GIR]:</t>
        </r>
        <r>
          <rPr>
            <sz val="9"/>
            <color indexed="81"/>
            <rFont val="Tahoma"/>
            <family val="2"/>
          </rPr>
          <t xml:space="preserve">
3q23: ~19%</t>
        </r>
      </text>
    </comment>
    <comment ref="DJ55" authorId="1" shapeId="0" xr:uid="{3F619F76-F24A-42E3-A54A-767B7BB17723}">
      <text>
        <r>
          <rPr>
            <b/>
            <sz val="9"/>
            <color indexed="81"/>
            <rFont val="Tahoma"/>
            <family val="2"/>
          </rPr>
          <t>Blake, BEN [GIR]:</t>
        </r>
        <r>
          <rPr>
            <sz val="9"/>
            <color indexed="81"/>
            <rFont val="Tahoma"/>
            <family val="2"/>
          </rPr>
          <t xml:space="preserve">
4q23: ~19.5%
1q24: same
2q24: 19.3%
3q24: 18.8%</t>
        </r>
      </text>
    </comment>
    <comment ref="DO55" authorId="3" shapeId="0" xr:uid="{62A963EA-B378-46D8-A46C-4AE01F72499A}">
      <text>
        <r>
          <rPr>
            <b/>
            <sz val="9"/>
            <color indexed="81"/>
            <rFont val="Tahoma"/>
            <family val="2"/>
          </rPr>
          <t>Dessert, Connor H [GIR]:</t>
        </r>
        <r>
          <rPr>
            <sz val="9"/>
            <color indexed="81"/>
            <rFont val="Tahoma"/>
            <family val="2"/>
          </rPr>
          <t xml:space="preserve">
4q24: 19.5%
1q25: same
2q25: same
3q25: 19.3-19.5%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Parsons, Gavin [GIR]</author>
  </authors>
  <commentList>
    <comment ref="CL7" authorId="0" shapeId="0" xr:uid="{00000000-0006-0000-0800-000001000000}">
      <text>
        <r>
          <rPr>
            <b/>
            <sz val="9"/>
            <color indexed="81"/>
            <rFont val="Tahoma"/>
            <family val="2"/>
          </rPr>
          <t>Parsons, Gavin [GIR]:</t>
        </r>
        <r>
          <rPr>
            <sz val="9"/>
            <color indexed="81"/>
            <rFont val="Tahoma"/>
            <family val="2"/>
          </rPr>
          <t xml:space="preserve">
1q20 actual: 8.5</t>
        </r>
      </text>
    </comment>
    <comment ref="CL53" authorId="0" shapeId="0" xr:uid="{00000000-0006-0000-0800-000002000000}">
      <text>
        <r>
          <rPr>
            <b/>
            <sz val="9"/>
            <color indexed="81"/>
            <rFont val="Tahoma"/>
            <family val="2"/>
          </rPr>
          <t>Parsons, Gavin [GIR]:</t>
        </r>
        <r>
          <rPr>
            <sz val="9"/>
            <color indexed="81"/>
            <rFont val="Tahoma"/>
            <family val="2"/>
          </rPr>
          <t xml:space="preserve">
1q20 actual: 8.5</t>
        </r>
      </text>
    </comment>
    <comment ref="CL56" authorId="0" shapeId="0" xr:uid="{00000000-0006-0000-0800-000003000000}">
      <text>
        <r>
          <rPr>
            <b/>
            <sz val="9"/>
            <color indexed="81"/>
            <rFont val="Tahoma"/>
            <family val="2"/>
          </rPr>
          <t>Parsons, Gavin [GIR]:</t>
        </r>
        <r>
          <rPr>
            <sz val="9"/>
            <color indexed="81"/>
            <rFont val="Tahoma"/>
            <family val="2"/>
          </rPr>
          <t xml:space="preserve">
1q20 implied 33.5</t>
        </r>
      </text>
    </comment>
    <comment ref="CL57" authorId="0" shapeId="0" xr:uid="{00000000-0006-0000-0800-000004000000}">
      <text>
        <r>
          <rPr>
            <b/>
            <sz val="9"/>
            <color indexed="81"/>
            <rFont val="Tahoma"/>
            <family val="2"/>
          </rPr>
          <t>Parsons, Gavin [GIR]:</t>
        </r>
        <r>
          <rPr>
            <sz val="9"/>
            <color indexed="81"/>
            <rFont val="Tahoma"/>
            <family val="2"/>
          </rPr>
          <t xml:space="preserve">
1q20 actual: 25.0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Parsons, Gavin [GIR]</author>
    <author>Dessert, Connor H [GIR]</author>
    <author>Blake, BEN [GIR]</author>
    <author>Valentini, Anthony [GIR]</author>
  </authors>
  <commentList>
    <comment ref="CP9" authorId="0" shapeId="0" xr:uid="{00000000-0006-0000-0900-000001000000}">
      <text>
        <r>
          <rPr>
            <b/>
            <sz val="9"/>
            <color indexed="81"/>
            <rFont val="Tahoma"/>
            <family val="2"/>
          </rPr>
          <t>Parsons, Gavin [GIR]:</t>
        </r>
        <r>
          <rPr>
            <sz val="9"/>
            <color indexed="81"/>
            <rFont val="Tahoma"/>
            <family val="2"/>
          </rPr>
          <t xml:space="preserve">
S-4: 1,066
1q20: 1,800 2Q-4Q</t>
        </r>
      </text>
    </comment>
    <comment ref="CU9" authorId="0" shapeId="0" xr:uid="{00000000-0006-0000-0900-000002000000}">
      <text>
        <r>
          <rPr>
            <b/>
            <sz val="9"/>
            <color indexed="81"/>
            <rFont val="Tahoma"/>
            <family val="2"/>
          </rPr>
          <t>Parsons, Gavin [GIR]:</t>
        </r>
        <r>
          <rPr>
            <sz val="9"/>
            <color indexed="81"/>
            <rFont val="Tahoma"/>
            <family val="2"/>
          </rPr>
          <t xml:space="preserve">
S-4: 1,061</t>
        </r>
      </text>
    </comment>
    <comment ref="CZ9" authorId="0" shapeId="0" xr:uid="{00000000-0006-0000-0900-000003000000}">
      <text>
        <r>
          <rPr>
            <b/>
            <sz val="9"/>
            <color indexed="81"/>
            <rFont val="Tahoma"/>
            <family val="2"/>
          </rPr>
          <t>Parsons, Gavin [GIR]:</t>
        </r>
        <r>
          <rPr>
            <sz val="9"/>
            <color indexed="81"/>
            <rFont val="Tahoma"/>
            <family val="2"/>
          </rPr>
          <t xml:space="preserve">
S-4: 1,046</t>
        </r>
      </text>
    </comment>
    <comment ref="DE9" authorId="0" shapeId="0" xr:uid="{00000000-0006-0000-0900-000004000000}">
      <text>
        <r>
          <rPr>
            <b/>
            <sz val="9"/>
            <color indexed="81"/>
            <rFont val="Tahoma"/>
            <family val="2"/>
          </rPr>
          <t>Parsons, Gavin [GIR]:</t>
        </r>
        <r>
          <rPr>
            <sz val="9"/>
            <color indexed="81"/>
            <rFont val="Tahoma"/>
            <family val="2"/>
          </rPr>
          <t xml:space="preserve">
S-4: 992</t>
        </r>
      </text>
    </comment>
    <comment ref="DJ14" authorId="1" shapeId="0" xr:uid="{AD6905E5-3D85-4AC3-BC42-5F1948651516}">
      <text>
        <r>
          <rPr>
            <b/>
            <sz val="9"/>
            <color indexed="81"/>
            <rFont val="Tahoma"/>
            <family val="2"/>
          </rPr>
          <t>Dessert, Connor H [GIR]:</t>
        </r>
        <r>
          <rPr>
            <sz val="9"/>
            <color indexed="81"/>
            <rFont val="Tahoma"/>
            <family val="2"/>
          </rPr>
          <t xml:space="preserve">
2q24: $1.1bn yoy improvement</t>
        </r>
      </text>
    </comment>
    <comment ref="CL23" authorId="0" shapeId="0" xr:uid="{00000000-0006-0000-0900-000007000000}">
      <text>
        <r>
          <rPr>
            <b/>
            <sz val="9"/>
            <color indexed="81"/>
            <rFont val="Tahoma"/>
            <family val="2"/>
          </rPr>
          <t>Parsons, Gavin [GIR]:</t>
        </r>
        <r>
          <rPr>
            <sz val="9"/>
            <color indexed="81"/>
            <rFont val="Tahoma"/>
            <family val="2"/>
          </rPr>
          <t xml:space="preserve">
800 separation payment</t>
        </r>
      </text>
    </comment>
    <comment ref="DI23" authorId="1" shapeId="0" xr:uid="{201A1BFC-CED5-4AF0-A706-388EDCFACCC6}">
      <text>
        <r>
          <rPr>
            <b/>
            <sz val="9"/>
            <color indexed="81"/>
            <rFont val="Tahoma"/>
            <family val="2"/>
          </rPr>
          <t>Dessert, Connor H [GIR]:</t>
        </r>
        <r>
          <rPr>
            <sz val="9"/>
            <color indexed="81"/>
            <rFont val="Tahoma"/>
            <family val="2"/>
          </rPr>
          <t xml:space="preserve">
Includes assumption of $1bn payment related to legal matters.
</t>
        </r>
        <r>
          <rPr>
            <b/>
            <sz val="9"/>
            <color indexed="81"/>
            <rFont val="Tahoma"/>
            <family val="2"/>
          </rPr>
          <t>2q24:</t>
        </r>
        <r>
          <rPr>
            <sz val="9"/>
            <color indexed="81"/>
            <rFont val="Tahoma"/>
            <family val="2"/>
          </rPr>
          <t xml:space="preserve"> "$1bn related to legal matters… would expect that modtly sits in the 4Q of this year."</t>
        </r>
      </text>
    </comment>
    <comment ref="CP24" authorId="0" shapeId="0" xr:uid="{00000000-0006-0000-0900-000008000000}">
      <text>
        <r>
          <rPr>
            <b/>
            <sz val="9"/>
            <color indexed="81"/>
            <rFont val="Tahoma"/>
            <family val="2"/>
          </rPr>
          <t>Parsons, Gavin [GIR]:</t>
        </r>
        <r>
          <rPr>
            <sz val="9"/>
            <color indexed="81"/>
            <rFont val="Tahoma"/>
            <family val="2"/>
          </rPr>
          <t xml:space="preserve">
1q20: 1,500-1,700 2Q-4Q
3q20: 1,500 2Q-4Q</t>
        </r>
      </text>
    </comment>
    <comment ref="CU24" authorId="0" shapeId="0" xr:uid="{00000000-0006-0000-0900-000009000000}">
      <text>
        <r>
          <rPr>
            <b/>
            <sz val="9"/>
            <color indexed="81"/>
            <rFont val="Tahoma"/>
            <family val="2"/>
          </rPr>
          <t>Parsons, Gavin [GIR]:</t>
        </r>
        <r>
          <rPr>
            <sz val="9"/>
            <color indexed="81"/>
            <rFont val="Tahoma"/>
            <family val="2"/>
          </rPr>
          <t xml:space="preserve">
4q20: 2,500 (incl 500 1X)
1q21: same
2q21: 2,400-2,500
3q21: 2,300</t>
        </r>
      </text>
    </comment>
    <comment ref="CZ24" authorId="0" shapeId="0" xr:uid="{00000000-0006-0000-0900-00000A000000}">
      <text>
        <r>
          <rPr>
            <b/>
            <sz val="9"/>
            <color indexed="81"/>
            <rFont val="Tahoma"/>
            <family val="2"/>
          </rPr>
          <t>Parsons, Gavin [GIR]:</t>
        </r>
        <r>
          <rPr>
            <sz val="9"/>
            <color indexed="81"/>
            <rFont val="Tahoma"/>
            <family val="2"/>
          </rPr>
          <t xml:space="preserve">
4q21: 2,500
1q22: same
2q22: 2,400-2,500
3q22: 2,300</t>
        </r>
      </text>
    </comment>
    <comment ref="DE24" authorId="0" shapeId="0" xr:uid="{5231E272-41CB-4603-893B-BB498751CD7F}">
      <text>
        <r>
          <rPr>
            <b/>
            <sz val="9"/>
            <color indexed="81"/>
            <rFont val="Tahoma"/>
            <family val="2"/>
          </rPr>
          <t>Parsons, Gavin [GIR]:</t>
        </r>
        <r>
          <rPr>
            <sz val="9"/>
            <color indexed="81"/>
            <rFont val="Tahoma"/>
            <family val="2"/>
          </rPr>
          <t xml:space="preserve">
4q22: 2,500
1q23: same
3q23: ~2,300-2,400</t>
        </r>
      </text>
    </comment>
    <comment ref="DJ24" authorId="2" shapeId="0" xr:uid="{8CC085AC-C4D7-4FAA-82A7-C213D4E551A9}">
      <text>
        <r>
          <rPr>
            <b/>
            <sz val="9"/>
            <color indexed="81"/>
            <rFont val="Tahoma"/>
            <family val="2"/>
          </rPr>
          <t>Blake, BEN [GIR]:</t>
        </r>
        <r>
          <rPr>
            <sz val="9"/>
            <color indexed="81"/>
            <rFont val="Tahoma"/>
            <family val="2"/>
          </rPr>
          <t xml:space="preserve">
4q23: 2,500-2,600
1q24: same
2q24: same
3q24: same</t>
        </r>
      </text>
    </comment>
    <comment ref="DO24" authorId="0" shapeId="0" xr:uid="{00000000-0006-0000-0900-00000B000000}">
      <text>
        <r>
          <rPr>
            <b/>
            <sz val="9"/>
            <color indexed="81"/>
            <rFont val="Tahoma"/>
            <family val="2"/>
          </rPr>
          <t>Parsons, Gavin [GIR]:</t>
        </r>
        <r>
          <rPr>
            <sz val="9"/>
            <color indexed="81"/>
            <rFont val="Tahoma"/>
            <family val="2"/>
          </rPr>
          <t xml:space="preserve">
may21: similar to 2021
feb 22: 3,000
jun23: 2,800 (implied)
4q24: 2,500 - 2,700
1q25: same
2q25: same
3q25: same</t>
        </r>
      </text>
    </comment>
    <comment ref="CM25" authorId="0" shapeId="0" xr:uid="{00000000-0006-0000-0900-00000C000000}">
      <text>
        <r>
          <rPr>
            <b/>
            <sz val="9"/>
            <color indexed="81"/>
            <rFont val="Tahoma"/>
            <family val="2"/>
          </rPr>
          <t>Parsons, Gavin [GIR]:</t>
        </r>
        <r>
          <rPr>
            <sz val="9"/>
            <color indexed="81"/>
            <rFont val="Tahoma"/>
            <family val="2"/>
          </rPr>
          <t xml:space="preserve">
Airborne Tactical Radios</t>
        </r>
      </text>
    </comment>
    <comment ref="CN25" authorId="3" shapeId="0" xr:uid="{00000000-0006-0000-0900-00000D000000}">
      <text>
        <r>
          <rPr>
            <b/>
            <sz val="9"/>
            <color indexed="81"/>
            <rFont val="Tahoma"/>
            <family val="2"/>
          </rPr>
          <t>Valentini, Anthony [GIR]:</t>
        </r>
        <r>
          <rPr>
            <sz val="9"/>
            <color indexed="81"/>
            <rFont val="Tahoma"/>
            <family val="2"/>
          </rPr>
          <t xml:space="preserve">
Collins GPS biz</t>
        </r>
      </text>
    </comment>
    <comment ref="CQ25" authorId="0" shapeId="0" xr:uid="{00000000-0006-0000-0900-00000E000000}">
      <text>
        <r>
          <rPr>
            <b/>
            <sz val="9"/>
            <color indexed="81"/>
            <rFont val="Tahoma"/>
            <family val="2"/>
          </rPr>
          <t>Parsons, Gavin [GIR]:</t>
        </r>
        <r>
          <rPr>
            <sz val="9"/>
            <color indexed="81"/>
            <rFont val="Tahoma"/>
            <family val="2"/>
          </rPr>
          <t xml:space="preserve">
Forcepoint divestiture</t>
        </r>
      </text>
    </comment>
    <comment ref="CT25" authorId="0" shapeId="0" xr:uid="{00000000-0006-0000-0900-00000F000000}">
      <text>
        <r>
          <rPr>
            <b/>
            <sz val="9"/>
            <color indexed="81"/>
            <rFont val="Tahoma"/>
            <family val="2"/>
          </rPr>
          <t>Parsons, Gavin [GIR]:</t>
        </r>
        <r>
          <rPr>
            <sz val="9"/>
            <color indexed="81"/>
            <rFont val="Tahoma"/>
            <family val="2"/>
          </rPr>
          <t xml:space="preserve">
Defense Training &amp; Logistics divestiture</t>
        </r>
      </text>
    </comment>
    <comment ref="DM25" authorId="1" shapeId="0" xr:uid="{3BD540D0-B3E1-4FAA-B95E-206D66A7DF10}">
      <text>
        <r>
          <rPr>
            <b/>
            <sz val="9"/>
            <color indexed="81"/>
            <rFont val="Tahoma"/>
            <family val="2"/>
          </rPr>
          <t>Dessert, Connor H [GIR]:</t>
        </r>
        <r>
          <rPr>
            <sz val="9"/>
            <color indexed="81"/>
            <rFont val="Tahoma"/>
            <family val="2"/>
          </rPr>
          <t xml:space="preserve">
divestiture of Collins Actuation</t>
        </r>
      </text>
    </comment>
    <comment ref="DN25" authorId="1" shapeId="0" xr:uid="{41E87555-596F-4A0F-B16F-1FFC2AABA0F6}">
      <text>
        <r>
          <rPr>
            <b/>
            <sz val="9"/>
            <color indexed="81"/>
            <rFont val="Tahoma"/>
            <family val="2"/>
          </rPr>
          <t>Dessert, Connor H [GIR]:</t>
        </r>
        <r>
          <rPr>
            <sz val="9"/>
            <color indexed="81"/>
            <rFont val="Tahoma"/>
            <family val="2"/>
          </rPr>
          <t xml:space="preserve">
$765mn Simmonds divestiture</t>
        </r>
      </text>
    </comment>
    <comment ref="CM29" authorId="0" shapeId="0" xr:uid="{00000000-0006-0000-0900-000010000000}">
      <text>
        <r>
          <rPr>
            <b/>
            <sz val="9"/>
            <color indexed="81"/>
            <rFont val="Tahoma"/>
            <family val="2"/>
          </rPr>
          <t>Parsons, Gavin [GIR]:</t>
        </r>
        <r>
          <rPr>
            <sz val="9"/>
            <color indexed="81"/>
            <rFont val="Tahoma"/>
            <family val="2"/>
          </rPr>
          <t xml:space="preserve">
cash acquired in RTN merger</t>
        </r>
      </text>
    </comment>
    <comment ref="DE34" authorId="3" shapeId="0" xr:uid="{7F1A5C62-C469-45C5-9A92-AF84B7A27F10}">
      <text>
        <r>
          <rPr>
            <b/>
            <sz val="9"/>
            <color indexed="81"/>
            <rFont val="Tahoma"/>
            <family val="2"/>
          </rPr>
          <t>Valentini, Anthony [GIR]:</t>
        </r>
        <r>
          <rPr>
            <sz val="9"/>
            <color indexed="81"/>
            <rFont val="Tahoma"/>
            <family val="2"/>
          </rPr>
          <t xml:space="preserve">
jun23: 3,700 (implied)</t>
        </r>
      </text>
    </comment>
    <comment ref="CU35" authorId="0" shapeId="0" xr:uid="{00000000-0006-0000-0900-000011000000}">
      <text>
        <r>
          <rPr>
            <b/>
            <sz val="9"/>
            <color indexed="81"/>
            <rFont val="Tahoma"/>
            <family val="2"/>
          </rPr>
          <t>Parsons, Gavin [GIR]:</t>
        </r>
        <r>
          <rPr>
            <sz val="9"/>
            <color indexed="81"/>
            <rFont val="Tahoma"/>
            <family val="2"/>
          </rPr>
          <t xml:space="preserve">
4q20: &gt;1,500
1q21: ≥2,000
may21: same
2q21: 2,000</t>
        </r>
      </text>
    </comment>
    <comment ref="CZ35" authorId="0" shapeId="0" xr:uid="{00000000-0006-0000-0900-000012000000}">
      <text>
        <r>
          <rPr>
            <b/>
            <sz val="9"/>
            <color indexed="81"/>
            <rFont val="Tahoma"/>
            <family val="2"/>
          </rPr>
          <t>Parsons, Gavin [GIR]:</t>
        </r>
        <r>
          <rPr>
            <sz val="9"/>
            <color indexed="81"/>
            <rFont val="Tahoma"/>
            <family val="2"/>
          </rPr>
          <t xml:space="preserve">
4q21: ≥2,500
1q22: same
3q22: same</t>
        </r>
      </text>
    </comment>
    <comment ref="DE35" authorId="0" shapeId="0" xr:uid="{E0275926-8653-449C-9EE0-ED6EA6BB8D7C}">
      <text>
        <r>
          <rPr>
            <b/>
            <sz val="9"/>
            <color indexed="81"/>
            <rFont val="Tahoma"/>
            <family val="2"/>
          </rPr>
          <t>Parsons, Gavin [GIR]:</t>
        </r>
        <r>
          <rPr>
            <sz val="9"/>
            <color indexed="81"/>
            <rFont val="Tahoma"/>
            <family val="2"/>
          </rPr>
          <t xml:space="preserve">
3q22: 3,000
jun23: same
2q23: unchanged
Sept 23: unchanged
3q23: 12,800</t>
        </r>
      </text>
    </comment>
    <comment ref="CL36" authorId="0" shapeId="0" xr:uid="{00000000-0006-0000-0900-000014000000}">
      <text>
        <r>
          <rPr>
            <b/>
            <sz val="9"/>
            <color indexed="81"/>
            <rFont val="Tahoma"/>
            <family val="2"/>
          </rPr>
          <t>Parsons, Gavin [GIR]:</t>
        </r>
        <r>
          <rPr>
            <sz val="9"/>
            <color indexed="81"/>
            <rFont val="Tahoma"/>
            <family val="2"/>
          </rPr>
          <t xml:space="preserve">
700 separation payment</t>
        </r>
      </text>
    </comment>
    <comment ref="CM36" authorId="0" shapeId="0" xr:uid="{00000000-0006-0000-0900-000015000000}">
      <text>
        <r>
          <rPr>
            <b/>
            <sz val="9"/>
            <color indexed="81"/>
            <rFont val="Tahoma"/>
            <family val="2"/>
          </rPr>
          <t>Parsons, Gavin [GIR]:</t>
        </r>
        <r>
          <rPr>
            <sz val="9"/>
            <color indexed="81"/>
            <rFont val="Tahoma"/>
            <family val="2"/>
          </rPr>
          <t xml:space="preserve">
transfer to disco ops</t>
        </r>
      </text>
    </comment>
    <comment ref="DA39" authorId="2" shapeId="0" xr:uid="{34771910-F7B0-47D4-90F1-1F1A47752D7C}">
      <text>
        <r>
          <rPr>
            <b/>
            <sz val="9"/>
            <color indexed="81"/>
            <rFont val="Tahoma"/>
            <family val="2"/>
          </rPr>
          <t>Blake, BEN [GIR]:</t>
        </r>
        <r>
          <rPr>
            <sz val="9"/>
            <color indexed="81"/>
            <rFont val="Tahoma"/>
            <family val="2"/>
          </rPr>
          <t xml:space="preserve">
To account for restricted cash, for Quantum </t>
        </r>
      </text>
    </comment>
    <comment ref="CM47" authorId="0" shapeId="0" xr:uid="{00000000-0006-0000-0900-000016000000}">
      <text>
        <r>
          <rPr>
            <b/>
            <sz val="9"/>
            <color indexed="81"/>
            <rFont val="Tahoma"/>
            <family val="2"/>
          </rPr>
          <t>Parsons, Gavin [GIR]:</t>
        </r>
        <r>
          <rPr>
            <sz val="9"/>
            <color indexed="81"/>
            <rFont val="Tahoma"/>
            <family val="2"/>
          </rPr>
          <t xml:space="preserve">
jun 20: (1,500)</t>
        </r>
      </text>
    </comment>
    <comment ref="CP47" authorId="0" shapeId="0" xr:uid="{00000000-0006-0000-0900-000017000000}">
      <text>
        <r>
          <rPr>
            <b/>
            <sz val="9"/>
            <color indexed="81"/>
            <rFont val="Tahoma"/>
            <family val="2"/>
          </rPr>
          <t>Parsons, Gavin [GIR]:</t>
        </r>
        <r>
          <rPr>
            <sz val="9"/>
            <color indexed="81"/>
            <rFont val="Tahoma"/>
            <family val="2"/>
          </rPr>
          <t xml:space="preserve">
1q20: positive
jun 20: approx 2,000
2q20: same
3q20: same
[does not include 238 1Q20 RTN outflow]</t>
        </r>
      </text>
    </comment>
    <comment ref="CU47" authorId="0" shapeId="0" xr:uid="{00000000-0006-0000-0900-000018000000}">
      <text>
        <r>
          <rPr>
            <b/>
            <sz val="9"/>
            <color indexed="81"/>
            <rFont val="Tahoma"/>
            <family val="2"/>
          </rPr>
          <t>Parsons, Gavin [GIR]:</t>
        </r>
        <r>
          <rPr>
            <sz val="9"/>
            <color indexed="81"/>
            <rFont val="Tahoma"/>
            <family val="2"/>
          </rPr>
          <t xml:space="preserve">
4q20: 4,500
1q21: same
may21: same
2q21: 4,500-5,000
3q21: 5,000</t>
        </r>
      </text>
    </comment>
    <comment ref="CV47" authorId="0" shapeId="0" xr:uid="{00000000-0006-0000-0900-000019000000}">
      <text>
        <r>
          <rPr>
            <b/>
            <sz val="9"/>
            <color indexed="81"/>
            <rFont val="Tahoma"/>
            <family val="2"/>
          </rPr>
          <t>Parsons, Gavin [GIR]:</t>
        </r>
        <r>
          <rPr>
            <sz val="9"/>
            <color indexed="81"/>
            <rFont val="Tahoma"/>
            <family val="2"/>
          </rPr>
          <t xml:space="preserve">
4q21: (500)</t>
        </r>
      </text>
    </comment>
    <comment ref="CZ47" authorId="0" shapeId="0" xr:uid="{00000000-0006-0000-0900-00001A000000}">
      <text>
        <r>
          <rPr>
            <b/>
            <sz val="9"/>
            <color indexed="81"/>
            <rFont val="Tahoma"/>
            <family val="2"/>
          </rPr>
          <t>Parsons, Gavin [GIR]:</t>
        </r>
        <r>
          <rPr>
            <sz val="9"/>
            <color indexed="81"/>
            <rFont val="Tahoma"/>
            <family val="2"/>
          </rPr>
          <t xml:space="preserve">
4q21: 6,000
1q22: same
2q22: same
sep22: 4,000 (paid R&amp;D tax)
3q22: same</t>
        </r>
      </text>
    </comment>
    <comment ref="DB47" authorId="2" shapeId="0" xr:uid="{8D74A4AA-70A0-40EE-8A4D-D037A4C11C1A}">
      <text>
        <r>
          <rPr>
            <b/>
            <sz val="9"/>
            <color indexed="81"/>
            <rFont val="Tahoma"/>
            <family val="2"/>
          </rPr>
          <t>Blake, BEN [GIR]:</t>
        </r>
        <r>
          <rPr>
            <sz val="9"/>
            <color indexed="81"/>
            <rFont val="Tahoma"/>
            <family val="2"/>
          </rPr>
          <t xml:space="preserve">
1q23: positive</t>
        </r>
      </text>
    </comment>
    <comment ref="DE47" authorId="0" shapeId="0" xr:uid="{6F102F5A-9009-40F3-9BE6-678158E1ECD0}">
      <text>
        <r>
          <rPr>
            <b/>
            <sz val="9"/>
            <color indexed="81"/>
            <rFont val="Tahoma"/>
            <family val="2"/>
          </rPr>
          <t>Parsons, Gavin [GIR]:</t>
        </r>
        <r>
          <rPr>
            <sz val="9"/>
            <color indexed="81"/>
            <rFont val="Tahoma"/>
            <family val="2"/>
          </rPr>
          <t xml:space="preserve">
4q22: 4,800
1q23: same
jun23: same
2q23: 4,300
Sept 23: unchanged
3q23: ~4,800</t>
        </r>
      </text>
    </comment>
    <comment ref="DJ47" authorId="2" shapeId="0" xr:uid="{498BF9E5-17FB-4CD9-87FC-719850372BF7}">
      <text>
        <r>
          <rPr>
            <b/>
            <sz val="9"/>
            <color indexed="81"/>
            <rFont val="Tahoma"/>
            <family val="2"/>
          </rPr>
          <t>Blake, BEN [GIR]:</t>
        </r>
        <r>
          <rPr>
            <sz val="9"/>
            <color indexed="81"/>
            <rFont val="Tahoma"/>
            <family val="2"/>
          </rPr>
          <t xml:space="preserve">
3q23: Up YoY
4q23: ~5,700
1q24: same
2q24: 4,700
3q24: same</t>
        </r>
      </text>
    </comment>
    <comment ref="DL47" authorId="1" shapeId="0" xr:uid="{919F4C9D-108A-4404-B906-67F6BC1BC28D}">
      <text>
        <r>
          <rPr>
            <b/>
            <sz val="9"/>
            <color indexed="81"/>
            <rFont val="Tahoma"/>
            <family val="2"/>
          </rPr>
          <t>Dessert, Connor H [GIR]:</t>
        </r>
        <r>
          <rPr>
            <sz val="9"/>
            <color indexed="81"/>
            <rFont val="Tahoma"/>
            <family val="2"/>
          </rPr>
          <t xml:space="preserve">
Bernstein: breakeven to slightly negative, 4 week work stoppage at Pratt in May, expect to recover in 2H</t>
        </r>
      </text>
    </comment>
    <comment ref="DO47" authorId="3" shapeId="0" xr:uid="{00000000-0006-0000-0900-00001B000000}">
      <text>
        <r>
          <rPr>
            <b/>
            <sz val="9"/>
            <color indexed="81"/>
            <rFont val="Tahoma"/>
            <family val="2"/>
          </rPr>
          <t>Valentini, Anthony [GIR]:</t>
        </r>
        <r>
          <rPr>
            <sz val="9"/>
            <color indexed="81"/>
            <rFont val="Tahoma"/>
            <family val="2"/>
          </rPr>
          <t xml:space="preserve">
may21: 10,000+
4q21: same
4q22: 9,000
jun23: same
Sep23: 7,500
4q23: unchanged
4q24: 7,000 - 7,500
1q25: same
2q25: same
3q25: same</t>
        </r>
      </text>
    </comment>
    <comment ref="DE57" authorId="2" shapeId="0" xr:uid="{A6D451E7-19A9-419F-94B0-54A82610E939}">
      <text>
        <r>
          <rPr>
            <b/>
            <sz val="9"/>
            <color indexed="81"/>
            <rFont val="Tahoma"/>
            <family val="2"/>
          </rPr>
          <t>Blake, BEN [GIR]:</t>
        </r>
        <r>
          <rPr>
            <sz val="9"/>
            <color indexed="81"/>
            <rFont val="Tahoma"/>
            <family val="2"/>
          </rPr>
          <t xml:space="preserve">
3q23: 1,590</t>
        </r>
      </text>
    </comment>
    <comment ref="DE62" authorId="0" shapeId="0" xr:uid="{74329258-E410-40DE-B7BC-2637059B3838}">
      <text>
        <r>
          <rPr>
            <b/>
            <sz val="9"/>
            <color indexed="81"/>
            <rFont val="Tahoma"/>
            <family val="2"/>
          </rPr>
          <t>Parsons, Gavin [GIR]:</t>
        </r>
        <r>
          <rPr>
            <sz val="9"/>
            <color indexed="81"/>
            <rFont val="Tahoma"/>
            <family val="2"/>
          </rPr>
          <t xml:space="preserve">
4q22: 1410 (pre-tax)
</t>
        </r>
      </text>
    </comment>
    <comment ref="DJ62" authorId="2" shapeId="0" xr:uid="{F6331B59-1F59-4C32-8990-D98DF57F0AA8}">
      <text>
        <r>
          <rPr>
            <b/>
            <sz val="9"/>
            <color indexed="81"/>
            <rFont val="Tahoma"/>
            <family val="2"/>
          </rPr>
          <t>Blake, BEN [GIR]:</t>
        </r>
        <r>
          <rPr>
            <sz val="9"/>
            <color indexed="81"/>
            <rFont val="Tahoma"/>
            <family val="2"/>
          </rPr>
          <t xml:space="preserve">
4q23: 775
1q24: same
2q24: 800</t>
        </r>
      </text>
    </comment>
    <comment ref="DO62" authorId="1" shapeId="0" xr:uid="{F7C72B0E-D2FC-47AF-A29F-6D6169894FDF}">
      <text>
        <r>
          <rPr>
            <b/>
            <sz val="9"/>
            <color indexed="81"/>
            <rFont val="Tahoma"/>
            <family val="2"/>
          </rPr>
          <t>Dessert, Connor H [GIR]:</t>
        </r>
        <r>
          <rPr>
            <sz val="9"/>
            <color indexed="81"/>
            <rFont val="Tahoma"/>
            <family val="2"/>
          </rPr>
          <t xml:space="preserve">
1q25: 700
2q25: same
3q25: 740</t>
        </r>
      </text>
    </comment>
    <comment ref="DE63" authorId="0" shapeId="0" xr:uid="{8FB497EE-FC51-48FE-8F42-EFA4D06A6B26}">
      <text>
        <r>
          <rPr>
            <b/>
            <sz val="9"/>
            <color indexed="81"/>
            <rFont val="Tahoma"/>
            <family val="2"/>
          </rPr>
          <t>Parsons, Gavin [GIR]:</t>
        </r>
        <r>
          <rPr>
            <sz val="9"/>
            <color indexed="81"/>
            <rFont val="Tahoma"/>
            <family val="2"/>
          </rPr>
          <t xml:space="preserve">
4q22: 425 (pre-tax)</t>
        </r>
      </text>
    </comment>
    <comment ref="DJ63" authorId="2" shapeId="0" xr:uid="{5D5E5A0E-13A4-4E2F-8B1C-CDD168DBDCD7}">
      <text>
        <r>
          <rPr>
            <b/>
            <sz val="9"/>
            <color indexed="81"/>
            <rFont val="Tahoma"/>
            <family val="2"/>
          </rPr>
          <t>Blake, BEN [GIR]:</t>
        </r>
        <r>
          <rPr>
            <sz val="9"/>
            <color indexed="81"/>
            <rFont val="Tahoma"/>
            <family val="2"/>
          </rPr>
          <t xml:space="preserve">
4q23: 300 (pre tax)
1q24: same</t>
        </r>
      </text>
    </comment>
    <comment ref="CF64" authorId="0" shapeId="0" xr:uid="{00000000-0006-0000-0900-00001C000000}">
      <text>
        <r>
          <rPr>
            <b/>
            <sz val="9"/>
            <color indexed="81"/>
            <rFont val="Tahoma"/>
            <family val="2"/>
          </rPr>
          <t>Parsons, Gavin [GIR]:</t>
        </r>
        <r>
          <rPr>
            <sz val="9"/>
            <color indexed="81"/>
            <rFont val="Tahoma"/>
            <family val="2"/>
          </rPr>
          <t xml:space="preserve">
Pratt settlement</t>
        </r>
      </text>
    </comment>
    <comment ref="CK64" authorId="0" shapeId="0" xr:uid="{00000000-0006-0000-0900-00001D000000}">
      <text>
        <r>
          <rPr>
            <b/>
            <sz val="9"/>
            <color indexed="81"/>
            <rFont val="Tahoma"/>
            <family val="2"/>
          </rPr>
          <t>Parsons, Gavin [GIR]:</t>
        </r>
        <r>
          <rPr>
            <sz val="9"/>
            <color indexed="81"/>
            <rFont val="Tahoma"/>
            <family val="2"/>
          </rPr>
          <t xml:space="preserve">
COL integration</t>
        </r>
      </text>
    </comment>
    <comment ref="CP64" authorId="0" shapeId="0" xr:uid="{00000000-0006-0000-0900-00001E000000}">
      <text>
        <r>
          <rPr>
            <b/>
            <sz val="9"/>
            <color indexed="81"/>
            <rFont val="Tahoma"/>
            <family val="2"/>
          </rPr>
          <t>Parsons, Gavin [GIR]:</t>
        </r>
        <r>
          <rPr>
            <sz val="9"/>
            <color indexed="81"/>
            <rFont val="Tahoma"/>
            <family val="2"/>
          </rPr>
          <t xml:space="preserve">
$800bn UTC split costs
$600mn cost to achieve (subject to Gvt recovery)
2q20: same
3q20: 1,200</t>
        </r>
      </text>
    </comment>
    <comment ref="CU64" authorId="0" shapeId="0" xr:uid="{00000000-0006-0000-0900-00001F000000}">
      <text>
        <r>
          <rPr>
            <b/>
            <sz val="9"/>
            <color indexed="81"/>
            <rFont val="Tahoma"/>
            <family val="2"/>
          </rPr>
          <t>Parsons, Gavin [GIR]:</t>
        </r>
        <r>
          <rPr>
            <sz val="9"/>
            <color indexed="81"/>
            <rFont val="Tahoma"/>
            <family val="2"/>
          </rPr>
          <t xml:space="preserve">
3q20: 500-600 deal-related + 500 for incremental savings 
4q20: same incremental savings; 600 moved to capex</t>
        </r>
      </text>
    </comment>
    <comment ref="CZ64" authorId="0" shapeId="0" xr:uid="{6D11F620-0BEF-4E79-932B-CB09EF706348}">
      <text>
        <r>
          <rPr>
            <b/>
            <sz val="9"/>
            <color indexed="81"/>
            <rFont val="Tahoma"/>
            <family val="2"/>
          </rPr>
          <t>Parsons, Gavin [GIR]:</t>
        </r>
        <r>
          <rPr>
            <sz val="9"/>
            <color indexed="81"/>
            <rFont val="Tahoma"/>
            <family val="2"/>
          </rPr>
          <t xml:space="preserve">
R&amp;D tax payment</t>
        </r>
      </text>
    </comment>
    <comment ref="DE64" authorId="0" shapeId="0" xr:uid="{75DB49FF-6028-498F-A13D-DFF784A0FE87}">
      <text>
        <r>
          <rPr>
            <b/>
            <sz val="9"/>
            <color indexed="81"/>
            <rFont val="Tahoma"/>
            <family val="2"/>
          </rPr>
          <t>Parsons, Gavin [GIR]:</t>
        </r>
        <r>
          <rPr>
            <sz val="9"/>
            <color indexed="81"/>
            <rFont val="Tahoma"/>
            <family val="2"/>
          </rPr>
          <t xml:space="preserve">
4q22: 1,400 R&amp;D cash taxes
3q23: ~700mn drag</t>
        </r>
      </text>
    </comment>
    <comment ref="DJ64" authorId="0" shapeId="0" xr:uid="{7DB10CF0-94D7-400A-8811-6E96328D5635}">
      <text>
        <r>
          <rPr>
            <b/>
            <sz val="9"/>
            <color indexed="81"/>
            <rFont val="Tahoma"/>
            <family val="2"/>
          </rPr>
          <t>Parsons, Gavin [GIR]:</t>
        </r>
        <r>
          <rPr>
            <sz val="9"/>
            <color indexed="81"/>
            <rFont val="Tahoma"/>
            <family val="2"/>
          </rPr>
          <t xml:space="preserve">
R&amp;D cash taxes
3q23: ~650
</t>
        </r>
      </text>
    </comment>
    <comment ref="DO64" authorId="0" shapeId="0" xr:uid="{C44FD20A-00C1-4FD0-A66D-B9F0C952010B}">
      <text>
        <r>
          <rPr>
            <b/>
            <sz val="9"/>
            <color indexed="81"/>
            <rFont val="Tahoma"/>
            <family val="2"/>
          </rPr>
          <t>Parsons, Gavin [GIR]:</t>
        </r>
        <r>
          <rPr>
            <sz val="9"/>
            <color indexed="81"/>
            <rFont val="Tahoma"/>
            <family val="2"/>
          </rPr>
          <t xml:space="preserve">
4q22: 800 R&amp;D cash taxes
3q23: ~400</t>
        </r>
      </text>
    </comment>
    <comment ref="DJ65" authorId="2" shapeId="0" xr:uid="{DB6047B9-5FB2-4F89-8AC4-4BE725E5A296}">
      <text>
        <r>
          <rPr>
            <b/>
            <sz val="9"/>
            <color indexed="81"/>
            <rFont val="Tahoma"/>
            <family val="2"/>
          </rPr>
          <t>Blake, BEN [GIR]:</t>
        </r>
        <r>
          <rPr>
            <sz val="9"/>
            <color indexed="81"/>
            <rFont val="Tahoma"/>
            <family val="2"/>
          </rPr>
          <t xml:space="preserve">
4q23: 1,300
1q24: same
2q24: same, + 1,000 legal payment assumed</t>
        </r>
      </text>
    </comment>
    <comment ref="DO65" authorId="2" shapeId="0" xr:uid="{818163D8-31F2-4DBC-9E19-18A3BAAC75AE}">
      <text>
        <r>
          <rPr>
            <b/>
            <sz val="9"/>
            <color indexed="81"/>
            <rFont val="Tahoma"/>
            <family val="2"/>
          </rPr>
          <t>Blake, BEN [GIR]:</t>
        </r>
        <r>
          <rPr>
            <sz val="9"/>
            <color indexed="81"/>
            <rFont val="Tahoma"/>
            <family val="2"/>
          </rPr>
          <t xml:space="preserve">
4q23: 1,500
4q24: 1,100-1,300
2q25: ~1,200</t>
        </r>
      </text>
    </comment>
    <comment ref="CP66" authorId="0" shapeId="0" xr:uid="{00000000-0006-0000-0900-000020000000}">
      <text>
        <r>
          <rPr>
            <b/>
            <sz val="9"/>
            <color indexed="81"/>
            <rFont val="Tahoma"/>
            <family val="2"/>
          </rPr>
          <t>Parsons, Gavin [GIR]:</t>
        </r>
        <r>
          <rPr>
            <sz val="9"/>
            <color indexed="81"/>
            <rFont val="Tahoma"/>
            <family val="2"/>
          </rPr>
          <t xml:space="preserve">
jun 20: "in the billions"
actual: -1,100 Aero, +800 RMD</t>
        </r>
      </text>
    </comment>
    <comment ref="CU66" authorId="0" shapeId="0" xr:uid="{00000000-0006-0000-0900-000021000000}">
      <text>
        <r>
          <rPr>
            <b/>
            <sz val="9"/>
            <color indexed="81"/>
            <rFont val="Tahoma"/>
            <family val="2"/>
          </rPr>
          <t>Parsons, Gavin [GIR]:</t>
        </r>
        <r>
          <rPr>
            <sz val="9"/>
            <color indexed="81"/>
            <rFont val="Tahoma"/>
            <family val="2"/>
          </rPr>
          <t xml:space="preserve">
3q20: flattish
4q20: +400</t>
        </r>
      </text>
    </comment>
    <comment ref="DE66" authorId="0" shapeId="0" xr:uid="{1029D827-774E-4C40-9D9F-449D1617DC77}">
      <text>
        <r>
          <rPr>
            <b/>
            <sz val="9"/>
            <color indexed="81"/>
            <rFont val="Tahoma"/>
            <family val="2"/>
          </rPr>
          <t>Parsons, Gavin [GIR]:</t>
        </r>
        <r>
          <rPr>
            <sz val="9"/>
            <color indexed="81"/>
            <rFont val="Tahoma"/>
            <family val="2"/>
          </rPr>
          <t xml:space="preserve">
4q22: wcap headwind</t>
        </r>
      </text>
    </comment>
    <comment ref="DJ66" authorId="1" shapeId="0" xr:uid="{E6A6BEBA-75A3-4551-9154-18FFFAE58044}">
      <text>
        <r>
          <rPr>
            <b/>
            <sz val="9"/>
            <color indexed="81"/>
            <rFont val="Tahoma"/>
            <family val="2"/>
          </rPr>
          <t>Dessert, Connor H [GIR]:</t>
        </r>
        <r>
          <rPr>
            <sz val="9"/>
            <color indexed="81"/>
            <rFont val="Tahoma"/>
            <family val="2"/>
          </rPr>
          <t xml:space="preserve">
2q24: $1.1bn yoy improvement</t>
        </r>
      </text>
    </comment>
    <comment ref="CP67" authorId="0" shapeId="0" xr:uid="{00000000-0006-0000-0900-000022000000}">
      <text>
        <r>
          <rPr>
            <b/>
            <sz val="9"/>
            <color indexed="81"/>
            <rFont val="Tahoma"/>
            <family val="2"/>
          </rPr>
          <t>Parsons, Gavin [GIR]:</t>
        </r>
        <r>
          <rPr>
            <sz val="9"/>
            <color indexed="81"/>
            <rFont val="Tahoma"/>
            <family val="2"/>
          </rPr>
          <t xml:space="preserve">
4Q20 stated $2.3bn pro forma</t>
        </r>
      </text>
    </comment>
    <comment ref="DE67" authorId="2" shapeId="0" xr:uid="{792C683A-F1DF-460C-9022-AAB774244B1A}">
      <text>
        <r>
          <rPr>
            <b/>
            <sz val="9"/>
            <color indexed="81"/>
            <rFont val="Tahoma"/>
            <family val="2"/>
          </rPr>
          <t>Blake, BEN [GIR]:</t>
        </r>
        <r>
          <rPr>
            <sz val="9"/>
            <color indexed="81"/>
            <rFont val="Tahoma"/>
            <family val="2"/>
          </rPr>
          <t xml:space="preserve">
3q23: ~4,800</t>
        </r>
      </text>
    </comment>
    <comment ref="DJ67" authorId="2" shapeId="0" xr:uid="{4E750247-D621-4D3A-AB00-CC2D081F9F64}">
      <text>
        <r>
          <rPr>
            <b/>
            <sz val="9"/>
            <color indexed="81"/>
            <rFont val="Tahoma"/>
            <family val="2"/>
          </rPr>
          <t>Blake, BEN [GIR]:</t>
        </r>
        <r>
          <rPr>
            <sz val="9"/>
            <color indexed="81"/>
            <rFont val="Tahoma"/>
            <family val="2"/>
          </rPr>
          <t xml:space="preserve">
3q23: up YoY
4q23: 5,700
1q24: same
2q24: 4,700</t>
        </r>
      </text>
    </comment>
    <comment ref="DO67" authorId="2" shapeId="0" xr:uid="{41E2B8E2-DEB3-40AF-A4FF-E5FD2D85E533}">
      <text>
        <r>
          <rPr>
            <b/>
            <sz val="9"/>
            <color indexed="81"/>
            <rFont val="Tahoma"/>
            <family val="2"/>
          </rPr>
          <t>Blake, BEN [GIR]:</t>
        </r>
        <r>
          <rPr>
            <sz val="9"/>
            <color indexed="81"/>
            <rFont val="Tahoma"/>
            <family val="2"/>
          </rPr>
          <t xml:space="preserve">
4q23: 7,500
1q25: 7,000-7,500
2q25: same
3q25: same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Parsons, Gavin [GIR]</author>
    <author>Porat, Matthew [GIR]</author>
    <author>DePaoli, Dan [GIR]</author>
  </authors>
  <commentList>
    <comment ref="B9" authorId="0" shapeId="0" xr:uid="{00000000-0006-0000-0500-000001000000}">
      <text>
        <r>
          <rPr>
            <b/>
            <sz val="9"/>
            <color indexed="81"/>
            <rFont val="Tahoma"/>
            <family val="2"/>
          </rPr>
          <t>Parsons, Gavin [GIR]:</t>
        </r>
        <r>
          <rPr>
            <sz val="9"/>
            <color indexed="81"/>
            <rFont val="Tahoma"/>
            <family val="2"/>
          </rPr>
          <t xml:space="preserve">
Wiki: $12mn, pre price-hike
Hallam uses $13-14mn
UTX said low-mid teens too high</t>
        </r>
      </text>
    </comment>
    <comment ref="G9" authorId="0" shapeId="0" xr:uid="{00000000-0006-0000-0500-000002000000}">
      <text>
        <r>
          <rPr>
            <b/>
            <sz val="9"/>
            <color indexed="81"/>
            <rFont val="Tahoma"/>
            <family val="2"/>
          </rPr>
          <t>Parsons, Gavin [GIR]:</t>
        </r>
        <r>
          <rPr>
            <sz val="9"/>
            <color indexed="81"/>
            <rFont val="Tahoma"/>
            <family val="2"/>
          </rPr>
          <t xml:space="preserve">
dec 16: we’ll deliver somewhere around 150 of those engines this year</t>
        </r>
      </text>
    </comment>
    <comment ref="H9" authorId="0" shapeId="0" xr:uid="{00000000-0006-0000-0500-000003000000}">
      <text>
        <r>
          <rPr>
            <b/>
            <sz val="9"/>
            <color indexed="81"/>
            <rFont val="Tahoma"/>
            <family val="2"/>
          </rPr>
          <t>Parsons, Gavin [GIR]:</t>
        </r>
        <r>
          <rPr>
            <sz val="9"/>
            <color indexed="81"/>
            <rFont val="Tahoma"/>
            <family val="2"/>
          </rPr>
          <t xml:space="preserve">
dec 16: we’re going to deliver 350 to 400 of those engines next year</t>
        </r>
      </text>
    </comment>
    <comment ref="I9" authorId="0" shapeId="0" xr:uid="{00000000-0006-0000-0500-000004000000}">
      <text>
        <r>
          <rPr>
            <b/>
            <sz val="9"/>
            <color indexed="81"/>
            <rFont val="Tahoma"/>
            <family val="2"/>
          </rPr>
          <t>Parsons, Gavin [GIR]:</t>
        </r>
        <r>
          <rPr>
            <sz val="9"/>
            <color indexed="81"/>
            <rFont val="Tahoma"/>
            <family val="2"/>
          </rPr>
          <t xml:space="preserve">
May 17: 700-800</t>
        </r>
      </text>
    </comment>
    <comment ref="J9" authorId="0" shapeId="0" xr:uid="{00000000-0006-0000-0500-000005000000}">
      <text>
        <r>
          <rPr>
            <b/>
            <sz val="9"/>
            <color indexed="81"/>
            <rFont val="Tahoma"/>
            <family val="2"/>
          </rPr>
          <t>Parsons, Gavin [GIR]:</t>
        </r>
        <r>
          <rPr>
            <sz val="9"/>
            <color indexed="81"/>
            <rFont val="Tahoma"/>
            <family val="2"/>
          </rPr>
          <t xml:space="preserve">
Feb 2017 conference: 2019/2020: Probably by that time, almost 1,000 GTF engines when you add in CSeries and Embraer.</t>
        </r>
      </text>
    </comment>
    <comment ref="M9" authorId="0" shapeId="0" xr:uid="{00000000-0006-0000-0500-000006000000}">
      <text>
        <r>
          <rPr>
            <b/>
            <sz val="9"/>
            <color indexed="81"/>
            <rFont val="Tahoma"/>
            <family val="2"/>
          </rPr>
          <t>Parsons, Gavin [GIR]:</t>
        </r>
        <r>
          <rPr>
            <sz val="9"/>
            <color indexed="81"/>
            <rFont val="Tahoma"/>
            <family val="2"/>
          </rPr>
          <t xml:space="preserve">
4q21: +200</t>
        </r>
      </text>
    </comment>
    <comment ref="B10" authorId="0" shapeId="0" xr:uid="{00000000-0006-0000-0500-000007000000}">
      <text>
        <r>
          <rPr>
            <b/>
            <sz val="9"/>
            <color indexed="81"/>
            <rFont val="Tahoma"/>
            <family val="2"/>
          </rPr>
          <t>Parsons, Gavin [GIR]:</t>
        </r>
        <r>
          <rPr>
            <sz val="9"/>
            <color indexed="81"/>
            <rFont val="Tahoma"/>
            <family val="2"/>
          </rPr>
          <t xml:space="preserve">
Hallam uses 75%</t>
        </r>
      </text>
    </comment>
    <comment ref="M14" authorId="0" shapeId="0" xr:uid="{00000000-0006-0000-0500-000008000000}">
      <text>
        <r>
          <rPr>
            <b/>
            <sz val="9"/>
            <color indexed="81"/>
            <rFont val="Tahoma"/>
            <family val="2"/>
          </rPr>
          <t>Parsons, Gavin [GIR]:</t>
        </r>
        <r>
          <rPr>
            <sz val="9"/>
            <color indexed="81"/>
            <rFont val="Tahoma"/>
            <family val="2"/>
          </rPr>
          <t xml:space="preserve">
feb 22: ~1mn loss</t>
        </r>
      </text>
    </comment>
    <comment ref="N14" authorId="0" shapeId="0" xr:uid="{11046436-CD1B-458B-96BC-917DC36B42BB}">
      <text>
        <r>
          <rPr>
            <b/>
            <sz val="9"/>
            <color indexed="81"/>
            <rFont val="Tahoma"/>
            <family val="2"/>
          </rPr>
          <t>Parsons, Gavin [GIR]:</t>
        </r>
        <r>
          <rPr>
            <sz val="9"/>
            <color indexed="81"/>
            <rFont val="Tahoma"/>
            <family val="2"/>
          </rPr>
          <t xml:space="preserve">
4q22: 1.1-1.3mn</t>
        </r>
      </text>
    </comment>
    <comment ref="E17" authorId="0" shapeId="0" xr:uid="{00000000-0006-0000-0500-000009000000}">
      <text>
        <r>
          <rPr>
            <b/>
            <sz val="9"/>
            <color indexed="81"/>
            <rFont val="Tahoma"/>
            <family val="2"/>
          </rPr>
          <t>Parsons, Gavin [GIR]:</t>
        </r>
        <r>
          <rPr>
            <sz val="9"/>
            <color indexed="81"/>
            <rFont val="Tahoma"/>
            <family val="2"/>
          </rPr>
          <t xml:space="preserve">
May 15: "We've got about </t>
        </r>
        <r>
          <rPr>
            <b/>
            <sz val="9"/>
            <color indexed="81"/>
            <rFont val="Tahoma"/>
            <family val="2"/>
          </rPr>
          <t>$250 million</t>
        </r>
        <r>
          <rPr>
            <sz val="9"/>
            <color indexed="81"/>
            <rFont val="Tahoma"/>
            <family val="2"/>
          </rPr>
          <t xml:space="preserve"> last year"</t>
        </r>
      </text>
    </comment>
    <comment ref="F17" authorId="0" shapeId="0" xr:uid="{00000000-0006-0000-0500-00000A000000}">
      <text>
        <r>
          <rPr>
            <b/>
            <sz val="9"/>
            <color indexed="81"/>
            <rFont val="Tahoma"/>
            <family val="2"/>
          </rPr>
          <t>Parsons, Gavin [GIR]:</t>
        </r>
        <r>
          <rPr>
            <sz val="9"/>
            <color indexed="81"/>
            <rFont val="Tahoma"/>
            <family val="2"/>
          </rPr>
          <t xml:space="preserve">
May 15: "We've got about $250 million last year"
Dec 15: "Negative engine margin next year is up another couple $150 million."</t>
        </r>
      </text>
    </comment>
    <comment ref="G17" authorId="0" shapeId="0" xr:uid="{00000000-0006-0000-0500-00000B000000}">
      <text>
        <r>
          <rPr>
            <b/>
            <sz val="9"/>
            <color indexed="81"/>
            <rFont val="Tahoma"/>
            <family val="2"/>
          </rPr>
          <t>Parsons, Gavin [GIR]:</t>
        </r>
        <r>
          <rPr>
            <sz val="9"/>
            <color indexed="81"/>
            <rFont val="Tahoma"/>
            <family val="2"/>
          </rPr>
          <t xml:space="preserve">
May 2016 EPG: "This year, negative engine margin, over $700 million up to over $1 billion by 2018."
Oct 16: "from approximately </t>
        </r>
        <r>
          <rPr>
            <b/>
            <sz val="9"/>
            <color indexed="81"/>
            <rFont val="Tahoma"/>
            <family val="2"/>
          </rPr>
          <t xml:space="preserve">$650 million </t>
        </r>
        <r>
          <rPr>
            <sz val="9"/>
            <color indexed="81"/>
            <rFont val="Tahoma"/>
            <family val="2"/>
          </rPr>
          <t>in 2016."</t>
        </r>
      </text>
    </comment>
    <comment ref="H17" authorId="0" shapeId="0" xr:uid="{00000000-0006-0000-0500-00000C000000}">
      <text>
        <r>
          <rPr>
            <b/>
            <sz val="9"/>
            <color indexed="81"/>
            <rFont val="Tahoma"/>
            <family val="2"/>
          </rPr>
          <t>Parsons, Gavin [GIR]:</t>
        </r>
        <r>
          <rPr>
            <sz val="9"/>
            <color indexed="81"/>
            <rFont val="Tahoma"/>
            <family val="2"/>
          </rPr>
          <t xml:space="preserve">
Oct 16: "we anticipate negative engine margin to increase by over $300 million year-over-year from approximately $650 million in 2016. We anticipate an additional $100 million of negative engine margin headwind in 2018 and continue to expect negative engine margin to level off at roughly $1 billion level at Pratt large commercial engines." </t>
        </r>
        <r>
          <rPr>
            <b/>
            <sz val="9"/>
            <color indexed="81"/>
            <rFont val="Tahoma"/>
            <family val="2"/>
          </rPr>
          <t>950</t>
        </r>
        <r>
          <rPr>
            <sz val="9"/>
            <color indexed="81"/>
            <rFont val="Tahoma"/>
            <family val="2"/>
          </rPr>
          <t xml:space="preserve">
Nov 17 Conf: "Pratt needs to offset about $250 million of incremental costs or incremental margin – negative margin" (in 2018 vs 2017 actual: 1,100 - 250 = </t>
        </r>
        <r>
          <rPr>
            <b/>
            <sz val="9"/>
            <color indexed="81"/>
            <rFont val="Tahoma"/>
            <family val="2"/>
          </rPr>
          <t>850</t>
        </r>
        <r>
          <rPr>
            <sz val="9"/>
            <color indexed="81"/>
            <rFont val="Tahoma"/>
            <family val="2"/>
          </rPr>
          <t>)</t>
        </r>
      </text>
    </comment>
    <comment ref="I17" authorId="0" shapeId="0" xr:uid="{00000000-0006-0000-0500-00000D000000}">
      <text>
        <r>
          <rPr>
            <b/>
            <sz val="9"/>
            <color indexed="81"/>
            <rFont val="Tahoma"/>
            <family val="2"/>
          </rPr>
          <t>Parsons, Gavin [GIR]:</t>
        </r>
        <r>
          <rPr>
            <sz val="9"/>
            <color indexed="81"/>
            <rFont val="Tahoma"/>
            <family val="2"/>
          </rPr>
          <t xml:space="preserve">
Mar 2016 investor day:"we expect, by 2018, </t>
        </r>
        <r>
          <rPr>
            <b/>
            <sz val="9"/>
            <color indexed="81"/>
            <rFont val="Tahoma"/>
            <family val="2"/>
          </rPr>
          <t>$1 billion peak</t>
        </r>
        <r>
          <rPr>
            <sz val="9"/>
            <color indexed="81"/>
            <rFont val="Tahoma"/>
            <family val="2"/>
          </rPr>
          <t xml:space="preserve"> negative engine margin"
Dec 2016: 1bn peak in 2018 is "probably another $100 million incrementally."
3Q17: that number today looks more like </t>
        </r>
        <r>
          <rPr>
            <b/>
            <sz val="9"/>
            <color indexed="81"/>
            <rFont val="Tahoma"/>
            <family val="2"/>
          </rPr>
          <t xml:space="preserve">$1.1 billion </t>
        </r>
        <r>
          <rPr>
            <sz val="9"/>
            <color indexed="81"/>
            <rFont val="Tahoma"/>
            <family val="2"/>
          </rPr>
          <t xml:space="preserve">as compared to the $1 billion that we were thinking of before
4Q17: reiterate 1.1bn loss
Mar 2018: closer to </t>
        </r>
        <r>
          <rPr>
            <b/>
            <sz val="9"/>
            <color indexed="81"/>
            <rFont val="Tahoma"/>
            <family val="2"/>
          </rPr>
          <t xml:space="preserve">$1.2bn </t>
        </r>
        <r>
          <rPr>
            <sz val="9"/>
            <color indexed="81"/>
            <rFont val="Tahoma"/>
            <family val="2"/>
          </rPr>
          <t>loss due to engine seal fixes</t>
        </r>
      </text>
    </comment>
    <comment ref="J17" authorId="0" shapeId="0" xr:uid="{00000000-0006-0000-0500-00000E000000}">
      <text>
        <r>
          <rPr>
            <b/>
            <sz val="9"/>
            <color indexed="81"/>
            <rFont val="Tahoma"/>
            <family val="2"/>
          </rPr>
          <t>Parsons, Gavin [GIR]:</t>
        </r>
        <r>
          <rPr>
            <sz val="9"/>
            <color indexed="81"/>
            <rFont val="Tahoma"/>
            <family val="2"/>
          </rPr>
          <t xml:space="preserve">
4q17: reiterate 2018 is peak 
EPG18: same yoy, ~$1.2bn
3q18: flat yoy
4q18: same</t>
        </r>
      </text>
    </comment>
    <comment ref="K17" authorId="0" shapeId="0" xr:uid="{00000000-0006-0000-0500-00000F000000}">
      <text>
        <r>
          <rPr>
            <b/>
            <sz val="9"/>
            <color indexed="81"/>
            <rFont val="Tahoma"/>
            <family val="2"/>
          </rPr>
          <t>Parsons, Gavin [GIR]:</t>
        </r>
        <r>
          <rPr>
            <sz val="9"/>
            <color indexed="81"/>
            <rFont val="Tahoma"/>
            <family val="2"/>
          </rPr>
          <t xml:space="preserve">
Mar 2016 investor day: "But at the end of the day, you're still not going to make money on the engines, right? You're not going to make money on the engines until you get to that first overhaul and that's probably 2020 or 2021."
Mar 2018: would still be $1bn peak loss at same pace of deliveries from original guidance, but deliveries have slipped right</t>
        </r>
      </text>
    </comment>
    <comment ref="M17" authorId="0" shapeId="0" xr:uid="{00000000-0006-0000-0500-000010000000}">
      <text>
        <r>
          <rPr>
            <b/>
            <sz val="9"/>
            <color indexed="81"/>
            <rFont val="Tahoma"/>
            <family val="2"/>
          </rPr>
          <t>Parsons, Gavin [GIR]:</t>
        </r>
        <r>
          <rPr>
            <sz val="9"/>
            <color indexed="81"/>
            <rFont val="Tahoma"/>
            <family val="2"/>
          </rPr>
          <t xml:space="preserve">
4q21: 100-150 yoy headwind</t>
        </r>
      </text>
    </comment>
    <comment ref="A19" authorId="0" shapeId="0" xr:uid="{00000000-0006-0000-0500-000011000000}">
      <text>
        <r>
          <rPr>
            <b/>
            <sz val="9"/>
            <color indexed="81"/>
            <rFont val="Tahoma"/>
            <family val="2"/>
          </rPr>
          <t>Parsons, Gavin [GIR]:</t>
        </r>
        <r>
          <rPr>
            <sz val="9"/>
            <color indexed="81"/>
            <rFont val="Tahoma"/>
            <family val="2"/>
          </rPr>
          <t xml:space="preserve">
annual</t>
        </r>
      </text>
    </comment>
    <comment ref="D19" authorId="0" shapeId="0" xr:uid="{00000000-0006-0000-0500-000012000000}">
      <text>
        <r>
          <rPr>
            <b/>
            <sz val="9"/>
            <color indexed="81"/>
            <rFont val="Tahoma"/>
            <family val="2"/>
          </rPr>
          <t>Parsons, Gavin [GIR]:</t>
        </r>
        <r>
          <rPr>
            <sz val="9"/>
            <color indexed="81"/>
            <rFont val="Tahoma"/>
            <family val="2"/>
          </rPr>
          <t xml:space="preserve">
Assumes no retirements</t>
        </r>
      </text>
    </comment>
    <comment ref="B20" authorId="0" shapeId="0" xr:uid="{00000000-0006-0000-0500-000013000000}">
      <text>
        <r>
          <rPr>
            <b/>
            <sz val="9"/>
            <color indexed="81"/>
            <rFont val="Tahoma"/>
            <family val="2"/>
          </rPr>
          <t>Parsons, Gavin [GIR]:</t>
        </r>
        <r>
          <rPr>
            <sz val="9"/>
            <color indexed="81"/>
            <rFont val="Tahoma"/>
            <family val="2"/>
          </rPr>
          <t xml:space="preserve">
LLP + work
Assumes 5-7 years for first overhaul based on % below
No 2nd check included; assuming it would be &gt;10 yrs</t>
        </r>
      </text>
    </comment>
    <comment ref="D20" authorId="0" shapeId="0" xr:uid="{00000000-0006-0000-0500-000014000000}">
      <text>
        <r>
          <rPr>
            <b/>
            <sz val="9"/>
            <color indexed="81"/>
            <rFont val="Tahoma"/>
            <family val="2"/>
          </rPr>
          <t>Parsons, Gavin [GIR]:</t>
        </r>
        <r>
          <rPr>
            <sz val="9"/>
            <color indexed="81"/>
            <rFont val="Tahoma"/>
            <family val="2"/>
          </rPr>
          <t xml:space="preserve">
PBH, paid at first overhaul 
Assumes 5-7 years for first overhaul based on % below
</t>
        </r>
      </text>
    </comment>
    <comment ref="B21" authorId="0" shapeId="0" xr:uid="{00000000-0006-0000-0500-000015000000}">
      <text>
        <r>
          <rPr>
            <b/>
            <sz val="9"/>
            <color indexed="81"/>
            <rFont val="Tahoma"/>
            <family val="2"/>
          </rPr>
          <t>Parsons, Gavin [GIR]:</t>
        </r>
        <r>
          <rPr>
            <sz val="9"/>
            <color indexed="81"/>
            <rFont val="Tahoma"/>
            <family val="2"/>
          </rPr>
          <t xml:space="preserve">
Hallam assumes a 25% margin scaling to 45%</t>
        </r>
      </text>
    </comment>
    <comment ref="D21" authorId="0" shapeId="0" xr:uid="{00000000-0006-0000-0500-000016000000}">
      <text>
        <r>
          <rPr>
            <b/>
            <sz val="9"/>
            <color indexed="81"/>
            <rFont val="Tahoma"/>
            <family val="2"/>
          </rPr>
          <t>Parsons, Gavin [GIR]:</t>
        </r>
        <r>
          <rPr>
            <sz val="9"/>
            <color indexed="81"/>
            <rFont val="Tahoma"/>
            <family val="2"/>
          </rPr>
          <t xml:space="preserve">
LLP + work
Assumes 5-7 years for first overhaul based on % below
No 2nd check included; assuming it would be &gt;10 yrs</t>
        </r>
      </text>
    </comment>
    <comment ref="M22" authorId="0" shapeId="0" xr:uid="{B25FB122-28F4-41E1-BDB9-CA9672DA59DD}">
      <text>
        <r>
          <rPr>
            <b/>
            <sz val="9"/>
            <color indexed="81"/>
            <rFont val="Tahoma"/>
            <family val="2"/>
          </rPr>
          <t>Parsons, Gavin [GIR]:</t>
        </r>
        <r>
          <rPr>
            <sz val="9"/>
            <color indexed="81"/>
            <rFont val="Tahoma"/>
            <family val="2"/>
          </rPr>
          <t xml:space="preserve">
reported profitable</t>
        </r>
      </text>
    </comment>
    <comment ref="D24" authorId="0" shapeId="0" xr:uid="{00000000-0006-0000-0500-000017000000}">
      <text>
        <r>
          <rPr>
            <b/>
            <sz val="9"/>
            <color indexed="81"/>
            <rFont val="Tahoma"/>
            <family val="2"/>
          </rPr>
          <t>Parsons, Gavin [GIR]:</t>
        </r>
        <r>
          <rPr>
            <sz val="9"/>
            <color indexed="81"/>
            <rFont val="Tahoma"/>
            <family val="2"/>
          </rPr>
          <t xml:space="preserve">
nov 17: breakeven sometime 2020-2025
feb 22: cash breakeven 2027</t>
        </r>
      </text>
    </comment>
    <comment ref="D27" authorId="0" shapeId="0" xr:uid="{00000000-0006-0000-0500-000018000000}">
      <text>
        <r>
          <rPr>
            <b/>
            <sz val="9"/>
            <color indexed="81"/>
            <rFont val="Tahoma"/>
            <family val="2"/>
          </rPr>
          <t>Parsons, Gavin [GIR]:</t>
        </r>
        <r>
          <rPr>
            <sz val="9"/>
            <color indexed="81"/>
            <rFont val="Tahoma"/>
            <family val="2"/>
          </rPr>
          <t xml:space="preserve">
June 2014: "Of course, the GTF, our biggest investment, in total, that investment in R&amp;D will be over $5 billion before we're done."</t>
        </r>
      </text>
    </comment>
    <comment ref="E27" authorId="0" shapeId="0" xr:uid="{00000000-0006-0000-0500-000019000000}">
      <text>
        <r>
          <rPr>
            <b/>
            <sz val="9"/>
            <color indexed="81"/>
            <rFont val="Tahoma"/>
            <family val="2"/>
          </rPr>
          <t>Parsons, Gavin [GIR]:</t>
        </r>
        <r>
          <rPr>
            <sz val="9"/>
            <color indexed="81"/>
            <rFont val="Tahoma"/>
            <family val="2"/>
          </rPr>
          <t xml:space="preserve">
Mar 15: "As far as E&amp;D, we spent $2.6 billion on the E&amp;D last year. I think </t>
        </r>
        <r>
          <rPr>
            <b/>
            <sz val="9"/>
            <color indexed="81"/>
            <rFont val="Tahoma"/>
            <family val="2"/>
          </rPr>
          <t>$1.1 billion</t>
        </r>
        <r>
          <rPr>
            <sz val="9"/>
            <color indexed="81"/>
            <rFont val="Tahoma"/>
            <family val="2"/>
          </rPr>
          <t xml:space="preserve"> in Pratt, about $800 million at Aerospace Systems, couple of hundred million dollars at Sikorsky, and another $400 million I think on the Buildings side."</t>
        </r>
      </text>
    </comment>
    <comment ref="F27" authorId="0" shapeId="0" xr:uid="{00000000-0006-0000-0500-00001A000000}">
      <text>
        <r>
          <rPr>
            <b/>
            <sz val="9"/>
            <color indexed="81"/>
            <rFont val="Tahoma"/>
            <family val="2"/>
          </rPr>
          <t>Parsons, Gavin [GIR]:</t>
        </r>
        <r>
          <rPr>
            <sz val="9"/>
            <color indexed="81"/>
            <rFont val="Tahoma"/>
            <family val="2"/>
          </rPr>
          <t xml:space="preserve">
total 2015 R&amp;D was 2,279
May 15: "There's opportunities to reduce E&amp;D which is about </t>
        </r>
        <r>
          <rPr>
            <b/>
            <sz val="9"/>
            <color indexed="81"/>
            <rFont val="Tahoma"/>
            <family val="2"/>
          </rPr>
          <t>$1 billion</t>
        </r>
        <r>
          <rPr>
            <sz val="9"/>
            <color indexed="81"/>
            <rFont val="Tahoma"/>
            <family val="2"/>
          </rPr>
          <t xml:space="preserve"> a year today."
Nov 15: "this year Pratt E&amp;D is coming down by over $100 million. We'll expect to see something similar over the next year or two"</t>
        </r>
      </text>
    </comment>
    <comment ref="H27" authorId="0" shapeId="0" xr:uid="{00000000-0006-0000-0500-00001B000000}">
      <text>
        <r>
          <rPr>
            <b/>
            <sz val="9"/>
            <color indexed="81"/>
            <rFont val="Tahoma"/>
            <family val="2"/>
          </rPr>
          <t>Parsons, Gavin [GIR]:</t>
        </r>
        <r>
          <rPr>
            <sz val="9"/>
            <color indexed="81"/>
            <rFont val="Tahoma"/>
            <family val="2"/>
          </rPr>
          <t xml:space="preserve">
Feb 17: "We'll spend another $1bn this year on E&amp;D at Pratt"
"E&amp;D peaks this year and then we'll start to get some tailwind"
</t>
        </r>
      </text>
    </comment>
    <comment ref="I27" authorId="0" shapeId="0" xr:uid="{00000000-0006-0000-0500-00001C000000}">
      <text>
        <r>
          <rPr>
            <b/>
            <sz val="9"/>
            <color indexed="81"/>
            <rFont val="Tahoma"/>
            <family val="2"/>
          </rPr>
          <t>Parsons, Gavin [GIR]:</t>
        </r>
        <r>
          <rPr>
            <sz val="9"/>
            <color indexed="81"/>
            <rFont val="Tahoma"/>
            <family val="2"/>
          </rPr>
          <t xml:space="preserve">
Sep 17: E&amp;D flat to down
EPG18: $1.1bn total</t>
        </r>
      </text>
    </comment>
    <comment ref="J27" authorId="0" shapeId="0" xr:uid="{00000000-0006-0000-0500-00001D000000}">
      <text>
        <r>
          <rPr>
            <b/>
            <sz val="9"/>
            <color indexed="81"/>
            <rFont val="Tahoma"/>
            <family val="2"/>
          </rPr>
          <t>Parsons, Gavin [GIR]:</t>
        </r>
        <r>
          <rPr>
            <sz val="9"/>
            <color indexed="81"/>
            <rFont val="Tahoma"/>
            <family val="2"/>
          </rPr>
          <t xml:space="preserve">
4q18: E&amp;D 25 tailwind</t>
        </r>
      </text>
    </comment>
    <comment ref="K27" authorId="0" shapeId="0" xr:uid="{00000000-0006-0000-0500-00001E000000}">
      <text>
        <r>
          <rPr>
            <b/>
            <sz val="9"/>
            <color indexed="81"/>
            <rFont val="Tahoma"/>
            <family val="2"/>
          </rPr>
          <t>Parsons, Gavin [GIR]:</t>
        </r>
        <r>
          <rPr>
            <sz val="9"/>
            <color indexed="81"/>
            <rFont val="Tahoma"/>
            <family val="2"/>
          </rPr>
          <t xml:space="preserve">
Feb 17: "E&amp;D will have a chance to generally tail off towards the end of the decade" (GTF?)
"E&amp;D at Pratt will come from $1 billion to $700 million or $750 million."</t>
        </r>
      </text>
    </comment>
    <comment ref="G28" authorId="0" shapeId="0" xr:uid="{00000000-0006-0000-0500-00001F000000}">
      <text>
        <r>
          <rPr>
            <b/>
            <sz val="9"/>
            <color indexed="81"/>
            <rFont val="Tahoma"/>
            <family val="2"/>
          </rPr>
          <t>Parsons, Gavin [GIR]:</t>
        </r>
        <r>
          <rPr>
            <sz val="9"/>
            <color indexed="81"/>
            <rFont val="Tahoma"/>
            <family val="2"/>
          </rPr>
          <t xml:space="preserve">
3q15: flat to down
dec 15: flat to down 50
mar 16: same
1q16: same
2q16: down 50-100
3q16: down 125-150</t>
        </r>
      </text>
    </comment>
    <comment ref="H28" authorId="0" shapeId="0" xr:uid="{00000000-0006-0000-0500-000020000000}">
      <text>
        <r>
          <rPr>
            <b/>
            <sz val="9"/>
            <color indexed="81"/>
            <rFont val="Tahoma"/>
            <family val="2"/>
          </rPr>
          <t>Parsons, Gavin [GIR]:</t>
        </r>
        <r>
          <rPr>
            <sz val="9"/>
            <color indexed="81"/>
            <rFont val="Tahoma"/>
            <family val="2"/>
          </rPr>
          <t xml:space="preserve">
3q16: down yoy
dec 16: down 150-200
1q17: same
2q17: same, closer to 200
3q17: down 125-175, closer to 125</t>
        </r>
      </text>
    </comment>
    <comment ref="I28" authorId="0" shapeId="0" xr:uid="{00000000-0006-0000-0500-000021000000}">
      <text>
        <r>
          <rPr>
            <b/>
            <sz val="9"/>
            <color indexed="81"/>
            <rFont val="Tahoma"/>
            <family val="2"/>
          </rPr>
          <t>Parsons, Gavin [GIR]:</t>
        </r>
        <r>
          <rPr>
            <sz val="9"/>
            <color indexed="81"/>
            <rFont val="Tahoma"/>
            <family val="2"/>
          </rPr>
          <t xml:space="preserve">
sep 17: flat to up
3q17: same
4q17: +25-75
mar 18: same, low end
1q18: same
2q18: same
3q18: same, high end</t>
        </r>
      </text>
    </comment>
    <comment ref="J28" authorId="1" shapeId="0" xr:uid="{00000000-0006-0000-0500-000022000000}">
      <text>
        <r>
          <rPr>
            <b/>
            <sz val="9"/>
            <color indexed="81"/>
            <rFont val="Tahoma"/>
            <family val="2"/>
          </rPr>
          <t>Porat, Matthew [GIR]:</t>
        </r>
        <r>
          <rPr>
            <sz val="9"/>
            <color indexed="81"/>
            <rFont val="Tahoma"/>
            <family val="2"/>
          </rPr>
          <t xml:space="preserve">
4q18: +200-250</t>
        </r>
      </text>
    </comment>
    <comment ref="L37" authorId="0" shapeId="0" xr:uid="{00000000-0006-0000-0500-000023000000}">
      <text>
        <r>
          <rPr>
            <b/>
            <sz val="9"/>
            <color indexed="81"/>
            <rFont val="Tahoma"/>
            <family val="2"/>
          </rPr>
          <t>Parsons, Gavin [GIR]:</t>
        </r>
        <r>
          <rPr>
            <sz val="9"/>
            <color indexed="81"/>
            <rFont val="Tahoma"/>
            <family val="2"/>
          </rPr>
          <t xml:space="preserve">
</t>
        </r>
        <r>
          <rPr>
            <b/>
            <sz val="9"/>
            <color indexed="81"/>
            <rFont val="Tahoma"/>
            <family val="2"/>
          </rPr>
          <t>AviationWeek</t>
        </r>
        <r>
          <rPr>
            <sz val="9"/>
            <color indexed="81"/>
            <rFont val="Tahoma"/>
            <family val="2"/>
          </rPr>
          <t xml:space="preserve">
Annual V2500 MRO revenue will average $4.1 billion for the 10-year time frame, climbing to an annual high of $4.7 billion in 2022 from $3.0 billion in 2016. 
http://aviationweek.com/mro/mandate-maturity-boosting-v2500-aftermarket
</t>
        </r>
        <r>
          <rPr>
            <b/>
            <sz val="9"/>
            <color indexed="81"/>
            <rFont val="Tahoma"/>
            <family val="2"/>
          </rPr>
          <t>MRO Network</t>
        </r>
        <r>
          <rPr>
            <sz val="9"/>
            <color indexed="81"/>
            <rFont val="Tahoma"/>
            <family val="2"/>
          </rPr>
          <t xml:space="preserve">
PW4000 MRO work is projected to generate $11.1 billion during the next decade. Spending is expected to peak this year, at $1.8 billion, or 16% of the 10-year total. 2026 and 2027 are expected to combine to generate about $1.3 billion. MRO revenue is projected to decline by an average rate of 9.7% annually throughout the decade.
http://www.mro-network.com/engines-engine-systems/pw4000-family-sunset-beckons?NL=AW-05&amp;Issue=AW-05_20180313_AW-05_293&amp;sfvc4enews=42&amp;cl=article_4&amp;utm_rid=CPEN1000001222562&amp;utm_campaign=13951&amp;utm_medium=email&amp;elq2=a2c2f5a29e6a4add91d2a702c6b0e694</t>
        </r>
      </text>
    </comment>
    <comment ref="F38" authorId="0" shapeId="0" xr:uid="{00000000-0006-0000-0500-000024000000}">
      <text>
        <r>
          <rPr>
            <b/>
            <sz val="9"/>
            <color indexed="81"/>
            <rFont val="Tahoma"/>
            <family val="2"/>
          </rPr>
          <t>Parsons, Gavin [GIR]:</t>
        </r>
        <r>
          <rPr>
            <sz val="9"/>
            <color indexed="81"/>
            <rFont val="Tahoma"/>
            <family val="2"/>
          </rPr>
          <t xml:space="preserve">
See exhibits tab
</t>
        </r>
        <r>
          <rPr>
            <b/>
            <sz val="9"/>
            <color indexed="81"/>
            <rFont val="Tahoma"/>
            <family val="2"/>
          </rPr>
          <t>Hallam uses 4,000</t>
        </r>
      </text>
    </comment>
    <comment ref="I38" authorId="0" shapeId="0" xr:uid="{00000000-0006-0000-0500-000025000000}">
      <text>
        <r>
          <rPr>
            <b/>
            <sz val="9"/>
            <color indexed="81"/>
            <rFont val="Tahoma"/>
            <family val="2"/>
          </rPr>
          <t>Parsons, Gavin [GIR]:</t>
        </r>
        <r>
          <rPr>
            <sz val="9"/>
            <color indexed="81"/>
            <rFont val="Tahoma"/>
            <family val="2"/>
          </rPr>
          <t xml:space="preserve">
</t>
        </r>
        <r>
          <rPr>
            <u/>
            <sz val="9"/>
            <color indexed="81"/>
            <rFont val="Tahoma"/>
            <family val="2"/>
          </rPr>
          <t xml:space="preserve">AviationWeek 2012 per engine: </t>
        </r>
        <r>
          <rPr>
            <sz val="9"/>
            <color indexed="81"/>
            <rFont val="Tahoma"/>
            <family val="2"/>
          </rPr>
          <t xml:space="preserve">
CF34: $2mn est ($152mn to overhaul 76 CF-34 - CRJ)
V2500: $2.1mn est ($447mn for 216 overhauls - A320 C-Check + restoration. Age not given, stated oldest A320 is 12yrs)
http://aviationweek.com/commercial-aviation/jetblue-engine-overhaul-needs-reach-600m
</t>
        </r>
        <r>
          <rPr>
            <u/>
            <sz val="9"/>
            <color indexed="81"/>
            <rFont val="Tahoma"/>
            <family val="2"/>
          </rPr>
          <t>Aircraft Monitor (pdf in our folders)</t>
        </r>
        <r>
          <rPr>
            <sz val="9"/>
            <color indexed="81"/>
            <rFont val="Tahoma"/>
            <family val="2"/>
          </rPr>
          <t xml:space="preserve"> 
$2-6mn (see snapshot in exhibits)</t>
        </r>
      </text>
    </comment>
    <comment ref="F39" authorId="0" shapeId="0" xr:uid="{00000000-0006-0000-0500-000026000000}">
      <text>
        <r>
          <rPr>
            <b/>
            <sz val="9"/>
            <color indexed="81"/>
            <rFont val="Tahoma"/>
            <family val="2"/>
          </rPr>
          <t>Parsons, Gavin [GIR]:</t>
        </r>
        <r>
          <rPr>
            <sz val="9"/>
            <color indexed="81"/>
            <rFont val="Tahoma"/>
            <family val="2"/>
          </rPr>
          <t xml:space="preserve">
1wk maintenance / yr</t>
        </r>
      </text>
    </comment>
    <comment ref="I39" authorId="0" shapeId="0" xr:uid="{00000000-0006-0000-0500-000027000000}">
      <text>
        <r>
          <rPr>
            <b/>
            <sz val="9"/>
            <color indexed="81"/>
            <rFont val="Tahoma"/>
            <family val="2"/>
          </rPr>
          <t>Parsons, Gavin [GIR]:</t>
        </r>
        <r>
          <rPr>
            <sz val="9"/>
            <color indexed="81"/>
            <rFont val="Tahoma"/>
            <family val="2"/>
          </rPr>
          <t xml:space="preserve">
737 + A320: 1.99
ERJ: 1.4
BBD regionals: 1.24</t>
        </r>
      </text>
    </comment>
    <comment ref="F40" authorId="0" shapeId="0" xr:uid="{00000000-0006-0000-0500-000028000000}">
      <text>
        <r>
          <rPr>
            <b/>
            <sz val="9"/>
            <color indexed="81"/>
            <rFont val="Tahoma"/>
            <family val="2"/>
          </rPr>
          <t>Parsons, Gavin [GIR]:</t>
        </r>
        <r>
          <rPr>
            <sz val="9"/>
            <color indexed="81"/>
            <rFont val="Tahoma"/>
            <family val="2"/>
          </rPr>
          <t xml:space="preserve">
UTX guides 80%, maybe 70-80%</t>
        </r>
      </text>
    </comment>
    <comment ref="I40" authorId="0" shapeId="0" xr:uid="{00000000-0006-0000-0500-000029000000}">
      <text>
        <r>
          <rPr>
            <b/>
            <sz val="9"/>
            <color indexed="81"/>
            <rFont val="Tahoma"/>
            <family val="2"/>
          </rPr>
          <t>Parsons, Gavin [GIR]:</t>
        </r>
        <r>
          <rPr>
            <sz val="9"/>
            <color indexed="81"/>
            <rFont val="Tahoma"/>
            <family val="2"/>
          </rPr>
          <t xml:space="preserve">
10,000-12,000 flight cycles (see Exhibits)</t>
        </r>
      </text>
    </comment>
    <comment ref="J40" authorId="0" shapeId="0" xr:uid="{00000000-0006-0000-0500-00002A000000}">
      <text>
        <r>
          <rPr>
            <b/>
            <sz val="9"/>
            <color indexed="81"/>
            <rFont val="Tahoma"/>
            <family val="2"/>
          </rPr>
          <t>Parsons, Gavin [GIR]:</t>
        </r>
        <r>
          <rPr>
            <sz val="9"/>
            <color indexed="81"/>
            <rFont val="Tahoma"/>
            <family val="2"/>
          </rPr>
          <t xml:space="preserve">
6,000-8,000 more flight cycles (see Exhibits)</t>
        </r>
      </text>
    </comment>
    <comment ref="D41" authorId="0" shapeId="0" xr:uid="{00000000-0006-0000-0500-00002B000000}">
      <text>
        <r>
          <rPr>
            <b/>
            <sz val="9"/>
            <color indexed="81"/>
            <rFont val="Tahoma"/>
            <family val="2"/>
          </rPr>
          <t>Parsons, Gavin [GIR]:</t>
        </r>
        <r>
          <rPr>
            <sz val="9"/>
            <color indexed="81"/>
            <rFont val="Tahoma"/>
            <family val="2"/>
          </rPr>
          <t xml:space="preserve">
This doesn't assume price inflation</t>
        </r>
      </text>
    </comment>
    <comment ref="F41" authorId="0" shapeId="0" xr:uid="{00000000-0006-0000-0500-00002C000000}">
      <text>
        <r>
          <rPr>
            <b/>
            <sz val="9"/>
            <color indexed="81"/>
            <rFont val="Tahoma"/>
            <family val="2"/>
          </rPr>
          <t>Parsons, Gavin [GIR]:</t>
        </r>
        <r>
          <rPr>
            <sz val="9"/>
            <color indexed="81"/>
            <rFont val="Tahoma"/>
            <family val="2"/>
          </rPr>
          <t xml:space="preserve">
</t>
        </r>
        <r>
          <rPr>
            <i/>
            <sz val="9"/>
            <color indexed="81"/>
            <rFont val="Tahoma"/>
            <family val="2"/>
          </rPr>
          <t>Depends by age &amp; geography</t>
        </r>
        <r>
          <rPr>
            <sz val="9"/>
            <color indexed="81"/>
            <rFont val="Tahoma"/>
            <family val="2"/>
          </rPr>
          <t xml:space="preserve">
Werner thinks ~150 excluding LLP
</t>
        </r>
        <r>
          <rPr>
            <b/>
            <sz val="9"/>
            <color indexed="81"/>
            <rFont val="Tahoma"/>
            <family val="2"/>
          </rPr>
          <t>Hallam uses 115-125</t>
        </r>
        <r>
          <rPr>
            <sz val="9"/>
            <color indexed="81"/>
            <rFont val="Tahoma"/>
            <family val="2"/>
          </rPr>
          <t xml:space="preserve">
https://www.conklindd.com/t-guaranteedenginemaintenanceprograms.aspx
</t>
        </r>
        <r>
          <rPr>
            <b/>
            <sz val="9"/>
            <color indexed="81"/>
            <rFont val="Tahoma"/>
            <family val="2"/>
          </rPr>
          <t xml:space="preserve">
</t>
        </r>
        <r>
          <rPr>
            <sz val="9"/>
            <color indexed="81"/>
            <rFont val="Tahoma"/>
            <family val="2"/>
          </rPr>
          <t xml:space="preserve">Bizjet rates here (range ~200-400):
http://cms.guides.com/cms_files/aircraftbluebook.com/Aircraft%20Maint%20Programs.pdf
</t>
        </r>
      </text>
    </comment>
    <comment ref="D46" authorId="0" shapeId="0" xr:uid="{00000000-0006-0000-0500-00002D000000}">
      <text>
        <r>
          <rPr>
            <b/>
            <sz val="9"/>
            <color indexed="81"/>
            <rFont val="Tahoma"/>
            <family val="2"/>
          </rPr>
          <t>Parsons, Gavin [GIR]:</t>
        </r>
        <r>
          <rPr>
            <sz val="9"/>
            <color indexed="81"/>
            <rFont val="Tahoma"/>
            <family val="2"/>
          </rPr>
          <t xml:space="preserve">
V2500: A320 family
Other: KC-390</t>
        </r>
      </text>
    </comment>
    <comment ref="D50" authorId="0" shapeId="0" xr:uid="{00000000-0006-0000-0500-00002E000000}">
      <text>
        <r>
          <rPr>
            <b/>
            <sz val="9"/>
            <color indexed="81"/>
            <rFont val="Tahoma"/>
            <family val="2"/>
          </rPr>
          <t>Parsons, Gavin [GIR]:</t>
        </r>
        <r>
          <rPr>
            <sz val="9"/>
            <color indexed="81"/>
            <rFont val="Tahoma"/>
            <family val="2"/>
          </rPr>
          <t xml:space="preserve">
Wiki says 12mn per unit, though UTX announced a price hike </t>
        </r>
      </text>
    </comment>
    <comment ref="F54" authorId="0" shapeId="0" xr:uid="{00000000-0006-0000-0500-00002F000000}">
      <text>
        <r>
          <rPr>
            <b/>
            <sz val="9"/>
            <color indexed="81"/>
            <rFont val="Tahoma"/>
            <family val="2"/>
          </rPr>
          <t>Parsons, Gavin [GIR]:</t>
        </r>
        <r>
          <rPr>
            <sz val="9"/>
            <color indexed="81"/>
            <rFont val="Tahoma"/>
            <family val="2"/>
          </rPr>
          <t xml:space="preserve">
3005 incl APUs</t>
        </r>
      </text>
    </comment>
    <comment ref="G54" authorId="0" shapeId="0" xr:uid="{00000000-0006-0000-0500-000030000000}">
      <text>
        <r>
          <rPr>
            <b/>
            <sz val="9"/>
            <color indexed="81"/>
            <rFont val="Tahoma"/>
            <family val="2"/>
          </rPr>
          <t>Parsons, Gavin [GIR]:</t>
        </r>
        <r>
          <rPr>
            <sz val="9"/>
            <color indexed="81"/>
            <rFont val="Tahoma"/>
            <family val="2"/>
          </rPr>
          <t xml:space="preserve">
excl APUs</t>
        </r>
      </text>
    </comment>
    <comment ref="H54" authorId="0" shapeId="0" xr:uid="{00000000-0006-0000-0500-000031000000}">
      <text>
        <r>
          <rPr>
            <b/>
            <sz val="9"/>
            <color indexed="81"/>
            <rFont val="Tahoma"/>
            <family val="2"/>
          </rPr>
          <t>Parsons, Gavin [GIR]:</t>
        </r>
        <r>
          <rPr>
            <sz val="9"/>
            <color indexed="81"/>
            <rFont val="Tahoma"/>
            <family val="2"/>
          </rPr>
          <t xml:space="preserve">
1415 through 3Q (down 13.5%)</t>
        </r>
      </text>
    </comment>
    <comment ref="I54" authorId="0" shapeId="0" xr:uid="{00000000-0006-0000-0500-000032000000}">
      <text>
        <r>
          <rPr>
            <b/>
            <sz val="9"/>
            <color indexed="81"/>
            <rFont val="Tahoma"/>
            <family val="2"/>
          </rPr>
          <t>Parsons, Gavin [GIR]:</t>
        </r>
        <r>
          <rPr>
            <sz val="9"/>
            <color indexed="81"/>
            <rFont val="Tahoma"/>
            <family val="2"/>
          </rPr>
          <t xml:space="preserve">
nov 17: 2017 likely trough</t>
        </r>
      </text>
    </comment>
    <comment ref="D55" authorId="0" shapeId="0" xr:uid="{00000000-0006-0000-0500-000033000000}">
      <text>
        <r>
          <rPr>
            <b/>
            <sz val="9"/>
            <color indexed="81"/>
            <rFont val="Tahoma"/>
            <family val="2"/>
          </rPr>
          <t>Parsons, Gavin [GIR]:</t>
        </r>
        <r>
          <rPr>
            <sz val="9"/>
            <color indexed="81"/>
            <rFont val="Tahoma"/>
            <family val="2"/>
          </rPr>
          <t xml:space="preserve">
PW4000: KC-46
F100: F-15, F-16
F135: F-35
T900: Blackhawk, Apache
Out of production: 
F117: C-17
F119: F-22</t>
        </r>
      </text>
    </comment>
    <comment ref="F55" authorId="0" shapeId="0" xr:uid="{00000000-0006-0000-0500-000034000000}">
      <text>
        <r>
          <rPr>
            <b/>
            <sz val="9"/>
            <color indexed="81"/>
            <rFont val="Tahoma"/>
            <family val="2"/>
          </rPr>
          <t>Parsons, Gavin [GIR]:</t>
        </r>
        <r>
          <rPr>
            <sz val="9"/>
            <color indexed="81"/>
            <rFont val="Tahoma"/>
            <family val="2"/>
          </rPr>
          <t xml:space="preserve">
pre F135 restatement:
2015: 101
2016: 105</t>
        </r>
      </text>
    </comment>
    <comment ref="G55" authorId="0" shapeId="0" xr:uid="{00000000-0006-0000-0500-000035000000}">
      <text>
        <r>
          <rPr>
            <b/>
            <sz val="9"/>
            <color indexed="81"/>
            <rFont val="Tahoma"/>
            <family val="2"/>
          </rPr>
          <t>Parsons, Gavin [GIR]:</t>
        </r>
        <r>
          <rPr>
            <sz val="9"/>
            <color indexed="81"/>
            <rFont val="Tahoma"/>
            <family val="2"/>
          </rPr>
          <t xml:space="preserve">
restated for F135</t>
        </r>
      </text>
    </comment>
    <comment ref="H55" authorId="0" shapeId="0" xr:uid="{00000000-0006-0000-0500-000036000000}">
      <text>
        <r>
          <rPr>
            <b/>
            <sz val="9"/>
            <color indexed="81"/>
            <rFont val="Tahoma"/>
            <family val="2"/>
          </rPr>
          <t>Parsons, Gavin [GIR]:</t>
        </r>
        <r>
          <rPr>
            <sz val="9"/>
            <color indexed="81"/>
            <rFont val="Tahoma"/>
            <family val="2"/>
          </rPr>
          <t xml:space="preserve">
80 through 3Q (flat yoy)</t>
        </r>
      </text>
    </comment>
    <comment ref="D58" authorId="0" shapeId="0" xr:uid="{00000000-0006-0000-0500-000037000000}">
      <text>
        <r>
          <rPr>
            <b/>
            <sz val="9"/>
            <color indexed="81"/>
            <rFont val="Tahoma"/>
            <family val="2"/>
          </rPr>
          <t>Parsons, Gavin [GIR]:</t>
        </r>
        <r>
          <rPr>
            <sz val="9"/>
            <color indexed="81"/>
            <rFont val="Tahoma"/>
            <family val="2"/>
          </rPr>
          <t xml:space="preserve">
P&amp;WC: Paris 2017: 60,000 in service</t>
        </r>
      </text>
    </comment>
    <comment ref="E59" authorId="0" shapeId="0" xr:uid="{00000000-0006-0000-0500-000038000000}">
      <text>
        <r>
          <rPr>
            <b/>
            <sz val="9"/>
            <color indexed="81"/>
            <rFont val="Tahoma"/>
            <family val="2"/>
          </rPr>
          <t>Parsons, Gavin [GIR]:</t>
        </r>
        <r>
          <rPr>
            <sz val="9"/>
            <color indexed="81"/>
            <rFont val="Tahoma"/>
            <family val="2"/>
          </rPr>
          <t xml:space="preserve">
Jun 17: was 11,000 in 2008</t>
        </r>
      </text>
    </comment>
    <comment ref="G59" authorId="0" shapeId="0" xr:uid="{00000000-0006-0000-0500-000039000000}">
      <text>
        <r>
          <rPr>
            <b/>
            <sz val="9"/>
            <color indexed="81"/>
            <rFont val="Tahoma"/>
            <family val="2"/>
          </rPr>
          <t>Parsons, Gavin [GIR]:</t>
        </r>
        <r>
          <rPr>
            <sz val="9"/>
            <color indexed="81"/>
            <rFont val="Tahoma"/>
            <family val="2"/>
          </rPr>
          <t xml:space="preserve">
Paris 2017: 10,500E</t>
        </r>
      </text>
    </comment>
    <comment ref="P59" authorId="0" shapeId="0" xr:uid="{00000000-0006-0000-0500-00003A000000}">
      <text>
        <r>
          <rPr>
            <b/>
            <sz val="9"/>
            <color indexed="81"/>
            <rFont val="Tahoma"/>
            <family val="2"/>
          </rPr>
          <t>Parsons, Gavin [GIR]:</t>
        </r>
        <r>
          <rPr>
            <sz val="9"/>
            <color indexed="81"/>
            <rFont val="Tahoma"/>
            <family val="2"/>
          </rPr>
          <t xml:space="preserve">
Jun 17: &gt;20,000E by 2030
(looks like 17,500 in 2025)</t>
        </r>
      </text>
    </comment>
    <comment ref="K60" authorId="0" shapeId="0" xr:uid="{00000000-0006-0000-0500-00003B000000}">
      <text>
        <r>
          <rPr>
            <b/>
            <sz val="9"/>
            <color indexed="81"/>
            <rFont val="Tahoma"/>
            <family val="2"/>
          </rPr>
          <t>Parsons, Gavin [GIR]:</t>
        </r>
        <r>
          <rPr>
            <sz val="9"/>
            <color indexed="81"/>
            <rFont val="Tahoma"/>
            <family val="2"/>
          </rPr>
          <t xml:space="preserve">
Looks like 8,000 by 2020</t>
        </r>
      </text>
    </comment>
    <comment ref="F61" authorId="0" shapeId="0" xr:uid="{00000000-0006-0000-0500-00003C000000}">
      <text>
        <r>
          <rPr>
            <b/>
            <sz val="9"/>
            <color indexed="81"/>
            <rFont val="Tahoma"/>
            <family val="2"/>
          </rPr>
          <t>Parsons, Gavin [GIR]:</t>
        </r>
        <r>
          <rPr>
            <sz val="9"/>
            <color indexed="81"/>
            <rFont val="Tahoma"/>
            <family val="2"/>
          </rPr>
          <t xml:space="preserve">
Jun 17: 71,000 incl LCE</t>
        </r>
      </text>
    </comment>
    <comment ref="G61" authorId="0" shapeId="0" xr:uid="{00000000-0006-0000-0500-00003D000000}">
      <text>
        <r>
          <rPr>
            <b/>
            <sz val="9"/>
            <color indexed="81"/>
            <rFont val="Tahoma"/>
            <family val="2"/>
          </rPr>
          <t>Parsons, Gavin [GIR]:</t>
        </r>
        <r>
          <rPr>
            <sz val="9"/>
            <color indexed="81"/>
            <rFont val="Tahoma"/>
            <family val="2"/>
          </rPr>
          <t xml:space="preserve">
P&amp;WC: Paris 2017: 60,000 in service (includes APUs?)</t>
        </r>
      </text>
    </comment>
    <comment ref="K61" authorId="0" shapeId="0" xr:uid="{00000000-0006-0000-0500-00003E000000}">
      <text>
        <r>
          <rPr>
            <b/>
            <sz val="9"/>
            <color indexed="81"/>
            <rFont val="Tahoma"/>
            <family val="2"/>
          </rPr>
          <t>Parsons, Gavin [GIR]:</t>
        </r>
        <r>
          <rPr>
            <sz val="9"/>
            <color indexed="81"/>
            <rFont val="Tahoma"/>
            <family val="2"/>
          </rPr>
          <t xml:space="preserve">
Jun 17: 78,000 incl LCE</t>
        </r>
      </text>
    </comment>
    <comment ref="P61" authorId="0" shapeId="0" xr:uid="{00000000-0006-0000-0500-00003F000000}">
      <text>
        <r>
          <rPr>
            <b/>
            <sz val="9"/>
            <color indexed="81"/>
            <rFont val="Tahoma"/>
            <family val="2"/>
          </rPr>
          <t>Parsons, Gavin [GIR]:</t>
        </r>
        <r>
          <rPr>
            <sz val="9"/>
            <color indexed="81"/>
            <rFont val="Tahoma"/>
            <family val="2"/>
          </rPr>
          <t xml:space="preserve">
Looks like 68,000 by 2025 incl APUs</t>
        </r>
      </text>
    </comment>
    <comment ref="D66" authorId="0" shapeId="0" xr:uid="{00000000-0006-0000-0500-000040000000}">
      <text>
        <r>
          <rPr>
            <b/>
            <sz val="9"/>
            <color indexed="81"/>
            <rFont val="Tahoma"/>
            <family val="2"/>
          </rPr>
          <t>Parsons, Gavin [GIR]:</t>
        </r>
        <r>
          <rPr>
            <sz val="9"/>
            <color indexed="81"/>
            <rFont val="Tahoma"/>
            <family val="2"/>
          </rPr>
          <t xml:space="preserve">
Driven from NOC F-35 build</t>
        </r>
      </text>
    </comment>
    <comment ref="G66" authorId="0" shapeId="0" xr:uid="{00000000-0006-0000-0500-000041000000}">
      <text>
        <r>
          <rPr>
            <b/>
            <sz val="9"/>
            <color indexed="81"/>
            <rFont val="Tahoma"/>
            <family val="2"/>
          </rPr>
          <t>Parsons, Gavin [GIR]:</t>
        </r>
        <r>
          <rPr>
            <sz val="9"/>
            <color indexed="81"/>
            <rFont val="Tahoma"/>
            <family val="2"/>
          </rPr>
          <t xml:space="preserve">
Mar 16: +HSD</t>
        </r>
      </text>
    </comment>
    <comment ref="H66" authorId="0" shapeId="0" xr:uid="{00000000-0006-0000-0500-000042000000}">
      <text>
        <r>
          <rPr>
            <b/>
            <sz val="9"/>
            <color indexed="81"/>
            <rFont val="Tahoma"/>
            <family val="2"/>
          </rPr>
          <t>Parsons, Gavin [GIR]:</t>
        </r>
        <r>
          <rPr>
            <sz val="9"/>
            <color indexed="81"/>
            <rFont val="Tahoma"/>
            <family val="2"/>
          </rPr>
          <t xml:space="preserve">
Mar 17: up mid teens
Jun 17: same</t>
        </r>
      </text>
    </comment>
    <comment ref="I66" authorId="0" shapeId="0" xr:uid="{00000000-0006-0000-0500-000043000000}">
      <text>
        <r>
          <rPr>
            <b/>
            <sz val="9"/>
            <color indexed="81"/>
            <rFont val="Tahoma"/>
            <family val="2"/>
          </rPr>
          <t>Parsons, Gavin [GIR]:</t>
        </r>
        <r>
          <rPr>
            <sz val="9"/>
            <color indexed="81"/>
            <rFont val="Tahoma"/>
            <family val="2"/>
          </rPr>
          <t xml:space="preserve">
4q17: +25%</t>
        </r>
      </text>
    </comment>
    <comment ref="G68" authorId="0" shapeId="0" xr:uid="{00000000-0006-0000-0500-000044000000}">
      <text>
        <r>
          <rPr>
            <b/>
            <sz val="9"/>
            <color indexed="81"/>
            <rFont val="Tahoma"/>
            <family val="2"/>
          </rPr>
          <t>Parsons, Gavin [GIR]:</t>
        </r>
        <r>
          <rPr>
            <sz val="9"/>
            <color indexed="81"/>
            <rFont val="Tahoma"/>
            <family val="2"/>
          </rPr>
          <t xml:space="preserve">
Mar 16: flat</t>
        </r>
      </text>
    </comment>
    <comment ref="H68" authorId="0" shapeId="0" xr:uid="{00000000-0006-0000-0500-000045000000}">
      <text>
        <r>
          <rPr>
            <b/>
            <sz val="9"/>
            <color indexed="81"/>
            <rFont val="Tahoma"/>
            <family val="2"/>
          </rPr>
          <t>Parsons, Gavin [GIR]:</t>
        </r>
        <r>
          <rPr>
            <sz val="9"/>
            <color indexed="81"/>
            <rFont val="Tahoma"/>
            <family val="2"/>
          </rPr>
          <t xml:space="preserve">
Mar 17: +MSD
Jun 17: same
</t>
        </r>
      </text>
    </comment>
    <comment ref="I68" authorId="0" shapeId="0" xr:uid="{00000000-0006-0000-0500-000046000000}">
      <text>
        <r>
          <rPr>
            <b/>
            <sz val="9"/>
            <color indexed="81"/>
            <rFont val="Tahoma"/>
            <family val="2"/>
          </rPr>
          <t>Parsons, Gavin [GIR]:</t>
        </r>
        <r>
          <rPr>
            <sz val="9"/>
            <color indexed="81"/>
            <rFont val="Tahoma"/>
            <family val="2"/>
          </rPr>
          <t xml:space="preserve">
4q17: +10%</t>
        </r>
      </text>
    </comment>
    <comment ref="I70" authorId="2" shapeId="0" xr:uid="{00000000-0006-0000-0500-000047000000}">
      <text>
        <r>
          <rPr>
            <b/>
            <sz val="9"/>
            <color indexed="81"/>
            <rFont val="Tahoma"/>
            <family val="2"/>
          </rPr>
          <t>DePaoli, Dan [GIR]:</t>
        </r>
        <r>
          <rPr>
            <sz val="9"/>
            <color indexed="81"/>
            <rFont val="Tahoma"/>
            <family val="2"/>
          </rPr>
          <t xml:space="preserve">
Jan 19: 20%</t>
        </r>
      </text>
    </comment>
    <comment ref="J70" authorId="0" shapeId="0" xr:uid="{00000000-0006-0000-0500-000048000000}">
      <text>
        <r>
          <rPr>
            <b/>
            <sz val="9"/>
            <color indexed="81"/>
            <rFont val="Tahoma"/>
            <family val="2"/>
          </rPr>
          <t>Parsons, Gavin [GIR]:</t>
        </r>
        <r>
          <rPr>
            <sz val="9"/>
            <color indexed="81"/>
            <rFont val="Tahoma"/>
            <family val="2"/>
          </rPr>
          <t xml:space="preserve">
actual: +15%</t>
        </r>
      </text>
    </comment>
    <comment ref="K70" authorId="0" shapeId="0" xr:uid="{00000000-0006-0000-0500-000049000000}">
      <text>
        <r>
          <rPr>
            <b/>
            <sz val="9"/>
            <color indexed="81"/>
            <rFont val="Tahoma"/>
            <family val="2"/>
          </rPr>
          <t>Parsons, Gavin [GIR]:</t>
        </r>
        <r>
          <rPr>
            <sz val="9"/>
            <color indexed="81"/>
            <rFont val="Tahoma"/>
            <family val="2"/>
          </rPr>
          <t xml:space="preserve">
4q19: +MSD
jun 20: same
3q20: +LDD
actual: +14%</t>
        </r>
      </text>
    </comment>
    <comment ref="L70" authorId="0" shapeId="0" xr:uid="{00000000-0006-0000-0500-00004A000000}">
      <text>
        <r>
          <rPr>
            <b/>
            <sz val="9"/>
            <color indexed="81"/>
            <rFont val="Tahoma"/>
            <family val="2"/>
          </rPr>
          <t>Parsons, Gavin [GIR]:</t>
        </r>
        <r>
          <rPr>
            <sz val="9"/>
            <color indexed="81"/>
            <rFont val="Tahoma"/>
            <family val="2"/>
          </rPr>
          <t xml:space="preserve">
4q20: flat-down</t>
        </r>
      </text>
    </comment>
    <comment ref="M70" authorId="0" shapeId="0" xr:uid="{00000000-0006-0000-0500-00004B000000}">
      <text>
        <r>
          <rPr>
            <b/>
            <sz val="9"/>
            <color indexed="81"/>
            <rFont val="Tahoma"/>
            <family val="2"/>
          </rPr>
          <t>Parsons, Gavin [GIR]:</t>
        </r>
        <r>
          <rPr>
            <sz val="9"/>
            <color indexed="81"/>
            <rFont val="Tahoma"/>
            <family val="2"/>
          </rPr>
          <t xml:space="preserve">
4q21: down MSD
feb 22: same
jun 22: same</t>
        </r>
      </text>
    </comment>
    <comment ref="N70" authorId="0" shapeId="0" xr:uid="{285FC745-762B-4C71-A1DC-A805CCF047FB}">
      <text>
        <r>
          <rPr>
            <b/>
            <sz val="9"/>
            <color indexed="81"/>
            <rFont val="Tahoma"/>
            <family val="2"/>
          </rPr>
          <t>Parsons, Gavin [GIR]:</t>
        </r>
        <r>
          <rPr>
            <sz val="9"/>
            <color indexed="81"/>
            <rFont val="Tahoma"/>
            <family val="2"/>
          </rPr>
          <t xml:space="preserve">
4q22: flat</t>
        </r>
      </text>
    </comment>
    <comment ref="D72" authorId="0" shapeId="0" xr:uid="{00000000-0006-0000-0500-00004C000000}">
      <text>
        <r>
          <rPr>
            <b/>
            <sz val="9"/>
            <color indexed="81"/>
            <rFont val="Tahoma"/>
            <family val="2"/>
          </rPr>
          <t>Parsons, Gavin [GIR]:</t>
        </r>
        <r>
          <rPr>
            <sz val="9"/>
            <color indexed="81"/>
            <rFont val="Tahoma"/>
            <family val="2"/>
          </rPr>
          <t xml:space="preserve">
Driven by GTF build - assumes $2.5mn / V2500</t>
        </r>
      </text>
    </comment>
    <comment ref="H72" authorId="0" shapeId="0" xr:uid="{00000000-0006-0000-0500-00004D000000}">
      <text>
        <r>
          <rPr>
            <b/>
            <sz val="9"/>
            <color indexed="81"/>
            <rFont val="Tahoma"/>
            <family val="2"/>
          </rPr>
          <t>Parsons, Gavin [GIR]:</t>
        </r>
        <r>
          <rPr>
            <sz val="9"/>
            <color indexed="81"/>
            <rFont val="Tahoma"/>
            <family val="2"/>
          </rPr>
          <t xml:space="preserve">
Mar 17: 20%
Jun 17: same
Jan 18: total -4%</t>
        </r>
      </text>
    </comment>
    <comment ref="I72" authorId="0" shapeId="0" xr:uid="{00000000-0006-0000-0500-00004E000000}">
      <text>
        <r>
          <rPr>
            <b/>
            <sz val="9"/>
            <color indexed="81"/>
            <rFont val="Tahoma"/>
            <family val="2"/>
          </rPr>
          <t>Parsons, Gavin [GIR]:</t>
        </r>
        <r>
          <rPr>
            <sz val="9"/>
            <color indexed="81"/>
            <rFont val="Tahoma"/>
            <family val="2"/>
          </rPr>
          <t xml:space="preserve">
4q17: +20%
jan 19: 29%</t>
        </r>
      </text>
    </comment>
    <comment ref="J72" authorId="0" shapeId="0" xr:uid="{00000000-0006-0000-0500-00004F000000}">
      <text>
        <r>
          <rPr>
            <b/>
            <sz val="9"/>
            <color indexed="81"/>
            <rFont val="Tahoma"/>
            <family val="2"/>
          </rPr>
          <t>Parsons, Gavin [GIR]:</t>
        </r>
        <r>
          <rPr>
            <sz val="9"/>
            <color indexed="81"/>
            <rFont val="Tahoma"/>
            <family val="2"/>
          </rPr>
          <t xml:space="preserve">
actual: 13%</t>
        </r>
      </text>
    </comment>
    <comment ref="K72" authorId="0" shapeId="0" xr:uid="{00000000-0006-0000-0500-000050000000}">
      <text>
        <r>
          <rPr>
            <b/>
            <sz val="9"/>
            <color indexed="81"/>
            <rFont val="Tahoma"/>
            <family val="2"/>
          </rPr>
          <t>Parsons, Gavin [GIR]:</t>
        </r>
        <r>
          <rPr>
            <sz val="9"/>
            <color indexed="81"/>
            <rFont val="Tahoma"/>
            <family val="2"/>
          </rPr>
          <t xml:space="preserve">
4q19: +HSD
1q20: down ~50%</t>
        </r>
      </text>
    </comment>
    <comment ref="M72" authorId="0" shapeId="0" xr:uid="{00000000-0006-0000-0500-000051000000}">
      <text>
        <r>
          <rPr>
            <b/>
            <sz val="9"/>
            <color indexed="81"/>
            <rFont val="Tahoma"/>
            <family val="2"/>
          </rPr>
          <t>Parsons, Gavin [GIR]:</t>
        </r>
        <r>
          <rPr>
            <sz val="9"/>
            <color indexed="81"/>
            <rFont val="Tahoma"/>
            <family val="2"/>
          </rPr>
          <t xml:space="preserve">
4q21: +20-25%
1q22: up low teens</t>
        </r>
      </text>
    </comment>
    <comment ref="N72" authorId="0" shapeId="0" xr:uid="{1320E60C-6DB0-448E-914B-ABEE76055F2F}">
      <text>
        <r>
          <rPr>
            <b/>
            <sz val="9"/>
            <color indexed="81"/>
            <rFont val="Tahoma"/>
            <family val="2"/>
          </rPr>
          <t>Parsons, Gavin [GIR]:</t>
        </r>
        <r>
          <rPr>
            <sz val="9"/>
            <color indexed="81"/>
            <rFont val="Tahoma"/>
            <family val="2"/>
          </rPr>
          <t xml:space="preserve">
4q22: +mid teens</t>
        </r>
      </text>
    </comment>
    <comment ref="G74" authorId="0" shapeId="0" xr:uid="{00000000-0006-0000-0500-000052000000}">
      <text>
        <r>
          <rPr>
            <b/>
            <sz val="9"/>
            <color indexed="81"/>
            <rFont val="Tahoma"/>
            <family val="2"/>
          </rPr>
          <t>Parsons, Gavin [GIR]:</t>
        </r>
        <r>
          <rPr>
            <sz val="9"/>
            <color indexed="81"/>
            <rFont val="Tahoma"/>
            <family val="2"/>
          </rPr>
          <t xml:space="preserve">
4q16: 2016 commercial AM +10%</t>
        </r>
      </text>
    </comment>
    <comment ref="H74" authorId="0" shapeId="0" xr:uid="{00000000-0006-0000-0500-000053000000}">
      <text>
        <r>
          <rPr>
            <b/>
            <sz val="9"/>
            <color indexed="81"/>
            <rFont val="Tahoma"/>
            <family val="2"/>
          </rPr>
          <t>Parsons, Gavin [GIR]:</t>
        </r>
        <r>
          <rPr>
            <sz val="9"/>
            <color indexed="81"/>
            <rFont val="Tahoma"/>
            <family val="2"/>
          </rPr>
          <t xml:space="preserve">
Mar 17: +LSD
June 17: same
Jan 18: 11.0</t>
        </r>
      </text>
    </comment>
    <comment ref="I74" authorId="0" shapeId="0" xr:uid="{00000000-0006-0000-0500-000054000000}">
      <text>
        <r>
          <rPr>
            <b/>
            <sz val="9"/>
            <color indexed="81"/>
            <rFont val="Tahoma"/>
            <family val="2"/>
          </rPr>
          <t>Parsons, Gavin [GIR]:</t>
        </r>
        <r>
          <rPr>
            <sz val="9"/>
            <color indexed="81"/>
            <rFont val="Tahoma"/>
            <family val="2"/>
          </rPr>
          <t xml:space="preserve">
4q17: +10%
jan 19: 12%</t>
        </r>
      </text>
    </comment>
    <comment ref="J74" authorId="0" shapeId="0" xr:uid="{00000000-0006-0000-0500-000055000000}">
      <text>
        <r>
          <rPr>
            <b/>
            <sz val="9"/>
            <color indexed="81"/>
            <rFont val="Tahoma"/>
            <family val="2"/>
          </rPr>
          <t>Parsons, Gavin [GIR]:</t>
        </r>
        <r>
          <rPr>
            <sz val="9"/>
            <color indexed="81"/>
            <rFont val="Tahoma"/>
            <family val="2"/>
          </rPr>
          <t xml:space="preserve">
actual: 2%</t>
        </r>
      </text>
    </comment>
    <comment ref="K74" authorId="0" shapeId="0" xr:uid="{00000000-0006-0000-0500-000056000000}">
      <text>
        <r>
          <rPr>
            <b/>
            <sz val="9"/>
            <color indexed="81"/>
            <rFont val="Tahoma"/>
            <family val="2"/>
          </rPr>
          <t>Parsons, Gavin [GIR]:</t>
        </r>
        <r>
          <rPr>
            <sz val="9"/>
            <color indexed="81"/>
            <rFont val="Tahoma"/>
            <family val="2"/>
          </rPr>
          <t xml:space="preserve">
4q19: +L-MSD
1q20: down ~50%</t>
        </r>
      </text>
    </comment>
    <comment ref="M74" authorId="0" shapeId="0" xr:uid="{00000000-0006-0000-0500-000057000000}">
      <text>
        <r>
          <rPr>
            <b/>
            <sz val="9"/>
            <color indexed="81"/>
            <rFont val="Tahoma"/>
            <family val="2"/>
          </rPr>
          <t>Parsons, Gavin [GIR]:</t>
        </r>
        <r>
          <rPr>
            <sz val="9"/>
            <color indexed="81"/>
            <rFont val="Tahoma"/>
            <family val="2"/>
          </rPr>
          <t xml:space="preserve">
4q21: +20-25%
jun 22: same
2q22: +25%</t>
        </r>
      </text>
    </comment>
    <comment ref="N74" authorId="0" shapeId="0" xr:uid="{36575435-91EE-4364-B087-04B75469611B}">
      <text>
        <r>
          <rPr>
            <b/>
            <sz val="9"/>
            <color indexed="81"/>
            <rFont val="Tahoma"/>
            <family val="2"/>
          </rPr>
          <t>Parsons, Gavin [GIR]:</t>
        </r>
        <r>
          <rPr>
            <sz val="9"/>
            <color indexed="81"/>
            <rFont val="Tahoma"/>
            <family val="2"/>
          </rPr>
          <t xml:space="preserve">
4q22: +20-25% (+15-20% legacy)</t>
        </r>
      </text>
    </comment>
    <comment ref="G77" authorId="0" shapeId="0" xr:uid="{00000000-0006-0000-0500-000058000000}">
      <text>
        <r>
          <rPr>
            <b/>
            <sz val="9"/>
            <color indexed="81"/>
            <rFont val="Tahoma"/>
            <family val="2"/>
          </rPr>
          <t>Parsons, Gavin [GIR]:</t>
        </r>
        <r>
          <rPr>
            <sz val="9"/>
            <color indexed="81"/>
            <rFont val="Tahoma"/>
            <family val="2"/>
          </rPr>
          <t xml:space="preserve">
50% Commercial, 25% P&amp;W:C</t>
        </r>
      </text>
    </comment>
    <comment ref="G79" authorId="0" shapeId="0" xr:uid="{00000000-0006-0000-0500-000059000000}">
      <text>
        <r>
          <rPr>
            <b/>
            <sz val="9"/>
            <color indexed="81"/>
            <rFont val="Tahoma"/>
            <family val="2"/>
          </rPr>
          <t>Parsons, Gavin [GIR]:</t>
        </r>
        <r>
          <rPr>
            <sz val="9"/>
            <color indexed="81"/>
            <rFont val="Tahoma"/>
            <family val="2"/>
          </rPr>
          <t xml:space="preserve">
Mar 16: +LSD</t>
        </r>
      </text>
    </comment>
    <comment ref="K79" authorId="0" shapeId="0" xr:uid="{00000000-0006-0000-0500-00005A000000}">
      <text>
        <r>
          <rPr>
            <b/>
            <sz val="9"/>
            <color indexed="81"/>
            <rFont val="Tahoma"/>
            <family val="2"/>
          </rPr>
          <t>Parsons, Gavin [GIR]:</t>
        </r>
        <r>
          <rPr>
            <sz val="9"/>
            <color indexed="81"/>
            <rFont val="Tahoma"/>
            <family val="2"/>
          </rPr>
          <t xml:space="preserve">
Jun 17: P&amp;W:C mix down, military + commercial up equally</t>
        </r>
      </text>
    </comment>
    <comment ref="H80" authorId="0" shapeId="0" xr:uid="{00000000-0006-0000-0500-00005B000000}">
      <text>
        <r>
          <rPr>
            <b/>
            <sz val="9"/>
            <color indexed="81"/>
            <rFont val="Tahoma"/>
            <family val="2"/>
          </rPr>
          <t>Parsons, Gavin [GIR]:</t>
        </r>
        <r>
          <rPr>
            <sz val="9"/>
            <color indexed="81"/>
            <rFont val="Tahoma"/>
            <family val="2"/>
          </rPr>
          <t xml:space="preserve">
Jun 17: +HSD organic
Jan 18: 9% organic</t>
        </r>
      </text>
    </comment>
    <comment ref="I80" authorId="0" shapeId="0" xr:uid="{00000000-0006-0000-0500-00005C000000}">
      <text>
        <r>
          <rPr>
            <b/>
            <sz val="9"/>
            <color indexed="81"/>
            <rFont val="Tahoma"/>
            <family val="2"/>
          </rPr>
          <t>Parsons, Gavin [GIR]:</t>
        </r>
        <r>
          <rPr>
            <sz val="9"/>
            <color indexed="81"/>
            <rFont val="Tahoma"/>
            <family val="2"/>
          </rPr>
          <t xml:space="preserve">
4q17: +low teens</t>
        </r>
      </text>
    </comment>
    <comment ref="J80" authorId="0" shapeId="0" xr:uid="{00000000-0006-0000-0500-00005D000000}">
      <text>
        <r>
          <rPr>
            <b/>
            <sz val="9"/>
            <color indexed="81"/>
            <rFont val="Tahoma"/>
            <family val="2"/>
          </rPr>
          <t>Parsons, Gavin [GIR]:</t>
        </r>
        <r>
          <rPr>
            <sz val="9"/>
            <color indexed="81"/>
            <rFont val="Tahoma"/>
            <family val="2"/>
          </rPr>
          <t xml:space="preserve">
actual: organic +8%</t>
        </r>
      </text>
    </comment>
    <comment ref="K80" authorId="0" shapeId="0" xr:uid="{00000000-0006-0000-0500-00005E000000}">
      <text>
        <r>
          <rPr>
            <b/>
            <sz val="9"/>
            <color indexed="81"/>
            <rFont val="Tahoma"/>
            <family val="2"/>
          </rPr>
          <t>Parsons, Gavin [GIR]:</t>
        </r>
        <r>
          <rPr>
            <sz val="9"/>
            <color indexed="81"/>
            <rFont val="Tahoma"/>
            <family val="2"/>
          </rPr>
          <t xml:space="preserve">
Jun 17: 10%+ CAGR
4q19: +MSD</t>
        </r>
      </text>
    </comment>
    <comment ref="L80" authorId="0" shapeId="0" xr:uid="{00000000-0006-0000-0500-00005F000000}">
      <text>
        <r>
          <rPr>
            <b/>
            <sz val="9"/>
            <color indexed="81"/>
            <rFont val="Tahoma"/>
            <family val="2"/>
          </rPr>
          <t>Parsons, Gavin [GIR]:</t>
        </r>
        <r>
          <rPr>
            <sz val="9"/>
            <color indexed="81"/>
            <rFont val="Tahoma"/>
            <family val="2"/>
          </rPr>
          <t xml:space="preserve">
4q20: flat-up MSD</t>
        </r>
      </text>
    </comment>
    <comment ref="L83" authorId="0" shapeId="0" xr:uid="{00000000-0006-0000-0500-000060000000}">
      <text>
        <r>
          <rPr>
            <b/>
            <sz val="9"/>
            <color indexed="81"/>
            <rFont val="Tahoma"/>
            <family val="2"/>
          </rPr>
          <t>Parsons, Gavin [GIR]:</t>
        </r>
        <r>
          <rPr>
            <sz val="9"/>
            <color indexed="81"/>
            <rFont val="Tahoma"/>
            <family val="2"/>
          </rPr>
          <t xml:space="preserve">
Military GPS divestiture</t>
        </r>
      </text>
    </comment>
    <comment ref="F84" authorId="0" shapeId="0" xr:uid="{00000000-0006-0000-0500-000061000000}">
      <text>
        <r>
          <rPr>
            <b/>
            <sz val="9"/>
            <color indexed="81"/>
            <rFont val="Tahoma"/>
            <family val="2"/>
          </rPr>
          <t>Parsons, Gavin [GIR]:</t>
        </r>
        <r>
          <rPr>
            <sz val="9"/>
            <color indexed="81"/>
            <rFont val="Tahoma"/>
            <family val="2"/>
          </rPr>
          <t xml:space="preserve">
Mar 15: flattish</t>
        </r>
      </text>
    </comment>
    <comment ref="G84" authorId="0" shapeId="0" xr:uid="{00000000-0006-0000-0500-000062000000}">
      <text>
        <r>
          <rPr>
            <b/>
            <sz val="9"/>
            <color indexed="81"/>
            <rFont val="Tahoma"/>
            <family val="2"/>
          </rPr>
          <t>Parsons, Gavin [GIR]:</t>
        </r>
        <r>
          <rPr>
            <sz val="9"/>
            <color indexed="81"/>
            <rFont val="Tahoma"/>
            <family val="2"/>
          </rPr>
          <t xml:space="preserve">
Mar 16: down LSD</t>
        </r>
      </text>
    </comment>
    <comment ref="H84" authorId="0" shapeId="0" xr:uid="{00000000-0006-0000-0500-000063000000}">
      <text>
        <r>
          <rPr>
            <b/>
            <sz val="9"/>
            <color indexed="81"/>
            <rFont val="Tahoma"/>
            <family val="2"/>
          </rPr>
          <t>Parsons, Gavin [GIR]:</t>
        </r>
        <r>
          <rPr>
            <sz val="9"/>
            <color indexed="81"/>
            <rFont val="Tahoma"/>
            <family val="2"/>
          </rPr>
          <t xml:space="preserve">
Jun 17: +MSD</t>
        </r>
      </text>
    </comment>
    <comment ref="I84" authorId="0" shapeId="0" xr:uid="{00000000-0006-0000-0500-000064000000}">
      <text>
        <r>
          <rPr>
            <b/>
            <sz val="9"/>
            <color indexed="81"/>
            <rFont val="Tahoma"/>
            <family val="2"/>
          </rPr>
          <t>Parsons, Gavin [GIR]:</t>
        </r>
        <r>
          <rPr>
            <sz val="9"/>
            <color indexed="81"/>
            <rFont val="Tahoma"/>
            <family val="2"/>
          </rPr>
          <t xml:space="preserve">
4q17: +MSD</t>
        </r>
      </text>
    </comment>
    <comment ref="L84" authorId="0" shapeId="0" xr:uid="{00000000-0006-0000-0500-000065000000}">
      <text>
        <r>
          <rPr>
            <b/>
            <sz val="9"/>
            <color indexed="81"/>
            <rFont val="Tahoma"/>
            <family val="2"/>
          </rPr>
          <t>Parsons, Gavin [GIR]:</t>
        </r>
        <r>
          <rPr>
            <sz val="9"/>
            <color indexed="81"/>
            <rFont val="Tahoma"/>
            <family val="2"/>
          </rPr>
          <t xml:space="preserve">
4q20: L-MSD Military (does not include GPS divestiture)</t>
        </r>
      </text>
    </comment>
    <comment ref="F86" authorId="0" shapeId="0" xr:uid="{00000000-0006-0000-0500-000066000000}">
      <text>
        <r>
          <rPr>
            <b/>
            <sz val="9"/>
            <color indexed="81"/>
            <rFont val="Tahoma"/>
            <family val="2"/>
          </rPr>
          <t>Parsons, Gavin [GIR]:</t>
        </r>
        <r>
          <rPr>
            <sz val="9"/>
            <color indexed="81"/>
            <rFont val="Tahoma"/>
            <family val="2"/>
          </rPr>
          <t xml:space="preserve">
Mar 15: +LSD</t>
        </r>
      </text>
    </comment>
    <comment ref="G86" authorId="0" shapeId="0" xr:uid="{00000000-0006-0000-0500-000067000000}">
      <text>
        <r>
          <rPr>
            <b/>
            <sz val="9"/>
            <color indexed="81"/>
            <rFont val="Tahoma"/>
            <family val="2"/>
          </rPr>
          <t>Parsons, Gavin [GIR]:</t>
        </r>
        <r>
          <rPr>
            <sz val="9"/>
            <color indexed="81"/>
            <rFont val="Tahoma"/>
            <family val="2"/>
          </rPr>
          <t xml:space="preserve">
Mar 16: down HSD</t>
        </r>
      </text>
    </comment>
    <comment ref="H86" authorId="0" shapeId="0" xr:uid="{00000000-0006-0000-0500-000068000000}">
      <text>
        <r>
          <rPr>
            <b/>
            <sz val="9"/>
            <color indexed="81"/>
            <rFont val="Tahoma"/>
            <family val="2"/>
          </rPr>
          <t>Parsons, Gavin [GIR]:</t>
        </r>
        <r>
          <rPr>
            <sz val="9"/>
            <color indexed="81"/>
            <rFont val="Tahoma"/>
            <family val="2"/>
          </rPr>
          <t xml:space="preserve">
Jun 17: +LSD</t>
        </r>
      </text>
    </comment>
    <comment ref="I86" authorId="0" shapeId="0" xr:uid="{00000000-0006-0000-0500-000069000000}">
      <text>
        <r>
          <rPr>
            <b/>
            <sz val="9"/>
            <color indexed="81"/>
            <rFont val="Tahoma"/>
            <family val="2"/>
          </rPr>
          <t>Parsons, Gavin [GIR]:</t>
        </r>
        <r>
          <rPr>
            <sz val="9"/>
            <color indexed="81"/>
            <rFont val="Tahoma"/>
            <family val="2"/>
          </rPr>
          <t xml:space="preserve">
4q17: +LSD</t>
        </r>
      </text>
    </comment>
    <comment ref="L86" authorId="0" shapeId="0" xr:uid="{00000000-0006-0000-0500-00006A000000}">
      <text>
        <r>
          <rPr>
            <b/>
            <sz val="9"/>
            <color indexed="81"/>
            <rFont val="Tahoma"/>
            <family val="2"/>
          </rPr>
          <t>Parsons, Gavin [GIR]:</t>
        </r>
        <r>
          <rPr>
            <sz val="9"/>
            <color indexed="81"/>
            <rFont val="Tahoma"/>
            <family val="2"/>
          </rPr>
          <t xml:space="preserve">
4q20: L-MSD Military (does not include GPS divestiture)</t>
        </r>
      </text>
    </comment>
    <comment ref="F88" authorId="0" shapeId="0" xr:uid="{00000000-0006-0000-0500-00006B000000}">
      <text>
        <r>
          <rPr>
            <b/>
            <sz val="9"/>
            <color indexed="81"/>
            <rFont val="Tahoma"/>
            <family val="2"/>
          </rPr>
          <t>Parsons, Gavin [GIR]:</t>
        </r>
        <r>
          <rPr>
            <sz val="9"/>
            <color indexed="81"/>
            <rFont val="Tahoma"/>
            <family val="2"/>
          </rPr>
          <t xml:space="preserve">
Dec 15: ~0% (UTAS + P&amp;W)</t>
        </r>
      </text>
    </comment>
    <comment ref="J88" authorId="0" shapeId="0" xr:uid="{00000000-0006-0000-0500-00006C000000}">
      <text>
        <r>
          <rPr>
            <b/>
            <sz val="9"/>
            <color indexed="81"/>
            <rFont val="Tahoma"/>
            <family val="2"/>
          </rPr>
          <t>Parsons, Gavin [GIR]:</t>
        </r>
        <r>
          <rPr>
            <sz val="9"/>
            <color indexed="81"/>
            <rFont val="Tahoma"/>
            <family val="2"/>
          </rPr>
          <t xml:space="preserve">
actual: 7%</t>
        </r>
      </text>
    </comment>
    <comment ref="K88" authorId="0" shapeId="0" xr:uid="{00000000-0006-0000-0500-00006D000000}">
      <text>
        <r>
          <rPr>
            <b/>
            <sz val="9"/>
            <color indexed="81"/>
            <rFont val="Tahoma"/>
            <family val="2"/>
          </rPr>
          <t>Parsons, Gavin [GIR]:</t>
        </r>
        <r>
          <rPr>
            <sz val="9"/>
            <color indexed="81"/>
            <rFont val="Tahoma"/>
            <family val="2"/>
          </rPr>
          <t xml:space="preserve">
Jun 17: LSD 2016-2020 CAGR
4q19: +MSD
jun 20: same
3q20: +HSD</t>
        </r>
      </text>
    </comment>
    <comment ref="L88" authorId="0" shapeId="0" xr:uid="{00000000-0006-0000-0500-00006E000000}">
      <text>
        <r>
          <rPr>
            <b/>
            <sz val="9"/>
            <color indexed="81"/>
            <rFont val="Tahoma"/>
            <family val="2"/>
          </rPr>
          <t>Parsons, Gavin [GIR]:</t>
        </r>
        <r>
          <rPr>
            <sz val="9"/>
            <color indexed="81"/>
            <rFont val="Tahoma"/>
            <family val="2"/>
          </rPr>
          <t xml:space="preserve">
M&amp;A is ~(2.5)%
4q20: +L-MSD</t>
        </r>
      </text>
    </comment>
    <comment ref="M88" authorId="0" shapeId="0" xr:uid="{00000000-0006-0000-0500-00006F000000}">
      <text>
        <r>
          <rPr>
            <b/>
            <sz val="9"/>
            <color indexed="81"/>
            <rFont val="Tahoma"/>
            <family val="2"/>
          </rPr>
          <t>Parsons, Gavin [GIR]:</t>
        </r>
        <r>
          <rPr>
            <sz val="9"/>
            <color indexed="81"/>
            <rFont val="Tahoma"/>
            <family val="2"/>
          </rPr>
          <t xml:space="preserve">
4q21: up LSD
feb 22: same
jun 22: same
3q22: down MSD</t>
        </r>
      </text>
    </comment>
    <comment ref="N88" authorId="0" shapeId="0" xr:uid="{F36214E0-B59E-4897-94D4-C21CB351E3EE}">
      <text>
        <r>
          <rPr>
            <b/>
            <sz val="9"/>
            <color indexed="81"/>
            <rFont val="Tahoma"/>
            <family val="2"/>
          </rPr>
          <t>Parsons, Gavin [GIR]:</t>
        </r>
        <r>
          <rPr>
            <sz val="9"/>
            <color indexed="81"/>
            <rFont val="Tahoma"/>
            <family val="2"/>
          </rPr>
          <t xml:space="preserve">
4q22: +MSD</t>
        </r>
      </text>
    </comment>
    <comment ref="F90" authorId="0" shapeId="0" xr:uid="{00000000-0006-0000-0500-000070000000}">
      <text>
        <r>
          <rPr>
            <b/>
            <sz val="9"/>
            <color indexed="81"/>
            <rFont val="Tahoma"/>
            <family val="2"/>
          </rPr>
          <t>Parsons, Gavin [GIR]:</t>
        </r>
        <r>
          <rPr>
            <sz val="9"/>
            <color indexed="81"/>
            <rFont val="Tahoma"/>
            <family val="2"/>
          </rPr>
          <t xml:space="preserve">
Mar 15: +M-HSD
Dec 15: ~1% (UTAS + P&amp;W)</t>
        </r>
      </text>
    </comment>
    <comment ref="G90" authorId="0" shapeId="0" xr:uid="{00000000-0006-0000-0500-000071000000}">
      <text>
        <r>
          <rPr>
            <b/>
            <sz val="9"/>
            <color indexed="81"/>
            <rFont val="Tahoma"/>
            <family val="2"/>
          </rPr>
          <t>Parsons, Gavin [GIR]:</t>
        </r>
        <r>
          <rPr>
            <sz val="9"/>
            <color indexed="81"/>
            <rFont val="Tahoma"/>
            <family val="2"/>
          </rPr>
          <t xml:space="preserve">
Mar 16: +MSD</t>
        </r>
      </text>
    </comment>
    <comment ref="H90" authorId="0" shapeId="0" xr:uid="{00000000-0006-0000-0500-000072000000}">
      <text>
        <r>
          <rPr>
            <b/>
            <sz val="9"/>
            <color indexed="81"/>
            <rFont val="Tahoma"/>
            <family val="2"/>
          </rPr>
          <t>Parsons, Gavin [GIR]:</t>
        </r>
        <r>
          <rPr>
            <sz val="9"/>
            <color indexed="81"/>
            <rFont val="Tahoma"/>
            <family val="2"/>
          </rPr>
          <t xml:space="preserve">
Jun 17: +LSD
Jan 18: total -4%</t>
        </r>
      </text>
    </comment>
    <comment ref="I90" authorId="0" shapeId="0" xr:uid="{00000000-0006-0000-0500-000073000000}">
      <text>
        <r>
          <rPr>
            <b/>
            <sz val="9"/>
            <color indexed="81"/>
            <rFont val="Tahoma"/>
            <family val="2"/>
          </rPr>
          <t>Parsons, Gavin [GIR]:</t>
        </r>
        <r>
          <rPr>
            <sz val="9"/>
            <color indexed="81"/>
            <rFont val="Tahoma"/>
            <family val="2"/>
          </rPr>
          <t xml:space="preserve">
4q17: +LSD</t>
        </r>
      </text>
    </comment>
    <comment ref="J90" authorId="0" shapeId="0" xr:uid="{00000000-0006-0000-0500-000074000000}">
      <text>
        <r>
          <rPr>
            <b/>
            <sz val="9"/>
            <color indexed="81"/>
            <rFont val="Tahoma"/>
            <family val="2"/>
          </rPr>
          <t>Parsons, Gavin [GIR]:</t>
        </r>
        <r>
          <rPr>
            <sz val="9"/>
            <color indexed="81"/>
            <rFont val="Tahoma"/>
            <family val="2"/>
          </rPr>
          <t xml:space="preserve">
actual: 2%</t>
        </r>
      </text>
    </comment>
    <comment ref="K90" authorId="0" shapeId="0" xr:uid="{00000000-0006-0000-0500-000075000000}">
      <text>
        <r>
          <rPr>
            <b/>
            <sz val="9"/>
            <color indexed="81"/>
            <rFont val="Tahoma"/>
            <family val="2"/>
          </rPr>
          <t>Parsons, Gavin [GIR]:</t>
        </r>
        <r>
          <rPr>
            <sz val="9"/>
            <color indexed="81"/>
            <rFont val="Tahoma"/>
            <family val="2"/>
          </rPr>
          <t xml:space="preserve">
Jun 17: M-HSD 2016-2020 CAGR
4q19: down MSD (MAX is -600)</t>
        </r>
      </text>
    </comment>
    <comment ref="M90" authorId="0" shapeId="0" xr:uid="{00000000-0006-0000-0500-000076000000}">
      <text>
        <r>
          <rPr>
            <b/>
            <sz val="9"/>
            <color indexed="81"/>
            <rFont val="Tahoma"/>
            <family val="2"/>
          </rPr>
          <t>Parsons, Gavin [GIR]:</t>
        </r>
        <r>
          <rPr>
            <sz val="9"/>
            <color indexed="81"/>
            <rFont val="Tahoma"/>
            <family val="2"/>
          </rPr>
          <t xml:space="preserve">
4q21: up high teens</t>
        </r>
      </text>
    </comment>
    <comment ref="N90" authorId="0" shapeId="0" xr:uid="{D26E58CD-0291-4B61-99C7-F4CAD4DCDAF3}">
      <text>
        <r>
          <rPr>
            <b/>
            <sz val="9"/>
            <color indexed="81"/>
            <rFont val="Tahoma"/>
            <family val="2"/>
          </rPr>
          <t>Parsons, Gavin [GIR]:</t>
        </r>
        <r>
          <rPr>
            <sz val="9"/>
            <color indexed="81"/>
            <rFont val="Tahoma"/>
            <family val="2"/>
          </rPr>
          <t xml:space="preserve">
4q22: +low-mid teens</t>
        </r>
      </text>
    </comment>
    <comment ref="G91" authorId="0" shapeId="0" xr:uid="{00000000-0006-0000-0500-000077000000}">
      <text>
        <r>
          <rPr>
            <b/>
            <sz val="9"/>
            <color indexed="81"/>
            <rFont val="Tahoma"/>
            <family val="2"/>
          </rPr>
          <t>Parsons, Gavin [GIR]:</t>
        </r>
        <r>
          <rPr>
            <sz val="9"/>
            <color indexed="81"/>
            <rFont val="Tahoma"/>
            <family val="2"/>
          </rPr>
          <t xml:space="preserve">
$4.5bn: MRO 1.5-2.0bn, spares &amp; provisioning the remainder</t>
        </r>
      </text>
    </comment>
    <comment ref="F92" authorId="0" shapeId="0" xr:uid="{00000000-0006-0000-0500-000078000000}">
      <text>
        <r>
          <rPr>
            <b/>
            <sz val="9"/>
            <color indexed="81"/>
            <rFont val="Tahoma"/>
            <family val="2"/>
          </rPr>
          <t>Parsons, Gavin [GIR]:</t>
        </r>
        <r>
          <rPr>
            <sz val="9"/>
            <color indexed="81"/>
            <rFont val="Tahoma"/>
            <family val="2"/>
          </rPr>
          <t xml:space="preserve">
Mar 15: +HSD
Dec 15: ~3% (UTAS + P&amp;W)</t>
        </r>
      </text>
    </comment>
    <comment ref="G92" authorId="0" shapeId="0" xr:uid="{00000000-0006-0000-0500-000079000000}">
      <text>
        <r>
          <rPr>
            <b/>
            <sz val="9"/>
            <color indexed="81"/>
            <rFont val="Tahoma"/>
            <family val="2"/>
          </rPr>
          <t>Parsons, Gavin [GIR]:</t>
        </r>
        <r>
          <rPr>
            <sz val="9"/>
            <color indexed="81"/>
            <rFont val="Tahoma"/>
            <family val="2"/>
          </rPr>
          <t xml:space="preserve">
Mar 16: +LSD</t>
        </r>
      </text>
    </comment>
    <comment ref="H92" authorId="0" shapeId="0" xr:uid="{00000000-0006-0000-0500-00007A000000}">
      <text>
        <r>
          <rPr>
            <b/>
            <sz val="9"/>
            <color indexed="81"/>
            <rFont val="Tahoma"/>
            <family val="2"/>
          </rPr>
          <t>Parsons, Gavin [GIR]:</t>
        </r>
        <r>
          <rPr>
            <sz val="9"/>
            <color indexed="81"/>
            <rFont val="Tahoma"/>
            <family val="2"/>
          </rPr>
          <t xml:space="preserve">
Jun 17: +L/MSD</t>
        </r>
      </text>
    </comment>
    <comment ref="I92" authorId="0" shapeId="0" xr:uid="{00000000-0006-0000-0500-00007B000000}">
      <text>
        <r>
          <rPr>
            <b/>
            <sz val="9"/>
            <color indexed="81"/>
            <rFont val="Tahoma"/>
            <family val="2"/>
          </rPr>
          <t>Parsons, Gavin [GIR]:</t>
        </r>
        <r>
          <rPr>
            <sz val="9"/>
            <color indexed="81"/>
            <rFont val="Tahoma"/>
            <family val="2"/>
          </rPr>
          <t xml:space="preserve">
4q17: +L-MSD</t>
        </r>
      </text>
    </comment>
    <comment ref="J92" authorId="0" shapeId="0" xr:uid="{00000000-0006-0000-0500-00007C000000}">
      <text>
        <r>
          <rPr>
            <b/>
            <sz val="9"/>
            <color indexed="81"/>
            <rFont val="Tahoma"/>
            <family val="2"/>
          </rPr>
          <t>Parsons, Gavin [GIR]:</t>
        </r>
        <r>
          <rPr>
            <sz val="9"/>
            <color indexed="81"/>
            <rFont val="Tahoma"/>
            <family val="2"/>
          </rPr>
          <t xml:space="preserve">
actual: 14%</t>
        </r>
      </text>
    </comment>
    <comment ref="K92" authorId="0" shapeId="0" xr:uid="{00000000-0006-0000-0500-00007D000000}">
      <text>
        <r>
          <rPr>
            <b/>
            <sz val="9"/>
            <color indexed="81"/>
            <rFont val="Tahoma"/>
            <family val="2"/>
          </rPr>
          <t>Parsons, Gavin [GIR]:</t>
        </r>
        <r>
          <rPr>
            <sz val="9"/>
            <color indexed="81"/>
            <rFont val="Tahoma"/>
            <family val="2"/>
          </rPr>
          <t xml:space="preserve">
Jun 17: MSD 2016-2020 CAGR
4q19: up slightly</t>
        </r>
      </text>
    </comment>
    <comment ref="M92" authorId="0" shapeId="0" xr:uid="{00000000-0006-0000-0500-00007E000000}">
      <text>
        <r>
          <rPr>
            <b/>
            <sz val="9"/>
            <color indexed="81"/>
            <rFont val="Tahoma"/>
            <family val="2"/>
          </rPr>
          <t>Parsons, Gavin [GIR]:</t>
        </r>
        <r>
          <rPr>
            <sz val="9"/>
            <color indexed="81"/>
            <rFont val="Tahoma"/>
            <family val="2"/>
          </rPr>
          <t xml:space="preserve">
4q21: up 20%+
jun 22: same
2q22: 20-25%
3q22: better</t>
        </r>
      </text>
    </comment>
    <comment ref="N92" authorId="0" shapeId="0" xr:uid="{EB4C96DC-320A-4EEF-800A-9550B281434C}">
      <text>
        <r>
          <rPr>
            <b/>
            <sz val="9"/>
            <color indexed="81"/>
            <rFont val="Tahoma"/>
            <family val="2"/>
          </rPr>
          <t>Parsons, Gavin [GIR]:</t>
        </r>
        <r>
          <rPr>
            <sz val="9"/>
            <color indexed="81"/>
            <rFont val="Tahoma"/>
            <family val="2"/>
          </rPr>
          <t xml:space="preserve">
4q22: +LDD/mid-teens</t>
        </r>
      </text>
    </comment>
    <comment ref="F95" authorId="0" shapeId="0" xr:uid="{00000000-0006-0000-0500-00007F000000}">
      <text>
        <r>
          <rPr>
            <b/>
            <sz val="9"/>
            <color indexed="81"/>
            <rFont val="Tahoma"/>
            <family val="2"/>
          </rPr>
          <t>Parsons, Gavin [GIR]:</t>
        </r>
        <r>
          <rPr>
            <sz val="9"/>
            <color indexed="81"/>
            <rFont val="Tahoma"/>
            <family val="2"/>
          </rPr>
          <t xml:space="preserve">
[Excl COL Mission Systems]</t>
        </r>
      </text>
    </comment>
    <comment ref="G95" authorId="0" shapeId="0" xr:uid="{00000000-0006-0000-0500-000080000000}">
      <text>
        <r>
          <rPr>
            <b/>
            <sz val="9"/>
            <color indexed="81"/>
            <rFont val="Tahoma"/>
            <family val="2"/>
          </rPr>
          <t>Parsons, Gavin [GIR]:</t>
        </r>
        <r>
          <rPr>
            <sz val="9"/>
            <color indexed="81"/>
            <rFont val="Tahoma"/>
            <family val="2"/>
          </rPr>
          <t xml:space="preserve">
45% commercial OE, 30% commercial AM, 25% military
[Excl COL Mission Systems]</t>
        </r>
      </text>
    </comment>
    <comment ref="I96" authorId="0" shapeId="0" xr:uid="{00000000-0006-0000-0500-000081000000}">
      <text>
        <r>
          <rPr>
            <b/>
            <sz val="9"/>
            <color indexed="81"/>
            <rFont val="Tahoma"/>
            <family val="2"/>
          </rPr>
          <t>Parsons, Gavin [GIR]:</t>
        </r>
        <r>
          <rPr>
            <sz val="9"/>
            <color indexed="81"/>
            <rFont val="Tahoma"/>
            <family val="2"/>
          </rPr>
          <t xml:space="preserve">
4q17: +LSD</t>
        </r>
      </text>
    </comment>
    <comment ref="J96" authorId="0" shapeId="0" xr:uid="{00000000-0006-0000-0500-000082000000}">
      <text>
        <r>
          <rPr>
            <b/>
            <sz val="9"/>
            <color indexed="81"/>
            <rFont val="Tahoma"/>
            <family val="2"/>
          </rPr>
          <t>Parsons, Gavin [GIR]:</t>
        </r>
        <r>
          <rPr>
            <sz val="9"/>
            <color indexed="81"/>
            <rFont val="Tahoma"/>
            <family val="2"/>
          </rPr>
          <t xml:space="preserve">
actual: 6% organic / 7% PF</t>
        </r>
      </text>
    </comment>
    <comment ref="K96" authorId="0" shapeId="0" xr:uid="{00000000-0006-0000-0500-000083000000}">
      <text>
        <r>
          <rPr>
            <b/>
            <sz val="9"/>
            <color indexed="81"/>
            <rFont val="Tahoma"/>
            <family val="2"/>
          </rPr>
          <t>Parsons, Gavin [GIR]:</t>
        </r>
        <r>
          <rPr>
            <sz val="9"/>
            <color indexed="81"/>
            <rFont val="Tahoma"/>
            <family val="2"/>
          </rPr>
          <t xml:space="preserve">
Jun 17: 5-7% 2016-2020 CAGR
4q19: organic down slightly</t>
        </r>
      </text>
    </comment>
    <comment ref="L96" authorId="0" shapeId="0" xr:uid="{00000000-0006-0000-0500-000084000000}">
      <text>
        <r>
          <rPr>
            <b/>
            <sz val="9"/>
            <color indexed="81"/>
            <rFont val="Tahoma"/>
            <family val="2"/>
          </rPr>
          <t>Parsons, Gavin [GIR]:</t>
        </r>
        <r>
          <rPr>
            <sz val="9"/>
            <color indexed="81"/>
            <rFont val="Tahoma"/>
            <family val="2"/>
          </rPr>
          <t xml:space="preserve">
4q20: down MSD / slightly organic</t>
        </r>
      </text>
    </comment>
    <comment ref="L105" authorId="0" shapeId="0" xr:uid="{00000000-0006-0000-0500-000085000000}">
      <text>
        <r>
          <rPr>
            <b/>
            <sz val="9"/>
            <color indexed="81"/>
            <rFont val="Tahoma"/>
            <family val="2"/>
          </rPr>
          <t>Parsons, Gavin [GIR]:</t>
        </r>
        <r>
          <rPr>
            <sz val="9"/>
            <color indexed="81"/>
            <rFont val="Tahoma"/>
            <family val="2"/>
          </rPr>
          <t xml:space="preserve">
RTX merger synergies</t>
        </r>
      </text>
    </comment>
    <comment ref="L114" authorId="0" shapeId="0" xr:uid="{00000000-0006-0000-0500-000086000000}">
      <text>
        <r>
          <rPr>
            <b/>
            <sz val="9"/>
            <color indexed="81"/>
            <rFont val="Tahoma"/>
            <family val="2"/>
          </rPr>
          <t>Parsons, Gavin [GIR]:</t>
        </r>
        <r>
          <rPr>
            <sz val="9"/>
            <color indexed="81"/>
            <rFont val="Tahoma"/>
            <family val="2"/>
          </rPr>
          <t xml:space="preserve">
RTX merger synergies</t>
        </r>
      </text>
    </comment>
    <comment ref="I119" authorId="0" shapeId="0" xr:uid="{00000000-0006-0000-0500-000087000000}">
      <text>
        <r>
          <rPr>
            <b/>
            <sz val="9"/>
            <color indexed="81"/>
            <rFont val="Tahoma"/>
            <family val="2"/>
          </rPr>
          <t>Parsons, Gavin [GIR]:</t>
        </r>
        <r>
          <rPr>
            <sz val="9"/>
            <color indexed="81"/>
            <rFont val="Tahoma"/>
            <family val="2"/>
          </rPr>
          <t xml:space="preserve">
not PF for COL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Parsons, Gavin [GIR]</author>
  </authors>
  <commentList>
    <comment ref="M3" authorId="0" shapeId="0" xr:uid="{00000000-0006-0000-0400-000001000000}">
      <text>
        <r>
          <rPr>
            <b/>
            <sz val="9"/>
            <color indexed="81"/>
            <rFont val="Tahoma"/>
            <family val="2"/>
          </rPr>
          <t>Parsons, Gavin [GIR]:</t>
        </r>
        <r>
          <rPr>
            <sz val="9"/>
            <color indexed="81"/>
            <rFont val="Tahoma"/>
            <family val="2"/>
          </rPr>
          <t xml:space="preserve">
Organic</t>
        </r>
      </text>
    </comment>
    <comment ref="K17" authorId="0" shapeId="0" xr:uid="{00000000-0006-0000-0400-000002000000}">
      <text>
        <r>
          <rPr>
            <b/>
            <sz val="9"/>
            <color indexed="81"/>
            <rFont val="Tahoma"/>
            <family val="2"/>
          </rPr>
          <t>Parsons, Gavin [GIR]:</t>
        </r>
        <r>
          <rPr>
            <sz val="9"/>
            <color indexed="81"/>
            <rFont val="Tahoma"/>
            <family val="2"/>
          </rPr>
          <t xml:space="preserve">
down LSD</t>
        </r>
      </text>
    </comment>
    <comment ref="M27" authorId="0" shapeId="0" xr:uid="{00000000-0006-0000-0400-000003000000}">
      <text>
        <r>
          <rPr>
            <b/>
            <sz val="9"/>
            <color indexed="81"/>
            <rFont val="Tahoma"/>
            <family val="2"/>
          </rPr>
          <t>Parsons, Gavin [GIR]:</t>
        </r>
        <r>
          <rPr>
            <sz val="9"/>
            <color indexed="81"/>
            <rFont val="Tahoma"/>
            <family val="2"/>
          </rPr>
          <t xml:space="preserve">
4% reported, 8% ex-divestitures and FX</t>
        </r>
      </text>
    </comment>
    <comment ref="M28" authorId="0" shapeId="0" xr:uid="{00000000-0006-0000-0400-000004000000}">
      <text>
        <r>
          <rPr>
            <b/>
            <sz val="9"/>
            <color indexed="81"/>
            <rFont val="Tahoma"/>
            <family val="2"/>
          </rPr>
          <t>Parsons, Gavin [GIR]:</t>
        </r>
        <r>
          <rPr>
            <sz val="9"/>
            <color indexed="81"/>
            <rFont val="Tahoma"/>
            <family val="2"/>
          </rPr>
          <t xml:space="preserve">
1% reported, 7% ex-divestitures and FX</t>
        </r>
      </text>
    </comment>
    <comment ref="M29" authorId="0" shapeId="0" xr:uid="{00000000-0006-0000-0400-000005000000}">
      <text>
        <r>
          <rPr>
            <b/>
            <sz val="9"/>
            <color indexed="81"/>
            <rFont val="Tahoma"/>
            <family val="2"/>
          </rPr>
          <t>Parsons, Gavin [GIR]:</t>
        </r>
        <r>
          <rPr>
            <sz val="9"/>
            <color indexed="81"/>
            <rFont val="Tahoma"/>
            <family val="2"/>
          </rPr>
          <t xml:space="preserve">
(3)% reported, +4% ex-divestitures and FX</t>
        </r>
      </text>
    </comment>
    <comment ref="M30" authorId="0" shapeId="0" xr:uid="{00000000-0006-0000-0400-000006000000}">
      <text>
        <r>
          <rPr>
            <b/>
            <sz val="9"/>
            <color indexed="81"/>
            <rFont val="Tahoma"/>
            <family val="2"/>
          </rPr>
          <t>Parsons, Gavin [GIR]:</t>
        </r>
        <r>
          <rPr>
            <sz val="9"/>
            <color indexed="81"/>
            <rFont val="Tahoma"/>
            <family val="2"/>
          </rPr>
          <t xml:space="preserve">
down 7% incl FX / divestitures</t>
        </r>
      </text>
    </comment>
    <comment ref="M31" authorId="0" shapeId="0" xr:uid="{00000000-0006-0000-0400-000007000000}">
      <text>
        <r>
          <rPr>
            <b/>
            <sz val="9"/>
            <color indexed="81"/>
            <rFont val="Tahoma"/>
            <family val="2"/>
          </rPr>
          <t>Parsons, Gavin [GIR]:</t>
        </r>
        <r>
          <rPr>
            <sz val="9"/>
            <color indexed="81"/>
            <rFont val="Tahoma"/>
            <family val="2"/>
          </rPr>
          <t xml:space="preserve">
-5% incl divestiture</t>
        </r>
      </text>
    </comment>
  </commentList>
</comments>
</file>

<file path=xl/sharedStrings.xml><?xml version="1.0" encoding="utf-8"?>
<sst xmlns="http://schemas.openxmlformats.org/spreadsheetml/2006/main" count="1366" uniqueCount="662">
  <si>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</si>
  <si>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</si>
  <si>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</si>
  <si>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</si>
  <si>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</si>
  <si>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</si>
  <si>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</si>
  <si>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</si>
  <si>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</si>
  <si>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</si>
  <si>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</si>
  <si>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</si>
  <si>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</si>
  <si>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</si>
  <si>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</si>
  <si>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</si>
  <si>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</si>
  <si>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</si>
  <si>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</si>
  <si>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</si>
  <si>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</si>
  <si>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</si>
  <si>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</si>
  <si>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4Q09</t>
  </si>
  <si>
    <t>1Q10</t>
  </si>
  <si>
    <t>2Q10</t>
  </si>
  <si>
    <t>Net sales</t>
  </si>
  <si>
    <t>Cost of goods sold</t>
  </si>
  <si>
    <t>Selling and administrative expenses</t>
  </si>
  <si>
    <t xml:space="preserve"> </t>
  </si>
  <si>
    <t>Net income</t>
  </si>
  <si>
    <t>Basic</t>
  </si>
  <si>
    <t>Diluted</t>
  </si>
  <si>
    <t>Gross Income</t>
  </si>
  <si>
    <t>EBIT</t>
  </si>
  <si>
    <t>EBT</t>
  </si>
  <si>
    <t>Minority Interest</t>
  </si>
  <si>
    <t>Net income, continuing ops.</t>
  </si>
  <si>
    <t>Discontinued ops. &amp; non recurring items</t>
  </si>
  <si>
    <t>Basic EPS, continuing ops.</t>
  </si>
  <si>
    <t>Basic EPS, reported</t>
  </si>
  <si>
    <t>Diluted EPS, continuing ops.</t>
  </si>
  <si>
    <t>Diluted EPS, reported</t>
  </si>
  <si>
    <t>Assets</t>
  </si>
  <si>
    <t>Cash and cash equivalents</t>
  </si>
  <si>
    <t>Deferred income taxes</t>
  </si>
  <si>
    <t>Total current assets</t>
  </si>
  <si>
    <t>Accumulated depreciation</t>
  </si>
  <si>
    <t>Goodwill</t>
  </si>
  <si>
    <t>Other assets</t>
  </si>
  <si>
    <t>Accounts payable</t>
  </si>
  <si>
    <t>Accrued liabilities</t>
  </si>
  <si>
    <t>Total current liabilities</t>
  </si>
  <si>
    <t>Long-term debt</t>
  </si>
  <si>
    <t>Other long-term liabilities</t>
  </si>
  <si>
    <t>Retained earnings</t>
  </si>
  <si>
    <t>Total shareholders' equity</t>
  </si>
  <si>
    <t>Total Assets</t>
  </si>
  <si>
    <t>Common Stock</t>
  </si>
  <si>
    <t>Total liabilities and shareholders equity</t>
  </si>
  <si>
    <t>Depreciation and amortization</t>
  </si>
  <si>
    <t>Stock-based compensation expense</t>
  </si>
  <si>
    <t>Capital expenditures</t>
  </si>
  <si>
    <t>Other</t>
  </si>
  <si>
    <t>Net increase in cash and cash equivalents</t>
  </si>
  <si>
    <t>Cash and cash equivalents at beginning of year</t>
  </si>
  <si>
    <t>Cash and cash equivalents at end of year</t>
  </si>
  <si>
    <t>Total Sales</t>
  </si>
  <si>
    <t>Corporate expense</t>
  </si>
  <si>
    <t xml:space="preserve"> Changes in operating assets and liabilities:</t>
  </si>
  <si>
    <t>Short-term borrowings</t>
  </si>
  <si>
    <t>Segment Data</t>
  </si>
  <si>
    <t>Acquisitions</t>
  </si>
  <si>
    <t>Divestures</t>
  </si>
  <si>
    <t>Acquired Revenue</t>
  </si>
  <si>
    <t>Divested Revenue</t>
  </si>
  <si>
    <t>Revenue</t>
  </si>
  <si>
    <t>Revenue Mix</t>
  </si>
  <si>
    <t>Revenue Y/Y Growth</t>
  </si>
  <si>
    <t>Revenue Q/Q growth</t>
  </si>
  <si>
    <t>Operating Income</t>
  </si>
  <si>
    <t>Operating Income Mix</t>
  </si>
  <si>
    <t>Operating Margin</t>
  </si>
  <si>
    <t>Operating Income Y/Y Growth</t>
  </si>
  <si>
    <t>Operating Income Q/Q growth</t>
  </si>
  <si>
    <t>Backlog</t>
  </si>
  <si>
    <t>Income Statement</t>
  </si>
  <si>
    <t>($ mn, except per share data)</t>
  </si>
  <si>
    <t>D&amp;A</t>
  </si>
  <si>
    <t>EBITDA</t>
  </si>
  <si>
    <t>Margin analysis</t>
  </si>
  <si>
    <t>Gross margin</t>
  </si>
  <si>
    <t>SG&amp;A</t>
  </si>
  <si>
    <t>EBIT margin</t>
  </si>
  <si>
    <t>Effective tax rate</t>
  </si>
  <si>
    <t>Net margin</t>
  </si>
  <si>
    <t>Y/Y growth</t>
  </si>
  <si>
    <t>Diluted EPS, continuing</t>
  </si>
  <si>
    <t>Q/Q growth</t>
  </si>
  <si>
    <t>Balance Sheet</t>
  </si>
  <si>
    <t>($ mn)</t>
  </si>
  <si>
    <t>Cash Flow</t>
  </si>
  <si>
    <t>Cash from operations</t>
  </si>
  <si>
    <t>Capex</t>
  </si>
  <si>
    <t>Free cash flow</t>
  </si>
  <si>
    <t>FCF/NI</t>
  </si>
  <si>
    <t>Capital structure</t>
  </si>
  <si>
    <t>Cash</t>
  </si>
  <si>
    <t>Cash per share</t>
  </si>
  <si>
    <t>Equity</t>
  </si>
  <si>
    <t>Debt</t>
  </si>
  <si>
    <t>Net debt</t>
  </si>
  <si>
    <t>Debt/capital</t>
  </si>
  <si>
    <t>Net debt/capital</t>
  </si>
  <si>
    <t>Working capital analysis</t>
  </si>
  <si>
    <t>Working capital</t>
  </si>
  <si>
    <t>Days sales outstanding (DSO)</t>
  </si>
  <si>
    <t>Days payable outstanding (DPO)</t>
  </si>
  <si>
    <t>Inventory turnover</t>
  </si>
  <si>
    <t>Days inventory</t>
  </si>
  <si>
    <t>Cash conversion (days)</t>
  </si>
  <si>
    <t>Asset turnover</t>
  </si>
  <si>
    <t>Liquidity</t>
  </si>
  <si>
    <t>Current ratio</t>
  </si>
  <si>
    <t>Interest coverage ratio</t>
  </si>
  <si>
    <t>Net debt/EBITDA</t>
  </si>
  <si>
    <t>Profitability</t>
  </si>
  <si>
    <t>Return on assets (ROA)</t>
  </si>
  <si>
    <t>CROCI</t>
  </si>
  <si>
    <t>Return on invested capital (ROIC)</t>
  </si>
  <si>
    <t>Return on equity (ROE)</t>
  </si>
  <si>
    <t>Total sales</t>
  </si>
  <si>
    <t>Total</t>
  </si>
  <si>
    <t>Gross intangibles</t>
  </si>
  <si>
    <t>Accumulated amortization</t>
  </si>
  <si>
    <t>Net PP&amp;E</t>
  </si>
  <si>
    <t>Liabilities and shareholder's equity</t>
  </si>
  <si>
    <t>Operating activities</t>
  </si>
  <si>
    <t>Total operating income</t>
  </si>
  <si>
    <t>Total Operating Income</t>
  </si>
  <si>
    <t>Common shares outstanding</t>
  </si>
  <si>
    <t>Exchange rate effect on cash and cash equivalents</t>
  </si>
  <si>
    <t>Cash from Operations</t>
  </si>
  <si>
    <t>Cash from Financing</t>
  </si>
  <si>
    <t>Cash from Investments</t>
  </si>
  <si>
    <t>Liabilities and Shareholder's equity</t>
  </si>
  <si>
    <t>Seasonality</t>
  </si>
  <si>
    <t>Sales - % United States</t>
  </si>
  <si>
    <t>Sales - % Others</t>
  </si>
  <si>
    <t>Sales -% Industry (I)</t>
  </si>
  <si>
    <t>Sales -% Government (G)</t>
  </si>
  <si>
    <t>Dividends</t>
  </si>
  <si>
    <t>Dividend/share</t>
  </si>
  <si>
    <t>Pension</t>
  </si>
  <si>
    <t>Benefit obligation</t>
  </si>
  <si>
    <t>Fair value of plan assets</t>
  </si>
  <si>
    <t>Unfunded Pension status</t>
  </si>
  <si>
    <t>Stock compensation expense (pre-tax)</t>
  </si>
  <si>
    <t>Aerospace</t>
  </si>
  <si>
    <t>Pension Expense</t>
  </si>
  <si>
    <t>Cash Dividend/Share</t>
  </si>
  <si>
    <t>Dividend payout ratio</t>
  </si>
  <si>
    <t>Benefit plan adjustments to equity</t>
  </si>
  <si>
    <t>Pension-adjusted Equity</t>
  </si>
  <si>
    <t>Pension-adjusted Debt</t>
  </si>
  <si>
    <t>Minority interest</t>
  </si>
  <si>
    <t>Accounts receivable</t>
  </si>
  <si>
    <t>Inventory</t>
  </si>
  <si>
    <t>Total liabilities</t>
  </si>
  <si>
    <t>Divestitures</t>
  </si>
  <si>
    <t>Sales -% Consumer (C)</t>
  </si>
  <si>
    <t>Share buy back</t>
  </si>
  <si>
    <t>Book-to-bill</t>
  </si>
  <si>
    <t>Total business segment</t>
  </si>
  <si>
    <t>3Q10</t>
  </si>
  <si>
    <t>4Q10</t>
  </si>
  <si>
    <t>1Q11</t>
  </si>
  <si>
    <t>2Q11</t>
  </si>
  <si>
    <t>3Q11</t>
  </si>
  <si>
    <t>4Q11</t>
  </si>
  <si>
    <t>Noncontrolling interest</t>
  </si>
  <si>
    <t>1Q12</t>
  </si>
  <si>
    <t>2Q12</t>
  </si>
  <si>
    <t>4Q12</t>
  </si>
  <si>
    <t>Gross fixed assets</t>
  </si>
  <si>
    <t>Sales Breakdown</t>
  </si>
  <si>
    <t>--</t>
  </si>
  <si>
    <t>Employees</t>
  </si>
  <si>
    <t>FCF/share</t>
  </si>
  <si>
    <t>Sales (%) SMB</t>
  </si>
  <si>
    <t>Sales - % from Captive Financing Business</t>
  </si>
  <si>
    <t>Operating Earnings - % from Captive Financing Business</t>
  </si>
  <si>
    <t>Research and development</t>
  </si>
  <si>
    <t>Otis</t>
  </si>
  <si>
    <t>Pratt &amp; Whitney</t>
  </si>
  <si>
    <t>Sikorsky</t>
  </si>
  <si>
    <t>Discontinued ops. &amp; non recurring items:</t>
  </si>
  <si>
    <t xml:space="preserve">Accounts receivable, net  </t>
  </si>
  <si>
    <t>Inventories and contracts in progress, net</t>
  </si>
  <si>
    <t>Other assets, current</t>
  </si>
  <si>
    <t>Fixed assets, net</t>
  </si>
  <si>
    <t>Intangible assets, net</t>
  </si>
  <si>
    <t>Unearned ESOP shares</t>
  </si>
  <si>
    <t>Net income from continuing operations</t>
  </si>
  <si>
    <t>Inventories and contracts in progress</t>
  </si>
  <si>
    <t>Accounts payable, accrued liabilities</t>
  </si>
  <si>
    <t>Global pension contributions</t>
  </si>
  <si>
    <t>Other operating activities, net</t>
  </si>
  <si>
    <t>(Decrease) increase in short-term borrowings, net</t>
  </si>
  <si>
    <t>Common Stock issued under employee stock plans</t>
  </si>
  <si>
    <t>Repurchase of Common Stock</t>
  </si>
  <si>
    <t>Discontinued Operations</t>
  </si>
  <si>
    <t>UTC Climate, Controls &amp; Security</t>
  </si>
  <si>
    <t xml:space="preserve">Eliminations and other </t>
  </si>
  <si>
    <t>General corporate expenses</t>
  </si>
  <si>
    <t>Sales - % Europe</t>
  </si>
  <si>
    <t>Sales - % ROW</t>
  </si>
  <si>
    <t>Product sales</t>
  </si>
  <si>
    <t>Service sales</t>
  </si>
  <si>
    <t>Cost of products sold</t>
  </si>
  <si>
    <t>Cost of services sold</t>
  </si>
  <si>
    <t xml:space="preserve">Cost of goods sold </t>
  </si>
  <si>
    <t>Net income, continuing ops. attributable to shareholders</t>
  </si>
  <si>
    <t>Non controlling interest</t>
  </si>
  <si>
    <t xml:space="preserve">Net income </t>
  </si>
  <si>
    <t>Net income  attributable to shareholders</t>
  </si>
  <si>
    <t>Dividends paid on common Stock</t>
  </si>
  <si>
    <t>Redeemable noncontrolling interest, other</t>
  </si>
  <si>
    <t>Investments in businesses, net</t>
  </si>
  <si>
    <t>Eliminations &amp; other</t>
  </si>
  <si>
    <t>Military</t>
  </si>
  <si>
    <t>One time items</t>
  </si>
  <si>
    <t>Adjusted Operating Income</t>
  </si>
  <si>
    <t>Total Adjusted Operating Income</t>
  </si>
  <si>
    <t>Adjusted Operating Margin</t>
  </si>
  <si>
    <t xml:space="preserve">Total </t>
  </si>
  <si>
    <t>Adjusted Incremental Operating Margin</t>
  </si>
  <si>
    <t>Total adjusted Incremental Margin</t>
  </si>
  <si>
    <t>Carrier</t>
  </si>
  <si>
    <t>Fire</t>
  </si>
  <si>
    <t>R&amp;D</t>
  </si>
  <si>
    <t>Aerospace Systems</t>
  </si>
  <si>
    <t>3Q12</t>
  </si>
  <si>
    <t xml:space="preserve">Organic Revenue Y/Y Growth </t>
  </si>
  <si>
    <t>Net intangibles</t>
  </si>
  <si>
    <t>Commercial and industrial</t>
  </si>
  <si>
    <t>Military aerospace and space</t>
  </si>
  <si>
    <t>Commercial aerospace</t>
  </si>
  <si>
    <t>Original Equipment</t>
  </si>
  <si>
    <t>Aftermarket Parts and Services</t>
  </si>
  <si>
    <t>Company Funded R&amp;D</t>
  </si>
  <si>
    <t>Customer Funded R&amp;D</t>
  </si>
  <si>
    <t>Total R&amp;D</t>
  </si>
  <si>
    <t>Discount</t>
  </si>
  <si>
    <t>Treasury Stock</t>
  </si>
  <si>
    <t>FCF/Adj. Net Income</t>
  </si>
  <si>
    <t>1Q13</t>
  </si>
  <si>
    <t>2Q13</t>
  </si>
  <si>
    <t>Various</t>
  </si>
  <si>
    <t>$</t>
  </si>
  <si>
    <t>Shares</t>
  </si>
  <si>
    <t>Avg price</t>
  </si>
  <si>
    <t>Previous remaining authority</t>
  </si>
  <si>
    <t>Expired authority</t>
  </si>
  <si>
    <t>Added authority</t>
  </si>
  <si>
    <t>New remaining authority</t>
  </si>
  <si>
    <t>Commodities Exposure - Sales</t>
  </si>
  <si>
    <t>Commodities Exposure - Expense</t>
  </si>
  <si>
    <t>FX Exposure - Sales</t>
  </si>
  <si>
    <t>Sales - % Other commodity</t>
  </si>
  <si>
    <t>Expense - % Oil/Petrol/Fuel</t>
  </si>
  <si>
    <t>Sales - % FX: British Pounds/Pence</t>
  </si>
  <si>
    <t>Sales - % FX: Euro</t>
  </si>
  <si>
    <t>Sales - % FX: New Russian Ruble</t>
  </si>
  <si>
    <t>Sales - % FX: U.S. Dollar</t>
  </si>
  <si>
    <t>Sales - % FX: Brazilian Real</t>
  </si>
  <si>
    <t>Sales - % FX: Japanese Yen</t>
  </si>
  <si>
    <t>Sales - % FX: Chinese Renminbi</t>
  </si>
  <si>
    <t>Sales - % FX: Indian Rupee</t>
  </si>
  <si>
    <t>Sales - % FX: Canadian Dollar</t>
  </si>
  <si>
    <t>Sales - % FX: Mexican Peso</t>
  </si>
  <si>
    <t>Sales - % FX: Argentine Peso</t>
  </si>
  <si>
    <t>Sales - % FX: Chilean Peso</t>
  </si>
  <si>
    <t>Sales - % FX: Venezuelan bolivar</t>
  </si>
  <si>
    <t>Sales - % Other (Non-Commodity) sales sources</t>
  </si>
  <si>
    <t>Expense - % Oil derivatives/NGLs/plastics</t>
  </si>
  <si>
    <t>Expense - % Nat Gas</t>
  </si>
  <si>
    <t>Expense - % Gold</t>
  </si>
  <si>
    <t>Expense - % Copper</t>
  </si>
  <si>
    <t>Expense - % Silver</t>
  </si>
  <si>
    <t>Expense - % Platinum</t>
  </si>
  <si>
    <t>Expense - % Palladium</t>
  </si>
  <si>
    <t>Expense - % Aluminium</t>
  </si>
  <si>
    <t>Expense - % Nickel</t>
  </si>
  <si>
    <t>Expense - % Zinc</t>
  </si>
  <si>
    <t>Expense - % Steel</t>
  </si>
  <si>
    <t>Expense - % Glass</t>
  </si>
  <si>
    <t>Expense - % Rubber</t>
  </si>
  <si>
    <t>Expense - % Water</t>
  </si>
  <si>
    <t>Expense - % Other commodity</t>
  </si>
  <si>
    <t>Expense - % Other (Non-Commodity) cost</t>
  </si>
  <si>
    <t>Sales - % Industry Sub-Segment: Financial Services</t>
  </si>
  <si>
    <t>Other Exposure - Sales</t>
  </si>
  <si>
    <t>3Q13</t>
  </si>
  <si>
    <t>4Q13</t>
  </si>
  <si>
    <t>1Q14</t>
  </si>
  <si>
    <t>2Q14</t>
  </si>
  <si>
    <t>3Q14</t>
  </si>
  <si>
    <t>4Q14</t>
  </si>
  <si>
    <t>Net Operating Loss Carry-forwards</t>
  </si>
  <si>
    <t>Deferred Income Tax - Non-current asset</t>
  </si>
  <si>
    <t>Deferred Income Tax - Non-current liability</t>
  </si>
  <si>
    <t>Cash held overseas</t>
  </si>
  <si>
    <t>1Q15</t>
  </si>
  <si>
    <t>2Q15</t>
  </si>
  <si>
    <t>3Q15</t>
  </si>
  <si>
    <t>4Q15</t>
  </si>
  <si>
    <t>Benefit obligations</t>
  </si>
  <si>
    <t>Tax rate</t>
  </si>
  <si>
    <t>1Q16</t>
  </si>
  <si>
    <t>2Q16</t>
  </si>
  <si>
    <t>3Q16</t>
  </si>
  <si>
    <t>4Q16</t>
  </si>
  <si>
    <t>1Q17</t>
  </si>
  <si>
    <t>2Q17</t>
  </si>
  <si>
    <t>3Q17</t>
  </si>
  <si>
    <t>4Q17</t>
  </si>
  <si>
    <t>Other investing activities, net</t>
  </si>
  <si>
    <t>FX Impact</t>
  </si>
  <si>
    <t>International Exposure - Sales, detailed</t>
  </si>
  <si>
    <t xml:space="preserve">   Canada</t>
  </si>
  <si>
    <t xml:space="preserve">   US</t>
  </si>
  <si>
    <t xml:space="preserve">   Other N.America</t>
  </si>
  <si>
    <t xml:space="preserve">   Argentina</t>
  </si>
  <si>
    <t xml:space="preserve">   Brazil</t>
  </si>
  <si>
    <t xml:space="preserve">   Chile</t>
  </si>
  <si>
    <t xml:space="preserve">   Colombia</t>
  </si>
  <si>
    <t xml:space="preserve">   Mexico</t>
  </si>
  <si>
    <t xml:space="preserve">   Venezuela</t>
  </si>
  <si>
    <t xml:space="preserve">   Other S.Americas</t>
  </si>
  <si>
    <t xml:space="preserve">   Austria</t>
  </si>
  <si>
    <t xml:space="preserve">   Belgium</t>
  </si>
  <si>
    <t xml:space="preserve">   France</t>
  </si>
  <si>
    <t xml:space="preserve">   Germany</t>
  </si>
  <si>
    <t xml:space="preserve">   Greece</t>
  </si>
  <si>
    <t xml:space="preserve">   Ireland</t>
  </si>
  <si>
    <t xml:space="preserve">   Italy</t>
  </si>
  <si>
    <t xml:space="preserve">   Netherlands</t>
  </si>
  <si>
    <t xml:space="preserve">   Norway</t>
  </si>
  <si>
    <t xml:space="preserve">   Portugal</t>
  </si>
  <si>
    <t xml:space="preserve">   Spain</t>
  </si>
  <si>
    <t xml:space="preserve">   Sweden</t>
  </si>
  <si>
    <t xml:space="preserve">   Switzerland</t>
  </si>
  <si>
    <t xml:space="preserve">   UK</t>
  </si>
  <si>
    <t xml:space="preserve">   Other W.Europe</t>
  </si>
  <si>
    <t xml:space="preserve">   Poland</t>
  </si>
  <si>
    <t xml:space="preserve">   Russia</t>
  </si>
  <si>
    <t xml:space="preserve">   Turkey</t>
  </si>
  <si>
    <t xml:space="preserve">   Other CEE</t>
  </si>
  <si>
    <t xml:space="preserve">   Saudi Arabia</t>
  </si>
  <si>
    <t xml:space="preserve">   UAE</t>
  </si>
  <si>
    <t xml:space="preserve">   Other Middle East</t>
  </si>
  <si>
    <t xml:space="preserve">   Nigeria</t>
  </si>
  <si>
    <t xml:space="preserve">   South Africa</t>
  </si>
  <si>
    <t xml:space="preserve">   Other Africa</t>
  </si>
  <si>
    <t xml:space="preserve">   Hong Kong</t>
  </si>
  <si>
    <t xml:space="preserve">   Japan</t>
  </si>
  <si>
    <t xml:space="preserve">   Singapore</t>
  </si>
  <si>
    <t xml:space="preserve">   South Korea</t>
  </si>
  <si>
    <t xml:space="preserve">   Taiwan</t>
  </si>
  <si>
    <t xml:space="preserve">   Other Developed Asia</t>
  </si>
  <si>
    <t xml:space="preserve">   China</t>
  </si>
  <si>
    <t xml:space="preserve">   India</t>
  </si>
  <si>
    <t xml:space="preserve">   Indonesia</t>
  </si>
  <si>
    <t xml:space="preserve">   Thailand</t>
  </si>
  <si>
    <t xml:space="preserve">   Other Emerging Asia</t>
  </si>
  <si>
    <t xml:space="preserve">   Australia</t>
  </si>
  <si>
    <t xml:space="preserve">   N.Zealand</t>
  </si>
  <si>
    <t>Sales - % Industry sub-segment: Oil &amp; Gas End Market</t>
  </si>
  <si>
    <t>1Q18</t>
  </si>
  <si>
    <t>2Q18</t>
  </si>
  <si>
    <t>3Q18</t>
  </si>
  <si>
    <t>4Q18</t>
  </si>
  <si>
    <t>International Exposure - Expenses</t>
  </si>
  <si>
    <t>COGS, % from US</t>
  </si>
  <si>
    <t>COGS, % from Non-US</t>
  </si>
  <si>
    <t>SG&amp;A, % from US</t>
  </si>
  <si>
    <t>SG&amp;A, % from Non-US</t>
  </si>
  <si>
    <t>Debt - Geographical and Fixed / Floating exposure</t>
  </si>
  <si>
    <t>% of local currency debt with floating interest</t>
  </si>
  <si>
    <t>% of local currency floating debt with hedged rate</t>
  </si>
  <si>
    <t>Other Comprehensive Loss</t>
  </si>
  <si>
    <t>P&amp;WC</t>
  </si>
  <si>
    <t>P&amp;W engine shipments</t>
  </si>
  <si>
    <t>Large cmml</t>
  </si>
  <si>
    <t>GTF</t>
  </si>
  <si>
    <t>Organic revenue with FX</t>
  </si>
  <si>
    <t>Adjusted EPS</t>
  </si>
  <si>
    <t>Adjusted net income</t>
  </si>
  <si>
    <t>Eliminations</t>
  </si>
  <si>
    <t>Rockwell Collins</t>
  </si>
  <si>
    <t>Check</t>
  </si>
  <si>
    <t>Plugs:</t>
  </si>
  <si>
    <t>Pricing years:</t>
  </si>
  <si>
    <t>2025E</t>
  </si>
  <si>
    <t>Rev yoy</t>
  </si>
  <si>
    <t>P&amp;W revenue</t>
  </si>
  <si>
    <t>P&amp;W EBIT pre GTF</t>
  </si>
  <si>
    <t>yoy</t>
  </si>
  <si>
    <t>List price</t>
  </si>
  <si>
    <t>GTF deliveries</t>
  </si>
  <si>
    <t>V2500 deliveries</t>
  </si>
  <si>
    <t>OE pricing</t>
  </si>
  <si>
    <t>Price per engine</t>
  </si>
  <si>
    <t>Cost per engine</t>
  </si>
  <si>
    <t>GTF dilution per engine</t>
  </si>
  <si>
    <t>V2500 dilution per engine</t>
  </si>
  <si>
    <t>PBH ($mn)</t>
  </si>
  <si>
    <t>GTF installed base</t>
  </si>
  <si>
    <t>Overhaul $</t>
  </si>
  <si>
    <t>GTF PBH aftermarket</t>
  </si>
  <si>
    <t>AM margin</t>
  </si>
  <si>
    <t>GTF overhaul aftermarket</t>
  </si>
  <si>
    <t>AM pricing</t>
  </si>
  <si>
    <t>GTF aftermarket EBIT impact:</t>
  </si>
  <si>
    <t>LLP yr 7</t>
  </si>
  <si>
    <t>Net GTF impact</t>
  </si>
  <si>
    <t>LLP yr 8</t>
  </si>
  <si>
    <t>P&amp;W EBIT pre GTF R&amp;D</t>
  </si>
  <si>
    <t>PBH yr 5</t>
  </si>
  <si>
    <t>GTF R&amp;D / E&amp;D</t>
  </si>
  <si>
    <t>PBH yr 6</t>
  </si>
  <si>
    <t>PBH yr 7</t>
  </si>
  <si>
    <t>Shares yoy:</t>
  </si>
  <si>
    <t>Sharecount</t>
  </si>
  <si>
    <t>Power by the hour:</t>
  </si>
  <si>
    <t>Overhaul</t>
  </si>
  <si>
    <t>Misc aftermarket</t>
  </si>
  <si>
    <t>Narrowbody annual hours</t>
  </si>
  <si>
    <t>Total cost</t>
  </si>
  <si>
    <t>Engine on-wing</t>
  </si>
  <si>
    <t>Hours / cycle</t>
  </si>
  <si>
    <t>% captured in PBH</t>
  </si>
  <si>
    <t>1st refurb:</t>
  </si>
  <si>
    <t>2nd refurb:</t>
  </si>
  <si>
    <t>PBH rate / hour ($)</t>
  </si>
  <si>
    <t>Annual revenue ($mn)</t>
  </si>
  <si>
    <t>Deliveries</t>
  </si>
  <si>
    <t>V2500, Other</t>
  </si>
  <si>
    <t>Large commercial engines</t>
  </si>
  <si>
    <t>P&amp;WC engines</t>
  </si>
  <si>
    <t>Military engines</t>
  </si>
  <si>
    <t>In Service</t>
  </si>
  <si>
    <t>Large commercial</t>
  </si>
  <si>
    <t>P&amp;W Canada</t>
  </si>
  <si>
    <t>OE</t>
  </si>
  <si>
    <t>AM</t>
  </si>
  <si>
    <t>Commercial</t>
  </si>
  <si>
    <t>Cmml OE</t>
  </si>
  <si>
    <t>Cmml AM</t>
  </si>
  <si>
    <t>Other current assets / liabilities</t>
  </si>
  <si>
    <t>1Q19</t>
  </si>
  <si>
    <t>2Q19</t>
  </si>
  <si>
    <t>3Q19</t>
  </si>
  <si>
    <t>4Q19</t>
  </si>
  <si>
    <t>Pratt sales</t>
  </si>
  <si>
    <t>1Q20E</t>
  </si>
  <si>
    <t>4Q20</t>
  </si>
  <si>
    <t>3Q20</t>
  </si>
  <si>
    <t>2Q20</t>
  </si>
  <si>
    <t>1Q20</t>
  </si>
  <si>
    <t>This sheet contains FactSet XML data for use with this workbook's =FDS codes.  Modifying the worksheet's contents may damage the workbook's =FDS functionality.</t>
  </si>
  <si>
    <t>Collins Aerospace</t>
  </si>
  <si>
    <t>Contract liabilities, current</t>
  </si>
  <si>
    <t>Collins Aerospace Systems</t>
  </si>
  <si>
    <t>+LDD</t>
  </si>
  <si>
    <t>+HSD</t>
  </si>
  <si>
    <t>Operating lease liabilities</t>
  </si>
  <si>
    <t>Operating lease right-of-use asset</t>
  </si>
  <si>
    <t>Noah Poponak, CFA</t>
  </si>
  <si>
    <t>(212) 357-0954</t>
  </si>
  <si>
    <t>noah.poponak@gs.com</t>
  </si>
  <si>
    <t>Contract assets, current</t>
  </si>
  <si>
    <t>Contract assets</t>
  </si>
  <si>
    <t>Other income (expense), net</t>
  </si>
  <si>
    <t>Non-service pension (benefit) cost</t>
  </si>
  <si>
    <t>Interest expense (income), net</t>
  </si>
  <si>
    <t>Income tax expense (income)</t>
  </si>
  <si>
    <t>Customer financing assets</t>
  </si>
  <si>
    <t>Future income tax benefits</t>
  </si>
  <si>
    <t>Long-term debt currently due</t>
  </si>
  <si>
    <t>Future pension and postretirement benefit obligations</t>
  </si>
  <si>
    <t>Accumulated other comprehensive loss</t>
  </si>
  <si>
    <t>Integrated Defense Systems</t>
  </si>
  <si>
    <t>Intelligence, Information and Services</t>
  </si>
  <si>
    <t>Missile Systems</t>
  </si>
  <si>
    <t>Space and Airborne Systems</t>
  </si>
  <si>
    <t>Forcepoint</t>
  </si>
  <si>
    <t>FP deferred revenue adjustment</t>
  </si>
  <si>
    <t>Corporate and Eliminations &amp; Others</t>
  </si>
  <si>
    <t>Legacy UTX Revenue</t>
  </si>
  <si>
    <t>Legacy RTN revenue</t>
  </si>
  <si>
    <t>Legacy UTX EBIT</t>
  </si>
  <si>
    <t>Legacy RTN EBIT</t>
  </si>
  <si>
    <t>FP deferred and amortization</t>
  </si>
  <si>
    <t>FAS/CAS Pension Adjustment</t>
  </si>
  <si>
    <t>Corporate &amp; Others</t>
  </si>
  <si>
    <t>FAS/CAS pension adjustment</t>
  </si>
  <si>
    <t>RGNext 02/19</t>
  </si>
  <si>
    <t>Blackbird 11/14</t>
  </si>
  <si>
    <t>SafeNet 12/12</t>
  </si>
  <si>
    <t>Applied Signal - 1/11</t>
  </si>
  <si>
    <t>Stonesoft 1/16</t>
  </si>
  <si>
    <t>Websense 5/15</t>
  </si>
  <si>
    <t>Ktech Corp, 6/11</t>
  </si>
  <si>
    <t>Goodrich</t>
  </si>
  <si>
    <t>Segment EBIT</t>
  </si>
  <si>
    <t>Incremental Segment Operating Margin</t>
  </si>
  <si>
    <t>Total Backlog</t>
  </si>
  <si>
    <t>Total backlog</t>
  </si>
  <si>
    <t>Implied bookings</t>
  </si>
  <si>
    <t>Book to bill</t>
  </si>
  <si>
    <t>Total bookings</t>
  </si>
  <si>
    <t>Other income (expense)</t>
  </si>
  <si>
    <t>Non-service pension benefit (cost)</t>
  </si>
  <si>
    <t>Interest expense, net</t>
  </si>
  <si>
    <t>Income tax expense</t>
  </si>
  <si>
    <t>GS FCF build</t>
  </si>
  <si>
    <t>Interest</t>
  </si>
  <si>
    <t>Taxes</t>
  </si>
  <si>
    <t>FCF</t>
  </si>
  <si>
    <t>FCF/sh</t>
  </si>
  <si>
    <t>Yield</t>
  </si>
  <si>
    <t>Collins</t>
  </si>
  <si>
    <t>Pratt</t>
  </si>
  <si>
    <t>A220</t>
  </si>
  <si>
    <t>A320neo @ 40%</t>
  </si>
  <si>
    <t>E2</t>
  </si>
  <si>
    <t>P&amp;W EBIT ex-GTF</t>
  </si>
  <si>
    <t>Synergies</t>
  </si>
  <si>
    <t>Calculation of Adjusted EBITDA</t>
  </si>
  <si>
    <t>Intangible amortization</t>
  </si>
  <si>
    <t>Deal-related intangible amortization</t>
  </si>
  <si>
    <t>Tax impact</t>
  </si>
  <si>
    <t>Wcap</t>
  </si>
  <si>
    <t>Model</t>
  </si>
  <si>
    <t>P&amp;W EBIT</t>
  </si>
  <si>
    <t>CAS EBIT</t>
  </si>
  <si>
    <t>Margin</t>
  </si>
  <si>
    <t>GTF AM</t>
  </si>
  <si>
    <t>Cmml AM (ex-GTF)</t>
  </si>
  <si>
    <t>AM (ex-GTF)</t>
  </si>
  <si>
    <t>Collins Mission Systems</t>
  </si>
  <si>
    <t>RTX Raw Data</t>
  </si>
  <si>
    <t>RTX Segment Data</t>
  </si>
  <si>
    <t>RTX Income Statement</t>
  </si>
  <si>
    <t>RTX Balance Sheet</t>
  </si>
  <si>
    <t>RTX Cash Flow</t>
  </si>
  <si>
    <t>OE impact</t>
  </si>
  <si>
    <t>Adj EBITDA margin</t>
  </si>
  <si>
    <t>P&amp;W total EBIT</t>
  </si>
  <si>
    <t>FAS/CAS expense</t>
  </si>
  <si>
    <t>Pension per share</t>
  </si>
  <si>
    <t>GTF per share</t>
  </si>
  <si>
    <t>Non-cash P&amp;L pension</t>
  </si>
  <si>
    <t>Stock-based compensation</t>
  </si>
  <si>
    <t>CAS recovery</t>
  </si>
  <si>
    <t>Pension contribution</t>
  </si>
  <si>
    <t>Added amort</t>
  </si>
  <si>
    <t>Raytheon Missiles &amp; Defense</t>
  </si>
  <si>
    <t>Raytheon Intelligence &amp; Space</t>
  </si>
  <si>
    <t>GTF yoy</t>
  </si>
  <si>
    <t>Airborne Tactical Radios 5/20</t>
  </si>
  <si>
    <t>Eliminations and other</t>
  </si>
  <si>
    <t>Corporate and other unallocated</t>
  </si>
  <si>
    <t>Acquisition accounting adjustments</t>
  </si>
  <si>
    <t>Total legacy corporate &amp; eliminations</t>
  </si>
  <si>
    <t>Corporate and unallocated</t>
  </si>
  <si>
    <t>Acquired intangible amort</t>
  </si>
  <si>
    <t>Other charges</t>
  </si>
  <si>
    <t>Other adjustments</t>
  </si>
  <si>
    <t>Adjustments in EBIT</t>
  </si>
  <si>
    <t>Charges &amp; other</t>
  </si>
  <si>
    <t>Disco ops, other</t>
  </si>
  <si>
    <t>Discontinued ops, other</t>
  </si>
  <si>
    <t>Net periodic pension and other PRB</t>
  </si>
  <si>
    <t>Contract liabilities</t>
  </si>
  <si>
    <t>*</t>
  </si>
  <si>
    <t>Change in customer financing assets, net</t>
  </si>
  <si>
    <t>Change in collaboration intangible assets</t>
  </si>
  <si>
    <t>Receipts (payments) from settlements of derivs contracts</t>
  </si>
  <si>
    <t>Issuance (repayment) of long-term debt, net</t>
  </si>
  <si>
    <t>Restricted cash</t>
  </si>
  <si>
    <t>Receipts from settlements of derivs contracts</t>
  </si>
  <si>
    <t>Common stock issued under stock plans</t>
  </si>
  <si>
    <t>Adjusted tax rate</t>
  </si>
  <si>
    <t>Adjusted EBIT (with deal amort)</t>
  </si>
  <si>
    <t>1Q21</t>
  </si>
  <si>
    <t>2Q21</t>
  </si>
  <si>
    <t>3Q21</t>
  </si>
  <si>
    <t>4Q21</t>
  </si>
  <si>
    <t>(212) 934-0385</t>
  </si>
  <si>
    <t>anthony.valentini@gs.com</t>
  </si>
  <si>
    <t>FCF margin</t>
  </si>
  <si>
    <t>CAS Military GPS</t>
  </si>
  <si>
    <t>Sales - % Asia Pacific</t>
  </si>
  <si>
    <t>Sales - % Middle East and North Africa</t>
  </si>
  <si>
    <t>Adjusted EBITDA</t>
  </si>
  <si>
    <t>Accrued employee compensation</t>
  </si>
  <si>
    <t>Impl Pratt Rev</t>
  </si>
  <si>
    <t>Cash costs - deals, synergies, restructuring</t>
  </si>
  <si>
    <t>1Q22</t>
  </si>
  <si>
    <t>2Q22</t>
  </si>
  <si>
    <t>3Q22</t>
  </si>
  <si>
    <t>4Q22</t>
  </si>
  <si>
    <t>Quarterly</t>
  </si>
  <si>
    <t>Training &amp; Logistics 12/21</t>
  </si>
  <si>
    <t>1Q23</t>
  </si>
  <si>
    <t>2Q23</t>
  </si>
  <si>
    <t>3Q23</t>
  </si>
  <si>
    <t>4Q23</t>
  </si>
  <si>
    <t>Anthony Valentini, CFA</t>
  </si>
  <si>
    <t>Misc incl FX</t>
  </si>
  <si>
    <t>Defense</t>
  </si>
  <si>
    <t>Restricted Cash</t>
  </si>
  <si>
    <t>1Q24</t>
  </si>
  <si>
    <t>2Q24</t>
  </si>
  <si>
    <t>3Q24</t>
  </si>
  <si>
    <t>4Q24</t>
  </si>
  <si>
    <t>Raytheon (Defense recasted)</t>
  </si>
  <si>
    <t>Synergies/Other</t>
  </si>
  <si>
    <t>GTF powder metal</t>
  </si>
  <si>
    <t>2026E</t>
  </si>
  <si>
    <t>2027E</t>
  </si>
  <si>
    <t>Raytheon Technologies (RTX) Model</t>
  </si>
  <si>
    <t>4Q25E</t>
  </si>
  <si>
    <t>Cyber</t>
  </si>
  <si>
    <t>Cyber Services Business (Mar 2024)</t>
  </si>
  <si>
    <t>Connor Dessert</t>
  </si>
  <si>
    <t>connor.dessert@gs.com</t>
  </si>
  <si>
    <t>Raytheon Missiles &amp; Defense (Raytheon Seg 3Q23-&gt; now)</t>
  </si>
  <si>
    <t>Raytheon Missiles &amp; Defense (Raytheon Seg 3Q23 -&gt; now)</t>
  </si>
  <si>
    <t>1Q25</t>
  </si>
  <si>
    <t>2Q25</t>
  </si>
  <si>
    <t>3Q25</t>
  </si>
  <si>
    <t>4Q25</t>
  </si>
  <si>
    <t>(212) 357-6166</t>
  </si>
  <si>
    <t>Will Ortmayer</t>
  </si>
  <si>
    <t>will.ortmayer@gs.com</t>
  </si>
  <si>
    <t>(801) 744-0681</t>
  </si>
  <si>
    <t>2028E</t>
  </si>
  <si>
    <t>1Q26E</t>
  </si>
  <si>
    <t>2Q26E</t>
  </si>
  <si>
    <t>3Q26E</t>
  </si>
  <si>
    <t>4Q26E</t>
  </si>
  <si>
    <t>1Q26</t>
  </si>
  <si>
    <t>2Q26</t>
  </si>
  <si>
    <t>3Q26</t>
  </si>
  <si>
    <t>4Q26</t>
  </si>
  <si>
    <t>Collins Actuation - July 2025</t>
  </si>
  <si>
    <t>Simmonds Precision Products 10/25</t>
  </si>
  <si>
    <t>Found in commentary below each segment in 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</si>
</sst>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0">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mmm\-yy;@"/>
    <numFmt numFmtId="165" formatCode="#,##0.0"/>
    <numFmt numFmtId="166" formatCode="_(* #,##0.0_);_(* \(#,##0.0\);_(* &quot;-&quot;??_);_(@_)"/>
    <numFmt numFmtId="167" formatCode="0.0_);\(0.0\)"/>
    <numFmt numFmtId="168" formatCode="#,##0.0_);\(#,##0.0\)"/>
    <numFmt numFmtId="169" formatCode="0.0%"/>
    <numFmt numFmtId="170" formatCode="_(* #,##0_);_(* \(#,##0\);_(* &quot;-&quot;??_);_(@_)"/>
    <numFmt numFmtId="171" formatCode="0.0"/>
    <numFmt numFmtId="172" formatCode="#,##0_);\(#,##0\);_(&quot;-&quot;_)"/>
    <numFmt numFmtId="173" formatCode="#,##0.00\x_);\(#,##0.00\x\);_(&quot;-&quot;_)"/>
    <numFmt numFmtId="174" formatCode="#,##0.0_);\(#,##0.0\);_(&quot;-&quot;_)"/>
    <numFmt numFmtId="175" formatCode="#,##0.00_);\(#,##0.00\);_(&quot;-&quot;_)"/>
    <numFmt numFmtId="176" formatCode="#,##0.0\x_);\(#,##0.0\x\);_(&quot;-&quot;_)"/>
    <numFmt numFmtId="177" formatCode="&quot;$&quot;#,##0.0_);\(&quot;$&quot;#,##0.0\)"/>
    <numFmt numFmtId="178" formatCode="0_);\(0\)"/>
    <numFmt numFmtId="179" formatCode="&quot;$&quot;#,##0.000_);\(&quot;$&quot;#,##0.000\)"/>
    <numFmt numFmtId="180" formatCode="#,##0.000_);\(#,##0.000\)"/>
    <numFmt numFmtId="181" formatCode="0.0\x"/>
    <numFmt numFmtId="182" formatCode="0.000"/>
    <numFmt numFmtId="183" formatCode="&quot;$&quot;#,##0.0_);\(&quot;$&quot;#,##0.0\);&quot;$&quot;#,##0.0_);@_)"/>
    <numFmt numFmtId="184" formatCode="#,##0.000"/>
    <numFmt numFmtId="185" formatCode="yyyy"/>
    <numFmt numFmtId="186" formatCode="0\A"/>
    <numFmt numFmtId="187" formatCode="#,##0;\(#,##0\)"/>
    <numFmt numFmtId="188" formatCode="\$0.00;\(\$0.00\)"/>
    <numFmt numFmtId="189" formatCode="_-* #,##0_-;\(#,##0\);_-* &quot;–&quot;_-;_-@_-"/>
    <numFmt numFmtId="190" formatCode="#,##0;\(#,##0\);\–;@"/>
    <numFmt numFmtId="191" formatCode="0.0&quot;  &quot;"/>
    <numFmt numFmtId="192" formatCode="&quot;$&quot;#,##0.0_);[Red]\(&quot;$&quot;#,##0.0\)"/>
    <numFmt numFmtId="193" formatCode="#,##0.0_);[Red]\(#,##0.0\)"/>
    <numFmt numFmtId="194" formatCode="&quot;$&quot;#\ ??/??"/>
    <numFmt numFmtId="195" formatCode="0.000_)"/>
    <numFmt numFmtId="196" formatCode="\¥#,##0.00_);\(\¥#,##0.00\)"/>
    <numFmt numFmtId="197" formatCode="\£#,##0.00_);\(\£#,##0.00\)"/>
    <numFmt numFmtId="198" formatCode="#,##0.000_);[Red]\(#,##0.000\)"/>
    <numFmt numFmtId="199" formatCode="0.00_)"/>
    <numFmt numFmtId="200" formatCode="\A\ &quot;$&quot;#,##0.00\ ;\(\A\ &quot;$&quot;#,##0.00\)"/>
    <numFmt numFmtId="201" formatCode="\F\F\r\ \ #,##0.00_);\F\F\r\ \ \(#,##0.00\)"/>
    <numFmt numFmtId="202" formatCode="&quot;$&quot;#,##0.000\ ;\(&quot;$&quot;#,##0.000\)"/>
    <numFmt numFmtId="203" formatCode="#,##0.0\x"/>
    <numFmt numFmtId="204" formatCode="#,##0.0\A"/>
    <numFmt numFmtId="205" formatCode="_(* #,##0_);_(* \(#,##0\);_(* &quot;----&quot;_);_(@_)"/>
    <numFmt numFmtId="206" formatCode="_(* #,##0.00_);_(* \(#,##0.00\);_(* &quot;-----&quot;_);_(@_)"/>
    <numFmt numFmtId="207" formatCode="_(* #,##0.00_);_(* \(#,##0.00\);_(* &quot;---&quot;_);_(@_)"/>
    <numFmt numFmtId="208" formatCode="_(* #,##0.0_);_(* \(#,##0.0\);_(* &quot;----&quot;_);_(@_)"/>
    <numFmt numFmtId="209" formatCode="0.0\x_)_);&quot;NM&quot;_x_)_);0.0\x_)_);@_%_)"/>
    <numFmt numFmtId="210" formatCode="&quot;$&quot;_(#,##0.00_);&quot;$&quot;\(#,##0.00\)"/>
    <numFmt numFmtId="211" formatCode="#,##0.0_)\x;\(#,##0.0\)\x"/>
    <numFmt numFmtId="212" formatCode="#,##0.0_)_x;\(#,##0.0\)_x"/>
    <numFmt numFmtId="213" formatCode="0.0_)\%;\(0.0\)\%"/>
    <numFmt numFmtId="214" formatCode="#,##0.0_)_%;\(#,##0.0\)_%"/>
    <numFmt numFmtId="215" formatCode="0.00%;\(0.00%\)"/>
    <numFmt numFmtId="216" formatCode="0.0%_);[Red]\(0.0%\)"/>
    <numFmt numFmtId="217" formatCode="_([$€-2]* #,##0.00_);_([$€-2]* \(#,##0.00\);_([$€-2]* &quot;-&quot;??_)"/>
    <numFmt numFmtId="218" formatCode="0.0%_);\(0.0%\)"/>
    <numFmt numFmtId="219" formatCode="&quot;$&quot;#,##0.00&quot;A&quot;;[Red]\(&quot;$&quot;#,##0.00\)&quot;A&quot;"/>
    <numFmt numFmtId="220" formatCode="&quot;$&quot;#,##0.00&quot;E&quot;;[Red]\(&quot;$&quot;#,##0.00\)&quot;E&quot;"/>
    <numFmt numFmtId="221" formatCode="#,##0.0;[Red]\(#,##0.0\)"/>
    <numFmt numFmtId="222" formatCode="#,##0.0___);\(#,##0.0__\)"/>
    <numFmt numFmtId="223" formatCode="#,##0;[Red]\(#,##0\);&quot;-&quot;"/>
    <numFmt numFmtId="224" formatCode="#,##0.0;\(#,##0.0\);&quot;-&quot;"/>
    <numFmt numFmtId="225" formatCode="#,##0.00;\(#,##0.00\);&quot;-&quot;"/>
    <numFmt numFmtId="226" formatCode="#,##0.000;\(#,##0.000\);&quot;-&quot;"/>
    <numFmt numFmtId="227" formatCode="&quot;$&quot;#,##0;[Red]\ &quot;$&quot;\(#,##0\);&quot;-&quot;"/>
    <numFmt numFmtId="228" formatCode="&quot;$&quot;#,##0.0;\(&quot;$&quot;#,##0.0\);&quot;-&quot;"/>
    <numFmt numFmtId="229" formatCode="&quot;$&quot;#,##0.00;\(&quot;$&quot;#,##0.00\);&quot;-&quot;"/>
    <numFmt numFmtId="230" formatCode="&quot;$&quot;#,##0.00_)\ \ ;\(&quot;$&quot;#,##0.00\)\ \ "/>
    <numFmt numFmtId="231" formatCode="#,##0.0&quot; days&quot;;[Red]\(#,##0.0&quot; days&quot;\);&quot;-&quot;"/>
    <numFmt numFmtId="232" formatCode="0&quot;E&quot;"/>
    <numFmt numFmtId="233" formatCode="#,##0;[Red]\(#,##0\)"/>
    <numFmt numFmtId="234" formatCode="&quot;$&quot;#,##0.0_%_);\(&quot;$&quot;#,##0.0\)_%"/>
    <numFmt numFmtId="235" formatCode="&quot;$&quot;#,##0.00_%_);\(&quot;$&quot;#,##0.00\)_%"/>
    <numFmt numFmtId="236" formatCode="0.0\x_)_);&quot;NM    &quot;;0.0\x_)_)"/>
    <numFmt numFmtId="237" formatCode="&quot;$&quot;#,##0.0_)\ \ ;\(&quot;$&quot;#,##0.0\)\ \ "/>
    <numFmt numFmtId="238" formatCode="#,##0.00_);\(&quot;$&quot;#,##0.00\)"/>
    <numFmt numFmtId="239" formatCode="0.0\ \x\ \ \ \ ;&quot;NM      &quot;;\ 0.0\ \x\ \ \ \ "/>
    <numFmt numFmtId="240" formatCode="0.0%_)\ \ ;\(0.0%\)\ \ "/>
    <numFmt numFmtId="241" formatCode="#,##0\ &quot;DM&quot;;\-#,##0\ &quot;DM&quot;"/>
    <numFmt numFmtId="242" formatCode="#,##0\ &quot;DM&quot;;[Red]\-#,##0\ &quot;DM&quot;"/>
    <numFmt numFmtId="243" formatCode="#,##0.0\x;[Red]\(#,##0.0\x\);&quot;-&quot;"/>
    <numFmt numFmtId="244" formatCode="#,##0.0___);\(#,##0.0\)__\)"/>
    <numFmt numFmtId="245" formatCode="#,##0.00_)\ \ ;\(#,##0.00\)\ \ "/>
    <numFmt numFmtId="246" formatCode="#,##0.0%;\(#,##0.0%\)"/>
    <numFmt numFmtId="247" formatCode="#,##0.000%;[Red]\(#,##0.000%\);&quot;-&quot;"/>
    <numFmt numFmtId="248" formatCode="#,##0.0_)\ \ ;\(#,##0.0\)\ \ "/>
    <numFmt numFmtId="249" formatCode="#,##0.0_%_);\(#,##0.0\)_%"/>
    <numFmt numFmtId="250" formatCode="#,##0.000;[Red]\(#,##0.000\)"/>
    <numFmt numFmtId="251" formatCode="0.0\ \ \ ;\(0.0\)\ \ \ "/>
    <numFmt numFmtId="252" formatCode="0.0%;[Red]\-0.0%"/>
    <numFmt numFmtId="253" formatCode="#,##0.0&quot; years &quot;;\(#,##0.0&quot; years &quot;\);&quot;-&quot;"/>
    <numFmt numFmtId="254" formatCode="#,##0.0\ ;\(#,##0.0\)"/>
    <numFmt numFmtId="255" formatCode="0.0_)"/>
    <numFmt numFmtId="256" formatCode="#,##0.0_);\(#,##0.0\);#,##0.0_);@_)"/>
    <numFmt numFmtId="257" formatCode="\C&quot;$&quot;\ #,##0.00_);\C&quot;$&quot;\ \(#,##0.00\);\C&quot;$&quot;\ 0.00_)"/>
    <numFmt numFmtId="258" formatCode="0.0_)\%;\(0.0\)\%;0.0_)\%;@_)_%"/>
    <numFmt numFmtId="259" formatCode="#,##0.0_)_%;\(#,##0.0\)_%;0.0_)_%;@_)_%"/>
    <numFmt numFmtId="260" formatCode="&quot;$&quot;_(#,##0.00_);&quot;$&quot;\(#,##0.00\);&quot;$&quot;_(0.00_);@_)"/>
    <numFmt numFmtId="261" formatCode="#,##0.00_);\(#,##0.00\);0.00_);@_)"/>
    <numFmt numFmtId="262" formatCode="\€_(#,##0.00_);\€\(#,##0.00\);\€_(0.00_);@_)"/>
    <numFmt numFmtId="263" formatCode="#,##0_)\x;\(#,##0\)\x;0_)\x;@_)_x"/>
    <numFmt numFmtId="264" formatCode="#,##0_)_x;\(#,##0\)_x;0_)_x;@_)_x"/>
    <numFmt numFmtId="265" formatCode="0.0\x_);[Red]\(0.0\x\)"/>
    <numFmt numFmtId="266" formatCode="&quot;$&quot;#,##0\ ;\(&quot;$&quot;#,##0\)"/>
    <numFmt numFmtId="267" formatCode="#,##0.0\%_);\(#,##0.0\%\);#,##0.0\%_);@_)"/>
    <numFmt numFmtId="268" formatCode="_(* #,##0.0%;_(* #,##0.0%"/>
    <numFmt numFmtId="269" formatCode="#,##0.00&quot; F&quot;_);[Red]\(#,##0.00&quot; F&quot;\)"/>
    <numFmt numFmtId="270" formatCode="#,##0;[Red]#,##0"/>
    <numFmt numFmtId="271" formatCode="yyyy&quot;-&quot;m&quot;-&quot;d"/>
    <numFmt numFmtId="272" formatCode="yy&quot;/&quot;m&quot;/&quot;d"/>
    <numFmt numFmtId="273" formatCode="yyyy&quot;년&quot;\ m&quot;월&quot;"/>
    <numFmt numFmtId="274" formatCode="_(* #,##0.00_);_(* &quot;?&quot;&quot;?&quot;&quot;?&quot;&quot;?&quot;&quot;?&quot;&quot;?&quot;&quot;?&quot;&quot;?&quot;\(#,##0.00&quot;?&quot;&quot;?&quot;&quot;?&quot;&quot;?&quot;&quot;?&quot;&quot;?&quot;&quot;?&quot;&quot;?&quot;\);_(* &quot;-&quot;??_);_(@_)"/>
    <numFmt numFmtId="275" formatCode="_-&quot;?* #,##0_-;&quot;&quot;?&quot;&quot;?&quot;&quot;?&quot;&quot;?&quot;&quot;?&quot;&quot;?&quot;&quot;?&quot;\-&quot;?* #,##0_-;_-&quot;&quot;?&quot;* &quot;-&quot;_-;_-@_-"/>
    <numFmt numFmtId="276" formatCode="_-&quot;?* #,##0.00_-;&quot;&quot;?&quot;&quot;?&quot;&quot;?&quot;&quot;?&quot;&quot;?&quot;&quot;?&quot;&quot;?&quot;\-&quot;?* #,##0.00_-;_-&quot;&quot;?&quot;* &quot;-&quot;??_-;_-@_-"/>
    <numFmt numFmtId="277" formatCode="#,##0.0_);&quot;?&quot;&quot;?&quot;&quot;?&quot;&quot;?&quot;&quot;?&quot;&quot;?&quot;&quot;?&quot;&quot;?&quot;\(#,##0.0&quot;?&quot;&quot;?&quot;&quot;?&quot;&quot;?&quot;&quot;?&quot;&quot;?&quot;&quot;?&quot;&quot;?&quot;\)"/>
    <numFmt numFmtId="278" formatCode="#,###,##0"/>
    <numFmt numFmtId="279" formatCode="_(&quot;$&quot;#,##0_)&quot;millions&quot;;\(&quot;$&quot;#,##0\)&quot; millions&quot;"/>
    <numFmt numFmtId="280" formatCode="&quot;$&quot;#,##0.00_)\ \ \ ;\(&quot;$&quot;#,##0.00\)\ \ \ "/>
    <numFmt numFmtId="281" formatCode="&quot;$&quot;#,##0.00&quot;*&quot;\ \ ;\(&quot;$&quot;#,##0.00\)&quot;*&quot;\ \ "/>
    <numFmt numFmtId="282" formatCode="&quot;$&quot;#,##0.00\A_)\ ;\(&quot;$&quot;#,##0.00\A\)\ \ "/>
    <numFmt numFmtId="283" formatCode="@\ \ \ \ \ "/>
    <numFmt numFmtId="284" formatCode="&quot;$&quot;#,##0.00\A\ \ \ \ ;\(&quot;$&quot;#,##0.00\A\)\ \ \ \ "/>
    <numFmt numFmtId="285" formatCode="&quot;$&quot;#,##0.00&quot;E&quot;\ \ \ \ ;\(&quot;$&quot;#,##0.00&quot;E&quot;\)\ \ \ \ "/>
    <numFmt numFmtId="286" formatCode="#,##0.00\A\ \ \ \ ;\(#,##0.00\A\)\ \ \ \ "/>
    <numFmt numFmtId="287" formatCode="#,##0.00&quot;E&quot;\ \ \ \ ;\(#,##0.00&quot;E&quot;\)\ \ \ \ "/>
    <numFmt numFmtId="288" formatCode="&quot;$&quot;#,##0.00_)\ \ \ \ \ ;\(&quot;$&quot;#,##0.00\)\ \ \ \ \ "/>
    <numFmt numFmtId="289" formatCode="0%\ \ \ \ \ \ \ "/>
    <numFmt numFmtId="290" formatCode="&quot;$&quot;#,##0\ &quot;MM&quot;;\(&quot;$&quot;#,##0.00\ &quot;MM&quot;\)"/>
    <numFmt numFmtId="291" formatCode="_(&quot;$&quot;* #,##0_)\ &quot;millions&quot;;_(&quot;$&quot;* \(#,##0\)&quot; millions&quot;"/>
    <numFmt numFmtId="292" formatCode="0.0\ "/>
    <numFmt numFmtId="293" formatCode="0.0%\ \ \ \ \ "/>
    <numFmt numFmtId="294" formatCode="0.00\ \ \ \ "/>
    <numFmt numFmtId="295" formatCode="@\ "/>
    <numFmt numFmtId="296" formatCode="&quot;$&quot;@"/>
    <numFmt numFmtId="297" formatCode="&quot;$&quot;#,##0_);\(&quot;$&quot;#,##0\);&quot;$&quot;#,##0_);@_)"/>
    <numFmt numFmtId="298" formatCode="#,##0.00\x_);\(#,##0.00\x\)"/>
    <numFmt numFmtId="299" formatCode="#,##0.0_)\x;\(#,##0.0\)\x;0.0_)\x;@_)_x"/>
    <numFmt numFmtId="300" formatCode="#,##0.0_)_x;\(#,##0.0\)_x;0.0_)_x;@_)_x"/>
    <numFmt numFmtId="301" formatCode="#,##0.00;;;[White]General"/>
    <numFmt numFmtId="302" formatCode="_(&quot;CHF&quot;* #,##0.0_);_(&quot;CHF&quot;* \(#,##0.0\);_(&quot;CHF&quot;* &quot;-&quot;??_);_(@_)"/>
    <numFmt numFmtId="303" formatCode="&quot;$&quot;#,##0"/>
    <numFmt numFmtId="304" formatCode="&quot;$&quot;#,##0.00"/>
    <numFmt numFmtId="305" formatCode="&quot;£&quot;_(#,##0.00_);&quot;£&quot;\(#,##0.00\);&quot;£&quot;_(0.00_);@_)"/>
    <numFmt numFmtId="306" formatCode="0.0;\(0.0\)"/>
    <numFmt numFmtId="307" formatCode="#,##0.00000;\(#,##0.00000\)"/>
    <numFmt numFmtId="308" formatCode="&quot;£&quot;0.00\b\n"/>
    <numFmt numFmtId="309" formatCode="#,##0.0;\-#,##0.0"/>
    <numFmt numFmtId="310" formatCode="0.00;\(0.00\)"/>
    <numFmt numFmtId="311" formatCode="_-* #,##0.000_-;\-* #,##0.000_-;_-* &quot;-&quot;??_-;_-@_-"/>
    <numFmt numFmtId="312" formatCode="0.00\x"/>
    <numFmt numFmtId="313" formatCode="0\p"/>
    <numFmt numFmtId="314" formatCode="&quot;$&quot;0.0"/>
    <numFmt numFmtId="315" formatCode="&quot;$&quot;#,##0.0"/>
    <numFmt numFmtId="316" formatCode="_(* #,##0.000_);_(* \(#,##0.000\);_(* &quot;-&quot;??_);_(@_)"/>
    <numFmt numFmtId="317" formatCode="&quot;$&quot;#,##0.000"/>
    <numFmt numFmtId="318" formatCode="_(&quot;$&quot;* #,##0.000_);_(&quot;$&quot;* \(#,##0.000\);_(&quot;$&quot;* &quot;-&quot;??_);_(@_)"/>
    <numFmt numFmtId="319" formatCode="_(* #,##0.0_);_(* \(#,##0.0\);_(* &quot;-&quot;?_);_(@_)"/>
    <numFmt numFmtId="320" formatCode="&quot;MR&quot;#,##0.00_);\(&quot;$&quot;#,##0.00\)"/>
    <numFmt numFmtId="321" formatCode="0.00%_);[Red]\(0.00%\)"/>
    <numFmt numFmtId="322" formatCode="_(* 0%_);_(* \(0%\);_(* &quot;- &quot;_);_(@_)"/>
    <numFmt numFmtId="323" formatCode="mm/dd/yy_)"/>
    <numFmt numFmtId="324" formatCode="_(* #,##0_);_(* \(#,##0\);_(* &quot;- &quot;_);_(@_)"/>
    <numFmt numFmtId="325" formatCode="&quot;W&quot;&quot;$&quot;#,##0.00_);\(&quot;$&quot;#,##0.00\)"/>
    <numFmt numFmtId="326" formatCode="&quot;£&quot;#,##0.00;\-&quot;£&quot;#,##0.00"/>
    <numFmt numFmtId="327" formatCode="_-* #,##0_-;\-* #,##0_-;_-* &quot;-&quot;_-;_-@_-"/>
    <numFmt numFmtId="328" formatCode="_(* #,##0.0_);_(* \(#,##0.0\);_(* &quot;-&quot;_);_(@_)"/>
    <numFmt numFmtId="329" formatCode="\€#,##0_);\(\€#,##0\)"/>
    <numFmt numFmtId="330" formatCode="0_%_);\(0\)_%;0_%_);@_%_)"/>
    <numFmt numFmtId="331" formatCode="_(* #,###.00_);_(* \(#,###.00\);_(* &quot;-&quot;??_);_(@_)"/>
    <numFmt numFmtId="332" formatCode="&quot;$&quot;#,##0.00;[Red]\-&quot;$&quot;#,##0.00"/>
    <numFmt numFmtId="333" formatCode="&quot;$&quot;#,##0;[Red]\-&quot;$&quot;#,##0"/>
    <numFmt numFmtId="334" formatCode="\ð.\ð\ð\%"/>
    <numFmt numFmtId="335" formatCode="&quot;£&quot;_(#,##0.00_);&quot;£&quot;\(#,##0.00\)"/>
    <numFmt numFmtId="336" formatCode="\ð\%"/>
    <numFmt numFmtId="337" formatCode="&quot;$&quot;#,##0.00;\-&quot;$&quot;#,##0.00"/>
    <numFmt numFmtId="338" formatCode="&quot;Sfr&quot;#,##0_);\(&quot;Sfr&quot;#,##0\)"/>
    <numFmt numFmtId="339" formatCode="\&amp;\,\&amp;\&amp;\ð.\ð\ð_);\(\&amp;\,\&amp;\&amp;\ð.\ð\ð\)"/>
    <numFmt numFmtId="340" formatCode="&quot;$&quot;\ #,##0.0_);\(&quot;$&quot;\ #,##0.0\)"/>
    <numFmt numFmtId="341" formatCode="\ð.\ð\ð%"/>
    <numFmt numFmtId="342" formatCode="_-&quot;$&quot;* #,##0_-;\-&quot;$&quot;* #,##0_-;_-&quot;$&quot;* &quot;-&quot;_-;_-@_-"/>
    <numFmt numFmtId="343" formatCode="#,##0.0\ \ \ ;\(#,##0.0\)\ \ "/>
    <numFmt numFmtId="344" formatCode="d\ \´\´\´\´\ \b\b\b\b"/>
    <numFmt numFmtId="345" formatCode="0.0000"/>
    <numFmt numFmtId="346" formatCode="#,##0_);\(#,##0\);0_._0_)"/>
    <numFmt numFmtId="347" formatCode="\Ç\ \´\´\´\´\ \»\»\»\»"/>
    <numFmt numFmtId="348" formatCode="\£\ #,##0_);[Red]\(\£\ #,##0\)"/>
    <numFmt numFmtId="349" formatCode="\¥\ #,##0_);[Red]\(\¥\ #,##0\)"/>
    <numFmt numFmtId="350" formatCode="0_)"/>
    <numFmt numFmtId="351" formatCode="0&quot;A&quot;"/>
    <numFmt numFmtId="352" formatCode="#,##0_);\(#,##0\);\-_);"/>
    <numFmt numFmtId="353" formatCode="_(* #,##0.0,,_);_(* \(#,##0.0,,\);_(* &quot;-&quot;?_);_(@_)"/>
    <numFmt numFmtId="354" formatCode="&quot;$&quot;#,##0\ ;&quot;$&quot;\(#,##0\);\-\-_)"/>
    <numFmt numFmtId="355" formatCode="&quot;$&quot;\ 0.00_);\(&quot;$&quot;\ 0.00\)"/>
  </numFmts>
  <fonts count="293">
    <font>
      <sz val="9"/>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6"/>
      <color indexed="9"/>
      <name val="Arial"/>
      <family val="2"/>
    </font>
    <font>
      <b/>
      <sz val="10"/>
      <name val="Arial"/>
      <family val="2"/>
    </font>
    <font>
      <i/>
      <sz val="10"/>
      <name val="Arial"/>
      <family val="2"/>
    </font>
    <font>
      <b/>
      <sz val="12"/>
      <color indexed="9"/>
      <name val="Arial"/>
      <family val="2"/>
    </font>
    <font>
      <i/>
      <sz val="10"/>
      <color indexed="9"/>
      <name val="Arial"/>
      <family val="2"/>
    </font>
    <font>
      <sz val="8"/>
      <color indexed="81"/>
      <name val="Tahoma"/>
      <family val="2"/>
    </font>
    <font>
      <b/>
      <sz val="8"/>
      <color indexed="81"/>
      <name val="Tahoma"/>
      <family val="2"/>
    </font>
    <font>
      <sz val="9"/>
      <name val="Arial"/>
      <family val="2"/>
    </font>
    <font>
      <sz val="9"/>
      <color indexed="8"/>
      <name val="Arial"/>
      <family val="2"/>
    </font>
    <font>
      <sz val="8"/>
      <name val="Helvetica"/>
      <family val="2"/>
    </font>
    <font>
      <b/>
      <sz val="8"/>
      <name val="Arial"/>
      <family val="2"/>
    </font>
    <font>
      <b/>
      <sz val="12"/>
      <name val="Arial"/>
      <family val="2"/>
    </font>
    <font>
      <sz val="10"/>
      <name val="Helvetica"/>
      <family val="2"/>
    </font>
    <font>
      <i/>
      <sz val="8"/>
      <name val="Arial"/>
      <family val="2"/>
    </font>
    <font>
      <sz val="8"/>
      <color indexed="12"/>
      <name val="Arial"/>
      <family val="2"/>
    </font>
    <font>
      <i/>
      <sz val="10"/>
      <color indexed="9"/>
      <name val="Arial"/>
      <family val="2"/>
    </font>
    <font>
      <sz val="9"/>
      <name val="Arial"/>
      <family val="2"/>
    </font>
    <font>
      <b/>
      <sz val="9"/>
      <name val="Arial"/>
      <family val="2"/>
    </font>
    <font>
      <b/>
      <sz val="9"/>
      <color indexed="8"/>
      <name val="Arial"/>
      <family val="2"/>
    </font>
    <font>
      <sz val="9"/>
      <color indexed="12"/>
      <name val="Arial"/>
      <family val="2"/>
    </font>
    <font>
      <sz val="9"/>
      <color indexed="16"/>
      <name val="Arial"/>
      <family val="2"/>
    </font>
    <font>
      <b/>
      <sz val="9"/>
      <color indexed="12"/>
      <name val="Arial"/>
      <family val="2"/>
    </font>
    <font>
      <sz val="9"/>
      <name val="Helvetica"/>
      <family val="2"/>
    </font>
    <font>
      <b/>
      <sz val="9"/>
      <name val="Helvetica"/>
      <family val="2"/>
    </font>
    <font>
      <b/>
      <sz val="9"/>
      <name val="Arial"/>
      <family val="2"/>
    </font>
    <font>
      <b/>
      <sz val="9"/>
      <name val="Helvetica"/>
      <family val="2"/>
    </font>
    <font>
      <sz val="9"/>
      <color indexed="8"/>
      <name val="Arial"/>
      <family val="2"/>
    </font>
    <font>
      <sz val="9"/>
      <color indexed="16"/>
      <name val="Arial"/>
      <family val="2"/>
    </font>
    <font>
      <u/>
      <sz val="9"/>
      <name val="Arial"/>
      <family val="2"/>
    </font>
    <font>
      <i/>
      <u/>
      <sz val="9"/>
      <name val="Arial"/>
      <family val="2"/>
    </font>
    <font>
      <b/>
      <sz val="9"/>
      <color indexed="8"/>
      <name val="Arial"/>
      <family val="2"/>
    </font>
    <font>
      <u/>
      <sz val="9"/>
      <name val="Arial"/>
      <family val="2"/>
    </font>
    <font>
      <b/>
      <sz val="9"/>
      <color indexed="16"/>
      <name val="Arial"/>
      <family val="2"/>
    </font>
    <font>
      <u/>
      <sz val="9"/>
      <color indexed="12"/>
      <name val="Arial"/>
      <family val="2"/>
    </font>
    <font>
      <sz val="9"/>
      <name val="Arial"/>
      <family val="2"/>
    </font>
    <font>
      <b/>
      <u/>
      <sz val="9"/>
      <name val="Arial"/>
      <family val="2"/>
    </font>
    <font>
      <u/>
      <sz val="9"/>
      <color indexed="16"/>
      <name val="Arial"/>
      <family val="2"/>
    </font>
    <font>
      <b/>
      <i/>
      <sz val="9"/>
      <name val="Arial"/>
      <family val="2"/>
    </font>
    <font>
      <u/>
      <sz val="9"/>
      <color indexed="12"/>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52"/>
      <name val="Calibri"/>
      <family val="2"/>
    </font>
    <font>
      <sz val="11"/>
      <color indexed="60"/>
      <name val="Calibri"/>
      <family val="2"/>
    </font>
    <font>
      <sz val="11"/>
      <color indexed="10"/>
      <name val="Calibri"/>
      <family val="2"/>
    </font>
    <font>
      <sz val="10"/>
      <color indexed="8"/>
      <name val="Arial"/>
      <family val="2"/>
    </font>
    <font>
      <sz val="9"/>
      <color indexed="16"/>
      <name val="Arial"/>
      <family val="2"/>
    </font>
    <font>
      <sz val="9"/>
      <color indexed="12"/>
      <name val="Arial"/>
      <family val="2"/>
    </font>
    <font>
      <sz val="9"/>
      <color indexed="10"/>
      <name val="Arial"/>
      <family val="2"/>
    </font>
    <font>
      <sz val="10"/>
      <name val="Times New Roman"/>
      <family val="1"/>
    </font>
    <font>
      <b/>
      <sz val="10"/>
      <name val="Times New Roman"/>
      <family val="1"/>
    </font>
    <font>
      <sz val="9"/>
      <name val="Times New Roman"/>
      <family val="1"/>
    </font>
    <font>
      <sz val="10"/>
      <color indexed="10"/>
      <name val="Times New Roman"/>
      <family val="1"/>
    </font>
    <font>
      <sz val="8"/>
      <name val="Times New Roman"/>
      <family val="1"/>
    </font>
    <font>
      <sz val="9"/>
      <color indexed="8"/>
      <name val="Times New Roman"/>
      <family val="1"/>
    </font>
    <font>
      <b/>
      <sz val="10"/>
      <color indexed="8"/>
      <name val="Times New Roman"/>
      <family val="1"/>
    </font>
    <font>
      <sz val="9"/>
      <color indexed="9"/>
      <name val="Times New Roman"/>
      <family val="1"/>
    </font>
    <font>
      <b/>
      <sz val="24"/>
      <name val="Times New Roman"/>
      <family val="1"/>
    </font>
    <font>
      <b/>
      <sz val="8.5"/>
      <color indexed="17"/>
      <name val="Arial"/>
      <family val="2"/>
    </font>
    <font>
      <sz val="7"/>
      <name val="Arial"/>
      <family val="2"/>
    </font>
    <font>
      <b/>
      <sz val="7"/>
      <color indexed="17"/>
      <name val="Arial"/>
      <family val="2"/>
    </font>
    <font>
      <sz val="8.5"/>
      <color indexed="8"/>
      <name val="Arial"/>
      <family val="2"/>
    </font>
    <font>
      <sz val="10"/>
      <name val="MS Sans Serif"/>
      <family val="2"/>
    </font>
    <font>
      <b/>
      <sz val="14"/>
      <name val="Arial"/>
      <family val="2"/>
    </font>
    <font>
      <sz val="10"/>
      <color indexed="8"/>
      <name val="MS Sans Serif"/>
      <family val="2"/>
    </font>
    <font>
      <b/>
      <sz val="14"/>
      <name val="Times New Roman"/>
      <family val="1"/>
    </font>
    <font>
      <sz val="12"/>
      <name val="Helvetica"/>
      <family val="2"/>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0"/>
      <name val="GS TheSans"/>
      <family val="2"/>
    </font>
    <font>
      <b/>
      <sz val="10"/>
      <color indexed="18"/>
      <name val="Arial"/>
      <family val="2"/>
    </font>
    <font>
      <b/>
      <sz val="10"/>
      <color indexed="8"/>
      <name val="Arial"/>
      <family val="2"/>
    </font>
    <font>
      <i/>
      <sz val="10"/>
      <name val="Times New Roman"/>
      <family val="1"/>
    </font>
    <font>
      <b/>
      <sz val="8"/>
      <color indexed="8"/>
      <name val="Arial"/>
      <family val="2"/>
    </font>
    <font>
      <sz val="8"/>
      <name val="Times"/>
      <family val="1"/>
    </font>
    <font>
      <sz val="8"/>
      <name val="Helv"/>
    </font>
    <font>
      <sz val="8"/>
      <color indexed="49"/>
      <name val="Times New Roman"/>
      <family val="1"/>
    </font>
    <font>
      <b/>
      <sz val="22"/>
      <color indexed="18"/>
      <name val="Arial"/>
      <family val="2"/>
    </font>
    <font>
      <b/>
      <sz val="14"/>
      <color indexed="18"/>
      <name val="Arial"/>
      <family val="2"/>
    </font>
    <font>
      <b/>
      <u val="singleAccounting"/>
      <sz val="10"/>
      <color indexed="18"/>
      <name val="Arial"/>
      <family val="2"/>
    </font>
    <font>
      <sz val="10"/>
      <name val="Times"/>
      <family val="1"/>
    </font>
    <font>
      <sz val="8"/>
      <name val="Tms Rmn"/>
    </font>
    <font>
      <b/>
      <sz val="9"/>
      <color indexed="8"/>
      <name val="Helvetica 65"/>
    </font>
    <font>
      <sz val="7"/>
      <color indexed="8"/>
      <name val="Helvetica 45"/>
      <family val="2"/>
    </font>
    <font>
      <sz val="7"/>
      <color indexed="8"/>
      <name val="Helvetica 65"/>
      <family val="2"/>
    </font>
    <font>
      <sz val="6"/>
      <color indexed="8"/>
      <name val="Helvetica 65"/>
      <family val="2"/>
    </font>
    <font>
      <sz val="12"/>
      <name val="Arial"/>
      <family val="2"/>
    </font>
    <font>
      <sz val="8"/>
      <color indexed="12"/>
      <name val="Tms Rmn"/>
    </font>
    <font>
      <b/>
      <sz val="8"/>
      <name val="TimesNewRomanPS"/>
      <family val="1"/>
    </font>
    <font>
      <sz val="8"/>
      <color indexed="12"/>
      <name val="Helv"/>
      <family val="2"/>
    </font>
    <font>
      <sz val="8.5"/>
      <name val="Arial Narrow"/>
      <family val="2"/>
    </font>
    <font>
      <sz val="8"/>
      <color indexed="12"/>
      <name val="Arial Narrow"/>
      <family val="2"/>
    </font>
    <font>
      <sz val="8.5"/>
      <color indexed="49"/>
      <name val="Arial Narrow"/>
      <family val="2"/>
    </font>
    <font>
      <sz val="10"/>
      <name val="System"/>
      <family val="2"/>
    </font>
    <font>
      <sz val="14"/>
      <name val="Palatino"/>
      <family val="1"/>
    </font>
    <font>
      <sz val="16"/>
      <name val="Palatino"/>
      <family val="1"/>
    </font>
    <font>
      <sz val="32"/>
      <name val="Helvetica-Black"/>
    </font>
    <font>
      <sz val="11"/>
      <color indexed="12"/>
      <name val="Book Antiqua"/>
      <family val="1"/>
    </font>
    <font>
      <b/>
      <i/>
      <u/>
      <sz val="8.5"/>
      <color indexed="12"/>
      <name val="Arial Narrow"/>
      <family val="2"/>
    </font>
    <font>
      <sz val="8.5"/>
      <color indexed="12"/>
      <name val="Arial Narrow"/>
      <family val="2"/>
    </font>
    <font>
      <b/>
      <sz val="8.5"/>
      <name val="Arial Narrow"/>
      <family val="2"/>
    </font>
    <font>
      <sz val="8"/>
      <name val="Palatino"/>
      <family val="1"/>
    </font>
    <font>
      <b/>
      <sz val="8"/>
      <name val="Times New Roman"/>
      <family val="1"/>
    </font>
    <font>
      <sz val="8"/>
      <color indexed="14"/>
      <name val="Arial Narrow"/>
      <family val="2"/>
    </font>
    <font>
      <b/>
      <sz val="9.5"/>
      <color indexed="10"/>
      <name val="MS Sans Serif"/>
      <family val="2"/>
    </font>
    <font>
      <sz val="6"/>
      <color indexed="23"/>
      <name val="Helvetica-Black"/>
    </font>
    <font>
      <sz val="9.5"/>
      <color indexed="23"/>
      <name val="Helvetica-Black"/>
    </font>
    <font>
      <sz val="7"/>
      <name val="Palatino"/>
      <family val="1"/>
    </font>
    <font>
      <i/>
      <sz val="8"/>
      <color indexed="17"/>
      <name val="Times New Roman"/>
      <family val="1"/>
    </font>
    <font>
      <sz val="8"/>
      <color indexed="21"/>
      <name val="Arial"/>
      <family val="2"/>
    </font>
    <font>
      <sz val="6"/>
      <name val="Palatino"/>
      <family val="1"/>
    </font>
    <font>
      <sz val="28"/>
      <name val="Helvetica-Black"/>
    </font>
    <font>
      <sz val="10"/>
      <name val="Helvetica-Black"/>
    </font>
    <font>
      <sz val="18"/>
      <name val="Helvetica-Black"/>
    </font>
    <font>
      <sz val="10"/>
      <name val="Palatino"/>
      <family val="1"/>
    </font>
    <font>
      <sz val="18"/>
      <name val="Palatino"/>
      <family val="1"/>
    </font>
    <font>
      <i/>
      <sz val="14"/>
      <name val="Palatino"/>
      <family val="1"/>
    </font>
    <font>
      <sz val="8"/>
      <color indexed="16"/>
      <name val="Palatino"/>
      <family val="1"/>
    </font>
    <font>
      <sz val="8"/>
      <color indexed="12"/>
      <name val="Palatino"/>
      <family val="1"/>
    </font>
    <font>
      <i/>
      <sz val="8"/>
      <name val="Tms Rmn"/>
    </font>
    <font>
      <sz val="8"/>
      <color indexed="10"/>
      <name val="Times New Roman"/>
      <family val="1"/>
    </font>
    <font>
      <sz val="8"/>
      <color indexed="18"/>
      <name val="Times New Roman"/>
      <family val="1"/>
    </font>
    <font>
      <sz val="8"/>
      <color indexed="9"/>
      <name val="Arial"/>
      <family val="2"/>
    </font>
    <font>
      <b/>
      <sz val="8"/>
      <color indexed="12"/>
      <name val="Arial Narrow"/>
      <family val="2"/>
    </font>
    <font>
      <sz val="8"/>
      <name val="GS TheSans"/>
      <family val="2"/>
    </font>
    <font>
      <b/>
      <sz val="9"/>
      <color indexed="8"/>
      <name val="Helvetica 65"/>
      <family val="2"/>
    </font>
    <font>
      <sz val="9"/>
      <color indexed="8"/>
      <name val="Helvetica 45"/>
      <family val="2"/>
    </font>
    <font>
      <b/>
      <sz val="8"/>
      <color indexed="8"/>
      <name val="Helvetica 65"/>
    </font>
    <font>
      <sz val="8"/>
      <name val="Helvetica 65"/>
      <family val="2"/>
    </font>
    <font>
      <b/>
      <sz val="26"/>
      <name val="Times New Roman"/>
      <family val="1"/>
    </font>
    <font>
      <b/>
      <sz val="18"/>
      <name val="Times New Roman"/>
      <family val="1"/>
    </font>
    <font>
      <sz val="10"/>
      <color indexed="16"/>
      <name val="Helvetica-Black"/>
    </font>
    <font>
      <b/>
      <sz val="8"/>
      <name val="Arial Narrow"/>
      <family val="2"/>
    </font>
    <font>
      <sz val="9"/>
      <color indexed="21"/>
      <name val="Helvetica-Black"/>
    </font>
    <font>
      <b/>
      <sz val="9"/>
      <name val="Palatino"/>
      <family val="1"/>
    </font>
    <font>
      <sz val="9"/>
      <name val="Palatino"/>
      <family val="1"/>
    </font>
    <font>
      <sz val="9"/>
      <name val="Helvetica-Black"/>
    </font>
    <font>
      <b/>
      <sz val="14"/>
      <color indexed="8"/>
      <name val="Times New Roman"/>
      <family val="1"/>
    </font>
    <font>
      <sz val="8"/>
      <name val="Helvetica-Narrow"/>
      <family val="2"/>
    </font>
    <font>
      <b/>
      <sz val="7"/>
      <name val="Helvetica-Narrow"/>
      <family val="2"/>
    </font>
    <font>
      <sz val="12"/>
      <color indexed="8"/>
      <name val="Palatino"/>
      <family val="1"/>
    </font>
    <font>
      <sz val="12"/>
      <name val="Palatino"/>
      <family val="1"/>
    </font>
    <font>
      <sz val="11"/>
      <name val="Helvetica-Black"/>
    </font>
    <font>
      <sz val="11"/>
      <color indexed="8"/>
      <name val="Helvetica-Black"/>
    </font>
    <font>
      <sz val="11"/>
      <name val="Helvetica-Black"/>
      <family val="2"/>
    </font>
    <font>
      <b/>
      <sz val="10"/>
      <color indexed="16"/>
      <name val="Times New Roman"/>
      <family val="1"/>
    </font>
    <font>
      <b/>
      <sz val="8"/>
      <color indexed="18"/>
      <name val="Times New Roman"/>
      <family val="1"/>
    </font>
    <font>
      <b/>
      <sz val="8"/>
      <name val="Palatino"/>
      <family val="1"/>
    </font>
    <font>
      <u val="double"/>
      <sz val="8"/>
      <color indexed="8"/>
      <name val="Arial"/>
      <family val="2"/>
    </font>
    <font>
      <u/>
      <sz val="8"/>
      <name val="Tms Rmn"/>
    </font>
    <font>
      <sz val="8"/>
      <color indexed="12"/>
      <name val="Times New Roman"/>
      <family val="1"/>
    </font>
    <font>
      <sz val="8.5"/>
      <color indexed="14"/>
      <name val="Arial Narrow"/>
      <family val="2"/>
    </font>
    <font>
      <sz val="12"/>
      <name val="宋体"/>
      <charset val="134"/>
    </font>
    <font>
      <sz val="10"/>
      <name val="Helv"/>
    </font>
    <font>
      <sz val="8"/>
      <name val="Book Antiqua"/>
      <family val="1"/>
    </font>
    <font>
      <sz val="12"/>
      <name val="바탕체"/>
      <family val="1"/>
      <charset val="129"/>
    </font>
    <font>
      <sz val="11"/>
      <name val="돋움"/>
      <family val="3"/>
      <charset val="129"/>
    </font>
    <font>
      <sz val="10"/>
      <name val="GillSans"/>
      <family val="2"/>
    </font>
    <font>
      <sz val="10"/>
      <name val="Tms Rmn"/>
    </font>
    <font>
      <sz val="9"/>
      <name val="Helv"/>
    </font>
    <font>
      <sz val="10"/>
      <name val="Courier"/>
      <family val="3"/>
    </font>
    <font>
      <b/>
      <i/>
      <sz val="8"/>
      <name val="Arial"/>
      <family val="2"/>
    </font>
    <font>
      <sz val="11"/>
      <name val="Tms Rmn"/>
    </font>
    <font>
      <sz val="10"/>
      <color indexed="12"/>
      <name val="Book Antiqua"/>
      <family val="1"/>
    </font>
    <font>
      <b/>
      <sz val="11"/>
      <name val="Book Antiqua"/>
      <family val="1"/>
    </font>
    <font>
      <b/>
      <sz val="11"/>
      <color indexed="56"/>
      <name val="Calibri"/>
      <family val="2"/>
    </font>
    <font>
      <b/>
      <sz val="9"/>
      <name val="Helv"/>
    </font>
    <font>
      <b/>
      <sz val="6"/>
      <color indexed="18"/>
      <name val="Arial"/>
      <family val="2"/>
    </font>
    <font>
      <b/>
      <sz val="10"/>
      <name val="Palatino"/>
      <family val="1"/>
    </font>
    <font>
      <i/>
      <sz val="9"/>
      <color indexed="8"/>
      <name val="Arial"/>
      <family val="2"/>
    </font>
    <font>
      <sz val="10"/>
      <name val="Book Antiqua"/>
      <family val="1"/>
    </font>
    <font>
      <b/>
      <sz val="11"/>
      <color indexed="63"/>
      <name val="Calibri"/>
      <family val="2"/>
    </font>
    <font>
      <b/>
      <sz val="10"/>
      <name val="MS Sans Serif"/>
      <family val="2"/>
    </font>
    <font>
      <b/>
      <sz val="20"/>
      <color indexed="8"/>
      <name val="Helvetica"/>
      <family val="2"/>
    </font>
    <font>
      <u/>
      <sz val="10"/>
      <name val="GillSans"/>
      <family val="2"/>
    </font>
    <font>
      <sz val="10"/>
      <name val="GillSans Light"/>
      <family val="2"/>
    </font>
    <font>
      <b/>
      <sz val="14"/>
      <color indexed="9"/>
      <name val="Arial"/>
      <family val="2"/>
    </font>
    <font>
      <b/>
      <sz val="10"/>
      <color indexed="9"/>
      <name val="Arial"/>
      <family val="2"/>
    </font>
    <font>
      <b/>
      <i/>
      <sz val="8"/>
      <color indexed="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sz val="9"/>
      <name val="Book Antiqua"/>
      <family val="1"/>
    </font>
    <font>
      <b/>
      <sz val="7"/>
      <name val="Arial"/>
      <family val="2"/>
    </font>
    <font>
      <i/>
      <sz val="8"/>
      <name val="Times New Roman"/>
      <family val="1"/>
    </font>
    <font>
      <b/>
      <sz val="10"/>
      <color indexed="37"/>
      <name val="Arial"/>
      <family val="2"/>
    </font>
    <font>
      <b/>
      <sz val="12"/>
      <color indexed="8"/>
      <name val="Arial"/>
      <family val="2"/>
    </font>
    <font>
      <b/>
      <i/>
      <sz val="12"/>
      <color indexed="10"/>
      <name val="Arial"/>
      <family val="2"/>
    </font>
    <font>
      <u/>
      <sz val="11"/>
      <name val="GillSans"/>
      <family val="2"/>
    </font>
    <font>
      <b/>
      <u/>
      <sz val="10"/>
      <color indexed="9"/>
      <name val="Arial"/>
      <family val="2"/>
    </font>
    <font>
      <b/>
      <i/>
      <sz val="10"/>
      <color indexed="18"/>
      <name val="Arial"/>
      <family val="2"/>
    </font>
    <font>
      <b/>
      <i/>
      <sz val="10"/>
      <color indexed="8"/>
      <name val="Arial"/>
      <family val="2"/>
    </font>
    <font>
      <u/>
      <sz val="10"/>
      <name val="Helv"/>
    </font>
    <font>
      <b/>
      <u/>
      <sz val="10"/>
      <name val="Times"/>
      <family val="1"/>
    </font>
    <font>
      <b/>
      <sz val="9"/>
      <color indexed="8"/>
      <name val="Trebuchet MS"/>
      <family val="2"/>
    </font>
    <font>
      <sz val="11"/>
      <color indexed="8"/>
      <name val="Calibri"/>
      <family val="2"/>
    </font>
    <font>
      <sz val="11"/>
      <color indexed="8"/>
      <name val="Calibri"/>
      <family val="2"/>
    </font>
    <font>
      <b/>
      <sz val="9"/>
      <name val="Trebuchet MS"/>
      <family val="2"/>
    </font>
    <font>
      <sz val="11"/>
      <color theme="1"/>
      <name val="Calibri"/>
      <family val="2"/>
      <scheme val="minor"/>
    </font>
    <font>
      <u/>
      <sz val="9"/>
      <color theme="10"/>
      <name val="Arial"/>
      <family val="2"/>
    </font>
    <font>
      <u/>
      <sz val="10"/>
      <color theme="10"/>
      <name val="Arial"/>
      <family val="2"/>
    </font>
    <font>
      <sz val="10"/>
      <color rgb="FF000000"/>
      <name val="Arial"/>
      <family val="2"/>
    </font>
    <font>
      <sz val="9"/>
      <color rgb="FFFF0000"/>
      <name val="Arial"/>
      <family val="2"/>
    </font>
    <font>
      <sz val="9"/>
      <color rgb="FF0000FF"/>
      <name val="Arial"/>
      <family val="2"/>
    </font>
    <font>
      <b/>
      <sz val="10"/>
      <color theme="1"/>
      <name val="Arial"/>
      <family val="2"/>
    </font>
    <font>
      <sz val="10"/>
      <color theme="1"/>
      <name val="Arial"/>
      <family val="2"/>
    </font>
    <font>
      <sz val="10"/>
      <name val="GS TheSans"/>
      <family val="2"/>
    </font>
    <font>
      <sz val="8"/>
      <name val="Tahoma"/>
      <family val="2"/>
    </font>
    <font>
      <b/>
      <sz val="12"/>
      <name val="Tms Rmn"/>
    </font>
    <font>
      <b/>
      <sz val="10"/>
      <name val="Bookman"/>
      <family val="1"/>
    </font>
    <font>
      <b/>
      <sz val="14"/>
      <name val="Book Antiqua"/>
      <family val="1"/>
    </font>
    <font>
      <i/>
      <sz val="7"/>
      <name val="Book Antiqua"/>
      <family val="1"/>
    </font>
    <font>
      <sz val="10"/>
      <color indexed="72"/>
      <name val="System"/>
      <family val="2"/>
    </font>
    <font>
      <sz val="8"/>
      <name val="Helv"/>
      <family val="2"/>
    </font>
    <font>
      <b/>
      <sz val="14"/>
      <name val="Bookman"/>
      <family val="1"/>
    </font>
    <font>
      <sz val="9"/>
      <color indexed="81"/>
      <name val="Tahoma"/>
      <family val="2"/>
    </font>
    <font>
      <b/>
      <sz val="9"/>
      <color indexed="81"/>
      <name val="Tahoma"/>
      <family val="2"/>
    </font>
    <font>
      <sz val="9"/>
      <color theme="1"/>
      <name val="Arial"/>
      <family val="2"/>
    </font>
    <font>
      <i/>
      <sz val="9"/>
      <color theme="1"/>
      <name val="Arial"/>
      <family val="2"/>
    </font>
    <font>
      <i/>
      <sz val="9"/>
      <name val="Arial"/>
      <family val="2"/>
    </font>
    <font>
      <sz val="9"/>
      <color theme="1"/>
      <name val="Times New Roman"/>
      <family val="2"/>
    </font>
    <font>
      <sz val="10"/>
      <name val="Univers LT Std 65 Bold"/>
      <family val="2"/>
    </font>
    <font>
      <u/>
      <sz val="11"/>
      <color theme="10"/>
      <name val="Calibri"/>
      <family val="2"/>
    </font>
    <font>
      <i/>
      <sz val="10"/>
      <name val="Helv"/>
    </font>
    <font>
      <b/>
      <u/>
      <sz val="7"/>
      <name val="Helvetica"/>
      <family val="2"/>
    </font>
    <font>
      <b/>
      <sz val="8"/>
      <name val="Book Antiqua"/>
      <family val="1"/>
    </font>
    <font>
      <b/>
      <i/>
      <sz val="16"/>
      <name val="Helv"/>
    </font>
    <font>
      <b/>
      <sz val="12"/>
      <color indexed="16"/>
      <name val="Arial"/>
      <family val="2"/>
    </font>
    <font>
      <b/>
      <u/>
      <sz val="14"/>
      <name val="Book Antiqua"/>
      <family val="1"/>
    </font>
    <font>
      <b/>
      <sz val="10"/>
      <name val="Book Antiqua"/>
      <family val="1"/>
    </font>
    <font>
      <b/>
      <u/>
      <sz val="10"/>
      <color theme="1"/>
      <name val="Arial"/>
      <family val="2"/>
    </font>
    <font>
      <sz val="10"/>
      <color theme="0" tint="-0.249977111117893"/>
      <name val="Arial"/>
      <family val="2"/>
    </font>
    <font>
      <sz val="8"/>
      <color theme="1"/>
      <name val="Arial"/>
      <family val="2"/>
    </font>
    <font>
      <u val="singleAccounting"/>
      <sz val="10"/>
      <color theme="1"/>
      <name val="Arial"/>
      <family val="2"/>
    </font>
    <font>
      <b/>
      <sz val="10"/>
      <color indexed="12"/>
      <name val="Arial"/>
      <family val="2"/>
    </font>
    <font>
      <u/>
      <sz val="10"/>
      <color indexed="12"/>
      <name val="Arial"/>
      <family val="2"/>
    </font>
    <font>
      <sz val="10"/>
      <color indexed="12"/>
      <name val="Arial"/>
      <family val="2"/>
    </font>
    <font>
      <i/>
      <sz val="10"/>
      <color theme="1"/>
      <name val="Arial"/>
      <family val="2"/>
    </font>
    <font>
      <u/>
      <sz val="9"/>
      <color indexed="81"/>
      <name val="Tahoma"/>
      <family val="2"/>
    </font>
    <font>
      <i/>
      <sz val="9"/>
      <color indexed="81"/>
      <name val="Tahoma"/>
      <family val="2"/>
    </font>
    <font>
      <sz val="8"/>
      <color indexed="17"/>
      <name val="Times New Roman"/>
      <family val="1"/>
    </font>
    <font>
      <u/>
      <sz val="8.4"/>
      <color indexed="12"/>
      <name val="Arial"/>
      <family val="2"/>
    </font>
    <font>
      <sz val="12"/>
      <name val="MS ??"/>
      <family val="1"/>
      <charset val="128"/>
    </font>
    <font>
      <sz val="9"/>
      <name val="Lucida Sans"/>
      <family val="2"/>
    </font>
    <font>
      <sz val="10"/>
      <name val="ＭＳ 明朝"/>
      <family val="1"/>
      <charset val="128"/>
    </font>
    <font>
      <sz val="11"/>
      <color indexed="10"/>
      <name val="Arial"/>
      <family val="2"/>
    </font>
    <font>
      <sz val="12"/>
      <name val="times new roman"/>
      <family val="1"/>
    </font>
    <font>
      <sz val="11"/>
      <color indexed="8"/>
      <name val="宋体"/>
      <charset val="134"/>
    </font>
    <font>
      <b/>
      <sz val="14"/>
      <color indexed="10"/>
      <name val="Helv"/>
    </font>
    <font>
      <sz val="11"/>
      <color indexed="9"/>
      <name val="宋体"/>
      <charset val="134"/>
    </font>
    <font>
      <sz val="12"/>
      <name val="Arial MT"/>
    </font>
    <font>
      <sz val="8"/>
      <color indexed="8"/>
      <name val="Times New Roman"/>
      <family val="1"/>
    </font>
    <font>
      <b/>
      <sz val="18"/>
      <name val="Helv"/>
    </font>
    <font>
      <sz val="14"/>
      <name val="Helv"/>
    </font>
    <font>
      <b/>
      <sz val="14"/>
      <name val="Helv"/>
    </font>
    <font>
      <sz val="11"/>
      <name val="Arial"/>
      <family val="2"/>
    </font>
    <font>
      <i/>
      <sz val="8"/>
      <color indexed="16"/>
      <name val="Arial"/>
      <family val="2"/>
    </font>
    <font>
      <i/>
      <sz val="8"/>
      <color indexed="54"/>
      <name val="Arial"/>
      <family val="2"/>
    </font>
    <font>
      <i/>
      <sz val="9"/>
      <color indexed="16"/>
      <name val="Arial"/>
      <family val="2"/>
    </font>
    <font>
      <b/>
      <sz val="11"/>
      <name val="Arial"/>
      <family val="2"/>
    </font>
    <font>
      <b/>
      <sz val="12"/>
      <color indexed="10"/>
      <name val="Palatino"/>
      <family val="1"/>
    </font>
    <font>
      <b/>
      <sz val="6"/>
      <name val="Arial"/>
      <family val="2"/>
    </font>
    <font>
      <sz val="24"/>
      <color indexed="12"/>
      <name val="Arial"/>
      <family val="2"/>
    </font>
    <font>
      <b/>
      <sz val="8"/>
      <color indexed="9"/>
      <name val="Arial"/>
      <family val="2"/>
    </font>
    <font>
      <i/>
      <sz val="9"/>
      <color indexed="48"/>
      <name val="Arial"/>
      <family val="2"/>
    </font>
    <font>
      <sz val="9"/>
      <color indexed="48"/>
      <name val="Arial"/>
      <family val="2"/>
    </font>
    <font>
      <sz val="11"/>
      <color theme="1"/>
      <name val="Univers LT Std 55"/>
      <family val="2"/>
    </font>
    <font>
      <sz val="9"/>
      <color rgb="FF3333FF"/>
      <name val="Arial"/>
      <family val="2"/>
    </font>
    <font>
      <b/>
      <i/>
      <sz val="10"/>
      <color theme="1"/>
      <name val="Arial"/>
      <family val="2"/>
    </font>
    <font>
      <i/>
      <sz val="8"/>
      <color indexed="12"/>
      <name val="Arial"/>
      <family val="2"/>
    </font>
    <font>
      <sz val="9"/>
      <color theme="0" tint="-0.499984740745262"/>
      <name val="Arial"/>
      <family val="2"/>
    </font>
    <font>
      <u/>
      <sz val="9"/>
      <color theme="0" tint="-0.499984740745262"/>
      <name val="Arial"/>
      <family val="2"/>
    </font>
    <font>
      <sz val="9"/>
      <color rgb="FF002856"/>
      <name val="Arial"/>
      <family val="2"/>
    </font>
    <font>
      <b/>
      <sz val="10"/>
      <color rgb="FF000000"/>
      <name val="Arial"/>
      <family val="2"/>
    </font>
    <font>
      <b/>
      <sz val="9"/>
      <color rgb="FF0000FF"/>
      <name val="Arial"/>
      <family val="2"/>
    </font>
    <font>
      <i/>
      <u/>
      <sz val="9"/>
      <color indexed="8"/>
      <name val="Arial"/>
      <family val="2"/>
    </font>
  </fonts>
  <fills count="100">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43"/>
      </patternFill>
    </fill>
    <fill>
      <patternFill patternType="solid">
        <fgColor indexed="30"/>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gray0625">
        <fgColor indexed="10"/>
        <bgColor indexed="9"/>
      </patternFill>
    </fill>
    <fill>
      <patternFill patternType="lightGray">
        <fgColor indexed="14"/>
        <bgColor indexed="9"/>
      </patternFill>
    </fill>
    <fill>
      <patternFill patternType="solid">
        <fgColor indexed="22"/>
      </patternFill>
    </fill>
    <fill>
      <patternFill patternType="solid">
        <fgColor indexed="55"/>
      </patternFill>
    </fill>
    <fill>
      <patternFill patternType="mediumGray">
        <fgColor indexed="22"/>
      </patternFill>
    </fill>
    <fill>
      <patternFill patternType="solid">
        <fgColor indexed="47"/>
        <bgColor indexed="64"/>
      </patternFill>
    </fill>
    <fill>
      <patternFill patternType="solid">
        <fgColor indexed="11"/>
        <bgColor indexed="64"/>
      </patternFill>
    </fill>
    <fill>
      <patternFill patternType="lightGray">
        <fgColor indexed="9"/>
      </patternFill>
    </fill>
    <fill>
      <patternFill patternType="gray0625">
        <fgColor indexed="13"/>
        <bgColor indexed="9"/>
      </patternFill>
    </fill>
    <fill>
      <patternFill patternType="solid">
        <fgColor indexed="15"/>
        <bgColor indexed="64"/>
      </patternFill>
    </fill>
    <fill>
      <patternFill patternType="lightGray">
        <fgColor indexed="12"/>
        <bgColor indexed="9"/>
      </patternFill>
    </fill>
    <fill>
      <patternFill patternType="solid">
        <fgColor indexed="26"/>
        <bgColor indexed="64"/>
      </patternFill>
    </fill>
    <fill>
      <patternFill patternType="gray0625">
        <fgColor indexed="9"/>
      </patternFill>
    </fill>
    <fill>
      <patternFill patternType="solid">
        <fgColor indexed="11"/>
        <bgColor indexed="9"/>
      </patternFill>
    </fill>
    <fill>
      <patternFill patternType="gray0625">
        <fgColor indexed="9"/>
        <bgColor indexed="9"/>
      </patternFill>
    </fill>
    <fill>
      <patternFill patternType="solid">
        <fgColor indexed="8"/>
        <bgColor indexed="64"/>
      </patternFill>
    </fill>
    <fill>
      <patternFill patternType="solid">
        <fgColor indexed="13"/>
        <bgColor indexed="64"/>
      </patternFill>
    </fill>
    <fill>
      <patternFill patternType="solid">
        <fgColor indexed="9"/>
        <bgColor indexed="64"/>
      </patternFill>
    </fill>
    <fill>
      <patternFill patternType="solid">
        <fgColor indexed="30"/>
        <bgColor indexed="64"/>
      </patternFill>
    </fill>
    <fill>
      <patternFill patternType="solid">
        <fgColor indexed="13"/>
      </patternFill>
    </fill>
    <fill>
      <patternFill patternType="solid">
        <fgColor indexed="63"/>
        <bgColor indexed="64"/>
      </patternFill>
    </fill>
    <fill>
      <patternFill patternType="lightGray">
        <fgColor indexed="22"/>
        <bgColor indexed="9"/>
      </patternFill>
    </fill>
    <fill>
      <patternFill patternType="solid">
        <fgColor indexed="34"/>
        <bgColor indexed="64"/>
      </patternFill>
    </fill>
    <fill>
      <patternFill patternType="solid">
        <fgColor indexed="16"/>
        <bgColor indexed="64"/>
      </patternFill>
    </fill>
    <fill>
      <patternFill patternType="lightGray">
        <fgColor indexed="13"/>
      </patternFill>
    </fill>
    <fill>
      <patternFill patternType="solid">
        <fgColor indexed="9"/>
        <bgColor indexed="9"/>
      </patternFill>
    </fill>
    <fill>
      <patternFill patternType="lightGray">
        <fgColor indexed="9"/>
        <bgColor indexed="9"/>
      </patternFill>
    </fill>
    <fill>
      <patternFill patternType="lightGray">
        <fgColor indexed="22"/>
      </patternFill>
    </fill>
    <fill>
      <patternFill patternType="solid">
        <fgColor indexed="27"/>
        <bgColor indexed="64"/>
      </patternFill>
    </fill>
    <fill>
      <patternFill patternType="solid">
        <fgColor indexed="28"/>
        <bgColor indexed="64"/>
      </patternFill>
    </fill>
    <fill>
      <patternFill patternType="solid">
        <fgColor indexed="24"/>
        <bgColor indexed="64"/>
      </patternFill>
    </fill>
    <fill>
      <patternFill patternType="solid">
        <fgColor theme="8"/>
        <bgColor indexed="64"/>
      </patternFill>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indexed="18"/>
        <bgColor indexed="64"/>
      </patternFill>
    </fill>
    <fill>
      <patternFill patternType="lightGray">
        <fgColor indexed="15"/>
      </patternFill>
    </fill>
    <fill>
      <patternFill patternType="solid">
        <fgColor theme="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43"/>
        <bgColor indexed="64"/>
      </patternFill>
    </fill>
    <fill>
      <patternFill patternType="solid">
        <fgColor indexed="29"/>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indexed="61"/>
        <bgColor indexed="61"/>
      </patternFill>
    </fill>
    <fill>
      <patternFill patternType="solid">
        <fgColor indexed="44"/>
        <bgColor indexed="44"/>
      </patternFill>
    </fill>
    <fill>
      <patternFill patternType="solid">
        <fgColor indexed="22"/>
        <bgColor indexed="22"/>
      </patternFill>
    </fill>
    <fill>
      <patternFill patternType="solid">
        <fgColor indexed="54"/>
        <bgColor indexed="54"/>
      </patternFill>
    </fill>
    <fill>
      <patternFill patternType="solid">
        <fgColor indexed="58"/>
        <bgColor indexed="58"/>
      </patternFill>
    </fill>
    <fill>
      <patternFill patternType="solid">
        <fgColor indexed="24"/>
        <bgColor indexed="24"/>
      </patternFill>
    </fill>
    <fill>
      <patternFill patternType="solid">
        <fgColor indexed="31"/>
        <bgColor indexed="31"/>
      </patternFill>
    </fill>
    <fill>
      <patternFill patternType="solid">
        <fgColor indexed="15"/>
        <bgColor indexed="15"/>
      </patternFill>
    </fill>
    <fill>
      <patternFill patternType="solid">
        <fgColor indexed="40"/>
        <bgColor indexed="40"/>
      </patternFill>
    </fill>
    <fill>
      <patternFill patternType="solid">
        <fgColor indexed="45"/>
        <bgColor indexed="45"/>
      </patternFill>
    </fill>
    <fill>
      <patternFill patternType="solid">
        <fgColor indexed="55"/>
        <bgColor indexed="55"/>
      </patternFill>
    </fill>
    <fill>
      <patternFill patternType="solid">
        <fgColor indexed="60"/>
        <bgColor indexed="60"/>
      </patternFill>
    </fill>
    <fill>
      <patternFill patternType="solid">
        <fgColor indexed="41"/>
        <bgColor indexed="41"/>
      </patternFill>
    </fill>
    <fill>
      <patternFill patternType="solid">
        <fgColor indexed="11"/>
        <bgColor indexed="11"/>
      </patternFill>
    </fill>
    <fill>
      <patternFill patternType="solid">
        <fgColor indexed="50"/>
        <bgColor indexed="50"/>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s>
  <borders count="66">
    <border>
      <left/>
      <right/>
      <top/>
      <bottom/>
      <diagonal/>
    </border>
    <border>
      <left style="thin">
        <color indexed="64"/>
      </left>
      <right/>
      <top/>
      <bottom/>
      <diagonal/>
    </border>
    <border>
      <left/>
      <right/>
      <top style="hair">
        <color indexed="8"/>
      </top>
      <bottom style="hair">
        <color indexed="8"/>
      </bottom>
      <diagonal/>
    </border>
    <border>
      <left/>
      <right/>
      <top/>
      <bottom style="medium">
        <color indexed="18"/>
      </bottom>
      <diagonal/>
    </border>
    <border>
      <left/>
      <right/>
      <top/>
      <bottom style="thin">
        <color indexed="8"/>
      </bottom>
      <diagonal/>
    </border>
    <border>
      <left/>
      <right/>
      <top style="thin">
        <color indexed="64"/>
      </top>
      <bottom style="thin">
        <color indexed="64"/>
      </bottom>
      <diagonal/>
    </border>
    <border>
      <left/>
      <right/>
      <top/>
      <bottom style="medium">
        <color indexed="64"/>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8"/>
      </right>
      <top style="thin">
        <color indexed="8"/>
      </top>
      <bottom/>
      <diagonal/>
    </border>
    <border>
      <left/>
      <right/>
      <top/>
      <bottom style="thin">
        <color indexed="64"/>
      </bottom>
      <diagonal/>
    </border>
    <border>
      <left/>
      <right style="thin">
        <color indexed="64"/>
      </right>
      <top/>
      <bottom/>
      <diagonal/>
    </border>
    <border>
      <left/>
      <right/>
      <top/>
      <bottom style="dotted">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9"/>
      </left>
      <right style="thin">
        <color indexed="9"/>
      </right>
      <top/>
      <bottom/>
      <diagonal/>
    </border>
    <border>
      <left/>
      <right/>
      <top style="medium">
        <color indexed="64"/>
      </top>
      <bottom style="medium">
        <color indexed="64"/>
      </bottom>
      <diagonal/>
    </border>
    <border>
      <left/>
      <right/>
      <top/>
      <bottom style="double">
        <color indexed="52"/>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style="thin">
        <color indexed="64"/>
      </bottom>
      <diagonal/>
    </border>
    <border>
      <left/>
      <right/>
      <top style="medium">
        <color indexed="23"/>
      </top>
      <bottom style="medium">
        <color indexed="23"/>
      </bottom>
      <diagonal/>
    </border>
    <border>
      <left/>
      <right/>
      <top style="thin">
        <color indexed="64"/>
      </top>
      <bottom style="medium">
        <color indexed="64"/>
      </bottom>
      <diagonal/>
    </border>
    <border>
      <left/>
      <right/>
      <top/>
      <bottom style="thick">
        <color indexed="18"/>
      </bottom>
      <diagonal/>
    </border>
    <border>
      <left style="medium">
        <color indexed="9"/>
      </left>
      <right style="medium">
        <color indexed="49"/>
      </right>
      <top/>
      <bottom/>
      <diagonal/>
    </border>
    <border>
      <left style="thick">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right style="medium">
        <color indexed="64"/>
      </right>
      <top/>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top/>
      <bottom/>
      <diagonal/>
    </border>
    <border>
      <left style="medium">
        <color indexed="64"/>
      </left>
      <right/>
      <top style="thin">
        <color indexed="64"/>
      </top>
      <bottom style="thin">
        <color indexed="64"/>
      </bottom>
      <diagonal/>
    </border>
    <border>
      <left/>
      <right/>
      <top style="thin">
        <color indexed="8"/>
      </top>
      <bottom style="thin">
        <color indexed="8"/>
      </bottom>
      <diagonal/>
    </border>
    <border>
      <left style="medium">
        <color indexed="9"/>
      </left>
      <right style="medium">
        <color indexed="9"/>
      </right>
      <top/>
      <bottom/>
      <diagonal/>
    </border>
    <border>
      <left style="thick">
        <color indexed="9"/>
      </left>
      <right style="thick">
        <color indexed="9"/>
      </right>
      <top/>
      <bottom style="double">
        <color indexed="64"/>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style="thin">
        <color indexed="8"/>
      </top>
      <bottom style="thin">
        <color indexed="8"/>
      </bottom>
      <diagonal/>
    </border>
    <border>
      <left/>
      <right style="thin">
        <color indexed="8"/>
      </right>
      <top style="thin">
        <color indexed="8"/>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hair">
        <color indexed="8"/>
      </bottom>
      <diagonal/>
    </border>
    <border>
      <left/>
      <right/>
      <top style="thin">
        <color indexed="64"/>
      </top>
      <bottom/>
      <diagonal/>
    </border>
    <border>
      <left style="medium">
        <color indexed="64"/>
      </left>
      <right style="medium">
        <color indexed="64"/>
      </right>
      <top/>
      <bottom style="thick">
        <color indexed="37"/>
      </bottom>
      <diagonal/>
    </border>
    <border>
      <left style="thin">
        <color indexed="9"/>
      </left>
      <right style="thin">
        <color indexed="9"/>
      </right>
      <top style="thin">
        <color indexed="9"/>
      </top>
      <bottom style="thin">
        <color indexed="9"/>
      </bottom>
      <diagonal/>
    </border>
    <border>
      <left style="medium">
        <color indexed="9"/>
      </left>
      <right style="medium">
        <color indexed="9"/>
      </right>
      <top style="medium">
        <color indexed="9"/>
      </top>
      <bottom style="medium">
        <color indexed="9"/>
      </bottom>
      <diagonal/>
    </border>
    <border>
      <left style="medium">
        <color indexed="64"/>
      </left>
      <right style="medium">
        <color indexed="64"/>
      </right>
      <top style="medium">
        <color indexed="64"/>
      </top>
      <bottom style="medium">
        <color indexed="64"/>
      </bottom>
      <diagonal/>
    </border>
  </borders>
  <cellStyleXfs count="7088">
    <xf numFmtId="37" fontId="0" fillId="0" borderId="0" applyFill="0" applyBorder="0" applyProtection="0"/>
    <xf numFmtId="0" fontId="19" fillId="0" borderId="0"/>
    <xf numFmtId="254" fontId="14" fillId="0" borderId="0"/>
    <xf numFmtId="0"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254" fontId="14" fillId="0" borderId="0"/>
    <xf numFmtId="0" fontId="173" fillId="0" borderId="0"/>
    <xf numFmtId="254" fontId="14" fillId="0" borderId="0"/>
    <xf numFmtId="257" fontId="65" fillId="0" borderId="0"/>
    <xf numFmtId="0" fontId="174" fillId="0" borderId="0"/>
    <xf numFmtId="257" fontId="65" fillId="0" borderId="0"/>
    <xf numFmtId="8" fontId="90" fillId="0" borderId="0"/>
    <xf numFmtId="193" fontId="14" fillId="0" borderId="0"/>
    <xf numFmtId="0" fontId="14" fillId="0" borderId="0"/>
    <xf numFmtId="202" fontId="91" fillId="0" borderId="0"/>
    <xf numFmtId="0" fontId="91" fillId="0" borderId="0"/>
    <xf numFmtId="0" fontId="26" fillId="0" borderId="0"/>
    <xf numFmtId="279" fontId="173" fillId="0" borderId="0">
      <alignment horizontal="right"/>
    </xf>
    <xf numFmtId="280" fontId="173" fillId="2" borderId="0"/>
    <xf numFmtId="281" fontId="173" fillId="2" borderId="0"/>
    <xf numFmtId="282" fontId="173" fillId="2" borderId="0"/>
    <xf numFmtId="0" fontId="173" fillId="2" borderId="0">
      <alignment horizontal="right"/>
    </xf>
    <xf numFmtId="218" fontId="92" fillId="0" borderId="0" applyFont="0" applyFill="0" applyBorder="0" applyAlignment="0" applyProtection="0"/>
    <xf numFmtId="0" fontId="92" fillId="0" borderId="0" applyFont="0" applyFill="0" applyBorder="0" applyAlignment="0" applyProtection="0"/>
    <xf numFmtId="268" fontId="46" fillId="3" borderId="1" applyFont="0" applyFill="0" applyBorder="0" applyAlignment="0" applyProtection="0"/>
    <xf numFmtId="268" fontId="46" fillId="3" borderId="1"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0" fontId="14" fillId="0" borderId="0" applyFont="0" applyFill="0" applyBorder="0" applyAlignment="0" applyProtection="0">
      <alignment horizontal="centerContinuous"/>
    </xf>
    <xf numFmtId="37" fontId="19" fillId="0" borderId="0"/>
    <xf numFmtId="0" fontId="19" fillId="0" borderId="0"/>
    <xf numFmtId="0" fontId="76" fillId="0" borderId="0" applyNumberFormat="0" applyFont="0" applyFill="0" applyBorder="0" applyAlignment="0" applyProtection="0"/>
    <xf numFmtId="0" fontId="76" fillId="0" borderId="0" applyNumberFormat="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46" fillId="0" borderId="0" applyFont="0" applyFill="0" applyBorder="0" applyAlignment="0" applyProtection="0"/>
    <xf numFmtId="0"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3" fontId="14" fillId="0" borderId="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3" fontId="14" fillId="0" borderId="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262" fontId="46" fillId="0" borderId="0" applyFont="0" applyFill="0" applyBorder="0" applyAlignment="0" applyProtection="0"/>
    <xf numFmtId="0"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46" fillId="0" borderId="0" applyFont="0" applyFill="0" applyBorder="0" applyAlignment="0" applyProtection="0"/>
    <xf numFmtId="0" fontId="19" fillId="0" borderId="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4" borderId="0" applyNumberFormat="0" applyFont="0" applyAlignment="0" applyProtection="0"/>
    <xf numFmtId="0" fontId="46" fillId="4" borderId="0" applyNumberFormat="0" applyFont="0" applyAlignment="0" applyProtection="0"/>
    <xf numFmtId="3" fontId="14" fillId="0" borderId="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193" fontId="46" fillId="0" borderId="0" applyFont="0" applyFill="0" applyBorder="0" applyAlignment="0" applyProtection="0"/>
    <xf numFmtId="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264"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Alignment="0" applyProtection="0"/>
    <xf numFmtId="264"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0"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Protection="0">
      <alignment horizontal="right"/>
    </xf>
    <xf numFmtId="212" fontId="46" fillId="0" borderId="0" applyFont="0" applyFill="0" applyBorder="0" applyAlignment="0" applyProtection="0"/>
    <xf numFmtId="0"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264"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Protection="0">
      <alignment horizontal="right"/>
    </xf>
    <xf numFmtId="193" fontId="46" fillId="0" borderId="0" applyFont="0" applyFill="0" applyBorder="0" applyAlignment="0" applyProtection="0"/>
    <xf numFmtId="19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192" fontId="46" fillId="0" borderId="0" applyFont="0" applyFill="0" applyBorder="0" applyAlignment="0" applyProtection="0"/>
    <xf numFmtId="0"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0"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180" fontId="46" fillId="0" borderId="0" applyFont="0" applyFill="0" applyBorder="0" applyAlignment="0" applyProtection="0"/>
    <xf numFmtId="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175" fillId="0" borderId="0" applyFont="0" applyFill="0" applyBorder="0" applyAlignment="0" applyProtection="0"/>
    <xf numFmtId="0"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4" applyNumberFormat="0" applyFont="0" applyFill="0" applyAlignment="0" applyProtection="0"/>
    <xf numFmtId="0" fontId="46" fillId="0" borderId="4" applyNumberFormat="0" applyFont="0" applyFill="0" applyAlignment="0" applyProtection="0"/>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15" fillId="0" borderId="0" applyNumberFormat="0" applyFill="0" applyBorder="0" applyAlignment="0" applyProtection="0"/>
    <xf numFmtId="170" fontId="65" fillId="0" borderId="0"/>
    <xf numFmtId="0" fontId="65" fillId="0" borderId="0"/>
    <xf numFmtId="170" fontId="65" fillId="0" borderId="0"/>
    <xf numFmtId="9" fontId="91" fillId="0" borderId="0" applyFont="0" applyFill="0" applyBorder="0" applyAlignment="0" applyProtection="0"/>
    <xf numFmtId="193" fontId="96" fillId="0" borderId="0"/>
    <xf numFmtId="0" fontId="96" fillId="0" borderId="0"/>
    <xf numFmtId="0" fontId="91" fillId="0" borderId="0" applyFont="0" applyFill="0" applyBorder="0" applyAlignment="0" applyProtection="0"/>
    <xf numFmtId="40" fontId="96" fillId="0" borderId="0"/>
    <xf numFmtId="10" fontId="91" fillId="0" borderId="0" applyFont="0" applyFill="0" applyBorder="0" applyAlignment="0" applyProtection="0"/>
    <xf numFmtId="257" fontId="65" fillId="0" borderId="0"/>
    <xf numFmtId="0" fontId="174" fillId="0" borderId="0"/>
    <xf numFmtId="257" fontId="65" fillId="0" borderId="0"/>
    <xf numFmtId="0" fontId="91" fillId="0" borderId="0" applyFont="0" applyFill="0" applyBorder="0" applyAlignment="0" applyProtection="0"/>
    <xf numFmtId="3" fontId="19" fillId="0" borderId="0"/>
    <xf numFmtId="0" fontId="46" fillId="0" borderId="0" applyBorder="0"/>
    <xf numFmtId="39" fontId="176" fillId="0" borderId="0" applyFont="0" applyFill="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8" borderId="0" applyNumberFormat="0" applyBorder="0" applyAlignment="0" applyProtection="0"/>
    <xf numFmtId="0" fontId="47" fillId="8" borderId="0" applyNumberFormat="0" applyBorder="0" applyAlignment="0" applyProtection="0"/>
    <xf numFmtId="0" fontId="47" fillId="9" borderId="0" applyNumberFormat="0" applyBorder="0" applyAlignment="0" applyProtection="0"/>
    <xf numFmtId="0" fontId="47" fillId="9"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176" fillId="0" borderId="0" applyFont="0" applyFill="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4" borderId="0" applyNumberFormat="0" applyBorder="0" applyAlignment="0" applyProtection="0"/>
    <xf numFmtId="0" fontId="47" fillId="14"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8" fillId="5" borderId="0" applyNumberFormat="0" applyBorder="0" applyAlignment="0" applyProtection="0"/>
    <xf numFmtId="0" fontId="48" fillId="5" borderId="0" applyNumberFormat="0" applyBorder="0" applyAlignment="0" applyProtection="0"/>
    <xf numFmtId="0" fontId="48" fillId="13"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48" fillId="14" borderId="0" applyNumberFormat="0" applyBorder="0" applyAlignment="0" applyProtection="0"/>
    <xf numFmtId="0" fontId="48" fillId="17"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8" borderId="0" applyNumberFormat="0" applyBorder="0" applyAlignment="0" applyProtection="0"/>
    <xf numFmtId="0" fontId="48" fillId="19" borderId="0" applyNumberFormat="0" applyBorder="0" applyAlignment="0" applyProtection="0"/>
    <xf numFmtId="0" fontId="48" fillId="19" borderId="0" applyNumberFormat="0" applyBorder="0" applyAlignment="0" applyProtection="0"/>
    <xf numFmtId="200" fontId="97" fillId="0" borderId="0"/>
    <xf numFmtId="0" fontId="97" fillId="0" borderId="0"/>
    <xf numFmtId="166" fontId="65" fillId="0" borderId="0"/>
    <xf numFmtId="0" fontId="65" fillId="0" borderId="0"/>
    <xf numFmtId="166" fontId="65" fillId="0" borderId="0"/>
    <xf numFmtId="41" fontId="14" fillId="0" borderId="0" applyFill="0" applyBorder="0" applyProtection="0"/>
    <xf numFmtId="0" fontId="48" fillId="20"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48" fillId="22" borderId="0" applyNumberFormat="0" applyBorder="0" applyAlignment="0" applyProtection="0"/>
    <xf numFmtId="0" fontId="48" fillId="17"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8"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187" fontId="66" fillId="24" borderId="0" applyNumberFormat="0" applyFont="0" applyBorder="0" applyAlignment="0">
      <alignment horizontal="right"/>
    </xf>
    <xf numFmtId="0" fontId="66" fillId="24" borderId="0" applyNumberFormat="0" applyFont="0" applyBorder="0" applyAlignment="0">
      <alignment horizontal="right"/>
    </xf>
    <xf numFmtId="186" fontId="67" fillId="24" borderId="5" applyFont="0">
      <alignment horizontal="right"/>
    </xf>
    <xf numFmtId="0" fontId="67" fillId="24" borderId="5" applyFont="0">
      <alignment horizontal="right"/>
    </xf>
    <xf numFmtId="0" fontId="6" fillId="0" borderId="0" applyNumberFormat="0" applyFill="0" applyBorder="0" applyAlignment="0" applyProtection="0"/>
    <xf numFmtId="0" fontId="98" fillId="0" borderId="0" applyNumberFormat="0" applyAlignment="0"/>
    <xf numFmtId="0" fontId="99" fillId="0" borderId="0" applyNumberFormat="0" applyAlignment="0"/>
    <xf numFmtId="0" fontId="100" fillId="0" borderId="0" applyNumberFormat="0" applyAlignment="0"/>
    <xf numFmtId="0" fontId="101" fillId="0" borderId="0" applyNumberFormat="0" applyAlignment="0"/>
    <xf numFmtId="0" fontId="46" fillId="0" borderId="0"/>
    <xf numFmtId="0" fontId="46" fillId="0" borderId="0"/>
    <xf numFmtId="5" fontId="102" fillId="0" borderId="6">
      <alignment horizontal="right"/>
    </xf>
    <xf numFmtId="0" fontId="49" fillId="8" borderId="0" applyNumberFormat="0" applyBorder="0" applyAlignment="0" applyProtection="0"/>
    <xf numFmtId="0" fontId="49" fillId="8" borderId="0" applyNumberFormat="0" applyBorder="0" applyAlignment="0" applyProtection="0"/>
    <xf numFmtId="0" fontId="65" fillId="0" borderId="0" applyFont="0" applyFill="0" applyBorder="0" applyAlignment="0" applyProtection="0"/>
    <xf numFmtId="198" fontId="65" fillId="0" borderId="0" applyFill="0" applyBorder="0" applyAlignment="0" applyProtection="0">
      <protection locked="0"/>
    </xf>
    <xf numFmtId="0" fontId="65" fillId="0" borderId="0" applyFill="0" applyBorder="0" applyAlignment="0" applyProtection="0">
      <protection locked="0"/>
    </xf>
    <xf numFmtId="198" fontId="65" fillId="0" borderId="0" applyFill="0" applyBorder="0" applyAlignment="0" applyProtection="0">
      <protection locked="0"/>
    </xf>
    <xf numFmtId="3" fontId="102" fillId="0" borderId="0" applyFont="0" applyBorder="0" applyAlignment="0" applyProtection="0"/>
    <xf numFmtId="0" fontId="68" fillId="0" borderId="0" applyNumberFormat="0" applyFill="0" applyBorder="0" applyAlignment="0"/>
    <xf numFmtId="0" fontId="103" fillId="0" borderId="0" applyNumberFormat="0" applyFill="0" applyBorder="0" applyAlignment="0" applyProtection="0"/>
    <xf numFmtId="0" fontId="17" fillId="0" borderId="0"/>
    <xf numFmtId="0" fontId="65" fillId="0" borderId="6" applyNumberFormat="0" applyFont="0" applyFill="0" applyAlignment="0" applyProtection="0"/>
    <xf numFmtId="0" fontId="65" fillId="0" borderId="7" applyNumberFormat="0" applyFont="0" applyFill="0" applyAlignment="0" applyProtection="0"/>
    <xf numFmtId="0" fontId="104" fillId="0" borderId="0"/>
    <xf numFmtId="2" fontId="6" fillId="25" borderId="0" applyNumberFormat="0" applyFont="0" applyBorder="0" applyAlignment="0" applyProtection="0"/>
    <xf numFmtId="0" fontId="46" fillId="0" borderId="0" applyFill="0" applyBorder="0" applyAlignment="0"/>
    <xf numFmtId="0" fontId="46" fillId="0" borderId="0" applyFill="0" applyBorder="0" applyAlignment="0"/>
    <xf numFmtId="270" fontId="171" fillId="0" borderId="0" applyFill="0" applyBorder="0" applyAlignment="0"/>
    <xf numFmtId="271" fontId="171" fillId="0" borderId="0" applyFill="0" applyBorder="0" applyAlignment="0"/>
    <xf numFmtId="272" fontId="171" fillId="0" borderId="0" applyFill="0" applyBorder="0" applyAlignment="0"/>
    <xf numFmtId="273" fontId="171" fillId="0" borderId="0" applyFill="0" applyBorder="0" applyAlignment="0"/>
    <xf numFmtId="277" fontId="171" fillId="0" borderId="0" applyFill="0" applyBorder="0" applyAlignment="0"/>
    <xf numFmtId="274" fontId="171" fillId="0" borderId="0" applyFill="0" applyBorder="0" applyAlignment="0"/>
    <xf numFmtId="270" fontId="171" fillId="0" borderId="0" applyFill="0" applyBorder="0" applyAlignment="0"/>
    <xf numFmtId="0" fontId="50" fillId="26" borderId="8" applyNumberFormat="0" applyAlignment="0" applyProtection="0"/>
    <xf numFmtId="0" fontId="50" fillId="26" borderId="8" applyNumberFormat="0" applyAlignment="0" applyProtection="0"/>
    <xf numFmtId="198" fontId="65" fillId="0" borderId="0" applyFont="0" applyFill="0" applyBorder="0" applyAlignment="0" applyProtection="0">
      <protection locked="0"/>
    </xf>
    <xf numFmtId="0" fontId="65" fillId="0" borderId="0" applyFont="0" applyFill="0" applyBorder="0" applyAlignment="0" applyProtection="0">
      <protection locked="0"/>
    </xf>
    <xf numFmtId="198" fontId="65" fillId="0" borderId="0" applyFont="0" applyFill="0" applyBorder="0" applyAlignment="0" applyProtection="0">
      <protection locked="0"/>
    </xf>
    <xf numFmtId="0" fontId="65" fillId="0" borderId="9" applyFont="0" applyFill="0" applyAlignment="0" applyProtection="0"/>
    <xf numFmtId="0" fontId="51" fillId="27" borderId="10" applyNumberFormat="0" applyAlignment="0" applyProtection="0"/>
    <xf numFmtId="0" fontId="51" fillId="27" borderId="10" applyNumberFormat="0" applyAlignment="0" applyProtection="0"/>
    <xf numFmtId="0" fontId="6" fillId="0" borderId="0" applyNumberFormat="0" applyFill="0" applyBorder="0" applyAlignment="0" applyProtection="0"/>
    <xf numFmtId="0" fontId="177" fillId="0" borderId="0" applyNumberFormat="0" applyFill="0" applyBorder="0" applyAlignment="0" applyProtection="0"/>
    <xf numFmtId="0" fontId="17" fillId="28" borderId="11" applyFont="0" applyFill="0" applyBorder="0"/>
    <xf numFmtId="0" fontId="6" fillId="0" borderId="12"/>
    <xf numFmtId="43" fontId="46" fillId="0" borderId="0" applyFont="0" applyFill="0" applyBorder="0" applyAlignment="0" applyProtection="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221" fontId="65" fillId="0" borderId="0"/>
    <xf numFmtId="0" fontId="65" fillId="0" borderId="0"/>
    <xf numFmtId="221" fontId="65" fillId="0" borderId="0"/>
    <xf numFmtId="221" fontId="65" fillId="0" borderId="0"/>
    <xf numFmtId="38" fontId="74" fillId="0" borderId="0" applyFont="0" applyFill="0" applyBorder="0" applyAlignment="0" applyProtection="0"/>
    <xf numFmtId="277" fontId="171" fillId="0" borderId="0" applyFont="0" applyFill="0" applyBorder="0" applyAlignment="0" applyProtection="0"/>
    <xf numFmtId="38" fontId="105" fillId="0" borderId="0">
      <alignment horizontal="center"/>
      <protection locked="0"/>
    </xf>
    <xf numFmtId="203" fontId="61" fillId="0" borderId="0" applyFont="0" applyFill="0" applyBorder="0" applyAlignment="0" applyProtection="0">
      <alignment horizontal="right"/>
    </xf>
    <xf numFmtId="0" fontId="61" fillId="0" borderId="0" applyFont="0" applyFill="0" applyBorder="0" applyAlignment="0" applyProtection="0">
      <alignment horizontal="right"/>
    </xf>
    <xf numFmtId="203" fontId="61" fillId="0" borderId="0" applyFont="0" applyFill="0" applyBorder="0" applyAlignment="0" applyProtection="0">
      <alignment horizontal="right"/>
    </xf>
    <xf numFmtId="222" fontId="16" fillId="0" borderId="0" applyFont="0" applyFill="0" applyBorder="0" applyAlignment="0" applyProtection="0"/>
    <xf numFmtId="0" fontId="16" fillId="0" borderId="0" applyFont="0" applyFill="0" applyBorder="0" applyAlignment="0" applyProtection="0"/>
    <xf numFmtId="245" fontId="16" fillId="0" borderId="0" applyFill="0" applyBorder="0" applyProtection="0"/>
    <xf numFmtId="168" fontId="74" fillId="0" borderId="0" applyFont="0" applyFill="0" applyBorder="0" applyAlignment="0" applyProtection="0"/>
    <xf numFmtId="0" fontId="74"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43" fontId="212" fillId="0" borderId="0" applyFont="0" applyFill="0" applyBorder="0" applyAlignment="0" applyProtection="0"/>
    <xf numFmtId="204" fontId="61" fillId="0" borderId="0" applyFont="0" applyFill="0" applyBorder="0" applyAlignment="0" applyProtection="0">
      <alignment horizontal="right"/>
    </xf>
    <xf numFmtId="0" fontId="61" fillId="0" borderId="0" applyFont="0" applyFill="0" applyBorder="0" applyAlignment="0" applyProtection="0">
      <alignment horizontal="right"/>
    </xf>
    <xf numFmtId="204" fontId="61" fillId="0" borderId="0" applyFont="0" applyFill="0" applyBorder="0" applyAlignment="0" applyProtection="0">
      <alignment horizontal="right"/>
    </xf>
    <xf numFmtId="180" fontId="29" fillId="0" borderId="0" applyFont="0" applyFill="0" applyBorder="0" applyAlignment="0" applyProtection="0"/>
    <xf numFmtId="0" fontId="29"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39" fontId="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223" fontId="106" fillId="0" borderId="0" applyFont="0" applyFill="0" applyBorder="0">
      <alignment horizontal="right"/>
    </xf>
    <xf numFmtId="0" fontId="106" fillId="0" borderId="0" applyFont="0" applyFill="0" applyBorder="0">
      <alignment horizontal="right"/>
    </xf>
    <xf numFmtId="224" fontId="107" fillId="0" borderId="0" applyFont="0" applyFill="0" applyBorder="0" applyAlignment="0"/>
    <xf numFmtId="0" fontId="107" fillId="0" borderId="0" applyFont="0" applyFill="0" applyBorder="0" applyAlignment="0"/>
    <xf numFmtId="225" fontId="106" fillId="0" borderId="0" applyFont="0" applyFill="0" applyBorder="0" applyAlignment="0"/>
    <xf numFmtId="0" fontId="106" fillId="0" borderId="0" applyFont="0" applyFill="0" applyBorder="0" applyAlignment="0"/>
    <xf numFmtId="226" fontId="108" fillId="29" borderId="13" applyFont="0" applyFill="0" applyBorder="0" applyAlignment="0"/>
    <xf numFmtId="0" fontId="108" fillId="29" borderId="13" applyFont="0" applyFill="0" applyBorder="0" applyAlignment="0"/>
    <xf numFmtId="0" fontId="108" fillId="29" borderId="13" applyFont="0" applyFill="0" applyBorder="0" applyAlignment="0"/>
    <xf numFmtId="226" fontId="108" fillId="29" borderId="13" applyFont="0" applyFill="0" applyBorder="0" applyAlignment="0"/>
    <xf numFmtId="3" fontId="109" fillId="0" borderId="0" applyFont="0" applyFill="0" applyBorder="0" applyAlignment="0" applyProtection="0"/>
    <xf numFmtId="0" fontId="69" fillId="0" borderId="0" applyNumberFormat="0" applyFill="0" applyBorder="0">
      <alignment horizontal="right"/>
    </xf>
    <xf numFmtId="0" fontId="46" fillId="0" borderId="0" applyNumberFormat="0" applyAlignment="0">
      <alignment horizontal="left"/>
    </xf>
    <xf numFmtId="0" fontId="46" fillId="0" borderId="0" applyNumberFormat="0" applyAlignment="0">
      <alignment horizontal="left"/>
    </xf>
    <xf numFmtId="0" fontId="110" fillId="0" borderId="0">
      <alignment horizontal="left"/>
    </xf>
    <xf numFmtId="0" fontId="111" fillId="0" borderId="0"/>
    <xf numFmtId="0" fontId="112" fillId="0" borderId="0">
      <alignment horizontal="left"/>
    </xf>
    <xf numFmtId="193" fontId="14" fillId="0" borderId="0"/>
    <xf numFmtId="0" fontId="14" fillId="0" borderId="0"/>
    <xf numFmtId="270" fontId="171" fillId="0" borderId="0" applyFont="0" applyFill="0" applyBorder="0" applyAlignment="0" applyProtection="0"/>
    <xf numFmtId="8" fontId="113" fillId="0" borderId="14">
      <protection locked="0"/>
    </xf>
    <xf numFmtId="205" fontId="61" fillId="0" borderId="0" applyFont="0" applyFill="0" applyBorder="0" applyAlignment="0" applyProtection="0">
      <alignment horizontal="right"/>
    </xf>
    <xf numFmtId="0" fontId="61" fillId="0" borderId="0" applyFont="0" applyFill="0" applyBorder="0" applyAlignment="0" applyProtection="0">
      <alignment horizontal="right"/>
    </xf>
    <xf numFmtId="205" fontId="61" fillId="0" borderId="0" applyFont="0" applyFill="0" applyBorder="0" applyAlignment="0" applyProtection="0">
      <alignment horizontal="right"/>
    </xf>
    <xf numFmtId="177" fontId="29" fillId="0" borderId="0" applyFont="0" applyFill="0" applyBorder="0" applyAlignment="0" applyProtection="0"/>
    <xf numFmtId="0" fontId="29"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0" fontId="61" fillId="0" borderId="0" applyFont="0" applyFill="0" applyBorder="0" applyAlignment="0" applyProtection="0">
      <alignment horizontal="right"/>
    </xf>
    <xf numFmtId="0" fontId="61" fillId="0" borderId="0" applyFont="0" applyFill="0" applyBorder="0" applyAlignment="0" applyProtection="0">
      <alignment horizontal="right"/>
    </xf>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179" fontId="29" fillId="0" borderId="0" applyFont="0" applyFill="0" applyBorder="0" applyAlignment="0" applyProtection="0"/>
    <xf numFmtId="0" fontId="29"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212"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44" fontId="46" fillId="0" borderId="0" applyFont="0" applyFill="0" applyBorder="0" applyAlignment="0" applyProtection="0"/>
    <xf numFmtId="227" fontId="114" fillId="0" borderId="0" applyFont="0" applyFill="0" applyBorder="0"/>
    <xf numFmtId="0" fontId="114" fillId="0" borderId="0" applyFont="0" applyFill="0" applyBorder="0"/>
    <xf numFmtId="228" fontId="115" fillId="0" borderId="0" applyFont="0" applyFill="0" applyBorder="0" applyAlignment="0"/>
    <xf numFmtId="0" fontId="115" fillId="0" borderId="0" applyFont="0" applyFill="0" applyBorder="0" applyAlignment="0"/>
    <xf numFmtId="229" fontId="116" fillId="0" borderId="15" applyFont="0" applyFill="0" applyBorder="0" applyAlignment="0"/>
    <xf numFmtId="0" fontId="116" fillId="0" borderId="15" applyFont="0" applyFill="0" applyBorder="0" applyAlignment="0"/>
    <xf numFmtId="0" fontId="116" fillId="0" borderId="15" applyFont="0" applyFill="0" applyBorder="0" applyAlignment="0"/>
    <xf numFmtId="229" fontId="116" fillId="0" borderId="15" applyFont="0" applyFill="0" applyBorder="0" applyAlignment="0"/>
    <xf numFmtId="266" fontId="109" fillId="0" borderId="0" applyFont="0" applyFill="0" applyBorder="0" applyAlignment="0" applyProtection="0"/>
    <xf numFmtId="0" fontId="109" fillId="0" borderId="0" applyFont="0" applyFill="0" applyBorder="0" applyAlignment="0" applyProtection="0"/>
    <xf numFmtId="230" fontId="117" fillId="0" borderId="0" applyFill="0" applyBorder="0" applyProtection="0">
      <alignment vertical="center"/>
    </xf>
    <xf numFmtId="0" fontId="117" fillId="0" borderId="0" applyFill="0" applyBorder="0" applyProtection="0">
      <alignment vertical="center"/>
    </xf>
    <xf numFmtId="0" fontId="46" fillId="2" borderId="0" applyFont="0" applyBorder="0"/>
    <xf numFmtId="0" fontId="46" fillId="2" borderId="0" applyFont="0" applyBorder="0"/>
    <xf numFmtId="283" fontId="173" fillId="2" borderId="16">
      <alignment horizontal="right"/>
    </xf>
    <xf numFmtId="0" fontId="117" fillId="0" borderId="0" applyNumberFormat="0">
      <alignment horizontal="right"/>
    </xf>
    <xf numFmtId="14" fontId="96" fillId="0" borderId="0"/>
    <xf numFmtId="17" fontId="17" fillId="0" borderId="0" applyFill="0" applyBorder="0">
      <alignment horizontal="right"/>
    </xf>
    <xf numFmtId="17" fontId="17" fillId="0" borderId="0" applyFill="0" applyBorder="0">
      <alignment horizontal="right"/>
    </xf>
    <xf numFmtId="17" fontId="17" fillId="0" borderId="0" applyFill="0" applyBorder="0">
      <alignment horizontal="right"/>
    </xf>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14" fontId="96" fillId="0" borderId="0"/>
    <xf numFmtId="206" fontId="61" fillId="0" borderId="0" applyFont="0" applyFill="0" applyBorder="0" applyAlignment="0" applyProtection="0"/>
    <xf numFmtId="0" fontId="61" fillId="0" borderId="0" applyFont="0" applyFill="0" applyBorder="0" applyAlignment="0" applyProtection="0"/>
    <xf numFmtId="206" fontId="61" fillId="0" borderId="0" applyFont="0" applyFill="0" applyBorder="0" applyAlignment="0" applyProtection="0"/>
    <xf numFmtId="14" fontId="57" fillId="0" borderId="0" applyFill="0" applyBorder="0" applyAlignment="0"/>
    <xf numFmtId="14" fontId="96" fillId="0" borderId="0"/>
    <xf numFmtId="14" fontId="118" fillId="0" borderId="0" applyFont="0" applyFill="0" applyBorder="0" applyAlignment="0" applyProtection="0">
      <alignment horizontal="center"/>
    </xf>
    <xf numFmtId="14" fontId="118" fillId="0" borderId="0" applyFont="0" applyFill="0" applyBorder="0" applyAlignment="0" applyProtection="0">
      <alignment horizontal="center"/>
    </xf>
    <xf numFmtId="185" fontId="118" fillId="0" borderId="0" applyFont="0" applyFill="0" applyBorder="0" applyAlignment="0" applyProtection="0">
      <alignment horizontal="center"/>
    </xf>
    <xf numFmtId="0" fontId="118" fillId="0" borderId="0" applyFont="0" applyFill="0" applyBorder="0" applyAlignment="0" applyProtection="0">
      <alignment horizontal="center"/>
    </xf>
    <xf numFmtId="185" fontId="118" fillId="0" borderId="0" applyFont="0" applyFill="0" applyBorder="0" applyAlignment="0" applyProtection="0">
      <alignment horizontal="center"/>
    </xf>
    <xf numFmtId="231" fontId="119" fillId="29" borderId="0" applyFont="0" applyFill="0">
      <alignment horizontal="right"/>
    </xf>
    <xf numFmtId="0" fontId="119" fillId="29" borderId="0" applyFont="0" applyFill="0">
      <alignment horizontal="right"/>
    </xf>
    <xf numFmtId="1" fontId="61" fillId="0" borderId="0" applyFont="0" applyFill="0" applyBorder="0" applyAlignment="0" applyProtection="0">
      <alignment horizontal="right"/>
    </xf>
    <xf numFmtId="2" fontId="89" fillId="30" borderId="0">
      <alignment horizontal="left"/>
      <protection hidden="1"/>
    </xf>
    <xf numFmtId="278" fontId="57" fillId="31" borderId="0" applyNumberFormat="0" applyBorder="0">
      <protection locked="0"/>
    </xf>
    <xf numFmtId="188" fontId="63" fillId="0" borderId="0" applyFont="0" applyFill="0" applyBorder="0" applyAlignment="0" applyProtection="0">
      <alignment horizontal="right"/>
    </xf>
    <xf numFmtId="0" fontId="63" fillId="0" borderId="0" applyFont="0" applyFill="0" applyBorder="0" applyAlignment="0" applyProtection="0">
      <alignment horizontal="right"/>
    </xf>
    <xf numFmtId="188" fontId="63" fillId="0" borderId="0" applyFont="0" applyFill="0" applyBorder="0" applyAlignment="0" applyProtection="0">
      <alignment horizontal="right"/>
    </xf>
    <xf numFmtId="6" fontId="65" fillId="0" borderId="0" applyFont="0" applyFill="0" applyBorder="0" applyAlignment="0" applyProtection="0">
      <alignment horizontal="right"/>
    </xf>
    <xf numFmtId="6" fontId="65" fillId="0" borderId="0" applyFont="0" applyFill="0" applyBorder="0" applyAlignment="0" applyProtection="0">
      <alignment horizontal="right"/>
    </xf>
    <xf numFmtId="6" fontId="65" fillId="0" borderId="0" applyFont="0" applyFill="0" applyBorder="0" applyAlignment="0" applyProtection="0"/>
    <xf numFmtId="6" fontId="65" fillId="0" borderId="0" applyFont="0" applyFill="0" applyBorder="0" applyAlignment="0" applyProtection="0"/>
    <xf numFmtId="207" fontId="61" fillId="0" borderId="17" applyNumberFormat="0" applyFont="0" applyFill="0" applyAlignment="0" applyProtection="0"/>
    <xf numFmtId="0" fontId="61" fillId="0" borderId="17" applyNumberFormat="0" applyFont="0" applyFill="0" applyAlignment="0" applyProtection="0"/>
    <xf numFmtId="207" fontId="61" fillId="0" borderId="17" applyNumberFormat="0" applyFont="0" applyFill="0" applyAlignment="0" applyProtection="0"/>
    <xf numFmtId="1" fontId="65" fillId="0" borderId="0"/>
    <xf numFmtId="1" fontId="65" fillId="0" borderId="0"/>
    <xf numFmtId="1" fontId="65" fillId="0" borderId="0"/>
    <xf numFmtId="232"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0" fontId="116" fillId="0" borderId="15" applyFont="0" applyFill="0" applyBorder="0">
      <alignment horizontal="center"/>
    </xf>
    <xf numFmtId="0"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32" fontId="116" fillId="0" borderId="15" applyFont="0" applyFill="0" applyBorder="0">
      <alignment horizontal="center"/>
    </xf>
    <xf numFmtId="277" fontId="171" fillId="0" borderId="0" applyFill="0" applyBorder="0" applyAlignment="0"/>
    <xf numFmtId="270" fontId="171" fillId="0" borderId="0" applyFill="0" applyBorder="0" applyAlignment="0"/>
    <xf numFmtId="277" fontId="171" fillId="0" borderId="0" applyFill="0" applyBorder="0" applyAlignment="0"/>
    <xf numFmtId="274" fontId="171" fillId="0" borderId="0" applyFill="0" applyBorder="0" applyAlignment="0"/>
    <xf numFmtId="270" fontId="171" fillId="0" borderId="0" applyFill="0" applyBorder="0" applyAlignment="0"/>
    <xf numFmtId="0" fontId="46" fillId="0" borderId="0" applyNumberFormat="0" applyAlignment="0">
      <alignment horizontal="left"/>
    </xf>
    <xf numFmtId="0" fontId="46" fillId="0" borderId="0" applyNumberFormat="0" applyAlignment="0">
      <alignment horizontal="left"/>
    </xf>
    <xf numFmtId="9" fontId="120" fillId="0" borderId="18" applyNumberFormat="0" applyBorder="0" applyAlignment="0">
      <protection locked="0"/>
    </xf>
    <xf numFmtId="0" fontId="65" fillId="32" borderId="19" applyNumberFormat="0" applyFont="0" applyAlignment="0">
      <protection locked="0"/>
    </xf>
    <xf numFmtId="7" fontId="14" fillId="0" borderId="0" applyFill="0" applyBorder="0" applyProtection="0"/>
    <xf numFmtId="8" fontId="65" fillId="0" borderId="0" applyFont="0" applyFill="0" applyBorder="0" applyAlignment="0" applyProtection="0">
      <alignment horizontal="right"/>
    </xf>
    <xf numFmtId="8" fontId="65" fillId="0" borderId="0" applyFont="0" applyFill="0" applyBorder="0" applyAlignment="0" applyProtection="0">
      <alignment horizontal="right"/>
    </xf>
    <xf numFmtId="7" fontId="14" fillId="0" borderId="0" applyFill="0" applyBorder="0" applyProtection="0"/>
    <xf numFmtId="7" fontId="14" fillId="0" borderId="0" applyFill="0" applyBorder="0" applyProtection="0"/>
    <xf numFmtId="0" fontId="179" fillId="0" borderId="0"/>
    <xf numFmtId="7" fontId="173" fillId="33" borderId="0" applyBorder="0"/>
    <xf numFmtId="284" fontId="173" fillId="0" borderId="0"/>
    <xf numFmtId="285" fontId="173" fillId="0" borderId="0"/>
    <xf numFmtId="39" fontId="173" fillId="33" borderId="0"/>
    <xf numFmtId="286" fontId="173" fillId="0" borderId="0"/>
    <xf numFmtId="219" fontId="61" fillId="0" borderId="0" applyFont="0" applyFill="0" applyBorder="0" applyProtection="0">
      <alignment horizontal="left"/>
      <protection locked="0"/>
    </xf>
    <xf numFmtId="0" fontId="61" fillId="0" borderId="0" applyFont="0" applyFill="0" applyBorder="0" applyProtection="0">
      <alignment horizontal="left"/>
      <protection locked="0"/>
    </xf>
    <xf numFmtId="287" fontId="173" fillId="0" borderId="0"/>
    <xf numFmtId="220" fontId="61" fillId="0" borderId="0" applyFont="0" applyFill="0" applyBorder="0" applyProtection="0">
      <alignment horizontal="left"/>
      <protection locked="0"/>
    </xf>
    <xf numFmtId="0" fontId="61" fillId="0" borderId="0" applyFont="0" applyFill="0" applyBorder="0" applyProtection="0">
      <alignment horizontal="left"/>
      <protection locked="0"/>
    </xf>
    <xf numFmtId="217" fontId="46" fillId="0" borderId="0" applyFont="0" applyFill="0" applyBorder="0" applyAlignment="0" applyProtection="0"/>
    <xf numFmtId="0" fontId="46" fillId="0" borderId="0" applyFont="0" applyFill="0" applyBorder="0" applyAlignment="0" applyProtection="0"/>
    <xf numFmtId="217" fontId="46" fillId="0" borderId="0" applyFont="0" applyFill="0" applyBorder="0" applyAlignment="0" applyProtection="0"/>
    <xf numFmtId="182" fontId="61" fillId="0" borderId="0" applyFont="0" applyFill="0" applyBorder="0" applyAlignment="0" applyProtection="0"/>
    <xf numFmtId="0" fontId="61" fillId="0" borderId="0" applyFont="0" applyFill="0" applyBorder="0" applyAlignment="0" applyProtection="0"/>
    <xf numFmtId="182" fontId="6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191" fontId="6" fillId="34" borderId="13" applyNumberFormat="0" applyFont="0" applyBorder="0" applyAlignment="0" applyProtection="0">
      <alignment horizontal="right"/>
    </xf>
    <xf numFmtId="0" fontId="6" fillId="34" borderId="13" applyNumberFormat="0" applyFont="0" applyBorder="0" applyAlignment="0" applyProtection="0">
      <alignment horizontal="right"/>
    </xf>
    <xf numFmtId="0" fontId="6" fillId="34" borderId="13" applyNumberFormat="0" applyFont="0" applyBorder="0" applyAlignment="0" applyProtection="0">
      <alignment horizontal="right"/>
    </xf>
    <xf numFmtId="191" fontId="6" fillId="34" borderId="13" applyNumberFormat="0" applyFont="0" applyBorder="0" applyAlignment="0" applyProtection="0">
      <alignment horizontal="right"/>
    </xf>
    <xf numFmtId="201" fontId="97" fillId="0" borderId="0">
      <alignment horizontal="right"/>
    </xf>
    <xf numFmtId="0" fontId="97" fillId="0" borderId="0">
      <alignment horizontal="right"/>
    </xf>
    <xf numFmtId="168" fontId="61" fillId="0" borderId="0" applyFont="0" applyFill="0" applyBorder="0" applyAlignment="0" applyProtection="0">
      <alignment horizontal="right"/>
    </xf>
    <xf numFmtId="0" fontId="61" fillId="0" borderId="0" applyFont="0" applyFill="0" applyBorder="0" applyAlignment="0" applyProtection="0">
      <alignment horizontal="right"/>
    </xf>
    <xf numFmtId="168" fontId="61" fillId="0" borderId="0" applyFont="0" applyFill="0" applyBorder="0" applyAlignment="0" applyProtection="0">
      <alignment horizontal="right"/>
    </xf>
    <xf numFmtId="0" fontId="24" fillId="0" borderId="5" applyFont="0" applyFill="0" applyBorder="0" applyAlignment="0" applyProtection="0">
      <alignment horizontal="center"/>
    </xf>
    <xf numFmtId="2" fontId="109" fillId="0" borderId="0" applyFont="0" applyFill="0" applyBorder="0" applyAlignment="0" applyProtection="0"/>
    <xf numFmtId="0" fontId="121" fillId="0" borderId="0">
      <alignment horizontal="left"/>
    </xf>
    <xf numFmtId="0" fontId="122" fillId="0" borderId="0">
      <alignment horizontal="left"/>
    </xf>
    <xf numFmtId="0" fontId="123" fillId="0" borderId="0" applyFill="0" applyBorder="0" applyProtection="0">
      <alignment horizontal="left"/>
    </xf>
    <xf numFmtId="0" fontId="123" fillId="0" borderId="0" applyNumberFormat="0" applyFill="0" applyBorder="0" applyProtection="0">
      <alignment horizontal="left"/>
    </xf>
    <xf numFmtId="0" fontId="123" fillId="0" borderId="0" applyFill="0" applyBorder="0" applyProtection="0">
      <alignment vertical="center"/>
    </xf>
    <xf numFmtId="0" fontId="71" fillId="0" borderId="0" applyNumberFormat="0" applyFill="0" applyBorder="0" applyAlignment="0" applyProtection="0"/>
    <xf numFmtId="1" fontId="6" fillId="0" borderId="0" applyNumberFormat="0" applyBorder="0" applyAlignment="0" applyProtection="0"/>
    <xf numFmtId="288" fontId="173" fillId="0" borderId="20"/>
    <xf numFmtId="0" fontId="173" fillId="2" borderId="16">
      <alignment horizontal="right"/>
    </xf>
    <xf numFmtId="289" fontId="173" fillId="2" borderId="16">
      <alignment horizontal="right"/>
    </xf>
    <xf numFmtId="189" fontId="70" fillId="0" borderId="0">
      <alignment vertical="center"/>
    </xf>
    <xf numFmtId="193" fontId="65" fillId="0" borderId="0" applyFill="0" applyBorder="0" applyAlignment="0" applyProtection="0">
      <protection locked="0"/>
    </xf>
    <xf numFmtId="0" fontId="65" fillId="0" borderId="0" applyFill="0" applyBorder="0" applyAlignment="0" applyProtection="0">
      <protection locked="0"/>
    </xf>
    <xf numFmtId="193" fontId="65" fillId="0" borderId="0" applyFill="0" applyBorder="0" applyAlignment="0" applyProtection="0">
      <protection locked="0"/>
    </xf>
    <xf numFmtId="193" fontId="65" fillId="0" borderId="0" applyFill="0" applyBorder="0" applyAlignment="0" applyProtection="0">
      <protection locked="0"/>
    </xf>
    <xf numFmtId="0" fontId="53" fillId="9" borderId="0" applyNumberFormat="0" applyBorder="0" applyAlignment="0" applyProtection="0"/>
    <xf numFmtId="0" fontId="53" fillId="9" borderId="0" applyNumberFormat="0" applyBorder="0" applyAlignment="0" applyProtection="0"/>
    <xf numFmtId="38" fontId="6" fillId="2" borderId="0" applyNumberFormat="0" applyBorder="0" applyAlignment="0" applyProtection="0"/>
    <xf numFmtId="38" fontId="6" fillId="2" borderId="0" applyNumberFormat="0" applyBorder="0" applyAlignment="0" applyProtection="0"/>
    <xf numFmtId="38" fontId="6" fillId="2" borderId="0" applyNumberFormat="0" applyBorder="0" applyAlignment="0" applyProtection="0"/>
    <xf numFmtId="216" fontId="124" fillId="0" borderId="0" applyFill="0" applyBorder="0" applyAlignment="0" applyProtection="0"/>
    <xf numFmtId="0" fontId="124" fillId="0" borderId="0" applyFill="0" applyBorder="0" applyAlignment="0" applyProtection="0"/>
    <xf numFmtId="216" fontId="125" fillId="0" borderId="0" applyAlignment="0">
      <alignment horizontal="left"/>
      <protection locked="0"/>
    </xf>
    <xf numFmtId="0" fontId="125" fillId="0" borderId="0" applyAlignment="0">
      <alignment horizontal="left"/>
      <protection locked="0"/>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1" fillId="0" borderId="0">
      <alignment horizontal="right"/>
    </xf>
    <xf numFmtId="49" fontId="72" fillId="0" borderId="0">
      <alignment horizontal="right"/>
    </xf>
    <xf numFmtId="189" fontId="73" fillId="0" borderId="0">
      <alignment vertical="center"/>
    </xf>
    <xf numFmtId="215" fontId="17" fillId="35" borderId="18" applyNumberFormat="0" applyFont="0" applyAlignment="0"/>
    <xf numFmtId="0" fontId="17" fillId="35" borderId="18" applyNumberFormat="0" applyFont="0" applyAlignment="0"/>
    <xf numFmtId="208" fontId="61" fillId="0" borderId="0" applyFont="0" applyFill="0" applyBorder="0" applyAlignment="0" applyProtection="0">
      <alignment horizontal="right"/>
    </xf>
    <xf numFmtId="0" fontId="61" fillId="0" borderId="0" applyFont="0" applyFill="0" applyBorder="0" applyAlignment="0" applyProtection="0">
      <alignment horizontal="right"/>
    </xf>
    <xf numFmtId="208" fontId="61" fillId="0" borderId="0" applyFont="0" applyFill="0" applyBorder="0" applyAlignment="0" applyProtection="0">
      <alignment horizontal="right"/>
    </xf>
    <xf numFmtId="195" fontId="8" fillId="0" borderId="0" applyNumberFormat="0" applyFill="0" applyBorder="0" applyAlignment="0" applyProtection="0"/>
    <xf numFmtId="0" fontId="8" fillId="0" borderId="0" applyNumberFormat="0" applyFill="0" applyBorder="0" applyAlignment="0" applyProtection="0"/>
    <xf numFmtId="0" fontId="126" fillId="0" borderId="0">
      <alignment horizontal="left"/>
    </xf>
    <xf numFmtId="195" fontId="85" fillId="0" borderId="0" applyNumberFormat="0" applyFill="0" applyBorder="0" applyAlignment="0" applyProtection="0"/>
    <xf numFmtId="0" fontId="18" fillId="0" borderId="21" applyNumberFormat="0" applyAlignment="0" applyProtection="0">
      <alignment horizontal="left" vertical="center"/>
    </xf>
    <xf numFmtId="0" fontId="18" fillId="0" borderId="5">
      <alignment horizontal="left" vertical="center"/>
    </xf>
    <xf numFmtId="0" fontId="163" fillId="0" borderId="0">
      <alignment horizontal="center"/>
    </xf>
    <xf numFmtId="0" fontId="180" fillId="26" borderId="18">
      <alignment horizontal="centerContinuous"/>
    </xf>
    <xf numFmtId="0" fontId="127" fillId="0" borderId="1">
      <alignment horizontal="left" vertical="top"/>
    </xf>
    <xf numFmtId="0" fontId="128" fillId="0" borderId="0">
      <alignment horizontal="left"/>
    </xf>
    <xf numFmtId="0" fontId="127" fillId="0" borderId="1">
      <alignment horizontal="left" vertical="top"/>
    </xf>
    <xf numFmtId="0" fontId="129" fillId="0" borderId="0" applyProtection="0">
      <alignment horizontal="left"/>
    </xf>
    <xf numFmtId="0" fontId="130" fillId="0" borderId="0">
      <alignment horizontal="left"/>
    </xf>
    <xf numFmtId="0" fontId="131" fillId="0" borderId="1">
      <alignment horizontal="left" vertical="top"/>
    </xf>
    <xf numFmtId="0" fontId="132" fillId="0" borderId="0" applyProtection="0">
      <alignment horizontal="left"/>
    </xf>
    <xf numFmtId="0" fontId="132" fillId="0" borderId="0">
      <alignment horizontal="left"/>
    </xf>
    <xf numFmtId="0" fontId="181" fillId="0" borderId="0" applyNumberFormat="0" applyFill="0" applyBorder="0" applyAlignment="0" applyProtection="0"/>
    <xf numFmtId="0" fontId="181" fillId="0" borderId="0" applyNumberFormat="0" applyFill="0" applyBorder="0" applyAlignment="0" applyProtection="0"/>
    <xf numFmtId="0" fontId="18" fillId="0" borderId="0"/>
    <xf numFmtId="0" fontId="182" fillId="0" borderId="0" applyNumberFormat="0" applyFont="0" applyFill="0" applyBorder="0" applyAlignment="0">
      <alignment horizontal="left"/>
    </xf>
    <xf numFmtId="0" fontId="216" fillId="0" borderId="0" applyNumberFormat="0" applyFill="0" applyBorder="0" applyAlignment="0" applyProtection="0">
      <alignment vertical="top"/>
      <protection locked="0"/>
    </xf>
    <xf numFmtId="0" fontId="217" fillId="0" borderId="0" applyNumberFormat="0" applyFill="0" applyBorder="0" applyAlignment="0" applyProtection="0">
      <alignment vertical="top"/>
      <protection locked="0"/>
    </xf>
    <xf numFmtId="278" fontId="183" fillId="36" borderId="0" applyNumberFormat="0" applyBorder="0">
      <alignment horizontal="left"/>
      <protection locked="0"/>
    </xf>
    <xf numFmtId="0" fontId="65" fillId="0" borderId="0" applyFont="0" applyFill="0" applyBorder="0" applyAlignment="0" applyProtection="0"/>
    <xf numFmtId="193" fontId="65" fillId="0" borderId="0" applyFill="0" applyBorder="0" applyAlignment="0" applyProtection="0">
      <alignment horizontal="right"/>
      <protection locked="0"/>
    </xf>
    <xf numFmtId="0" fontId="65" fillId="0" borderId="0" applyFill="0" applyBorder="0" applyAlignment="0" applyProtection="0">
      <alignment horizontal="right"/>
      <protection locked="0"/>
    </xf>
    <xf numFmtId="193" fontId="65" fillId="0" borderId="0" applyFill="0" applyBorder="0" applyAlignment="0" applyProtection="0">
      <alignment horizontal="right"/>
      <protection locked="0"/>
    </xf>
    <xf numFmtId="193" fontId="65" fillId="0" borderId="0" applyFill="0" applyBorder="0" applyAlignment="0" applyProtection="0">
      <alignment horizontal="right"/>
      <protection locked="0"/>
    </xf>
    <xf numFmtId="40" fontId="65" fillId="0" borderId="0" applyFont="0" applyFill="0" applyBorder="0" applyAlignment="0" applyProtection="0">
      <alignment horizontal="right"/>
    </xf>
    <xf numFmtId="233" fontId="71" fillId="0" borderId="0" applyBorder="0" applyAlignment="0"/>
    <xf numFmtId="10" fontId="6" fillId="35" borderId="18" applyNumberFormat="0" applyBorder="0" applyAlignment="0" applyProtection="0"/>
    <xf numFmtId="10" fontId="6" fillId="35" borderId="18" applyNumberFormat="0" applyBorder="0" applyAlignment="0" applyProtection="0"/>
    <xf numFmtId="10" fontId="6" fillId="35" borderId="18" applyNumberFormat="0" applyBorder="0" applyAlignment="0" applyProtection="0"/>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1" fontId="64" fillId="0" borderId="0" applyNumberFormat="0">
      <alignment horizontal="right"/>
    </xf>
    <xf numFmtId="0" fontId="74" fillId="37" borderId="0" applyNumberFormat="0" applyFont="0" applyBorder="0" applyAlignment="0" applyProtection="0"/>
    <xf numFmtId="234" fontId="133" fillId="0" borderId="0" applyFill="0" applyBorder="0" applyProtection="0"/>
    <xf numFmtId="235" fontId="133" fillId="0" borderId="0" applyFill="0" applyBorder="0" applyProtection="0"/>
    <xf numFmtId="0" fontId="133" fillId="0" borderId="0" applyFill="0" applyBorder="0" applyProtection="0"/>
    <xf numFmtId="0" fontId="133" fillId="0" borderId="0" applyFill="0" applyBorder="0" applyProtection="0"/>
    <xf numFmtId="234" fontId="133" fillId="0" borderId="0" applyFill="0" applyBorder="0" applyProtection="0"/>
    <xf numFmtId="236" fontId="133" fillId="0" borderId="0" applyFill="0" applyBorder="0" applyProtection="0"/>
    <xf numFmtId="0" fontId="133" fillId="0" borderId="0" applyFill="0" applyBorder="0" applyProtection="0"/>
    <xf numFmtId="218" fontId="133" fillId="0" borderId="0" applyFill="0" applyBorder="0" applyProtection="0"/>
    <xf numFmtId="0" fontId="133" fillId="0" borderId="0" applyFill="0" applyBorder="0" applyProtection="0"/>
    <xf numFmtId="237" fontId="134" fillId="0" borderId="0" applyFill="0" applyBorder="0" applyProtection="0">
      <alignment vertical="center"/>
    </xf>
    <xf numFmtId="0" fontId="134" fillId="0" borderId="0" applyFill="0" applyBorder="0" applyProtection="0">
      <alignment vertical="center"/>
    </xf>
    <xf numFmtId="230" fontId="134" fillId="0" borderId="0" applyFill="0" applyBorder="0" applyProtection="0">
      <alignment vertical="center"/>
    </xf>
    <xf numFmtId="0" fontId="134" fillId="0" borderId="0" applyFill="0" applyBorder="0" applyProtection="0">
      <alignment vertical="center"/>
    </xf>
    <xf numFmtId="238" fontId="16" fillId="0" borderId="0" applyFont="0" applyFill="0" applyBorder="0" applyAlignment="0">
      <protection locked="0"/>
    </xf>
    <xf numFmtId="0" fontId="16" fillId="0" borderId="0" applyFont="0" applyFill="0" applyBorder="0" applyAlignment="0">
      <protection locked="0"/>
    </xf>
    <xf numFmtId="218" fontId="16" fillId="0" borderId="0" applyFont="0" applyFill="0" applyBorder="0" applyAlignment="0">
      <protection locked="0"/>
    </xf>
    <xf numFmtId="0" fontId="16" fillId="0" borderId="0" applyFont="0" applyFill="0" applyBorder="0" applyAlignment="0">
      <protection locked="0"/>
    </xf>
    <xf numFmtId="239" fontId="134" fillId="0" borderId="0" applyFill="0" applyBorder="0" applyProtection="0">
      <alignment vertical="center"/>
    </xf>
    <xf numFmtId="0" fontId="134" fillId="0" borderId="0" applyFill="0" applyBorder="0" applyProtection="0">
      <alignment vertical="center"/>
    </xf>
    <xf numFmtId="240" fontId="134" fillId="0" borderId="0" applyFill="0" applyBorder="0" applyProtection="0">
      <alignment vertical="center"/>
    </xf>
    <xf numFmtId="0" fontId="134" fillId="0" borderId="0" applyFill="0" applyBorder="0" applyProtection="0">
      <alignment vertical="center"/>
    </xf>
    <xf numFmtId="181" fontId="16" fillId="0" borderId="15" applyFill="0"/>
    <xf numFmtId="0" fontId="16" fillId="0" borderId="15" applyFill="0"/>
    <xf numFmtId="0" fontId="16" fillId="0" borderId="15" applyFill="0"/>
    <xf numFmtId="181" fontId="16" fillId="0" borderId="15" applyFill="0"/>
    <xf numFmtId="0" fontId="135" fillId="0" borderId="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95" fontId="17" fillId="0" borderId="0" applyNumberFormat="0" applyFill="0" applyBorder="0" applyAlignment="0" applyProtection="0"/>
    <xf numFmtId="0" fontId="17" fillId="0" borderId="0" applyNumberFormat="0" applyFill="0" applyBorder="0" applyAlignment="0" applyProtection="0"/>
    <xf numFmtId="278" fontId="57" fillId="38" borderId="0" applyNumberFormat="0" applyBorder="0">
      <alignment horizontal="right"/>
      <protection locked="0"/>
    </xf>
    <xf numFmtId="0" fontId="184" fillId="0" borderId="0"/>
    <xf numFmtId="277" fontId="171" fillId="0" borderId="0" applyFill="0" applyBorder="0" applyAlignment="0"/>
    <xf numFmtId="270" fontId="171" fillId="0" borderId="0" applyFill="0" applyBorder="0" applyAlignment="0"/>
    <xf numFmtId="277" fontId="171" fillId="0" borderId="0" applyFill="0" applyBorder="0" applyAlignment="0"/>
    <xf numFmtId="274" fontId="171" fillId="0" borderId="0" applyFill="0" applyBorder="0" applyAlignment="0"/>
    <xf numFmtId="270" fontId="171" fillId="0" borderId="0" applyFill="0" applyBorder="0" applyAlignment="0"/>
    <xf numFmtId="0" fontId="54" fillId="0" borderId="22" applyNumberFormat="0" applyFill="0" applyAlignment="0" applyProtection="0"/>
    <xf numFmtId="0" fontId="54" fillId="0" borderId="22" applyNumberFormat="0" applyFill="0" applyAlignment="0" applyProtection="0"/>
    <xf numFmtId="169" fontId="65" fillId="0" borderId="0" applyFont="0" applyFill="0" applyBorder="0" applyAlignment="0" applyProtection="0">
      <alignment horizontal="right"/>
    </xf>
    <xf numFmtId="0" fontId="65" fillId="0" borderId="0" applyFont="0" applyFill="0" applyBorder="0" applyAlignment="0" applyProtection="0">
      <alignment horizontal="right"/>
    </xf>
    <xf numFmtId="169" fontId="65" fillId="0" borderId="0" applyFont="0" applyFill="0" applyBorder="0" applyAlignment="0" applyProtection="0">
      <alignment horizontal="right"/>
    </xf>
    <xf numFmtId="0" fontId="173" fillId="0" borderId="0">
      <alignment horizontal="right"/>
    </xf>
    <xf numFmtId="290" fontId="173" fillId="0" borderId="0">
      <alignment horizontal="right"/>
    </xf>
    <xf numFmtId="291" fontId="173" fillId="0" borderId="0">
      <alignment horizontal="right"/>
    </xf>
    <xf numFmtId="0" fontId="169" fillId="0" borderId="0"/>
    <xf numFmtId="0" fontId="75" fillId="0" borderId="0"/>
    <xf numFmtId="1" fontId="136" fillId="0" borderId="0"/>
    <xf numFmtId="1" fontId="136" fillId="0" borderId="0"/>
    <xf numFmtId="1" fontId="136" fillId="0" borderId="0"/>
    <xf numFmtId="218" fontId="137" fillId="0" borderId="0" applyFill="0" applyBorder="0" applyAlignment="0" applyProtection="0">
      <alignment horizontal="right"/>
    </xf>
    <xf numFmtId="0" fontId="137" fillId="0" borderId="0" applyFill="0" applyBorder="0" applyAlignment="0" applyProtection="0">
      <alignment horizontal="right"/>
    </xf>
    <xf numFmtId="218" fontId="137" fillId="0" borderId="0" applyFill="0" applyBorder="0" applyAlignment="0" applyProtection="0"/>
    <xf numFmtId="0" fontId="137" fillId="0" borderId="0" applyFill="0" applyBorder="0" applyAlignment="0" applyProtection="0"/>
    <xf numFmtId="278" fontId="89" fillId="38" borderId="0" applyNumberFormat="0" applyBorder="0">
      <alignment horizontal="right"/>
      <protection locked="0"/>
    </xf>
    <xf numFmtId="278" fontId="185" fillId="38" borderId="0" applyNumberFormat="0" applyBorder="0">
      <alignment horizontal="right"/>
      <protection locked="0"/>
    </xf>
    <xf numFmtId="241" fontId="46" fillId="0" borderId="0" applyFont="0" applyFill="0" applyBorder="0" applyAlignment="0" applyProtection="0"/>
    <xf numFmtId="242" fontId="46" fillId="0" borderId="0" applyFont="0" applyFill="0" applyBorder="0" applyAlignment="0" applyProtection="0"/>
    <xf numFmtId="0" fontId="173" fillId="2" borderId="16">
      <alignment horizontal="right"/>
    </xf>
    <xf numFmtId="0" fontId="138" fillId="39" borderId="0"/>
    <xf numFmtId="243" fontId="139" fillId="40" borderId="23" applyFont="0" applyFill="0" applyBorder="0" applyAlignment="0">
      <alignment horizontal="center"/>
    </xf>
    <xf numFmtId="0" fontId="139" fillId="40" borderId="23" applyFont="0" applyFill="0" applyBorder="0" applyAlignment="0">
      <alignment horizontal="center"/>
    </xf>
    <xf numFmtId="173" fontId="23" fillId="0" borderId="0" applyFill="0" applyBorder="0" applyProtection="0"/>
    <xf numFmtId="0" fontId="117" fillId="0" borderId="0" applyFont="0" applyFill="0" applyBorder="0" applyAlignment="0" applyProtection="0">
      <alignment horizontal="right"/>
    </xf>
    <xf numFmtId="209" fontId="117" fillId="0" borderId="0" applyFont="0" applyFill="0" applyBorder="0" applyAlignment="0" applyProtection="0">
      <alignment horizontal="right"/>
    </xf>
    <xf numFmtId="173" fontId="14" fillId="0" borderId="0" applyFill="0" applyBorder="0" applyProtection="0"/>
    <xf numFmtId="173" fontId="14" fillId="0" borderId="0" applyFill="0" applyBorder="0" applyProtection="0"/>
    <xf numFmtId="173" fontId="14" fillId="0" borderId="0" applyFill="0" applyBorder="0" applyProtection="0"/>
    <xf numFmtId="239" fontId="117" fillId="0" borderId="0" applyFill="0" applyBorder="0" applyProtection="0">
      <alignment vertical="center"/>
    </xf>
    <xf numFmtId="0" fontId="117" fillId="0" borderId="0" applyFill="0" applyBorder="0" applyProtection="0">
      <alignment vertical="center"/>
    </xf>
    <xf numFmtId="298" fontId="14" fillId="0" borderId="0" applyFill="0" applyBorder="0" applyProtection="0">
      <alignment horizontal="right"/>
    </xf>
    <xf numFmtId="244" fontId="16" fillId="0" borderId="0" applyFont="0" applyFill="0" applyBorder="0" applyAlignment="0" applyProtection="0">
      <alignment horizontal="right"/>
    </xf>
    <xf numFmtId="0" fontId="16" fillId="0" borderId="0" applyFont="0" applyFill="0" applyBorder="0" applyAlignment="0" applyProtection="0">
      <alignment horizontal="right"/>
    </xf>
    <xf numFmtId="0" fontId="55" fillId="4" borderId="0" applyNumberFormat="0" applyBorder="0" applyAlignment="0" applyProtection="0"/>
    <xf numFmtId="0" fontId="55" fillId="4" borderId="0" applyNumberFormat="0" applyBorder="0" applyAlignment="0" applyProtection="0"/>
    <xf numFmtId="37" fontId="46" fillId="0" borderId="0"/>
    <xf numFmtId="37" fontId="46" fillId="0" borderId="0"/>
    <xf numFmtId="0" fontId="46" fillId="0" borderId="0" applyFont="0" applyFill="0" applyBorder="0" applyAlignment="0" applyProtection="0"/>
    <xf numFmtId="172" fontId="23" fillId="0" borderId="0" applyFill="0" applyBorder="0" applyProtection="0"/>
    <xf numFmtId="0" fontId="46" fillId="0" borderId="0"/>
    <xf numFmtId="0" fontId="46"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37" fontId="14" fillId="0" borderId="0" applyFill="0" applyBorder="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0" fontId="218" fillId="0" borderId="0"/>
    <xf numFmtId="172" fontId="14" fillId="0" borderId="0" applyFill="0" applyBorder="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218" fillId="0" borderId="0"/>
    <xf numFmtId="0" fontId="46" fillId="0" borderId="0"/>
    <xf numFmtId="0" fontId="46" fillId="0" borderId="0"/>
    <xf numFmtId="0" fontId="46" fillId="0" borderId="0"/>
    <xf numFmtId="0" fontId="46" fillId="0" borderId="0"/>
    <xf numFmtId="0" fontId="218"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195" fontId="140" fillId="0" borderId="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0" fontId="46" fillId="0" borderId="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24"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0" fontId="46" fillId="0" borderId="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14" fillId="0" borderId="0" applyFill="0" applyBorder="0" applyProtection="0"/>
    <xf numFmtId="172" fontId="14" fillId="0" borderId="0" applyFill="0" applyBorder="0" applyProtection="0"/>
    <xf numFmtId="37" fontId="46" fillId="0" borderId="0" applyFont="0" applyFill="0" applyBorder="0" applyAlignment="0" applyProtection="0"/>
    <xf numFmtId="172" fontId="14" fillId="0" borderId="0" applyFill="0" applyBorder="0" applyProtection="0"/>
    <xf numFmtId="37" fontId="14" fillId="0" borderId="0" applyFill="0" applyBorder="0" applyProtection="0"/>
    <xf numFmtId="0" fontId="46"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172" fontId="14" fillId="0" borderId="0" applyFill="0" applyBorder="0" applyProtection="0"/>
    <xf numFmtId="0" fontId="215" fillId="0" borderId="0"/>
    <xf numFmtId="0" fontId="215" fillId="0" borderId="0"/>
    <xf numFmtId="0" fontId="215" fillId="0" borderId="0"/>
    <xf numFmtId="0" fontId="215" fillId="0" borderId="0"/>
    <xf numFmtId="0" fontId="215" fillId="0" borderId="0"/>
    <xf numFmtId="0" fontId="215" fillId="0" borderId="0"/>
    <xf numFmtId="0" fontId="215" fillId="0" borderId="0"/>
    <xf numFmtId="0" fontId="46" fillId="0" borderId="0"/>
    <xf numFmtId="37" fontId="14" fillId="0" borderId="0" applyFill="0" applyBorder="0" applyProtection="0"/>
    <xf numFmtId="0" fontId="46" fillId="0" borderId="0"/>
    <xf numFmtId="0" fontId="46" fillId="0" borderId="0"/>
    <xf numFmtId="0" fontId="46" fillId="0" borderId="0"/>
    <xf numFmtId="172" fontId="14" fillId="0" borderId="0" applyFill="0" applyBorder="0" applyProtection="0"/>
    <xf numFmtId="0" fontId="46" fillId="0" borderId="0"/>
    <xf numFmtId="0" fontId="46" fillId="0" borderId="0"/>
    <xf numFmtId="0" fontId="46" fillId="0" borderId="0"/>
    <xf numFmtId="0" fontId="215" fillId="0" borderId="0"/>
    <xf numFmtId="0" fontId="215" fillId="0" borderId="0"/>
    <xf numFmtId="0" fontId="215" fillId="0" borderId="0"/>
    <xf numFmtId="0" fontId="46" fillId="0" borderId="0"/>
    <xf numFmtId="0" fontId="46" fillId="0" borderId="0"/>
    <xf numFmtId="0" fontId="46" fillId="0" borderId="0"/>
    <xf numFmtId="0" fontId="215" fillId="0" borderId="0"/>
    <xf numFmtId="2" fontId="74" fillId="0" borderId="0" applyBorder="0" applyProtection="0"/>
    <xf numFmtId="245" fontId="117" fillId="0" borderId="0" applyFill="0" applyBorder="0" applyProtection="0">
      <alignment vertical="center"/>
    </xf>
    <xf numFmtId="0" fontId="117" fillId="0" borderId="0" applyFill="0" applyBorder="0" applyProtection="0">
      <alignment vertical="center"/>
    </xf>
    <xf numFmtId="0" fontId="46" fillId="0" borderId="0"/>
    <xf numFmtId="0" fontId="130" fillId="0" borderId="0"/>
    <xf numFmtId="0" fontId="130" fillId="0" borderId="0"/>
    <xf numFmtId="0" fontId="130" fillId="0" borderId="0"/>
    <xf numFmtId="0" fontId="46" fillId="16" borderId="25" applyNumberFormat="0" applyFont="0" applyAlignment="0" applyProtection="0"/>
    <xf numFmtId="0" fontId="46" fillId="16" borderId="25" applyNumberFormat="0" applyFont="0" applyAlignment="0" applyProtection="0"/>
    <xf numFmtId="37" fontId="97" fillId="0" borderId="0"/>
    <xf numFmtId="39" fontId="97" fillId="0" borderId="0"/>
    <xf numFmtId="0" fontId="6" fillId="0" borderId="0" applyNumberFormat="0" applyFill="0" applyBorder="0" applyAlignment="0" applyProtection="0"/>
    <xf numFmtId="0" fontId="17" fillId="0" borderId="0" applyNumberFormat="0" applyFill="0" applyBorder="0" applyAlignment="0" applyProtection="0"/>
    <xf numFmtId="0" fontId="186" fillId="0" borderId="0" applyNumberFormat="0" applyFill="0" applyBorder="0" applyAlignment="0" applyProtection="0"/>
    <xf numFmtId="0" fontId="170" fillId="0" borderId="0" applyNumberFormat="0" applyFill="0" applyBorder="0" applyAlignment="0" applyProtection="0"/>
    <xf numFmtId="0" fontId="6" fillId="0" borderId="0" applyNumberFormat="0" applyFill="0" applyBorder="0" applyAlignment="0" applyProtection="0"/>
    <xf numFmtId="0" fontId="141" fillId="0" borderId="0" applyNumberFormat="0" applyAlignment="0"/>
    <xf numFmtId="0" fontId="142" fillId="0" borderId="0" applyNumberFormat="0" applyAlignment="0"/>
    <xf numFmtId="0" fontId="143" fillId="0" borderId="0" applyNumberFormat="0" applyAlignment="0"/>
    <xf numFmtId="0" fontId="144" fillId="0" borderId="0"/>
    <xf numFmtId="0" fontId="187" fillId="26" borderId="26" applyNumberFormat="0" applyAlignment="0" applyProtection="0"/>
    <xf numFmtId="0" fontId="187" fillId="26" borderId="26" applyNumberFormat="0" applyAlignment="0" applyProtection="0"/>
    <xf numFmtId="265" fontId="65" fillId="0" borderId="0" applyFont="0" applyFill="0" applyBorder="0" applyAlignment="0" applyProtection="0">
      <alignment horizontal="right"/>
    </xf>
    <xf numFmtId="0" fontId="65" fillId="0" borderId="0" applyFont="0" applyFill="0" applyBorder="0" applyAlignment="0" applyProtection="0">
      <alignment horizontal="right"/>
    </xf>
    <xf numFmtId="265" fontId="65" fillId="0" borderId="0" applyFont="0" applyFill="0" applyBorder="0" applyAlignment="0" applyProtection="0">
      <alignment horizontal="right"/>
    </xf>
    <xf numFmtId="0" fontId="77" fillId="0" borderId="0" applyNumberFormat="0" applyFill="0" applyBorder="0">
      <alignment horizontal="left"/>
    </xf>
    <xf numFmtId="0" fontId="145" fillId="0" borderId="0" applyFill="0" applyBorder="0" applyProtection="0">
      <alignment horizontal="left"/>
    </xf>
    <xf numFmtId="0" fontId="146" fillId="0" borderId="0" applyFill="0" applyBorder="0" applyProtection="0">
      <alignment horizontal="left"/>
    </xf>
    <xf numFmtId="1" fontId="147" fillId="0" borderId="0" applyProtection="0">
      <alignment horizontal="right" vertical="center"/>
    </xf>
    <xf numFmtId="0" fontId="130" fillId="0" borderId="0" applyNumberFormat="0" applyFill="0" applyBorder="0" applyAlignment="0" applyProtection="0"/>
    <xf numFmtId="292" fontId="173" fillId="33" borderId="0"/>
    <xf numFmtId="181" fontId="65" fillId="0" borderId="0" applyFont="0" applyFill="0" applyBorder="0" applyAlignment="0" applyProtection="0">
      <alignment horizontal="right"/>
    </xf>
    <xf numFmtId="0" fontId="65" fillId="0" borderId="0" applyFont="0" applyFill="0" applyBorder="0" applyAlignment="0" applyProtection="0">
      <alignment horizontal="right"/>
    </xf>
    <xf numFmtId="181" fontId="65" fillId="0" borderId="0" applyFont="0" applyFill="0" applyBorder="0" applyAlignment="0" applyProtection="0">
      <alignment horizontal="right"/>
    </xf>
    <xf numFmtId="9" fontId="65" fillId="0" borderId="0" applyFont="0" applyFill="0" applyBorder="0" applyAlignment="0" applyProtection="0">
      <alignment horizontal="right"/>
    </xf>
    <xf numFmtId="9" fontId="65" fillId="0" borderId="0" applyFont="0" applyFill="0" applyBorder="0" applyAlignment="0" applyProtection="0">
      <alignment horizontal="right"/>
    </xf>
    <xf numFmtId="293" fontId="173" fillId="0" borderId="0"/>
    <xf numFmtId="2" fontId="65" fillId="0" borderId="0"/>
    <xf numFmtId="2" fontId="65" fillId="0" borderId="0"/>
    <xf numFmtId="2" fontId="65" fillId="0" borderId="0"/>
    <xf numFmtId="9" fontId="23" fillId="0" borderId="0" applyFill="0" applyBorder="0" applyProtection="0"/>
    <xf numFmtId="273" fontId="171" fillId="0" borderId="0" applyFont="0" applyFill="0" applyBorder="0" applyAlignment="0" applyProtection="0"/>
    <xf numFmtId="269" fontId="171" fillId="0" borderId="0" applyFont="0" applyFill="0" applyBorder="0" applyAlignment="0" applyProtection="0"/>
    <xf numFmtId="216" fontId="46" fillId="0" borderId="0" applyFont="0" applyFill="0" applyBorder="0" applyAlignment="0" applyProtection="0"/>
    <xf numFmtId="0" fontId="46" fillId="0" borderId="0" applyFont="0" applyFill="0" applyBorder="0" applyAlignment="0" applyProtection="0"/>
    <xf numFmtId="216" fontId="46" fillId="0" borderId="0" applyFont="0" applyFill="0" applyBorder="0" applyAlignment="0" applyProtection="0"/>
    <xf numFmtId="10" fontId="46" fillId="0" borderId="0" applyFont="0" applyFill="0" applyBorder="0" applyAlignment="0" applyProtection="0"/>
    <xf numFmtId="10" fontId="46"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14" fillId="0" borderId="0" applyFont="0" applyFill="0" applyBorder="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4" fillId="41" borderId="0" applyFont="0" applyFill="0" applyBorder="0" applyAlignment="0" applyProtection="0"/>
    <xf numFmtId="9" fontId="14" fillId="0" borderId="0" applyFill="0" applyBorder="0" applyProtection="0"/>
    <xf numFmtId="9" fontId="4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4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46" fillId="0" borderId="0" applyFont="0" applyFill="0" applyBorder="0" applyAlignment="0" applyProtection="0"/>
    <xf numFmtId="9" fontId="14" fillId="0" borderId="0" applyFill="0" applyBorder="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212"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46"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9" fontId="213" fillId="0" borderId="0" applyFont="0" applyFill="0" applyBorder="0" applyAlignment="0" applyProtection="0"/>
    <xf numFmtId="267" fontId="65" fillId="0" borderId="0" applyFont="0" applyFill="0" applyBorder="0" applyProtection="0">
      <alignment horizontal="right"/>
    </xf>
    <xf numFmtId="267" fontId="65" fillId="0" borderId="0" applyFont="0" applyFill="0" applyBorder="0" applyProtection="0">
      <alignment horizontal="right"/>
    </xf>
    <xf numFmtId="246" fontId="148" fillId="0" borderId="15" applyFont="0" applyFill="0" applyBorder="0" applyAlignment="0">
      <alignment horizontal="right"/>
    </xf>
    <xf numFmtId="0" fontId="148" fillId="0" borderId="15" applyFont="0" applyFill="0" applyBorder="0" applyAlignment="0">
      <alignment horizontal="right"/>
    </xf>
    <xf numFmtId="0" fontId="148" fillId="0" borderId="15" applyFont="0" applyFill="0" applyBorder="0" applyAlignment="0">
      <alignment horizontal="right"/>
    </xf>
    <xf numFmtId="246" fontId="148" fillId="0" borderId="15" applyFont="0" applyFill="0" applyBorder="0" applyAlignment="0">
      <alignment horizontal="right"/>
    </xf>
    <xf numFmtId="247" fontId="106" fillId="0" borderId="0" applyFont="0" applyFill="0" applyBorder="0"/>
    <xf numFmtId="0" fontId="106" fillId="0" borderId="0" applyFont="0" applyFill="0" applyBorder="0"/>
    <xf numFmtId="240" fontId="117" fillId="0" borderId="0" applyFill="0" applyBorder="0" applyProtection="0">
      <alignment vertical="center"/>
    </xf>
    <xf numFmtId="0" fontId="117" fillId="0" borderId="0" applyFill="0" applyBorder="0" applyProtection="0">
      <alignment vertical="center"/>
    </xf>
    <xf numFmtId="247" fontId="106" fillId="0" borderId="0" applyFont="0" applyFill="0"/>
    <xf numFmtId="0" fontId="106" fillId="0" borderId="0" applyFont="0" applyFill="0"/>
    <xf numFmtId="0" fontId="186" fillId="0" borderId="0"/>
    <xf numFmtId="216" fontId="65" fillId="0" borderId="0" applyFont="0" applyFill="0" applyBorder="0" applyAlignment="0" applyProtection="0"/>
    <xf numFmtId="0" fontId="65" fillId="0" borderId="0" applyFont="0" applyFill="0" applyBorder="0" applyAlignment="0" applyProtection="0"/>
    <xf numFmtId="216" fontId="65" fillId="0" borderId="0" applyFont="0" applyFill="0" applyBorder="0" applyAlignment="0" applyProtection="0"/>
    <xf numFmtId="8" fontId="65" fillId="0" borderId="0" applyFont="0" applyFill="0" applyBorder="0" applyAlignment="0" applyProtection="0"/>
    <xf numFmtId="8" fontId="65" fillId="0" borderId="0" applyFont="0" applyFill="0" applyBorder="0" applyAlignment="0" applyProtection="0"/>
    <xf numFmtId="193" fontId="65" fillId="0" borderId="0" applyFont="0" applyFill="0" applyBorder="0" applyAlignment="0" applyProtection="0">
      <protection locked="0"/>
    </xf>
    <xf numFmtId="0" fontId="65" fillId="0" borderId="0" applyFont="0" applyFill="0" applyBorder="0" applyAlignment="0" applyProtection="0">
      <protection locked="0"/>
    </xf>
    <xf numFmtId="193" fontId="65" fillId="0" borderId="0" applyFont="0" applyFill="0" applyBorder="0" applyAlignment="0" applyProtection="0">
      <protection locked="0"/>
    </xf>
    <xf numFmtId="197" fontId="6" fillId="0" borderId="0" applyFill="0" applyBorder="0" applyAlignment="0" applyProtection="0"/>
    <xf numFmtId="0" fontId="6" fillId="0" borderId="0" applyFill="0" applyBorder="0" applyAlignment="0" applyProtection="0"/>
    <xf numFmtId="197" fontId="6" fillId="0" borderId="0" applyFill="0" applyBorder="0" applyAlignment="0" applyProtection="0"/>
    <xf numFmtId="197" fontId="6" fillId="0" borderId="0" applyFill="0" applyBorder="0" applyAlignment="0" applyProtection="0"/>
    <xf numFmtId="171" fontId="24" fillId="42" borderId="0">
      <alignment horizontal="center"/>
    </xf>
    <xf numFmtId="277" fontId="171" fillId="0" borderId="0" applyFill="0" applyBorder="0" applyAlignment="0"/>
    <xf numFmtId="270" fontId="171" fillId="0" borderId="0" applyFill="0" applyBorder="0" applyAlignment="0"/>
    <xf numFmtId="277" fontId="171" fillId="0" borderId="0" applyFill="0" applyBorder="0" applyAlignment="0"/>
    <xf numFmtId="274" fontId="171" fillId="0" borderId="0" applyFill="0" applyBorder="0" applyAlignment="0"/>
    <xf numFmtId="270" fontId="171" fillId="0" borderId="0" applyFill="0" applyBorder="0" applyAlignment="0"/>
    <xf numFmtId="193" fontId="65" fillId="0" borderId="0" applyFill="0" applyBorder="0" applyAlignment="0" applyProtection="0"/>
    <xf numFmtId="0" fontId="65" fillId="0" borderId="0" applyFill="0" applyBorder="0" applyAlignment="0" applyProtection="0"/>
    <xf numFmtId="193" fontId="65" fillId="0" borderId="0" applyFill="0" applyBorder="0" applyAlignment="0" applyProtection="0"/>
    <xf numFmtId="193" fontId="65" fillId="0" borderId="0" applyFill="0" applyBorder="0" applyAlignment="0" applyProtection="0"/>
    <xf numFmtId="38" fontId="65" fillId="0" borderId="0" applyFont="0" applyFill="0" applyBorder="0" applyAlignment="0" applyProtection="0"/>
    <xf numFmtId="38" fontId="65" fillId="0" borderId="0" applyFont="0" applyFill="0" applyBorder="0" applyAlignment="0" applyProtection="0"/>
    <xf numFmtId="0" fontId="78" fillId="0" borderId="0"/>
    <xf numFmtId="0" fontId="65" fillId="0" borderId="0" applyFont="0" applyFill="0" applyBorder="0" applyAlignment="0" applyProtection="0">
      <alignment horizontal="right"/>
    </xf>
    <xf numFmtId="10" fontId="65" fillId="0" borderId="0"/>
    <xf numFmtId="10" fontId="65" fillId="0" borderId="0"/>
    <xf numFmtId="10" fontId="65" fillId="43" borderId="0"/>
    <xf numFmtId="10" fontId="65" fillId="43" borderId="0"/>
    <xf numFmtId="10" fontId="65" fillId="43" borderId="0"/>
    <xf numFmtId="9" fontId="65" fillId="0" borderId="0" applyFont="0" applyFill="0" applyBorder="0" applyAlignment="0" applyProtection="0"/>
    <xf numFmtId="0" fontId="74" fillId="0" borderId="0" applyNumberFormat="0" applyFont="0" applyFill="0" applyBorder="0" applyAlignment="0" applyProtection="0">
      <alignment horizontal="left"/>
    </xf>
    <xf numFmtId="15" fontId="74" fillId="0" borderId="0" applyFont="0" applyFill="0" applyBorder="0" applyAlignment="0" applyProtection="0"/>
    <xf numFmtId="4" fontId="74" fillId="0" borderId="0" applyFont="0" applyFill="0" applyBorder="0" applyAlignment="0" applyProtection="0"/>
    <xf numFmtId="0" fontId="188" fillId="0" borderId="6">
      <alignment horizontal="center"/>
    </xf>
    <xf numFmtId="3" fontId="74" fillId="0" borderId="0" applyFont="0" applyFill="0" applyBorder="0" applyAlignment="0" applyProtection="0"/>
    <xf numFmtId="0" fontId="74" fillId="28" borderId="0" applyNumberFormat="0" applyFont="0" applyBorder="0" applyAlignment="0" applyProtection="0"/>
    <xf numFmtId="0" fontId="189" fillId="0" borderId="0"/>
    <xf numFmtId="294" fontId="173" fillId="2" borderId="0"/>
    <xf numFmtId="0" fontId="190" fillId="0" borderId="0">
      <alignment horizontal="center"/>
    </xf>
    <xf numFmtId="0" fontId="173" fillId="0" borderId="15">
      <alignment horizontal="centerContinuous"/>
    </xf>
    <xf numFmtId="0" fontId="173" fillId="0" borderId="15">
      <alignment horizontal="centerContinuous"/>
    </xf>
    <xf numFmtId="295" fontId="173" fillId="2" borderId="0">
      <alignment horizontal="right"/>
    </xf>
    <xf numFmtId="0" fontId="61" fillId="0" borderId="0">
      <alignment vertical="top"/>
    </xf>
    <xf numFmtId="0" fontId="61" fillId="0" borderId="0">
      <alignment vertical="top"/>
    </xf>
    <xf numFmtId="0" fontId="61" fillId="0" borderId="0">
      <alignment vertical="top"/>
    </xf>
    <xf numFmtId="296" fontId="173" fillId="2" borderId="16">
      <alignment horizontal="right"/>
    </xf>
    <xf numFmtId="0" fontId="169" fillId="0" borderId="0"/>
    <xf numFmtId="193" fontId="118" fillId="0" borderId="0" applyFont="0" applyFill="0" applyBorder="0" applyAlignment="0" applyProtection="0"/>
    <xf numFmtId="0" fontId="118" fillId="0" borderId="0" applyFont="0" applyFill="0" applyBorder="0" applyAlignment="0" applyProtection="0"/>
    <xf numFmtId="193" fontId="118" fillId="0" borderId="0" applyFont="0" applyFill="0" applyBorder="0" applyAlignment="0" applyProtection="0"/>
    <xf numFmtId="0" fontId="76" fillId="0" borderId="16" applyNumberFormat="0" applyBorder="0" applyAlignment="0"/>
    <xf numFmtId="0" fontId="76" fillId="0" borderId="16" applyNumberFormat="0" applyBorder="0" applyAlignment="0"/>
    <xf numFmtId="0" fontId="76" fillId="0" borderId="16" applyNumberFormat="0" applyBorder="0" applyAlignment="0"/>
    <xf numFmtId="171" fontId="74" fillId="21" borderId="27" applyNumberFormat="0" applyFont="0" applyBorder="0" applyAlignment="0" applyProtection="0">
      <alignment horizontal="center"/>
    </xf>
    <xf numFmtId="0" fontId="74" fillId="21" borderId="27" applyNumberFormat="0" applyFont="0" applyBorder="0" applyAlignment="0" applyProtection="0">
      <alignment horizontal="center"/>
    </xf>
    <xf numFmtId="14" fontId="91" fillId="0" borderId="0" applyNumberFormat="0" applyFill="0" applyBorder="0" applyAlignment="0" applyProtection="0">
      <alignment horizontal="left"/>
    </xf>
    <xf numFmtId="0" fontId="191" fillId="0" borderId="0" applyNumberFormat="0" applyFill="0" applyBorder="0" applyProtection="0">
      <alignment horizontal="right" vertical="center"/>
    </xf>
    <xf numFmtId="0" fontId="122" fillId="0" borderId="28">
      <alignment vertical="center"/>
    </xf>
    <xf numFmtId="0" fontId="46" fillId="39" borderId="0">
      <alignment horizontal="right"/>
    </xf>
    <xf numFmtId="0" fontId="46" fillId="39" borderId="0">
      <alignment horizontal="right"/>
    </xf>
    <xf numFmtId="0" fontId="61" fillId="44" borderId="0" applyNumberFormat="0" applyFont="0" applyBorder="0" applyAlignment="0" applyProtection="0"/>
    <xf numFmtId="1" fontId="78" fillId="45" borderId="0" applyNumberFormat="0" applyFont="0" applyBorder="0" applyAlignment="0">
      <alignment horizontal="left"/>
    </xf>
    <xf numFmtId="165" fontId="61" fillId="0" borderId="15" applyFont="0" applyFill="0" applyBorder="0" applyAlignment="0" applyProtection="0">
      <alignment horizontal="right"/>
    </xf>
    <xf numFmtId="0" fontId="61" fillId="0" borderId="15" applyFont="0" applyFill="0" applyBorder="0" applyAlignment="0" applyProtection="0">
      <alignment horizontal="right"/>
    </xf>
    <xf numFmtId="0" fontId="61" fillId="0" borderId="15" applyFont="0" applyFill="0" applyBorder="0" applyAlignment="0" applyProtection="0">
      <alignment horizontal="right"/>
    </xf>
    <xf numFmtId="165" fontId="61" fillId="0" borderId="15" applyFont="0" applyFill="0" applyBorder="0" applyAlignment="0" applyProtection="0">
      <alignment horizontal="right"/>
    </xf>
    <xf numFmtId="165" fontId="61" fillId="0" borderId="15" applyFont="0" applyFill="0" applyBorder="0" applyAlignment="0" applyProtection="0">
      <alignment horizontal="right"/>
    </xf>
    <xf numFmtId="165" fontId="61" fillId="0" borderId="15" applyFont="0" applyFill="0" applyBorder="0" applyAlignment="0" applyProtection="0">
      <alignment horizontal="right"/>
    </xf>
    <xf numFmtId="198" fontId="65" fillId="0" borderId="0" applyFill="0" applyBorder="0" applyAlignment="0" applyProtection="0">
      <protection locked="0"/>
    </xf>
    <xf numFmtId="0" fontId="65" fillId="0" borderId="0" applyFill="0" applyBorder="0" applyAlignment="0" applyProtection="0">
      <protection locked="0"/>
    </xf>
    <xf numFmtId="198" fontId="65" fillId="0" borderId="0" applyFill="0" applyBorder="0" applyAlignment="0" applyProtection="0">
      <protection locked="0"/>
    </xf>
    <xf numFmtId="198" fontId="65" fillId="0" borderId="0" applyFill="0" applyBorder="0" applyAlignment="0" applyProtection="0">
      <protection locked="0"/>
    </xf>
    <xf numFmtId="0" fontId="88" fillId="0" borderId="0" applyNumberFormat="0" applyFill="0" applyBorder="0" applyAlignment="0" applyProtection="0"/>
    <xf numFmtId="0" fontId="101" fillId="0" borderId="0" applyNumberFormat="0" applyAlignment="0"/>
    <xf numFmtId="184" fontId="61" fillId="0" borderId="0" applyFill="0" applyBorder="0" applyProtection="0">
      <alignment horizontal="right"/>
    </xf>
    <xf numFmtId="0" fontId="61" fillId="0" borderId="0" applyFill="0" applyBorder="0" applyProtection="0">
      <alignment horizontal="right"/>
    </xf>
    <xf numFmtId="0" fontId="65" fillId="0" borderId="0"/>
    <xf numFmtId="194" fontId="6" fillId="0" borderId="0" applyFill="0" applyBorder="0" applyAlignment="0" applyProtection="0"/>
    <xf numFmtId="0" fontId="6" fillId="0" borderId="0" applyFill="0" applyBorder="0" applyAlignment="0" applyProtection="0"/>
    <xf numFmtId="194" fontId="6" fillId="0" borderId="0" applyFill="0" applyBorder="0" applyAlignment="0" applyProtection="0"/>
    <xf numFmtId="194" fontId="6" fillId="0" borderId="0" applyFill="0" applyBorder="0" applyAlignment="0" applyProtection="0"/>
    <xf numFmtId="0" fontId="118" fillId="0" borderId="0" applyFont="0" applyFill="0" applyBorder="0" applyAlignment="0" applyProtection="0">
      <alignment horizontal="right"/>
    </xf>
    <xf numFmtId="0" fontId="46" fillId="0" borderId="0" applyFont="0" applyFill="0" applyBorder="0" applyAlignment="0" applyProtection="0"/>
    <xf numFmtId="0" fontId="46" fillId="0" borderId="0" applyFont="0" applyFill="0" applyBorder="0" applyAlignment="0" applyProtection="0"/>
    <xf numFmtId="0" fontId="46" fillId="0" borderId="0">
      <alignment vertical="top"/>
    </xf>
    <xf numFmtId="0" fontId="46" fillId="0" borderId="0">
      <alignment vertical="top"/>
    </xf>
    <xf numFmtId="0" fontId="192" fillId="44" borderId="0" applyNumberFormat="0" applyBorder="0" applyAlignment="0" applyProtection="0"/>
    <xf numFmtId="0" fontId="75" fillId="0" borderId="0" applyNumberFormat="0" applyFill="0" applyBorder="0" applyAlignment="0" applyProtection="0"/>
    <xf numFmtId="0" fontId="10" fillId="44" borderId="0" applyNumberFormat="0" applyBorder="0" applyAlignment="0" applyProtection="0"/>
    <xf numFmtId="0" fontId="18" fillId="0" borderId="0" applyNumberFormat="0" applyFill="0" applyBorder="0" applyAlignment="0" applyProtection="0"/>
    <xf numFmtId="0" fontId="8" fillId="0" borderId="0" applyNumberFormat="0" applyFill="0" applyBorder="0" applyAlignment="0" applyProtection="0"/>
    <xf numFmtId="0" fontId="193" fillId="39" borderId="0" applyNumberFormat="0" applyBorder="0" applyAlignment="0" applyProtection="0"/>
    <xf numFmtId="0" fontId="194" fillId="39" borderId="0" applyNumberFormat="0" applyBorder="0" applyAlignment="0" applyProtection="0"/>
    <xf numFmtId="0" fontId="46" fillId="0" borderId="0" applyNumberFormat="0" applyFont="0" applyFill="0" applyBorder="0" applyProtection="0">
      <alignment horizontal="right"/>
    </xf>
    <xf numFmtId="0" fontId="46" fillId="0" borderId="0" applyNumberFormat="0" applyFont="0" applyFill="0" applyBorder="0" applyProtection="0">
      <alignment horizontal="left"/>
    </xf>
    <xf numFmtId="0" fontId="46" fillId="0" borderId="0">
      <alignment vertical="top"/>
    </xf>
    <xf numFmtId="0" fontId="46" fillId="0" borderId="0">
      <alignment vertical="top"/>
    </xf>
    <xf numFmtId="0" fontId="6" fillId="0" borderId="0" applyNumberFormat="0" applyFill="0" applyBorder="0" applyAlignment="0" applyProtection="0"/>
    <xf numFmtId="0" fontId="17" fillId="0" borderId="0" applyNumberFormat="0" applyFill="0" applyBorder="0" applyAlignment="0" applyProtection="0"/>
    <xf numFmtId="0" fontId="46" fillId="46" borderId="0" applyNumberFormat="0" applyFont="0" applyBorder="0" applyAlignment="0" applyProtection="0"/>
    <xf numFmtId="0" fontId="46" fillId="0" borderId="0" applyFont="0" applyFill="0" applyBorder="0" applyAlignment="0" applyProtection="0"/>
    <xf numFmtId="2" fontId="46" fillId="0" borderId="0" applyFont="0" applyFill="0" applyBorder="0" applyAlignment="0" applyProtection="0"/>
    <xf numFmtId="0" fontId="46" fillId="0" borderId="0" applyFont="0" applyFill="0" applyBorder="0" applyAlignment="0" applyProtection="0"/>
    <xf numFmtId="0" fontId="46" fillId="0" borderId="0" applyNumberFormat="0" applyFill="0" applyBorder="0" applyProtection="0">
      <alignment wrapText="1"/>
    </xf>
    <xf numFmtId="0" fontId="46" fillId="0" borderId="6" applyNumberFormat="0" applyFont="0" applyFill="0" applyAlignment="0" applyProtection="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190" fontId="79" fillId="0" borderId="0" applyNumberFormat="0" applyFill="0" applyBorder="0" applyAlignment="0" applyProtection="0">
      <alignment horizontal="right" vertical="center" wrapText="1"/>
    </xf>
    <xf numFmtId="0" fontId="79" fillId="0" borderId="0" applyNumberFormat="0" applyFill="0" applyBorder="0" applyAlignment="0" applyProtection="0">
      <alignment horizontal="right" vertical="center" wrapText="1"/>
    </xf>
    <xf numFmtId="0" fontId="80" fillId="0" borderId="0" applyNumberFormat="0" applyFill="0" applyBorder="0" applyAlignment="0" applyProtection="0"/>
    <xf numFmtId="0" fontId="81" fillId="0" borderId="0" applyNumberFormat="0" applyFill="0" applyBorder="0" applyAlignment="0" applyProtection="0">
      <protection locked="0"/>
    </xf>
    <xf numFmtId="0" fontId="82" fillId="0" borderId="13" applyNumberFormat="0" applyFill="0" applyProtection="0">
      <alignment horizontal="right"/>
    </xf>
    <xf numFmtId="0" fontId="82" fillId="0" borderId="13" applyNumberFormat="0" applyFill="0" applyProtection="0">
      <alignment horizontal="right"/>
    </xf>
    <xf numFmtId="0" fontId="195" fillId="0" borderId="0" applyFill="0" applyBorder="0" applyAlignment="0" applyProtection="0"/>
    <xf numFmtId="0" fontId="196" fillId="0" borderId="0" applyFill="0" applyBorder="0" applyAlignment="0" applyProtection="0">
      <alignment horizontal="left"/>
      <protection locked="0"/>
    </xf>
    <xf numFmtId="0" fontId="196" fillId="0" borderId="0" applyFill="0" applyBorder="0" applyAlignment="0" applyProtection="0"/>
    <xf numFmtId="0" fontId="197" fillId="0" borderId="0" applyFill="0" applyBorder="0" applyAlignment="0" applyProtection="0">
      <alignment horizontal="left"/>
      <protection locked="0"/>
    </xf>
    <xf numFmtId="0" fontId="197" fillId="0" borderId="0" applyFill="0" applyBorder="0" applyAlignment="0" applyProtection="0">
      <protection locked="0"/>
    </xf>
    <xf numFmtId="0" fontId="65" fillId="0" borderId="0" applyFill="0" applyBorder="0" applyAlignment="0" applyProtection="0">
      <protection locked="0"/>
    </xf>
    <xf numFmtId="40" fontId="46" fillId="0" borderId="0" applyBorder="0">
      <alignment horizontal="right"/>
    </xf>
    <xf numFmtId="40" fontId="46" fillId="0" borderId="0" applyBorder="0">
      <alignment horizontal="right"/>
    </xf>
    <xf numFmtId="0" fontId="195" fillId="0" borderId="0" applyFill="0" applyBorder="0" applyAlignment="0" applyProtection="0"/>
    <xf numFmtId="0" fontId="46" fillId="0" borderId="1" applyBorder="0">
      <alignment horizontal="center"/>
    </xf>
    <xf numFmtId="0" fontId="46" fillId="0" borderId="1" applyBorder="0">
      <alignment horizontal="center"/>
    </xf>
    <xf numFmtId="37" fontId="17" fillId="0" borderId="0" applyNumberFormat="0" applyFont="0" applyBorder="0" applyAlignment="0">
      <alignment horizontal="center"/>
    </xf>
    <xf numFmtId="0" fontId="24" fillId="0" borderId="0" applyFill="0" applyBorder="0" applyProtection="0">
      <alignment horizontal="center" vertical="center"/>
    </xf>
    <xf numFmtId="0" fontId="82" fillId="0" borderId="29" applyNumberFormat="0" applyProtection="0">
      <alignment horizontal="right"/>
    </xf>
    <xf numFmtId="0" fontId="83" fillId="0" borderId="15" applyNumberFormat="0" applyFill="0" applyProtection="0"/>
    <xf numFmtId="0" fontId="83" fillId="0" borderId="15" applyNumberFormat="0" applyFill="0" applyProtection="0"/>
    <xf numFmtId="207" fontId="61" fillId="0" borderId="15" applyBorder="0" applyProtection="0">
      <alignment horizontal="right" vertical="center"/>
    </xf>
    <xf numFmtId="0" fontId="61" fillId="0" borderId="15" applyBorder="0" applyProtection="0">
      <alignment horizontal="right" vertical="center"/>
    </xf>
    <xf numFmtId="0" fontId="61" fillId="0" borderId="15" applyBorder="0" applyProtection="0">
      <alignment horizontal="right" vertical="center"/>
    </xf>
    <xf numFmtId="207" fontId="61" fillId="0" borderId="15" applyBorder="0" applyProtection="0">
      <alignment horizontal="right" vertical="center"/>
    </xf>
    <xf numFmtId="207" fontId="61" fillId="0" borderId="15" applyBorder="0" applyProtection="0">
      <alignment horizontal="right" vertical="center"/>
    </xf>
    <xf numFmtId="207" fontId="61" fillId="0" borderId="15" applyBorder="0" applyProtection="0">
      <alignment horizontal="right" vertical="center"/>
    </xf>
    <xf numFmtId="207" fontId="61" fillId="0" borderId="15" applyBorder="0" applyProtection="0">
      <alignment horizontal="right" vertical="center"/>
    </xf>
    <xf numFmtId="0" fontId="149" fillId="47" borderId="0" applyBorder="0" applyProtection="0">
      <alignment horizontal="centerContinuous" vertical="center"/>
    </xf>
    <xf numFmtId="0" fontId="149" fillId="39" borderId="15" applyBorder="0" applyProtection="0">
      <alignment horizontal="centerContinuous" vertical="center"/>
    </xf>
    <xf numFmtId="0" fontId="149" fillId="39" borderId="15" applyBorder="0" applyProtection="0">
      <alignment horizontal="centerContinuous" vertical="center"/>
    </xf>
    <xf numFmtId="0" fontId="150" fillId="0" borderId="0" applyBorder="0" applyProtection="0">
      <alignment vertical="center"/>
    </xf>
    <xf numFmtId="0" fontId="123" fillId="0" borderId="0" applyNumberFormat="0" applyFill="0" applyBorder="0" applyProtection="0">
      <alignment horizontal="left"/>
    </xf>
    <xf numFmtId="0" fontId="24" fillId="0" borderId="0" applyFill="0" applyBorder="0" applyProtection="0"/>
    <xf numFmtId="0" fontId="151" fillId="0" borderId="0" applyFill="0" applyBorder="0" applyProtection="0">
      <alignment vertical="center"/>
    </xf>
    <xf numFmtId="0" fontId="84" fillId="0" borderId="0">
      <alignment vertical="center"/>
    </xf>
    <xf numFmtId="0" fontId="70" fillId="0" borderId="0">
      <alignment vertical="center"/>
    </xf>
    <xf numFmtId="0" fontId="70" fillId="0" borderId="0">
      <alignment vertical="center"/>
    </xf>
    <xf numFmtId="0" fontId="70" fillId="0" borderId="0">
      <alignment vertical="center"/>
    </xf>
    <xf numFmtId="0" fontId="84" fillId="0" borderId="0">
      <alignment vertical="center"/>
    </xf>
    <xf numFmtId="0" fontId="73" fillId="0" borderId="0">
      <alignment vertical="center"/>
    </xf>
    <xf numFmtId="0" fontId="152" fillId="0" borderId="0" applyFill="0" applyBorder="0" applyProtection="0">
      <alignment horizontal="left"/>
    </xf>
    <xf numFmtId="0" fontId="123" fillId="0" borderId="1" applyFill="0" applyBorder="0" applyProtection="0">
      <alignment horizontal="left" vertical="top"/>
    </xf>
    <xf numFmtId="0" fontId="153" fillId="0" borderId="0"/>
    <xf numFmtId="199" fontId="154" fillId="0" borderId="0" applyNumberFormat="0" applyFill="0" applyBorder="0">
      <alignment horizontal="left"/>
    </xf>
    <xf numFmtId="0" fontId="154" fillId="0" borderId="0" applyNumberFormat="0" applyFill="0" applyBorder="0">
      <alignment horizontal="left"/>
    </xf>
    <xf numFmtId="199" fontId="154" fillId="0" borderId="0" applyNumberFormat="0" applyFill="0" applyBorder="0">
      <alignment horizontal="right"/>
    </xf>
    <xf numFmtId="0" fontId="154" fillId="0" borderId="0" applyNumberFormat="0" applyFill="0" applyBorder="0">
      <alignment horizontal="right"/>
    </xf>
    <xf numFmtId="199" fontId="155" fillId="0" borderId="0" applyNumberFormat="0" applyFill="0" applyBorder="0">
      <alignment horizontal="right"/>
    </xf>
    <xf numFmtId="0" fontId="155" fillId="0" borderId="0" applyNumberFormat="0" applyFill="0" applyBorder="0">
      <alignment horizontal="right"/>
    </xf>
    <xf numFmtId="49" fontId="198" fillId="0" borderId="0"/>
    <xf numFmtId="0" fontId="156" fillId="0" borderId="1" applyFill="0" applyBorder="0" applyProtection="0"/>
    <xf numFmtId="0" fontId="156" fillId="0" borderId="0"/>
    <xf numFmtId="0" fontId="157" fillId="0" borderId="0" applyNumberFormat="0" applyFill="0" applyBorder="0" applyProtection="0"/>
    <xf numFmtId="0" fontId="158" fillId="0" borderId="0" applyFill="0" applyBorder="0" applyProtection="0"/>
    <xf numFmtId="0" fontId="159" fillId="0" borderId="0"/>
    <xf numFmtId="0" fontId="158" fillId="0" borderId="0" applyNumberFormat="0" applyFill="0" applyBorder="0" applyProtection="0"/>
    <xf numFmtId="0" fontId="160" fillId="0" borderId="0" applyFill="0" applyBorder="0" applyProtection="0"/>
    <xf numFmtId="0" fontId="157" fillId="0" borderId="0" applyNumberFormat="0" applyFill="0" applyBorder="0" applyProtection="0"/>
    <xf numFmtId="0" fontId="157" fillId="0" borderId="0"/>
    <xf numFmtId="49" fontId="57" fillId="0" borderId="0" applyFill="0" applyBorder="0" applyAlignment="0"/>
    <xf numFmtId="275" fontId="171" fillId="0" borderId="0" applyFill="0" applyBorder="0" applyAlignment="0"/>
    <xf numFmtId="276" fontId="171" fillId="0" borderId="0" applyFill="0" applyBorder="0" applyAlignment="0"/>
    <xf numFmtId="0" fontId="170" fillId="0" borderId="0" applyNumberFormat="0" applyFill="0" applyBorder="0"/>
    <xf numFmtId="11" fontId="65" fillId="0" borderId="0" applyFon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0" fontId="118" fillId="0" borderId="0" applyFill="0" applyBorder="0" applyAlignment="0" applyProtection="0"/>
    <xf numFmtId="0"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193" fontId="118" fillId="0" borderId="0" applyFill="0" applyBorder="0" applyAlignment="0" applyProtection="0"/>
    <xf numFmtId="0" fontId="199" fillId="0" borderId="0">
      <alignment horizontal="center"/>
    </xf>
    <xf numFmtId="193" fontId="161" fillId="0" borderId="30"/>
    <xf numFmtId="0" fontId="161" fillId="0" borderId="30"/>
    <xf numFmtId="193" fontId="162" fillId="0" borderId="0" applyNumberFormat="0" applyFill="0" applyBorder="0" applyAlignment="0" applyProtection="0"/>
    <xf numFmtId="0" fontId="162" fillId="0" borderId="0" applyNumberFormat="0" applyFill="0" applyBorder="0" applyAlignment="0" applyProtection="0"/>
    <xf numFmtId="0" fontId="17" fillId="0" borderId="0" applyNumberFormat="0" applyFill="0" applyBorder="0" applyAlignment="0" applyProtection="0"/>
    <xf numFmtId="0" fontId="200" fillId="0" borderId="0" applyNumberFormat="0" applyFill="0" applyBorder="0" applyAlignment="0" applyProtection="0"/>
    <xf numFmtId="0" fontId="24"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38" fontId="201" fillId="0" borderId="0" applyFill="0" applyBorder="0" applyAlignment="0" applyProtection="0">
      <alignment horizontal="left"/>
    </xf>
    <xf numFmtId="278" fontId="202" fillId="48" borderId="0" applyNumberFormat="0" applyBorder="0">
      <alignment horizontal="center"/>
      <protection locked="0"/>
    </xf>
    <xf numFmtId="278" fontId="87" fillId="38" borderId="0" applyNumberFormat="0" applyBorder="0">
      <alignment horizontal="left"/>
      <protection locked="0"/>
    </xf>
    <xf numFmtId="278" fontId="203" fillId="31" borderId="0" applyNumberFormat="0" applyBorder="0">
      <alignment horizontal="center"/>
      <protection locked="0"/>
    </xf>
    <xf numFmtId="278" fontId="203" fillId="38" borderId="0" applyNumberFormat="0" applyBorder="0">
      <alignment horizontal="left"/>
      <protection locked="0"/>
    </xf>
    <xf numFmtId="278" fontId="86" fillId="31" borderId="0" applyNumberFormat="0" applyBorder="0">
      <protection locked="0"/>
    </xf>
    <xf numFmtId="278" fontId="87" fillId="49" borderId="0" applyNumberFormat="0" applyBorder="0">
      <alignment horizontal="left"/>
      <protection locked="0"/>
    </xf>
    <xf numFmtId="278" fontId="204" fillId="31" borderId="0" applyNumberFormat="0" applyBorder="0">
      <protection locked="0"/>
    </xf>
    <xf numFmtId="0" fontId="205" fillId="0" borderId="0"/>
    <xf numFmtId="0" fontId="158" fillId="0" borderId="0"/>
    <xf numFmtId="0" fontId="157" fillId="0" borderId="0"/>
    <xf numFmtId="0" fontId="163" fillId="0" borderId="0" applyFill="0" applyBorder="0" applyProtection="0">
      <alignment vertical="center"/>
    </xf>
    <xf numFmtId="0" fontId="163" fillId="0" borderId="0" applyFill="0" applyBorder="0" applyProtection="0">
      <alignment vertical="center"/>
    </xf>
    <xf numFmtId="248" fontId="163" fillId="0" borderId="0" applyFill="0" applyBorder="0" applyProtection="0">
      <alignment vertical="center"/>
    </xf>
    <xf numFmtId="234" fontId="163" fillId="0" borderId="0" applyFill="0" applyBorder="0" applyProtection="0"/>
    <xf numFmtId="0" fontId="163" fillId="0" borderId="0" applyFill="0" applyBorder="0" applyProtection="0"/>
    <xf numFmtId="278" fontId="87" fillId="36" borderId="0" applyNumberFormat="0" applyBorder="0">
      <protection locked="0"/>
    </xf>
    <xf numFmtId="278" fontId="206" fillId="50" borderId="0" applyNumberFormat="0" applyBorder="0">
      <protection locked="0"/>
    </xf>
    <xf numFmtId="278" fontId="207" fillId="50" borderId="0" applyNumberFormat="0" applyBorder="0">
      <protection locked="0"/>
    </xf>
    <xf numFmtId="278" fontId="87" fillId="38" borderId="0" applyNumberFormat="0" applyBorder="0">
      <protection locked="0"/>
    </xf>
    <xf numFmtId="278" fontId="87" fillId="38" borderId="0" applyNumberFormat="0" applyBorder="0">
      <protection locked="0"/>
    </xf>
    <xf numFmtId="278" fontId="87" fillId="38" borderId="0" applyNumberFormat="0" applyBorder="0">
      <protection locked="0"/>
    </xf>
    <xf numFmtId="249" fontId="163" fillId="0" borderId="0" applyFill="0" applyBorder="0" applyProtection="0"/>
    <xf numFmtId="0" fontId="163" fillId="0" borderId="0" applyFill="0" applyBorder="0" applyProtection="0"/>
    <xf numFmtId="278" fontId="208" fillId="51" borderId="0" applyNumberFormat="0" applyBorder="0">
      <protection locked="0"/>
    </xf>
    <xf numFmtId="237" fontId="163" fillId="0" borderId="17" applyFill="0" applyBorder="0" applyProtection="0">
      <alignment vertical="center"/>
    </xf>
    <xf numFmtId="0" fontId="163" fillId="0" borderId="17" applyFill="0" applyBorder="0" applyProtection="0">
      <alignment vertical="center"/>
    </xf>
    <xf numFmtId="0" fontId="46" fillId="0" borderId="18">
      <protection locked="0"/>
    </xf>
    <xf numFmtId="0" fontId="46" fillId="0" borderId="18">
      <protection locked="0"/>
    </xf>
    <xf numFmtId="171" fontId="46" fillId="0" borderId="18">
      <alignment horizontal="right"/>
      <protection locked="0"/>
    </xf>
    <xf numFmtId="0" fontId="46" fillId="0" borderId="18">
      <alignment horizontal="right"/>
      <protection locked="0"/>
    </xf>
    <xf numFmtId="171" fontId="46" fillId="0" borderId="18">
      <alignment horizontal="right"/>
      <protection locked="0"/>
    </xf>
    <xf numFmtId="40" fontId="169" fillId="0" borderId="0"/>
    <xf numFmtId="0" fontId="14" fillId="0" borderId="0"/>
    <xf numFmtId="0" fontId="209" fillId="0" borderId="0"/>
    <xf numFmtId="38" fontId="209" fillId="0" borderId="0"/>
    <xf numFmtId="0" fontId="164" fillId="0" borderId="0">
      <alignment horizontal="fill"/>
    </xf>
    <xf numFmtId="37" fontId="165" fillId="0" borderId="0"/>
    <xf numFmtId="193" fontId="6" fillId="35" borderId="19">
      <alignment horizontal="right"/>
    </xf>
    <xf numFmtId="193" fontId="17" fillId="35" borderId="19"/>
    <xf numFmtId="0" fontId="9" fillId="52" borderId="31">
      <alignment horizontal="left"/>
    </xf>
    <xf numFmtId="0" fontId="9" fillId="52" borderId="31">
      <alignment horizontal="left"/>
    </xf>
    <xf numFmtId="0" fontId="9" fillId="52" borderId="31">
      <alignment horizontal="left"/>
    </xf>
    <xf numFmtId="250" fontId="46" fillId="0" borderId="0" applyFont="0" applyFill="0" applyBorder="0" applyAlignment="0" applyProtection="0"/>
    <xf numFmtId="242" fontId="46" fillId="0" borderId="0" applyFon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251" fontId="16" fillId="0" borderId="0"/>
    <xf numFmtId="0" fontId="16" fillId="0" borderId="0"/>
    <xf numFmtId="1" fontId="65" fillId="0" borderId="0" applyFont="0" applyFill="0" applyBorder="0" applyAlignment="0" applyProtection="0"/>
    <xf numFmtId="1" fontId="65" fillId="0" borderId="0" applyFont="0" applyFill="0" applyBorder="0" applyAlignment="0" applyProtection="0"/>
    <xf numFmtId="0" fontId="166" fillId="0" borderId="0"/>
    <xf numFmtId="1" fontId="166" fillId="0" borderId="0"/>
    <xf numFmtId="199" fontId="14" fillId="0" borderId="0"/>
    <xf numFmtId="0"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99" fontId="14" fillId="0" borderId="0"/>
    <xf numFmtId="1" fontId="62" fillId="0" borderId="5" applyFill="0" applyProtection="0">
      <alignment horizontal="right"/>
    </xf>
    <xf numFmtId="1" fontId="62" fillId="0" borderId="5" applyFill="0" applyProtection="0">
      <alignment horizontal="right"/>
    </xf>
    <xf numFmtId="252" fontId="46" fillId="0" borderId="0"/>
    <xf numFmtId="0" fontId="46" fillId="0" borderId="0"/>
    <xf numFmtId="252" fontId="46" fillId="0" borderId="0"/>
    <xf numFmtId="1" fontId="210" fillId="0" borderId="0">
      <alignment horizontal="right"/>
    </xf>
    <xf numFmtId="253" fontId="167" fillId="0" borderId="0" applyFont="0" applyFill="0" applyBorder="0">
      <alignment horizontal="right"/>
    </xf>
    <xf numFmtId="0" fontId="167" fillId="0" borderId="0" applyFont="0" applyFill="0" applyBorder="0">
      <alignment horizontal="right"/>
    </xf>
    <xf numFmtId="0" fontId="170" fillId="48" borderId="32" applyNumberFormat="0" applyFont="0" applyBorder="0" applyAlignment="0" applyProtection="0">
      <alignment horizontal="right"/>
    </xf>
    <xf numFmtId="196" fontId="6" fillId="0" borderId="0" applyFill="0" applyBorder="0" applyAlignment="0" applyProtection="0"/>
    <xf numFmtId="0" fontId="6" fillId="0" borderId="0" applyFill="0" applyBorder="0" applyAlignment="0" applyProtection="0"/>
    <xf numFmtId="196" fontId="6" fillId="0" borderId="0" applyFill="0" applyBorder="0" applyAlignment="0" applyProtection="0"/>
    <xf numFmtId="196" fontId="6" fillId="0" borderId="0" applyFill="0" applyBorder="0" applyAlignment="0" applyProtection="0"/>
    <xf numFmtId="9" fontId="171" fillId="0" borderId="0" applyFont="0" applyFill="0" applyBorder="0" applyAlignment="0" applyProtection="0"/>
    <xf numFmtId="0" fontId="172" fillId="0" borderId="0" applyFont="0" applyFill="0" applyBorder="0" applyAlignment="0" applyProtection="0"/>
    <xf numFmtId="0" fontId="172" fillId="0" borderId="0" applyFont="0" applyFill="0" applyBorder="0" applyAlignment="0" applyProtection="0"/>
    <xf numFmtId="0" fontId="172" fillId="0" borderId="0" applyFont="0" applyFill="0" applyBorder="0" applyAlignment="0" applyProtection="0"/>
    <xf numFmtId="0" fontId="172" fillId="0" borderId="0" applyFont="0" applyFill="0" applyBorder="0" applyAlignment="0" applyProtection="0"/>
    <xf numFmtId="0" fontId="172" fillId="0" borderId="0"/>
    <xf numFmtId="0" fontId="168" fillId="0" borderId="0"/>
    <xf numFmtId="0" fontId="46" fillId="0" borderId="0"/>
    <xf numFmtId="0" fontId="5" fillId="0" borderId="0"/>
    <xf numFmtId="256" fontId="46" fillId="0" borderId="0" applyFont="0" applyFill="0" applyBorder="0" applyAlignment="0" applyProtection="0"/>
    <xf numFmtId="256" fontId="46" fillId="0" borderId="0" applyFont="0" applyFill="0" applyBorder="0" applyAlignment="0" applyProtection="0"/>
    <xf numFmtId="256" fontId="223" fillId="0" borderId="0" applyFont="0" applyFill="0" applyBorder="0" applyAlignment="0" applyProtection="0"/>
    <xf numFmtId="256" fontId="223" fillId="0" borderId="0" applyFont="0" applyFill="0" applyBorder="0" applyAlignment="0" applyProtection="0"/>
    <xf numFmtId="256" fontId="223" fillId="0" borderId="0" applyFont="0" applyFill="0" applyBorder="0" applyAlignment="0" applyProtection="0"/>
    <xf numFmtId="256" fontId="224"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188"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223"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223"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223"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223"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224"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188"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223"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10" fontId="46"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224"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188"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223"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39" fontId="46"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10" fontId="46" fillId="0" borderId="0" applyFont="0" applyFill="0" applyBorder="0" applyAlignment="0" applyProtection="0"/>
    <xf numFmtId="0" fontId="93" fillId="0" borderId="0" applyNumberForma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224"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188"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223"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223" fillId="0" borderId="0" applyFont="0" applyFill="0" applyBorder="0" applyAlignment="0" applyProtection="0"/>
    <xf numFmtId="263" fontId="223" fillId="0" borderId="0" applyFont="0" applyFill="0" applyBorder="0" applyAlignment="0" applyProtection="0"/>
    <xf numFmtId="263" fontId="223" fillId="0" borderId="0" applyFont="0" applyFill="0" applyBorder="0" applyAlignment="0" applyProtection="0"/>
    <xf numFmtId="211" fontId="46" fillId="0" borderId="0" applyFont="0" applyFill="0" applyBorder="0" applyAlignment="0" applyProtection="0"/>
    <xf numFmtId="263" fontId="223" fillId="0" borderId="0" applyFont="0" applyFill="0" applyBorder="0" applyAlignment="0" applyProtection="0"/>
    <xf numFmtId="263" fontId="223"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64" fontId="224" fillId="0" borderId="0" applyFont="0" applyFill="0" applyBorder="0" applyProtection="0">
      <alignment horizontal="right"/>
    </xf>
    <xf numFmtId="212" fontId="46" fillId="0" borderId="0" applyFont="0" applyFill="0" applyBorder="0" applyAlignment="0" applyProtection="0"/>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188" fillId="0" borderId="0" applyFont="0" applyFill="0" applyBorder="0" applyProtection="0">
      <alignment horizontal="right"/>
    </xf>
    <xf numFmtId="300"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223" fillId="0" borderId="0" applyFont="0" applyFill="0" applyBorder="0" applyProtection="0">
      <alignment horizontal="right"/>
    </xf>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223" fillId="0" borderId="0" applyFont="0" applyFill="0" applyBorder="0" applyProtection="0">
      <alignment horizontal="right"/>
    </xf>
    <xf numFmtId="264" fontId="223" fillId="0" borderId="0" applyFont="0" applyFill="0" applyBorder="0" applyProtection="0">
      <alignment horizontal="right"/>
    </xf>
    <xf numFmtId="264" fontId="223" fillId="0" borderId="0" applyFont="0" applyFill="0" applyBorder="0" applyProtection="0">
      <alignment horizontal="right"/>
    </xf>
    <xf numFmtId="212" fontId="46" fillId="0" borderId="0" applyFont="0" applyFill="0" applyBorder="0" applyAlignment="0" applyProtection="0"/>
    <xf numFmtId="264" fontId="223" fillId="0" borderId="0" applyFont="0" applyFill="0" applyBorder="0" applyProtection="0">
      <alignment horizontal="right"/>
    </xf>
    <xf numFmtId="264" fontId="223" fillId="0" borderId="0" applyFont="0" applyFill="0" applyBorder="0" applyProtection="0">
      <alignment horizontal="right"/>
    </xf>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58" fontId="46" fillId="0" borderId="0" applyFont="0" applyFill="0" applyBorder="0" applyProtection="0">
      <alignment horizontal="right"/>
    </xf>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46" fillId="0" borderId="0" applyFont="0" applyFill="0" applyBorder="0" applyProtection="0">
      <alignment horizontal="right"/>
    </xf>
    <xf numFmtId="259" fontId="46" fillId="0" borderId="0" applyFont="0" applyFill="0" applyBorder="0" applyProtection="0">
      <alignment horizontal="right"/>
    </xf>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0" fontId="94" fillId="0" borderId="0" applyNumberFormat="0" applyFill="0" applyBorder="0" applyProtection="0">
      <alignment vertical="top"/>
    </xf>
    <xf numFmtId="0" fontId="94" fillId="0" borderId="0" applyNumberFormat="0" applyFill="0" applyBorder="0" applyAlignment="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15" fillId="0" borderId="2" applyNumberFormat="0" applyFill="0" applyAlignment="0" applyProtection="0"/>
    <xf numFmtId="0" fontId="15" fillId="0" borderId="47" applyNumberFormat="0" applyFill="0" applyAlignment="0" applyProtection="0"/>
    <xf numFmtId="0" fontId="15" fillId="0" borderId="2" applyNumberFormat="0" applyFill="0" applyAlignment="0" applyProtection="0"/>
    <xf numFmtId="0" fontId="15" fillId="0" borderId="2" applyNumberFormat="0" applyFill="0" applyAlignment="0" applyProtection="0"/>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2" fontId="16" fillId="0" borderId="0" applyNumberFormat="0" applyBorder="0" applyAlignment="0"/>
    <xf numFmtId="165" fontId="225" fillId="0" borderId="0"/>
    <xf numFmtId="0" fontId="193" fillId="60" borderId="48">
      <alignment horizontal="center"/>
    </xf>
    <xf numFmtId="199" fontId="6" fillId="61" borderId="0" applyNumberFormat="0" applyFont="0" applyBorder="0" applyAlignment="0">
      <protection locked="0"/>
    </xf>
    <xf numFmtId="0" fontId="6" fillId="0" borderId="0" applyNumberFormat="0" applyFill="0" applyBorder="0" applyAlignment="0" applyProtection="0"/>
    <xf numFmtId="199" fontId="226" fillId="0" borderId="0" applyNumberFormat="0" applyFill="0" applyBorder="0" applyProtection="0">
      <alignment horizontal="right"/>
    </xf>
    <xf numFmtId="38" fontId="227" fillId="0" borderId="0" applyNumberFormat="0" applyFill="0" applyBorder="0">
      <alignment vertical="center"/>
    </xf>
    <xf numFmtId="0" fontId="14" fillId="0" borderId="0"/>
    <xf numFmtId="0" fontId="16" fillId="0" borderId="0" applyNumberFormat="0" applyAlignment="0"/>
    <xf numFmtId="169" fontId="186" fillId="0" borderId="0" applyNumberFormat="0" applyFont="0" applyAlignment="0">
      <alignment vertical="center"/>
    </xf>
    <xf numFmtId="301" fontId="46" fillId="0" borderId="0" applyNumberFormat="0" applyFill="0" applyBorder="0" applyAlignment="0" applyProtection="0"/>
    <xf numFmtId="38" fontId="170" fillId="0" borderId="0" applyNumberFormat="0" applyFill="0" applyBorder="0">
      <alignment horizontal="left" vertical="center"/>
    </xf>
    <xf numFmtId="169" fontId="228" fillId="0" borderId="0" applyFill="0" applyBorder="0">
      <alignment vertical="center"/>
    </xf>
    <xf numFmtId="0" fontId="17" fillId="0" borderId="0" applyNumberFormat="0" applyFill="0" applyBorder="0" applyAlignment="0" applyProtection="0"/>
    <xf numFmtId="0" fontId="229" fillId="0" borderId="0">
      <alignment horizontal="left" vertical="top"/>
      <protection locked="0"/>
    </xf>
    <xf numFmtId="198" fontId="46" fillId="0" borderId="0" applyFill="0">
      <alignment horizontal="center" vertical="center"/>
    </xf>
    <xf numFmtId="0" fontId="230" fillId="0" borderId="0" applyNumberFormat="0" applyAlignment="0"/>
    <xf numFmtId="165" fontId="46" fillId="0" borderId="0" applyFill="0" applyBorder="0" applyAlignment="0" applyProtection="0"/>
    <xf numFmtId="37" fontId="91" fillId="1" borderId="0">
      <alignment horizontal="right"/>
    </xf>
    <xf numFmtId="2" fontId="231" fillId="0" borderId="0"/>
    <xf numFmtId="1" fontId="46" fillId="0" borderId="0"/>
    <xf numFmtId="6" fontId="170" fillId="0" borderId="49" applyFill="0">
      <alignment vertical="center"/>
    </xf>
    <xf numFmtId="302" fontId="6" fillId="0" borderId="0"/>
    <xf numFmtId="14" fontId="46" fillId="0" borderId="0" applyFill="0" applyBorder="0">
      <alignment vertical="center"/>
    </xf>
    <xf numFmtId="171" fontId="16" fillId="0" borderId="0" applyNumberFormat="0" applyBorder="0" applyAlignment="0"/>
    <xf numFmtId="0" fontId="4" fillId="0" borderId="0"/>
    <xf numFmtId="9" fontId="4" fillId="0" borderId="0" applyFont="0" applyFill="0" applyBorder="0" applyAlignment="0" applyProtection="0"/>
    <xf numFmtId="0" fontId="4" fillId="0" borderId="0"/>
    <xf numFmtId="0" fontId="237" fillId="0" borderId="0"/>
    <xf numFmtId="9" fontId="237" fillId="0" borderId="0" applyFont="0" applyFill="0" applyBorder="0" applyAlignment="0" applyProtection="0"/>
    <xf numFmtId="0" fontId="46" fillId="0" borderId="0" applyNumberFormat="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05" fontId="46" fillId="0" borderId="0" applyFont="0" applyFill="0" applyBorder="0" applyAlignment="0" applyProtection="0"/>
    <xf numFmtId="305" fontId="46" fillId="0" borderId="0" applyFont="0" applyFill="0" applyBorder="0" applyAlignment="0" applyProtection="0"/>
    <xf numFmtId="305" fontId="46" fillId="0" borderId="0" applyFont="0" applyFill="0" applyBorder="0" applyAlignment="0" applyProtection="0"/>
    <xf numFmtId="305"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4" borderId="0" applyNumberFormat="0" applyFont="0" applyAlignment="0" applyProtection="0"/>
    <xf numFmtId="0" fontId="46" fillId="4" borderId="0" applyNumberFormat="0" applyFont="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09" fontId="46" fillId="0" borderId="0"/>
    <xf numFmtId="306" fontId="46" fillId="24" borderId="5" applyFont="0">
      <alignment horizontal="right"/>
    </xf>
    <xf numFmtId="306" fontId="46" fillId="24" borderId="5" applyFont="0">
      <alignment horizontal="right"/>
    </xf>
    <xf numFmtId="306" fontId="46" fillId="24" borderId="5" applyFont="0">
      <alignment horizontal="right"/>
    </xf>
    <xf numFmtId="306" fontId="46" fillId="24" borderId="5" applyFont="0">
      <alignment horizontal="right"/>
    </xf>
    <xf numFmtId="0" fontId="46" fillId="0" borderId="0"/>
    <xf numFmtId="0" fontId="4" fillId="0" borderId="0"/>
    <xf numFmtId="43" fontId="46" fillId="0" borderId="0" applyFont="0" applyFill="0" applyBorder="0" applyAlignment="0" applyProtection="0"/>
    <xf numFmtId="43" fontId="46" fillId="0" borderId="0" applyFont="0" applyFill="0" applyBorder="0" applyAlignment="0" applyProtection="0"/>
    <xf numFmtId="0" fontId="4" fillId="0" borderId="0"/>
    <xf numFmtId="43" fontId="46" fillId="0" borderId="0" applyFont="0" applyFill="0" applyBorder="0" applyAlignment="0" applyProtection="0"/>
    <xf numFmtId="0" fontId="24" fillId="0" borderId="0" applyNumberFormat="0" applyBorder="0">
      <alignment vertical="center"/>
    </xf>
    <xf numFmtId="307" fontId="46" fillId="0" borderId="0" applyFont="0" applyFill="0" applyBorder="0" applyAlignment="0" applyProtection="0">
      <alignment horizontal="right"/>
    </xf>
    <xf numFmtId="307" fontId="46" fillId="0" borderId="0" applyFont="0" applyFill="0" applyBorder="0" applyAlignment="0" applyProtection="0">
      <alignment horizontal="right"/>
    </xf>
    <xf numFmtId="307" fontId="46" fillId="0" borderId="0" applyFont="0" applyFill="0" applyBorder="0" applyAlignment="0" applyProtection="0">
      <alignment horizontal="right"/>
    </xf>
    <xf numFmtId="307" fontId="46" fillId="0" borderId="0" applyFont="0" applyFill="0" applyBorder="0" applyAlignment="0" applyProtection="0">
      <alignment horizontal="right"/>
    </xf>
    <xf numFmtId="308" fontId="46" fillId="34" borderId="52" applyNumberFormat="0" applyFont="0" applyBorder="0" applyAlignment="0" applyProtection="0">
      <alignment horizontal="right"/>
    </xf>
    <xf numFmtId="308" fontId="46" fillId="34" borderId="52" applyNumberFormat="0" applyFont="0" applyBorder="0" applyAlignment="0" applyProtection="0">
      <alignment horizontal="right"/>
    </xf>
    <xf numFmtId="308" fontId="46" fillId="34" borderId="52" applyNumberFormat="0" applyFont="0" applyBorder="0" applyAlignment="0" applyProtection="0">
      <alignment horizontal="right"/>
    </xf>
    <xf numFmtId="308" fontId="46" fillId="34" borderId="52" applyNumberFormat="0" applyFont="0" applyBorder="0" applyAlignment="0" applyProtection="0">
      <alignment horizontal="right"/>
    </xf>
    <xf numFmtId="0" fontId="4" fillId="0" borderId="0"/>
    <xf numFmtId="0" fontId="238" fillId="0" borderId="0" applyNumberFormat="0" applyFill="0" applyBorder="0" applyAlignment="0" applyProtection="0"/>
    <xf numFmtId="0" fontId="4" fillId="0" borderId="0"/>
    <xf numFmtId="0" fontId="239" fillId="0" borderId="0" applyNumberFormat="0" applyFill="0" applyBorder="0" applyAlignment="0" applyProtection="0">
      <alignment vertical="top"/>
      <protection locked="0"/>
    </xf>
    <xf numFmtId="309" fontId="46" fillId="0" borderId="0"/>
    <xf numFmtId="0" fontId="4" fillId="0" borderId="0"/>
    <xf numFmtId="0" fontId="46" fillId="0" borderId="0"/>
    <xf numFmtId="0" fontId="4" fillId="0" borderId="0"/>
    <xf numFmtId="0" fontId="4" fillId="0" borderId="0"/>
    <xf numFmtId="0" fontId="4" fillId="0" borderId="0"/>
    <xf numFmtId="0" fontId="4" fillId="0" borderId="0"/>
    <xf numFmtId="0" fontId="4" fillId="0" borderId="0"/>
    <xf numFmtId="0" fontId="240" fillId="0" borderId="12"/>
    <xf numFmtId="9" fontId="46" fillId="0" borderId="0" applyFont="0" applyFill="0" applyBorder="0" applyAlignment="0" applyProtection="0"/>
    <xf numFmtId="310" fontId="46" fillId="0" borderId="0" applyNumberFormat="0" applyFill="0" applyBorder="0" applyAlignment="0" applyProtection="0">
      <alignment horizontal="right" vertical="center" wrapText="1"/>
    </xf>
    <xf numFmtId="310" fontId="46" fillId="0" borderId="0" applyNumberFormat="0" applyFill="0" applyBorder="0" applyAlignment="0" applyProtection="0">
      <alignment horizontal="right" vertical="center" wrapText="1"/>
    </xf>
    <xf numFmtId="310" fontId="46" fillId="0" borderId="0" applyNumberFormat="0" applyFill="0" applyBorder="0" applyAlignment="0" applyProtection="0">
      <alignment horizontal="right" vertical="center" wrapText="1"/>
    </xf>
    <xf numFmtId="310" fontId="46" fillId="0" borderId="0" applyNumberFormat="0" applyFill="0" applyBorder="0" applyAlignment="0" applyProtection="0">
      <alignment horizontal="right" vertical="center" wrapText="1"/>
    </xf>
    <xf numFmtId="0" fontId="237" fillId="0" borderId="0"/>
    <xf numFmtId="0" fontId="82" fillId="0" borderId="52" applyNumberFormat="0" applyFill="0" applyProtection="0">
      <alignment horizontal="right"/>
    </xf>
    <xf numFmtId="0" fontId="4" fillId="0" borderId="0"/>
    <xf numFmtId="9" fontId="4" fillId="0" borderId="0" applyFont="0" applyFill="0" applyBorder="0" applyAlignment="0" applyProtection="0"/>
    <xf numFmtId="0" fontId="4" fillId="0" borderId="0"/>
    <xf numFmtId="311" fontId="176" fillId="0" borderId="0"/>
    <xf numFmtId="0" fontId="24" fillId="0" borderId="0" applyNumberFormat="0" applyBorder="0">
      <alignment vertical="center"/>
    </xf>
    <xf numFmtId="0" fontId="24" fillId="0" borderId="0" applyNumberFormat="0" applyBorder="0">
      <alignment vertical="center"/>
    </xf>
    <xf numFmtId="309" fontId="46" fillId="0" borderId="0"/>
    <xf numFmtId="0" fontId="46" fillId="0" borderId="0"/>
    <xf numFmtId="0" fontId="4" fillId="0" borderId="0"/>
    <xf numFmtId="0" fontId="4" fillId="0" borderId="0"/>
    <xf numFmtId="0" fontId="4" fillId="0" borderId="0"/>
    <xf numFmtId="0" fontId="4" fillId="0" borderId="0"/>
    <xf numFmtId="0" fontId="237" fillId="0" borderId="0"/>
    <xf numFmtId="0" fontId="4" fillId="0" borderId="0"/>
    <xf numFmtId="9" fontId="4" fillId="0" borderId="0" applyFont="0" applyFill="0" applyBorder="0" applyAlignment="0" applyProtection="0"/>
    <xf numFmtId="0" fontId="4" fillId="0" borderId="0"/>
    <xf numFmtId="0" fontId="3" fillId="0" borderId="0"/>
    <xf numFmtId="9" fontId="3" fillId="0" borderId="0" applyFont="0" applyFill="0" applyBorder="0" applyAlignment="0" applyProtection="0"/>
    <xf numFmtId="0" fontId="3" fillId="0" borderId="0"/>
    <xf numFmtId="0" fontId="237" fillId="0" borderId="0"/>
    <xf numFmtId="0" fontId="3" fillId="0" borderId="0"/>
    <xf numFmtId="0" fontId="3" fillId="0" borderId="0"/>
    <xf numFmtId="0" fontId="3" fillId="0" borderId="0"/>
    <xf numFmtId="0" fontId="46" fillId="0" borderId="0"/>
    <xf numFmtId="0" fontId="3" fillId="0" borderId="0"/>
    <xf numFmtId="0" fontId="3" fillId="0" borderId="0"/>
    <xf numFmtId="0" fontId="3" fillId="0" borderId="0"/>
    <xf numFmtId="0" fontId="3" fillId="0" borderId="0"/>
    <xf numFmtId="0" fontId="46" fillId="0" borderId="0"/>
    <xf numFmtId="309" fontId="46" fillId="0" borderId="0"/>
    <xf numFmtId="309" fontId="46" fillId="0" borderId="0"/>
    <xf numFmtId="0" fontId="24" fillId="0" borderId="0" applyNumberFormat="0" applyBorder="0">
      <alignment vertical="center"/>
    </xf>
    <xf numFmtId="0" fontId="24" fillId="0" borderId="0" applyNumberFormat="0" applyBorder="0">
      <alignment vertical="center"/>
    </xf>
    <xf numFmtId="0" fontId="24" fillId="0" borderId="0" applyNumberFormat="0" applyBorder="0">
      <alignment vertical="center"/>
    </xf>
    <xf numFmtId="0" fontId="24" fillId="0" borderId="0" applyNumberFormat="0" applyBorder="0">
      <alignment vertical="center"/>
    </xf>
    <xf numFmtId="309" fontId="46" fillId="0" borderId="0"/>
    <xf numFmtId="309" fontId="46" fillId="0" borderId="0"/>
    <xf numFmtId="0" fontId="3" fillId="0" borderId="0"/>
    <xf numFmtId="0" fontId="46" fillId="0" borderId="0"/>
    <xf numFmtId="0" fontId="3" fillId="0" borderId="0"/>
    <xf numFmtId="0" fontId="3" fillId="0" borderId="0"/>
    <xf numFmtId="0" fontId="3" fillId="0" borderId="0"/>
    <xf numFmtId="0" fontId="4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7" fillId="0" borderId="0"/>
    <xf numFmtId="0" fontId="3" fillId="0" borderId="0"/>
    <xf numFmtId="9" fontId="3" fillId="0" borderId="0" applyFont="0" applyFill="0" applyBorder="0" applyAlignment="0" applyProtection="0"/>
    <xf numFmtId="0" fontId="3" fillId="0" borderId="0"/>
    <xf numFmtId="0" fontId="237" fillId="0" borderId="0"/>
    <xf numFmtId="0" fontId="3" fillId="0" borderId="0"/>
    <xf numFmtId="9" fontId="3" fillId="0" borderId="0" applyFont="0" applyFill="0" applyBorder="0" applyAlignment="0" applyProtection="0"/>
    <xf numFmtId="0" fontId="3" fillId="0" borderId="0"/>
    <xf numFmtId="0" fontId="237" fillId="0" borderId="0"/>
    <xf numFmtId="0" fontId="3" fillId="0" borderId="0"/>
    <xf numFmtId="9" fontId="3" fillId="0" borderId="0" applyFont="0" applyFill="0" applyBorder="0" applyAlignment="0" applyProtection="0"/>
    <xf numFmtId="0" fontId="3" fillId="0" borderId="0"/>
    <xf numFmtId="37" fontId="14" fillId="0" borderId="0" applyFill="0" applyBorder="0" applyProtection="0"/>
    <xf numFmtId="41" fontId="14" fillId="0" borderId="0" applyFill="0" applyBorder="0" applyProtection="0"/>
    <xf numFmtId="43" fontId="14" fillId="0" borderId="0" applyFont="0" applyFill="0" applyBorder="0" applyAlignment="0" applyProtection="0"/>
    <xf numFmtId="7" fontId="14" fillId="0" borderId="0" applyFill="0" applyBorder="0" applyProtection="0"/>
    <xf numFmtId="312" fontId="46" fillId="0" borderId="24" applyBorder="0"/>
    <xf numFmtId="312" fontId="46" fillId="0" borderId="24" applyBorder="0"/>
    <xf numFmtId="172" fontId="14"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14" fillId="0" borderId="0" applyFill="0" applyBorder="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14" fillId="0" borderId="0" applyFill="0" applyBorder="0"/>
    <xf numFmtId="37" fontId="14" fillId="0" borderId="0" applyFill="0" applyBorder="0" applyProtection="0"/>
    <xf numFmtId="0" fontId="2" fillId="0" borderId="0"/>
    <xf numFmtId="0" fontId="2" fillId="0" borderId="0"/>
    <xf numFmtId="0" fontId="2" fillId="0" borderId="0"/>
    <xf numFmtId="0" fontId="2" fillId="0" borderId="0"/>
    <xf numFmtId="0" fontId="2" fillId="0" borderId="0"/>
    <xf numFmtId="168" fontId="29" fillId="41" borderId="0"/>
    <xf numFmtId="9" fontId="14" fillId="0" borderId="24" applyFill="0" applyBorder="0" applyProtection="0"/>
    <xf numFmtId="9" fontId="14" fillId="0" borderId="24" applyFill="0" applyBorder="0" applyProtection="0"/>
    <xf numFmtId="0" fontId="2" fillId="0" borderId="0"/>
    <xf numFmtId="258" fontId="223" fillId="0" borderId="0" applyFont="0" applyFill="0" applyBorder="0" applyAlignment="0" applyProtection="0"/>
    <xf numFmtId="259" fontId="223" fillId="0" borderId="0" applyFont="0" applyFill="0" applyBorder="0" applyAlignment="0" applyProtection="0"/>
    <xf numFmtId="256" fontId="223"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262" fontId="223" fillId="0" borderId="0" applyFont="0" applyFill="0" applyBorder="0" applyAlignment="0" applyProtection="0"/>
    <xf numFmtId="0" fontId="223" fillId="4" borderId="0" applyNumberFormat="0" applyFont="0" applyAlignment="0" applyProtection="0"/>
    <xf numFmtId="263" fontId="46" fillId="0" borderId="0" applyFont="0" applyFill="0" applyBorder="0" applyAlignment="0" applyProtection="0"/>
    <xf numFmtId="211" fontId="46" fillId="0" borderId="0" applyFont="0" applyFill="0" applyBorder="0" applyAlignment="0" applyProtection="0"/>
    <xf numFmtId="264" fontId="46" fillId="0" borderId="0" applyFont="0" applyFill="0" applyBorder="0" applyProtection="0">
      <alignment horizontal="right"/>
    </xf>
    <xf numFmtId="212" fontId="46" fillId="0" borderId="0" applyFont="0" applyFill="0" applyBorder="0" applyAlignment="0" applyProtection="0"/>
    <xf numFmtId="0" fontId="15" fillId="0" borderId="55" applyNumberFormat="0" applyFill="0" applyAlignment="0" applyProtection="0"/>
    <xf numFmtId="0" fontId="90" fillId="0" borderId="0"/>
    <xf numFmtId="313" fontId="46" fillId="0" borderId="0">
      <protection locked="0"/>
    </xf>
    <xf numFmtId="8" fontId="113" fillId="0" borderId="56">
      <protection locked="0"/>
    </xf>
    <xf numFmtId="313" fontId="46" fillId="0" borderId="0">
      <protection locked="0"/>
    </xf>
    <xf numFmtId="14" fontId="241" fillId="0" borderId="0">
      <alignment horizontal="right"/>
    </xf>
    <xf numFmtId="191" fontId="6" fillId="34" borderId="52" applyNumberFormat="0" applyFont="0" applyBorder="0" applyAlignment="0" applyProtection="0">
      <alignment horizontal="right"/>
    </xf>
    <xf numFmtId="313" fontId="46" fillId="0" borderId="0">
      <protection locked="0"/>
    </xf>
    <xf numFmtId="169" fontId="242" fillId="0" borderId="0" applyNumberFormat="0" applyFill="0" applyBorder="0">
      <alignment horizontal="left" vertical="center"/>
    </xf>
    <xf numFmtId="199" fontId="243" fillId="0" borderId="0"/>
    <xf numFmtId="0" fontId="46" fillId="0" borderId="0"/>
    <xf numFmtId="301" fontId="46" fillId="0" borderId="0" applyNumberFormat="0" applyFill="0" applyBorder="0" applyAlignment="0" applyProtection="0"/>
    <xf numFmtId="314" fontId="46" fillId="0" borderId="0"/>
    <xf numFmtId="7" fontId="130" fillId="0" borderId="0" applyFont="0" applyFill="0" applyBorder="0" applyAlignment="0" applyProtection="0"/>
    <xf numFmtId="168" fontId="61" fillId="0" borderId="0">
      <alignment vertical="top"/>
    </xf>
    <xf numFmtId="39" fontId="8" fillId="0" borderId="5" applyNumberFormat="0" applyBorder="0">
      <alignment horizontal="right"/>
    </xf>
    <xf numFmtId="0" fontId="244" fillId="0" borderId="0" applyNumberFormat="0">
      <alignment horizontal="left"/>
    </xf>
    <xf numFmtId="0" fontId="195" fillId="0" borderId="0" applyFill="0" applyBorder="0" applyProtection="0">
      <alignment horizontal="left" vertical="top"/>
    </xf>
    <xf numFmtId="38" fontId="245" fillId="0" borderId="0" applyNumberFormat="0" applyFill="0" applyBorder="0">
      <alignment horizontal="left" vertical="center"/>
    </xf>
    <xf numFmtId="38" fontId="246" fillId="0" borderId="0" applyNumberFormat="0" applyFill="0" applyBorder="0">
      <alignment horizontal="centerContinuous" vertical="center"/>
    </xf>
    <xf numFmtId="304" fontId="46" fillId="0" borderId="0" applyFill="0" applyBorder="0">
      <alignment vertical="center"/>
    </xf>
    <xf numFmtId="37" fontId="216" fillId="0" borderId="0" applyNumberFormat="0" applyFill="0" applyBorder="0" applyAlignment="0" applyProtection="0"/>
    <xf numFmtId="43" fontId="14" fillId="0" borderId="0" applyFont="0" applyFill="0" applyBorder="0" applyAlignment="0" applyProtection="0"/>
    <xf numFmtId="312" fontId="46" fillId="0" borderId="24" applyBorder="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14" fillId="0" borderId="0" applyFill="0" applyBorder="0" applyProtection="0"/>
    <xf numFmtId="9" fontId="14" fillId="0" borderId="0" applyFill="0" applyBorder="0" applyProtection="0"/>
    <xf numFmtId="0" fontId="2"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320" fontId="14" fillId="0" borderId="0"/>
    <xf numFmtId="0" fontId="188" fillId="0" borderId="0" applyNumberFormat="0" applyFill="0" applyBorder="0" applyAlignment="0" applyProtection="0"/>
    <xf numFmtId="0" fontId="168" fillId="0" borderId="0"/>
    <xf numFmtId="200" fontId="97" fillId="0" borderId="0">
      <alignment horizontal="right"/>
    </xf>
    <xf numFmtId="254" fontId="14" fillId="0" borderId="0"/>
    <xf numFmtId="254" fontId="14" fillId="0" borderId="0"/>
    <xf numFmtId="0" fontId="14" fillId="0" borderId="0"/>
    <xf numFmtId="254" fontId="14" fillId="0" borderId="0"/>
    <xf numFmtId="254" fontId="14" fillId="0" borderId="0"/>
    <xf numFmtId="254" fontId="14" fillId="0" borderId="0"/>
    <xf numFmtId="257" fontId="65" fillId="0" borderId="0"/>
    <xf numFmtId="193" fontId="14" fillId="0" borderId="0"/>
    <xf numFmtId="321" fontId="257" fillId="0" borderId="0"/>
    <xf numFmtId="169" fontId="74" fillId="0" borderId="0"/>
    <xf numFmtId="169" fontId="74" fillId="0" borderId="0"/>
    <xf numFmtId="218" fontId="92" fillId="0" borderId="0" applyFont="0" applyFill="0" applyBorder="0" applyAlignment="0" applyProtection="0"/>
    <xf numFmtId="0" fontId="92" fillId="0" borderId="0" applyFont="0" applyFill="0" applyBorder="0" applyAlignment="0" applyProtection="0"/>
    <xf numFmtId="218" fontId="92" fillId="0" borderId="0" applyFont="0" applyFill="0" applyBorder="0" applyAlignment="0" applyProtection="0"/>
    <xf numFmtId="218" fontId="92" fillId="0" borderId="0" applyFont="0" applyFill="0" applyBorder="0" applyAlignment="0" applyProtection="0"/>
    <xf numFmtId="322" fontId="130" fillId="0" borderId="0" applyFont="0" applyFill="0" applyBorder="0" applyAlignment="0" applyProtection="0">
      <alignment horizontal="right"/>
    </xf>
    <xf numFmtId="323" fontId="46" fillId="0" borderId="0" applyFont="0" applyFill="0" applyBorder="0" applyAlignment="0" applyProtection="0"/>
    <xf numFmtId="323" fontId="46" fillId="0" borderId="0" applyFont="0" applyFill="0" applyBorder="0" applyAlignment="0" applyProtection="0"/>
    <xf numFmtId="324" fontId="130"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18" fontId="61" fillId="0" borderId="0" applyFont="0" applyFill="0" applyBorder="0" applyAlignment="0" applyProtection="0">
      <alignment horizontal="right"/>
    </xf>
    <xf numFmtId="37" fontId="19" fillId="0" borderId="0"/>
    <xf numFmtId="325" fontId="14" fillId="0" borderId="0"/>
    <xf numFmtId="0" fontId="76" fillId="0" borderId="0" applyNumberFormat="0" applyFont="0" applyFill="0" applyBorder="0" applyAlignment="0" applyProtection="0"/>
    <xf numFmtId="326" fontId="46" fillId="0" borderId="0" applyFont="0" applyFill="0" applyBorder="0" applyAlignment="0" applyProtection="0"/>
    <xf numFmtId="327" fontId="46" fillId="0" borderId="0" applyFont="0" applyFill="0" applyBorder="0" applyAlignment="0" applyProtection="0"/>
    <xf numFmtId="0" fontId="258" fillId="0" borderId="0" applyNumberFormat="0" applyFill="0" applyBorder="0" applyAlignment="0" applyProtection="0">
      <alignment vertical="top"/>
      <protection locked="0"/>
    </xf>
    <xf numFmtId="0" fontId="259" fillId="0" borderId="0"/>
    <xf numFmtId="328" fontId="260" fillId="0" borderId="0" applyFont="0" applyFill="0" applyBorder="0" applyAlignment="0" applyProtection="0">
      <alignment vertical="center"/>
    </xf>
    <xf numFmtId="3" fontId="175" fillId="0" borderId="60">
      <alignment horizontal="right"/>
    </xf>
    <xf numFmtId="3" fontId="261" fillId="0" borderId="0">
      <alignment horizontal="right" vertical="center"/>
    </xf>
    <xf numFmtId="165" fontId="261" fillId="0" borderId="0">
      <alignment horizontal="right" vertical="center"/>
    </xf>
    <xf numFmtId="3" fontId="261" fillId="0" borderId="0">
      <alignment horizontal="right" vertical="center"/>
    </xf>
    <xf numFmtId="258"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329" fontId="46" fillId="0" borderId="0" applyFont="0" applyFill="0" applyBorder="0" applyAlignment="0" applyProtection="0"/>
    <xf numFmtId="329"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223"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330" fontId="46" fillId="0" borderId="0" applyFont="0" applyFill="0" applyBorder="0" applyAlignment="0" applyProtection="0"/>
    <xf numFmtId="330"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4" fontId="223"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37" fontId="262" fillId="41" borderId="40">
      <alignment horizontal="right"/>
    </xf>
    <xf numFmtId="0" fontId="46" fillId="0" borderId="0" applyFont="0" applyFill="0" applyBorder="0" applyAlignment="0" applyProtection="0"/>
    <xf numFmtId="0" fontId="46" fillId="0" borderId="0" applyFont="0" applyFill="0" applyBorder="0" applyAlignment="0" applyProtection="0"/>
    <xf numFmtId="0" fontId="46" fillId="0" borderId="0">
      <alignment horizontal="left" wrapText="1"/>
    </xf>
    <xf numFmtId="0" fontId="46" fillId="0" borderId="0">
      <alignment horizontal="left" wrapText="1"/>
    </xf>
    <xf numFmtId="1" fontId="6" fillId="0" borderId="0">
      <alignment vertical="center"/>
    </xf>
    <xf numFmtId="1" fontId="6" fillId="0" borderId="0">
      <alignment vertical="center"/>
    </xf>
    <xf numFmtId="3" fontId="14" fillId="0" borderId="0"/>
    <xf numFmtId="0" fontId="46" fillId="0" borderId="0" applyFont="0" applyFill="0" applyBorder="0" applyAlignment="0" applyProtection="0"/>
    <xf numFmtId="3" fontId="14" fillId="0" borderId="0"/>
    <xf numFmtId="3" fontId="14" fillId="0" borderId="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60" fontId="223" fillId="0" borderId="0" applyFont="0" applyFill="0" applyBorder="0" applyAlignment="0" applyProtection="0"/>
    <xf numFmtId="260" fontId="224"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2" fontId="223"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0" fontId="188"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0" fontId="223" fillId="0" borderId="0" applyFont="0" applyFill="0" applyBorder="0" applyAlignment="0" applyProtection="0"/>
    <xf numFmtId="332"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331"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260" fontId="223" fillId="0" borderId="0" applyFont="0" applyFill="0" applyBorder="0" applyAlignment="0" applyProtection="0"/>
    <xf numFmtId="0" fontId="46" fillId="0" borderId="0" applyFont="0" applyFill="0" applyBorder="0" applyAlignment="0" applyProtection="0"/>
    <xf numFmtId="262" fontId="223" fillId="0" borderId="0" applyFont="0" applyFill="0" applyBorder="0" applyAlignment="0" applyProtection="0"/>
    <xf numFmtId="260" fontId="223"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223"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31"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0" fontId="223"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2"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76" fillId="0" borderId="0" applyNumberFormat="0" applyFill="0" applyBorder="0" applyAlignment="0" applyProtection="0"/>
    <xf numFmtId="3" fontId="14" fillId="0" borderId="0"/>
    <xf numFmtId="3" fontId="14" fillId="0" borderId="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05" fontId="46" fillId="0" borderId="0" applyFont="0" applyFill="0" applyBorder="0" applyAlignment="0" applyProtection="0"/>
    <xf numFmtId="21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1" fontId="224"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1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05"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61"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4" fontId="46" fillId="0" borderId="0" applyFont="0" applyFill="0" applyBorder="0" applyAlignment="0" applyProtection="0"/>
    <xf numFmtId="334"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335"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61" fontId="188"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05" fontId="46" fillId="0" borderId="0" applyFont="0" applyFill="0" applyBorder="0" applyAlignment="0" applyProtection="0"/>
    <xf numFmtId="305"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19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305" fontId="61"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60" fontId="61"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5"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05" fontId="46" fillId="0" borderId="0" applyFont="0" applyFill="0" applyBorder="0" applyAlignment="0" applyProtection="0"/>
    <xf numFmtId="305" fontId="61"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05"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1" fontId="223"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33"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5"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261" fontId="223"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61" fillId="0" borderId="0" applyFont="0" applyFill="0" applyBorder="0" applyAlignment="0" applyProtection="0"/>
    <xf numFmtId="261" fontId="223" fillId="0" borderId="0" applyFont="0" applyFill="0" applyBorder="0" applyAlignment="0" applyProtection="0"/>
    <xf numFmtId="255"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1" fontId="223" fillId="0" borderId="0" applyFont="0" applyFill="0" applyBorder="0" applyAlignment="0" applyProtection="0"/>
    <xf numFmtId="182" fontId="175" fillId="0" borderId="0" applyFont="0" applyFill="0" applyBorder="0" applyAlignment="0" applyProtection="0"/>
    <xf numFmtId="182" fontId="175"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3" fontId="46" fillId="0" borderId="0" applyFont="0" applyFill="0" applyBorder="0" applyAlignment="0" applyProtection="0"/>
    <xf numFmtId="336" fontId="46" fillId="0" borderId="0" applyFont="0" applyFill="0" applyBorder="0" applyAlignment="0" applyProtection="0"/>
    <xf numFmtId="336"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58"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260" fontId="46" fillId="0" borderId="0" applyFont="0" applyFill="0" applyBorder="0" applyAlignment="0" applyProtection="0"/>
    <xf numFmtId="260" fontId="46" fillId="0" borderId="0" applyFont="0" applyFill="0" applyBorder="0" applyAlignment="0" applyProtection="0"/>
    <xf numFmtId="25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2" fontId="224"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2" fontId="188"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31" fontId="46" fillId="0" borderId="0" applyFont="0" applyFill="0" applyBorder="0" applyAlignment="0" applyProtection="0"/>
    <xf numFmtId="331"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2" fontId="223"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223" fillId="0" borderId="0" applyFont="0" applyFill="0" applyBorder="0" applyAlignment="0" applyProtection="0"/>
    <xf numFmtId="262" fontId="223" fillId="0" borderId="0" applyFont="0" applyFill="0" applyBorder="0" applyAlignment="0" applyProtection="0"/>
    <xf numFmtId="262" fontId="223"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262" fontId="223"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2" fontId="223"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39"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168" fontId="46" fillId="0" borderId="0" applyFont="0" applyFill="0" applyBorder="0" applyAlignment="0" applyProtection="0"/>
    <xf numFmtId="168" fontId="46" fillId="0" borderId="0" applyFont="0" applyFill="0" applyBorder="0" applyAlignment="0" applyProtection="0"/>
    <xf numFmtId="259"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1" fontId="6" fillId="0" borderId="0">
      <alignment vertical="center"/>
    </xf>
    <xf numFmtId="1" fontId="6" fillId="0" borderId="0">
      <alignment vertical="center"/>
    </xf>
    <xf numFmtId="3" fontId="14" fillId="0" borderId="0"/>
    <xf numFmtId="3" fontId="14" fillId="0" borderId="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157" fillId="0" borderId="0" applyNumberFormat="0" applyAlignment="0" applyProtection="0"/>
    <xf numFmtId="0" fontId="14" fillId="0" borderId="0"/>
    <xf numFmtId="0" fontId="14" fillId="0" borderId="0"/>
    <xf numFmtId="32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xf numFmtId="0" fontId="46" fillId="0" borderId="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258" fontId="223" fillId="0" borderId="0" applyFont="0" applyFill="0" applyBorder="0" applyAlignment="0" applyProtection="0"/>
    <xf numFmtId="262" fontId="46" fillId="0" borderId="0" applyFont="0" applyFill="0" applyBorder="0" applyAlignment="0" applyProtection="0"/>
    <xf numFmtId="262" fontId="46" fillId="0" borderId="0" applyFont="0" applyFill="0" applyBorder="0" applyAlignment="0" applyProtection="0"/>
    <xf numFmtId="0" fontId="46" fillId="0" borderId="0" applyFont="0" applyFill="0" applyBorder="0" applyAlignment="0" applyProtection="0"/>
    <xf numFmtId="1" fontId="6" fillId="0" borderId="0">
      <alignment vertical="center"/>
    </xf>
    <xf numFmtId="1" fontId="6" fillId="0" borderId="0">
      <alignment vertical="center"/>
    </xf>
    <xf numFmtId="3" fontId="14" fillId="0" borderId="0"/>
    <xf numFmtId="3" fontId="14" fillId="0" borderId="0"/>
    <xf numFmtId="3" fontId="14" fillId="0" borderId="0"/>
    <xf numFmtId="0" fontId="46" fillId="0" borderId="0" applyFont="0" applyFill="0" applyBorder="0" applyAlignment="0" applyProtection="0"/>
    <xf numFmtId="0" fontId="46" fillId="0" borderId="0" applyFont="0" applyFill="0" applyBorder="0" applyAlignment="0" applyProtection="0"/>
    <xf numFmtId="187" fontId="76" fillId="0" borderId="0" applyFont="0" applyFill="0" applyBorder="0" applyAlignment="0" applyProtection="0"/>
    <xf numFmtId="37" fontId="46" fillId="0" borderId="0"/>
    <xf numFmtId="0" fontId="19" fillId="0" borderId="0"/>
    <xf numFmtId="0" fontId="46" fillId="0" borderId="0" applyFon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4" fillId="77" borderId="0" applyNumberFormat="0" applyFont="0" applyAlignment="0" applyProtection="0"/>
    <xf numFmtId="0" fontId="14" fillId="77" borderId="0" applyNumberFormat="0" applyFont="0" applyAlignment="0" applyProtection="0"/>
    <xf numFmtId="0" fontId="188" fillId="0" borderId="0" applyNumberFormat="0" applyFill="0" applyBorder="0" applyAlignment="0" applyProtection="0"/>
    <xf numFmtId="0" fontId="46" fillId="0" borderId="0" applyFont="0" applyFill="0" applyBorder="0" applyAlignment="0" applyProtection="0"/>
    <xf numFmtId="1" fontId="6" fillId="0" borderId="0">
      <alignment vertical="center"/>
    </xf>
    <xf numFmtId="1" fontId="6" fillId="0" borderId="0">
      <alignment vertical="center"/>
    </xf>
    <xf numFmtId="3" fontId="14" fillId="0" borderId="0"/>
    <xf numFmtId="38" fontId="74" fillId="0" borderId="0" applyFont="0" applyFill="0" applyBorder="0" applyAlignment="0" applyProtection="0"/>
    <xf numFmtId="0" fontId="46" fillId="0" borderId="0" applyNumberForma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157" fillId="0" borderId="0" applyNumberFormat="0" applyAlignment="0" applyProtection="0"/>
    <xf numFmtId="3" fontId="14" fillId="0" borderId="0"/>
    <xf numFmtId="3" fontId="14" fillId="0" borderId="0"/>
    <xf numFmtId="3" fontId="14" fillId="0" borderId="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56" fontId="224"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56" fontId="188" fillId="0" borderId="0" applyFont="0" applyFill="0" applyBorder="0" applyAlignment="0" applyProtection="0"/>
    <xf numFmtId="213"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8"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56" fontId="223"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56" fontId="223" fillId="0" borderId="0" applyFont="0" applyFill="0" applyBorder="0" applyAlignment="0" applyProtection="0"/>
    <xf numFmtId="256" fontId="223" fillId="0" borderId="0" applyFont="0" applyFill="0" applyBorder="0" applyAlignment="0" applyProtection="0"/>
    <xf numFmtId="256" fontId="223"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33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56" fontId="223"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56" fontId="223" fillId="0" borderId="0" applyFont="0" applyFill="0" applyBorder="0" applyAlignment="0" applyProtection="0"/>
    <xf numFmtId="254" fontId="175" fillId="0" borderId="0" applyFont="0" applyFill="0" applyBorder="0" applyAlignment="0" applyProtection="0"/>
    <xf numFmtId="254" fontId="175"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37" fontId="46" fillId="0" borderId="0" applyFont="0" applyFill="0" applyBorder="0" applyAlignment="0" applyProtection="0"/>
    <xf numFmtId="300" fontId="46" fillId="0" borderId="0" applyFont="0" applyFill="0" applyBorder="0" applyAlignment="0" applyProtection="0"/>
    <xf numFmtId="299" fontId="46" fillId="0" borderId="0" applyFont="0" applyFill="0" applyBorder="0" applyAlignment="0" applyProtection="0"/>
    <xf numFmtId="299"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299"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199" fontId="46" fillId="0" borderId="0" applyFont="0" applyFill="0" applyBorder="0" applyAlignment="0" applyProtection="0"/>
    <xf numFmtId="199" fontId="46" fillId="0" borderId="0" applyFont="0" applyFill="0" applyBorder="0" applyAlignment="0" applyProtection="0"/>
    <xf numFmtId="261" fontId="46"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29" fontId="224"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4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4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0"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329" fontId="188" fillId="0" borderId="0" applyFont="0" applyFill="0" applyBorder="0" applyProtection="0">
      <alignment horizontal="right"/>
    </xf>
    <xf numFmtId="3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13" fontId="46" fillId="0" borderId="0" applyFont="0" applyFill="0" applyBorder="0" applyAlignment="0" applyProtection="0"/>
    <xf numFmtId="3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199"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55" fontId="46" fillId="0" borderId="0" applyFont="0" applyFill="0" applyBorder="0" applyAlignment="0" applyProtection="0"/>
    <xf numFmtId="25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29" fontId="223"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0"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64" fontId="46" fillId="0" borderId="0" applyFont="0" applyFill="0" applyBorder="0" applyProtection="0">
      <alignment horizontal="right"/>
    </xf>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332" fontId="46" fillId="0" borderId="0" applyFont="0" applyFill="0" applyBorder="0" applyAlignment="0" applyProtection="0"/>
    <xf numFmtId="332" fontId="46" fillId="0" borderId="0" applyFont="0" applyFill="0" applyBorder="0" applyAlignment="0" applyProtection="0"/>
    <xf numFmtId="329" fontId="223" fillId="0" borderId="0" applyFont="0" applyFill="0" applyBorder="0" applyProtection="0">
      <alignment horizontal="right"/>
    </xf>
    <xf numFmtId="329" fontId="223" fillId="0" borderId="0" applyFont="0" applyFill="0" applyBorder="0" applyProtection="0">
      <alignment horizontal="right"/>
    </xf>
    <xf numFmtId="329" fontId="223" fillId="0" borderId="0" applyFont="0" applyFill="0" applyBorder="0" applyProtection="0">
      <alignment horizontal="right"/>
    </xf>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341"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4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29" fontId="223" fillId="0" borderId="0" applyFont="0" applyFill="0" applyBorder="0" applyProtection="0">
      <alignment horizontal="right"/>
    </xf>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0" fontId="46" fillId="0" borderId="0" applyFont="0" applyFill="0" applyBorder="0" applyProtection="0">
      <alignment horizontal="right"/>
    </xf>
    <xf numFmtId="332" fontId="46" fillId="0" borderId="0" applyFont="0" applyFill="0" applyBorder="0" applyAlignment="0" applyProtection="0"/>
    <xf numFmtId="33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29" fontId="223" fillId="0" borderId="0" applyFont="0" applyFill="0" applyBorder="0" applyProtection="0">
      <alignment horizontal="right"/>
    </xf>
    <xf numFmtId="169" fontId="175" fillId="0" borderId="0" applyFont="0" applyFill="0" applyBorder="0" applyAlignment="0" applyProtection="0"/>
    <xf numFmtId="169" fontId="175"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40" fontId="46" fillId="0" borderId="0" applyFont="0" applyFill="0" applyBorder="0" applyProtection="0">
      <alignment horizontal="right"/>
    </xf>
    <xf numFmtId="34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332" fontId="46" fillId="0" borderId="0" applyFont="0" applyFill="0" applyBorder="0" applyAlignment="0" applyProtection="0"/>
    <xf numFmtId="214" fontId="46" fillId="0" borderId="0" applyFont="0" applyFill="0" applyBorder="0" applyAlignment="0" applyProtection="0"/>
    <xf numFmtId="300" fontId="46" fillId="0" borderId="0" applyFont="0" applyFill="0" applyBorder="0" applyAlignment="0" applyProtection="0"/>
    <xf numFmtId="300"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300"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212" fontId="46" fillId="0" borderId="0" applyFont="0" applyFill="0" applyBorder="0" applyAlignment="0" applyProtection="0"/>
    <xf numFmtId="212" fontId="46" fillId="0" borderId="0" applyFont="0" applyFill="0" applyBorder="0" applyAlignment="0" applyProtection="0"/>
    <xf numFmtId="193" fontId="46" fillId="0" borderId="0" applyFont="0" applyFill="0" applyBorder="0" applyAlignment="0" applyProtection="0"/>
    <xf numFmtId="193" fontId="46" fillId="0" borderId="0" applyFont="0" applyFill="0" applyBorder="0" applyAlignment="0" applyProtection="0"/>
    <xf numFmtId="340" fontId="46" fillId="0" borderId="0" applyFont="0" applyFill="0" applyBorder="0" applyProtection="0">
      <alignment horizontal="right"/>
    </xf>
    <xf numFmtId="329" fontId="46" fillId="0" borderId="0" applyFont="0" applyFill="0" applyBorder="0" applyProtection="0">
      <alignment horizontal="right"/>
    </xf>
    <xf numFmtId="329" fontId="46" fillId="0" borderId="0" applyFont="0" applyFill="0" applyBorder="0" applyProtection="0">
      <alignment horizontal="right"/>
    </xf>
    <xf numFmtId="0" fontId="14" fillId="0" borderId="0"/>
    <xf numFmtId="0" fontId="14" fillId="0" borderId="0"/>
    <xf numFmtId="1" fontId="6" fillId="0" borderId="0">
      <alignment vertical="center"/>
    </xf>
    <xf numFmtId="1" fontId="6" fillId="0" borderId="0">
      <alignment vertical="center"/>
    </xf>
    <xf numFmtId="1" fontId="6" fillId="0" borderId="0">
      <alignment vertical="center"/>
    </xf>
    <xf numFmtId="1" fontId="6" fillId="0" borderId="0">
      <alignment vertical="center"/>
    </xf>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01" fontId="46" fillId="0" borderId="0" applyFont="0" applyFill="0" applyBorder="0" applyAlignment="0" applyProtection="0"/>
    <xf numFmtId="301"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29" fontId="46" fillId="0" borderId="0" applyFont="0" applyFill="0" applyBorder="0" applyProtection="0">
      <alignment horizontal="right"/>
    </xf>
    <xf numFmtId="259" fontId="46" fillId="0" borderId="0" applyFont="0" applyFill="0" applyBorder="0" applyProtection="0">
      <alignment horizontal="right"/>
    </xf>
    <xf numFmtId="259" fontId="46" fillId="0" borderId="0" applyFont="0" applyFill="0" applyBorder="0" applyProtection="0">
      <alignment horizontal="right"/>
    </xf>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2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329" fontId="46" fillId="0" borderId="0" applyFont="0" applyFill="0" applyBorder="0" applyAlignment="0" applyProtection="0"/>
    <xf numFmtId="32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59"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01" fontId="46" fillId="0" borderId="0" applyFont="0" applyFill="0" applyBorder="0" applyAlignment="0" applyProtection="0"/>
    <xf numFmtId="301"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344"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0" fontId="175" fillId="0" borderId="0" applyFont="0" applyFill="0" applyBorder="0" applyAlignment="0" applyProtection="0"/>
    <xf numFmtId="0" fontId="175"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342" fontId="46" fillId="0" borderId="0" applyFont="0" applyFill="0" applyBorder="0" applyAlignment="0" applyProtection="0"/>
    <xf numFmtId="0" fontId="46" fillId="0" borderId="0" applyFont="0" applyFill="0" applyBorder="0" applyAlignment="0" applyProtection="0"/>
    <xf numFmtId="258" fontId="46" fillId="0" borderId="0" applyFont="0" applyFill="0" applyBorder="0" applyAlignment="0" applyProtection="0"/>
    <xf numFmtId="213" fontId="46" fillId="0" borderId="0" applyFont="0" applyFill="0" applyBorder="0" applyAlignment="0" applyProtection="0"/>
    <xf numFmtId="213" fontId="46" fillId="0" borderId="0" applyFont="0" applyFill="0" applyBorder="0" applyAlignment="0" applyProtection="0"/>
    <xf numFmtId="192" fontId="46" fillId="0" borderId="0" applyFont="0" applyFill="0" applyBorder="0" applyAlignment="0" applyProtection="0"/>
    <xf numFmtId="192" fontId="46" fillId="0" borderId="0" applyFont="0" applyFill="0" applyBorder="0" applyAlignment="0" applyProtection="0"/>
    <xf numFmtId="33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98" fontId="46" fillId="0" borderId="0" applyFont="0" applyFill="0" applyBorder="0" applyAlignment="0" applyProtection="0"/>
    <xf numFmtId="198"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30" fontId="46" fillId="0" borderId="0" applyFont="0" applyFill="0" applyBorder="0" applyProtection="0">
      <alignment horizontal="right"/>
    </xf>
    <xf numFmtId="264" fontId="46" fillId="0" borderId="0" applyFont="0" applyFill="0" applyBorder="0" applyProtection="0">
      <alignment horizontal="right"/>
    </xf>
    <xf numFmtId="264" fontId="46" fillId="0" borderId="0" applyFont="0" applyFill="0" applyBorder="0" applyProtection="0">
      <alignment horizontal="right"/>
    </xf>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30"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330" fontId="46" fillId="0" borderId="0" applyFont="0" applyFill="0" applyBorder="0" applyAlignment="0" applyProtection="0"/>
    <xf numFmtId="330"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26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6" fontId="46" fillId="0" borderId="0" applyFont="0" applyFill="0" applyBorder="0" applyAlignment="0" applyProtection="0"/>
    <xf numFmtId="346"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198" fontId="46" fillId="0" borderId="0" applyFont="0" applyFill="0" applyBorder="0" applyAlignment="0" applyProtection="0"/>
    <xf numFmtId="198" fontId="46" fillId="0" borderId="0" applyFont="0" applyFill="0" applyBorder="0" applyAlignment="0" applyProtection="0"/>
    <xf numFmtId="313" fontId="46" fillId="0" borderId="0" applyFont="0" applyFill="0" applyBorder="0" applyAlignment="0" applyProtection="0"/>
    <xf numFmtId="313"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347"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165" fontId="175" fillId="0" borderId="0" applyFont="0" applyFill="0" applyBorder="0" applyAlignment="0" applyProtection="0"/>
    <xf numFmtId="165" fontId="175"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345" fontId="46" fillId="0" borderId="0" applyFont="0" applyFill="0" applyBorder="0" applyAlignment="0" applyProtection="0"/>
    <xf numFmtId="0" fontId="46" fillId="0" borderId="0" applyFont="0" applyFill="0" applyBorder="0" applyAlignment="0" applyProtection="0"/>
    <xf numFmtId="259" fontId="46" fillId="0" borderId="0" applyFont="0" applyFill="0" applyBorder="0" applyAlignment="0" applyProtection="0"/>
    <xf numFmtId="214" fontId="46" fillId="0" borderId="0" applyFont="0" applyFill="0" applyBorder="0" applyAlignment="0" applyProtection="0"/>
    <xf numFmtId="214" fontId="46" fillId="0" borderId="0" applyFont="0" applyFill="0" applyBorder="0" applyAlignment="0" applyProtection="0"/>
    <xf numFmtId="180" fontId="46" fillId="0" borderId="0" applyFont="0" applyFill="0" applyBorder="0" applyAlignment="0" applyProtection="0"/>
    <xf numFmtId="180" fontId="46" fillId="0" borderId="0" applyFont="0" applyFill="0" applyBorder="0" applyAlignment="0" applyProtection="0"/>
    <xf numFmtId="1" fontId="6" fillId="0" borderId="0">
      <alignment vertical="center"/>
    </xf>
    <xf numFmtId="1" fontId="6" fillId="0" borderId="0">
      <alignment vertical="center"/>
    </xf>
    <xf numFmtId="1" fontId="6" fillId="0" borderId="0">
      <alignment vertical="center"/>
    </xf>
    <xf numFmtId="1" fontId="6" fillId="0" borderId="0">
      <alignment vertical="center"/>
    </xf>
    <xf numFmtId="0" fontId="14" fillId="0" borderId="0"/>
    <xf numFmtId="0" fontId="14" fillId="0" borderId="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0" fontId="94" fillId="0" borderId="0" applyNumberFormat="0" applyFill="0" applyBorder="0" applyProtection="0">
      <alignment vertical="top"/>
    </xf>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94" fillId="0" borderId="0" applyNumberFormat="0" applyFill="0" applyBorder="0" applyProtection="0">
      <alignment vertical="top"/>
    </xf>
    <xf numFmtId="0" fontId="46" fillId="0" borderId="0" applyNumberFormat="0" applyFill="0" applyBorder="0" applyAlignment="0" applyProtection="0"/>
    <xf numFmtId="0" fontId="94" fillId="0" borderId="0" applyNumberFormat="0" applyFill="0" applyBorder="0" applyProtection="0">
      <alignment vertical="top"/>
    </xf>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94" fillId="0" borderId="0" applyNumberFormat="0" applyFill="0" applyBorder="0" applyProtection="0">
      <alignment vertical="top"/>
    </xf>
    <xf numFmtId="0" fontId="94" fillId="0" borderId="0" applyNumberFormat="0" applyFill="0" applyBorder="0" applyProtection="0">
      <alignment vertical="top"/>
    </xf>
    <xf numFmtId="0" fontId="94" fillId="0" borderId="0" applyNumberFormat="0" applyFill="0" applyBorder="0" applyProtection="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15" fillId="0" borderId="2" applyNumberFormat="0" applyFill="0" applyAlignment="0" applyProtection="0"/>
    <xf numFmtId="0" fontId="15" fillId="0" borderId="2" applyNumberFormat="0" applyFill="0" applyAlignment="0" applyProtection="0"/>
    <xf numFmtId="0" fontId="46" fillId="0" borderId="0" applyNumberFormat="0" applyFill="0" applyBorder="0" applyAlignment="0" applyProtection="0"/>
    <xf numFmtId="0" fontId="15" fillId="0" borderId="55"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5" fillId="0" borderId="2"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8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3" applyNumberFormat="0" applyFill="0" applyProtection="0">
      <alignment horizontal="center"/>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8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left"/>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95"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NumberFormat="0" applyFill="0" applyBorder="0" applyProtection="0">
      <alignment horizontal="centerContinuous"/>
    </xf>
    <xf numFmtId="0" fontId="46" fillId="0" borderId="0" applyFont="0" applyFill="0" applyBorder="0" applyAlignment="0" applyProtection="0"/>
    <xf numFmtId="0" fontId="46" fillId="0" borderId="0" applyFont="0" applyFill="0" applyBorder="0" applyAlignment="0" applyProtection="0"/>
    <xf numFmtId="0" fontId="8" fillId="0" borderId="0" applyNumberFormat="0" applyFill="0" applyBorder="0" applyAlignment="0" applyProtection="0"/>
    <xf numFmtId="0" fontId="168" fillId="0" borderId="0"/>
    <xf numFmtId="44" fontId="61" fillId="0" borderId="0" applyFont="0" applyFill="0" applyBorder="0" applyAlignment="0" applyProtection="0"/>
    <xf numFmtId="42" fontId="61" fillId="0" borderId="0" applyFont="0" applyFill="0" applyBorder="0" applyAlignment="0" applyProtection="0"/>
    <xf numFmtId="348" fontId="263" fillId="0" borderId="0" applyFont="0" applyFill="0" applyBorder="0" applyAlignment="0" applyProtection="0"/>
    <xf numFmtId="170" fontId="65" fillId="0" borderId="0"/>
    <xf numFmtId="349" fontId="263" fillId="0" borderId="0" applyFont="0" applyFill="0" applyBorder="0" applyAlignment="0" applyProtection="0"/>
    <xf numFmtId="0" fontId="46" fillId="0" borderId="0"/>
    <xf numFmtId="0" fontId="61" fillId="0" borderId="0"/>
    <xf numFmtId="0" fontId="61" fillId="0" borderId="0"/>
    <xf numFmtId="350" fontId="74" fillId="0" borderId="0"/>
    <xf numFmtId="9" fontId="46" fillId="0" borderId="0"/>
    <xf numFmtId="193" fontId="96" fillId="0" borderId="0"/>
    <xf numFmtId="4" fontId="261" fillId="0" borderId="0">
      <alignment horizontal="right" vertical="center"/>
    </xf>
    <xf numFmtId="257" fontId="65" fillId="0" borderId="0"/>
    <xf numFmtId="3" fontId="19" fillId="0" borderId="0"/>
    <xf numFmtId="0" fontId="46" fillId="0" borderId="0" applyBorder="0"/>
    <xf numFmtId="168" fontId="6" fillId="0" borderId="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5"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7"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1"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3"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1" fillId="75" borderId="0" applyNumberFormat="0" applyBorder="0" applyAlignment="0" applyProtection="0"/>
    <xf numFmtId="0" fontId="264" fillId="6" borderId="0" applyNumberFormat="0" applyBorder="0" applyAlignment="0" applyProtection="0">
      <alignment vertical="center"/>
    </xf>
    <xf numFmtId="0" fontId="264" fillId="8" borderId="0" applyNumberFormat="0" applyBorder="0" applyAlignment="0" applyProtection="0">
      <alignment vertical="center"/>
    </xf>
    <xf numFmtId="0" fontId="264" fillId="9" borderId="0" applyNumberFormat="0" applyBorder="0" applyAlignment="0" applyProtection="0">
      <alignment vertical="center"/>
    </xf>
    <xf numFmtId="0" fontId="264" fillId="10" borderId="0" applyNumberFormat="0" applyBorder="0" applyAlignment="0" applyProtection="0">
      <alignment vertical="center"/>
    </xf>
    <xf numFmtId="0" fontId="264" fillId="11" borderId="0" applyNumberFormat="0" applyBorder="0" applyAlignment="0" applyProtection="0">
      <alignment vertical="center"/>
    </xf>
    <xf numFmtId="0" fontId="264" fillId="7" borderId="0" applyNumberFormat="0" applyBorder="0" applyAlignment="0" applyProtection="0">
      <alignment vertical="center"/>
    </xf>
    <xf numFmtId="0" fontId="265" fillId="0" borderId="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68"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2"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4"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1" fillId="76" borderId="0" applyNumberFormat="0" applyBorder="0" applyAlignment="0" applyProtection="0"/>
    <xf numFmtId="0" fontId="264" fillId="12" borderId="0" applyNumberFormat="0" applyBorder="0" applyAlignment="0" applyProtection="0">
      <alignment vertical="center"/>
    </xf>
    <xf numFmtId="0" fontId="264" fillId="13" borderId="0" applyNumberFormat="0" applyBorder="0" applyAlignment="0" applyProtection="0">
      <alignment vertical="center"/>
    </xf>
    <xf numFmtId="0" fontId="264" fillId="14" borderId="0" applyNumberFormat="0" applyBorder="0" applyAlignment="0" applyProtection="0">
      <alignment vertical="center"/>
    </xf>
    <xf numFmtId="0" fontId="264" fillId="10"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6" fillId="5" borderId="0" applyNumberFormat="0" applyBorder="0" applyAlignment="0" applyProtection="0">
      <alignment vertical="center"/>
    </xf>
    <xf numFmtId="0" fontId="266" fillId="13" borderId="0" applyNumberFormat="0" applyBorder="0" applyAlignment="0" applyProtection="0">
      <alignment vertical="center"/>
    </xf>
    <xf numFmtId="0" fontId="266" fillId="14" borderId="0" applyNumberFormat="0" applyBorder="0" applyAlignment="0" applyProtection="0">
      <alignment vertical="center"/>
    </xf>
    <xf numFmtId="0" fontId="266" fillId="17" borderId="0" applyNumberFormat="0" applyBorder="0" applyAlignment="0" applyProtection="0">
      <alignment vertical="center"/>
    </xf>
    <xf numFmtId="0" fontId="266" fillId="18" borderId="0" applyNumberFormat="0" applyBorder="0" applyAlignment="0" applyProtection="0">
      <alignment vertical="center"/>
    </xf>
    <xf numFmtId="0" fontId="266" fillId="19" borderId="0" applyNumberFormat="0" applyBorder="0" applyAlignment="0" applyProtection="0">
      <alignment vertical="center"/>
    </xf>
    <xf numFmtId="37" fontId="267" fillId="0" borderId="0">
      <alignment horizontal="center"/>
    </xf>
    <xf numFmtId="168" fontId="268" fillId="0" borderId="0">
      <alignment vertical="center"/>
    </xf>
    <xf numFmtId="168" fontId="62" fillId="0" borderId="0">
      <alignment horizontal="center"/>
    </xf>
    <xf numFmtId="37" fontId="269" fillId="0" borderId="0"/>
    <xf numFmtId="37" fontId="270" fillId="0" borderId="0"/>
    <xf numFmtId="37" fontId="271" fillId="0" borderId="0"/>
    <xf numFmtId="166" fontId="65" fillId="0" borderId="0"/>
    <xf numFmtId="168" fontId="272" fillId="2" borderId="0" applyFont="0" applyBorder="0"/>
    <xf numFmtId="0" fontId="63" fillId="60" borderId="0"/>
    <xf numFmtId="168" fontId="272" fillId="78" borderId="0" applyNumberFormat="0" applyFont="0" applyBorder="0" applyAlignment="0" applyProtection="0"/>
    <xf numFmtId="168" fontId="176" fillId="79" borderId="0" applyNumberFormat="0" applyFont="0" applyBorder="0" applyAlignment="0" applyProtection="0"/>
    <xf numFmtId="168" fontId="6" fillId="80" borderId="0" applyBorder="0"/>
    <xf numFmtId="168" fontId="46" fillId="0" borderId="24" applyNumberFormat="0" applyBorder="0" applyAlignment="0" applyProtection="0"/>
    <xf numFmtId="168" fontId="46" fillId="0" borderId="24" applyNumberFormat="0" applyBorder="0" applyAlignment="0" applyProtection="0"/>
    <xf numFmtId="165" fontId="21" fillId="0" borderId="0" applyBorder="0">
      <alignment horizontal="right"/>
    </xf>
    <xf numFmtId="165" fontId="6" fillId="0" borderId="24" applyBorder="0">
      <alignment horizontal="right"/>
    </xf>
    <xf numFmtId="169" fontId="273" fillId="0" borderId="0" applyBorder="0">
      <alignment horizontal="right"/>
    </xf>
    <xf numFmtId="169" fontId="274" fillId="0" borderId="24" applyBorder="0">
      <alignment horizontal="right"/>
    </xf>
    <xf numFmtId="168" fontId="275" fillId="0" borderId="0">
      <alignment horizontal="left" indent="1"/>
    </xf>
    <xf numFmtId="168" fontId="276" fillId="0" borderId="61" applyBorder="0"/>
    <xf numFmtId="168" fontId="272" fillId="77" borderId="24" applyNumberFormat="0" applyFont="0" applyBorder="0" applyAlignment="0" applyProtection="0"/>
    <xf numFmtId="165" fontId="24" fillId="81" borderId="61" applyBorder="0">
      <alignment horizontal="right"/>
    </xf>
    <xf numFmtId="165" fontId="24" fillId="0" borderId="61" applyBorder="0">
      <alignment horizontal="right"/>
    </xf>
    <xf numFmtId="168" fontId="14" fillId="0" borderId="24" applyNumberFormat="0" applyBorder="0" applyAlignment="0" applyProtection="0"/>
    <xf numFmtId="0" fontId="24" fillId="2" borderId="62" applyBorder="0">
      <alignment horizontal="center"/>
    </xf>
    <xf numFmtId="0" fontId="17" fillId="53" borderId="18">
      <alignment horizontal="right" indent="1"/>
    </xf>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2" borderId="0" applyNumberFormat="0" applyBorder="0" applyAlignment="0" applyProtection="0"/>
    <xf numFmtId="0" fontId="47" fillId="83"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4" borderId="0" applyNumberFormat="0" applyBorder="0" applyAlignment="0" applyProtection="0"/>
    <xf numFmtId="0" fontId="47" fillId="85"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7"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9"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0" borderId="0" applyNumberFormat="0" applyBorder="0" applyAlignment="0" applyProtection="0"/>
    <xf numFmtId="0" fontId="47"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1" borderId="0" applyNumberFormat="0" applyBorder="0" applyAlignment="0" applyProtection="0"/>
    <xf numFmtId="0" fontId="48" fillId="92"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3" borderId="0" applyNumberFormat="0" applyBorder="0" applyAlignment="0" applyProtection="0"/>
    <xf numFmtId="0" fontId="47" fillId="94"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5" borderId="0" applyNumberFormat="0" applyBorder="0" applyAlignment="0" applyProtection="0"/>
    <xf numFmtId="0" fontId="47" fillId="90"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96" borderId="0" applyNumberFormat="0" applyBorder="0" applyAlignment="0" applyProtection="0"/>
    <xf numFmtId="0" fontId="48" fillId="84"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88" borderId="0" applyNumberFormat="0" applyBorder="0" applyAlignment="0" applyProtection="0"/>
    <xf numFmtId="0" fontId="47" fillId="90"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92" borderId="0" applyNumberFormat="0" applyBorder="0" applyAlignment="0" applyProtection="0"/>
    <xf numFmtId="0" fontId="47" fillId="84"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90" borderId="0" applyNumberFormat="0" applyBorder="0" applyAlignment="0" applyProtection="0"/>
    <xf numFmtId="0" fontId="48" fillId="8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94" borderId="0" applyNumberFormat="0" applyBorder="0" applyAlignment="0" applyProtection="0"/>
    <xf numFmtId="0" fontId="47" fillId="83" borderId="0" applyNumberFormat="0" applyBorder="0" applyAlignment="0" applyProtection="0"/>
    <xf numFmtId="0" fontId="47" fillId="85"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6" borderId="0" applyNumberFormat="0" applyBorder="0" applyAlignment="0" applyProtection="0"/>
    <xf numFmtId="0" fontId="48" fillId="85" borderId="0" applyNumberFormat="0" applyBorder="0" applyAlignment="0" applyProtection="0"/>
    <xf numFmtId="0" fontId="47" fillId="97"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8" borderId="0" applyNumberFormat="0" applyBorder="0" applyAlignment="0" applyProtection="0"/>
    <xf numFmtId="0" fontId="47" fillId="91"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9" borderId="0" applyNumberFormat="0" applyBorder="0" applyAlignment="0" applyProtection="0"/>
    <xf numFmtId="0" fontId="48" fillId="98" borderId="0" applyNumberFormat="0" applyBorder="0" applyAlignment="0" applyProtection="0"/>
    <xf numFmtId="351" fontId="14" fillId="0" borderId="0" applyFont="0" applyFill="0" applyBorder="0" applyAlignment="0">
      <alignment vertical="center"/>
    </xf>
    <xf numFmtId="3" fontId="277" fillId="52" borderId="53" applyBorder="0">
      <protection locked="0"/>
    </xf>
    <xf numFmtId="0" fontId="6" fillId="0" borderId="0" applyNumberFormat="0" applyFill="0" applyBorder="0" applyAlignment="0" applyProtection="0"/>
    <xf numFmtId="0" fontId="46" fillId="0" borderId="0"/>
    <xf numFmtId="0" fontId="169" fillId="0" borderId="0"/>
    <xf numFmtId="0" fontId="278" fillId="0" borderId="63" applyNumberFormat="0" applyFill="0" applyBorder="0" applyAlignment="0" applyProtection="0"/>
    <xf numFmtId="0" fontId="46" fillId="0" borderId="63" applyNumberFormat="0" applyFill="0" applyBorder="0" applyAlignment="0" applyProtection="0"/>
    <xf numFmtId="0" fontId="17" fillId="0" borderId="63" applyNumberFormat="0" applyFill="0" applyBorder="0" applyAlignment="0" applyProtection="0"/>
    <xf numFmtId="0" fontId="20" fillId="0" borderId="63" applyNumberFormat="0" applyFill="0" applyBorder="0" applyAlignment="0" applyProtection="0"/>
    <xf numFmtId="0" fontId="6" fillId="0" borderId="63" applyNumberFormat="0" applyFill="0" applyAlignment="0" applyProtection="0"/>
    <xf numFmtId="0" fontId="6" fillId="0" borderId="63" applyNumberFormat="0" applyFill="0" applyAlignment="0" applyProtection="0"/>
    <xf numFmtId="9" fontId="157" fillId="35" borderId="18" applyNumberFormat="0" applyFont="0" applyAlignment="0" applyProtection="0"/>
    <xf numFmtId="0" fontId="61" fillId="0" borderId="0" applyNumberFormat="0" applyFill="0" applyBorder="0" applyAlignment="0" applyProtection="0"/>
    <xf numFmtId="218" fontId="279" fillId="0" borderId="0" applyNumberFormat="0" applyFill="0" applyBorder="0" applyAlignment="0" applyProtection="0"/>
    <xf numFmtId="321" fontId="137" fillId="0" borderId="0"/>
    <xf numFmtId="198" fontId="65" fillId="0" borderId="0" applyFill="0" applyBorder="0" applyAlignment="0" applyProtection="0">
      <protection locked="0"/>
    </xf>
    <xf numFmtId="0" fontId="193" fillId="60" borderId="64" applyNumberFormat="0" applyAlignment="0" applyProtection="0"/>
    <xf numFmtId="352" fontId="280" fillId="60" borderId="0" applyNumberFormat="0" applyBorder="0">
      <alignment horizontal="center" vertical="center"/>
    </xf>
    <xf numFmtId="180" fontId="97" fillId="0" borderId="0"/>
    <xf numFmtId="179" fontId="97" fillId="0" borderId="0"/>
    <xf numFmtId="169" fontId="61" fillId="0" borderId="0"/>
    <xf numFmtId="353" fontId="61" fillId="0" borderId="0"/>
    <xf numFmtId="170" fontId="46" fillId="0" borderId="0"/>
    <xf numFmtId="170" fontId="46" fillId="0" borderId="0"/>
    <xf numFmtId="354" fontId="46" fillId="0" borderId="0"/>
    <xf numFmtId="354" fontId="46" fillId="0" borderId="0"/>
    <xf numFmtId="192" fontId="61" fillId="0" borderId="0"/>
    <xf numFmtId="37" fontId="14" fillId="41" borderId="0" applyFill="0" applyBorder="0" applyAlignment="0" applyProtection="0"/>
    <xf numFmtId="355" fontId="14" fillId="41" borderId="0" applyFill="0" applyBorder="0" applyProtection="0"/>
    <xf numFmtId="9" fontId="14" fillId="0" borderId="24" applyFill="0" applyBorder="0" applyProtection="0"/>
    <xf numFmtId="0" fontId="76" fillId="0" borderId="0" applyNumberFormat="0" applyFont="0" applyFill="0" applyBorder="0" applyAlignment="0" applyProtection="0"/>
    <xf numFmtId="0" fontId="46" fillId="0" borderId="0" applyFont="0" applyFill="0" applyBorder="0" applyAlignment="0" applyProtection="0"/>
    <xf numFmtId="258" fontId="223" fillId="0" borderId="0" applyFont="0" applyFill="0" applyBorder="0" applyAlignment="0" applyProtection="0"/>
    <xf numFmtId="258" fontId="46" fillId="0" borderId="0" applyFont="0" applyFill="0" applyBorder="0" applyAlignment="0" applyProtection="0"/>
    <xf numFmtId="0" fontId="46" fillId="0" borderId="0" applyFont="0" applyFill="0" applyBorder="0" applyAlignment="0" applyProtection="0"/>
    <xf numFmtId="259" fontId="223" fillId="0" borderId="0" applyFont="0" applyFill="0" applyBorder="0" applyAlignment="0" applyProtection="0"/>
    <xf numFmtId="259"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256" fontId="223" fillId="0" borderId="0" applyFont="0" applyFill="0" applyBorder="0" applyAlignment="0" applyProtection="0"/>
    <xf numFmtId="256" fontId="46" fillId="0" borderId="0" applyFont="0" applyFill="0" applyBorder="0" applyAlignment="0" applyProtection="0"/>
    <xf numFmtId="256" fontId="46" fillId="0" borderId="0" applyFont="0" applyFill="0" applyBorder="0" applyAlignment="0" applyProtection="0"/>
    <xf numFmtId="0" fontId="46" fillId="0" borderId="0" applyFont="0" applyFill="0" applyBorder="0" applyAlignment="0" applyProtection="0"/>
    <xf numFmtId="168"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210" fontId="46" fillId="0" borderId="0" applyFont="0" applyFill="0" applyBorder="0" applyAlignment="0" applyProtection="0"/>
    <xf numFmtId="305" fontId="46" fillId="0" borderId="0" applyFont="0" applyFill="0" applyBorder="0" applyAlignment="0" applyProtection="0"/>
    <xf numFmtId="260" fontId="46" fillId="0" borderId="0" applyFont="0" applyFill="0" applyBorder="0" applyAlignment="0" applyProtection="0"/>
    <xf numFmtId="0" fontId="46" fillId="0" borderId="0" applyFont="0" applyFill="0" applyBorder="0" applyAlignment="0" applyProtection="0"/>
    <xf numFmtId="210"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39" fontId="46" fillId="0" borderId="0" applyFont="0" applyFill="0" applyBorder="0" applyAlignment="0" applyProtection="0"/>
    <xf numFmtId="261" fontId="46" fillId="0" borderId="0" applyFont="0" applyFill="0" applyBorder="0" applyAlignment="0" applyProtection="0"/>
    <xf numFmtId="261" fontId="46" fillId="0" borderId="0" applyFont="0" applyFill="0" applyBorder="0" applyAlignment="0" applyProtection="0"/>
    <xf numFmtId="0" fontId="46" fillId="0" borderId="0" applyFont="0" applyFill="0" applyBorder="0" applyAlignment="0" applyProtection="0"/>
    <xf numFmtId="39"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62" fontId="223" fillId="0" borderId="0" applyFont="0" applyFill="0" applyBorder="0" applyAlignment="0" applyProtection="0"/>
    <xf numFmtId="262" fontId="46" fillId="0" borderId="0" applyFont="0" applyFill="0" applyBorder="0" applyAlignment="0" applyProtection="0"/>
    <xf numFmtId="0" fontId="46" fillId="0" borderId="0" applyNumberFormat="0" applyFill="0" applyBorder="0" applyAlignment="0" applyProtection="0"/>
    <xf numFmtId="0" fontId="223" fillId="4" borderId="0" applyNumberFormat="0" applyFont="0" applyAlignment="0" applyProtection="0"/>
    <xf numFmtId="0" fontId="46" fillId="4" borderId="0" applyNumberFormat="0" applyFont="0" applyAlignment="0" applyProtection="0"/>
    <xf numFmtId="0" fontId="46" fillId="0" borderId="0" applyFont="0" applyFill="0" applyBorder="0" applyAlignment="0" applyProtection="0"/>
    <xf numFmtId="211" fontId="46" fillId="0" borderId="0" applyFont="0" applyFill="0" applyBorder="0" applyAlignment="0" applyProtection="0"/>
    <xf numFmtId="211" fontId="46" fillId="0" borderId="0" applyFont="0" applyFill="0" applyBorder="0" applyAlignment="0" applyProtection="0"/>
    <xf numFmtId="263" fontId="46" fillId="0" borderId="0" applyFont="0" applyFill="0" applyBorder="0" applyAlignment="0" applyProtection="0"/>
    <xf numFmtId="263" fontId="46" fillId="0" borderId="0" applyFont="0" applyFill="0" applyBorder="0" applyAlignment="0" applyProtection="0"/>
    <xf numFmtId="0" fontId="46" fillId="0" borderId="0" applyFont="0" applyFill="0" applyBorder="0" applyAlignment="0" applyProtection="0"/>
    <xf numFmtId="211"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212" fontId="46" fillId="0" borderId="0" applyFont="0" applyFill="0" applyBorder="0" applyAlignment="0" applyProtection="0"/>
    <xf numFmtId="212" fontId="46" fillId="0" borderId="0" applyFont="0" applyFill="0" applyBorder="0" applyAlignment="0" applyProtection="0"/>
    <xf numFmtId="264" fontId="46" fillId="0" borderId="0" applyFont="0" applyFill="0" applyBorder="0" applyProtection="0">
      <alignment horizontal="right"/>
    </xf>
    <xf numFmtId="264" fontId="46" fillId="0" borderId="0" applyFont="0" applyFill="0" applyBorder="0" applyProtection="0">
      <alignment horizontal="right"/>
    </xf>
    <xf numFmtId="0" fontId="46" fillId="0" borderId="0" applyFont="0" applyFill="0" applyBorder="0" applyProtection="0">
      <alignment horizontal="right"/>
    </xf>
    <xf numFmtId="212" fontId="46" fillId="0" borderId="0" applyFont="0" applyFill="0" applyBorder="0" applyAlignment="0" applyProtection="0"/>
    <xf numFmtId="0" fontId="46" fillId="0" borderId="0" applyFon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3" applyNumberFormat="0" applyFill="0" applyProtection="0">
      <alignment horizontal="center"/>
    </xf>
    <xf numFmtId="0" fontId="46" fillId="0" borderId="0" applyNumberFormat="0" applyFill="0" applyBorder="0" applyProtection="0">
      <alignment horizontal="left"/>
    </xf>
    <xf numFmtId="0" fontId="46" fillId="0" borderId="0" applyNumberFormat="0" applyFill="0" applyBorder="0" applyProtection="0">
      <alignment horizontal="centerContinuous"/>
    </xf>
    <xf numFmtId="0" fontId="67" fillId="24" borderId="5" applyFont="0">
      <alignment horizontal="right"/>
    </xf>
    <xf numFmtId="186" fontId="67" fillId="24" borderId="5" applyFont="0">
      <alignment horizontal="right"/>
    </xf>
    <xf numFmtId="306" fontId="46" fillId="24" borderId="5" applyFont="0">
      <alignment horizontal="right"/>
    </xf>
    <xf numFmtId="0" fontId="90" fillId="0" borderId="0"/>
    <xf numFmtId="0" fontId="46" fillId="0" borderId="0"/>
    <xf numFmtId="37" fontId="281" fillId="41" borderId="0" applyFill="0" applyBorder="0" applyProtection="0"/>
    <xf numFmtId="9" fontId="282" fillId="41" borderId="0" applyFill="0" applyBorder="0" applyProtection="0"/>
    <xf numFmtId="0" fontId="283" fillId="0" borderId="0"/>
    <xf numFmtId="43" fontId="283" fillId="0" borderId="0" applyFont="0" applyFill="0" applyBorder="0" applyAlignment="0" applyProtection="0"/>
    <xf numFmtId="44" fontId="14" fillId="0" borderId="0" applyFont="0" applyFill="0" applyBorder="0" applyAlignment="0" applyProtection="0"/>
    <xf numFmtId="9" fontId="283" fillId="0" borderId="0" applyFont="0" applyFill="0" applyBorder="0" applyAlignment="0" applyProtection="0"/>
    <xf numFmtId="44" fontId="283" fillId="0" borderId="0" applyFont="0" applyFill="0" applyBorder="0" applyAlignment="0" applyProtection="0"/>
    <xf numFmtId="168" fontId="26" fillId="41" borderId="0" applyFill="0" applyBorder="0" applyProtection="0"/>
  </cellStyleXfs>
  <cellXfs count="852">
    <xf numFmtId="37" fontId="0" fillId="0" borderId="0" xfId="0"/>
    <xf numFmtId="172" fontId="35" fillId="0" borderId="0" xfId="1931" applyFont="1" applyFill="1" applyBorder="1"/>
    <xf numFmtId="37" fontId="14" fillId="0" borderId="24" xfId="0" applyFont="1" applyBorder="1"/>
    <xf numFmtId="37" fontId="14" fillId="0" borderId="0" xfId="0" applyFont="1"/>
    <xf numFmtId="37" fontId="24" fillId="0" borderId="15" xfId="0" applyFont="1" applyBorder="1"/>
    <xf numFmtId="169" fontId="23" fillId="0" borderId="15" xfId="0" applyNumberFormat="1" applyFont="1" applyBorder="1"/>
    <xf numFmtId="169" fontId="23" fillId="0" borderId="33" xfId="0" applyNumberFormat="1" applyFont="1" applyBorder="1"/>
    <xf numFmtId="37" fontId="23" fillId="0" borderId="15" xfId="0" applyFont="1" applyBorder="1"/>
    <xf numFmtId="174" fontId="23" fillId="0" borderId="0" xfId="1931" applyNumberFormat="1"/>
    <xf numFmtId="174" fontId="23" fillId="0" borderId="24" xfId="1931" applyNumberFormat="1" applyBorder="1"/>
    <xf numFmtId="7" fontId="14" fillId="0" borderId="0" xfId="1559"/>
    <xf numFmtId="7" fontId="14" fillId="0" borderId="24" xfId="1559" applyBorder="1"/>
    <xf numFmtId="172" fontId="23" fillId="41" borderId="0" xfId="1931" applyFill="1"/>
    <xf numFmtId="172" fontId="23" fillId="0" borderId="0" xfId="1931" applyBorder="1"/>
    <xf numFmtId="172" fontId="23" fillId="0" borderId="5" xfId="1931" applyBorder="1"/>
    <xf numFmtId="172" fontId="23" fillId="0" borderId="34" xfId="1931" applyBorder="1"/>
    <xf numFmtId="172" fontId="23" fillId="0" borderId="0" xfId="1931"/>
    <xf numFmtId="172" fontId="23" fillId="0" borderId="24" xfId="1931" applyBorder="1"/>
    <xf numFmtId="172" fontId="23" fillId="0" borderId="0" xfId="1931" applyFill="1" applyBorder="1"/>
    <xf numFmtId="37" fontId="0" fillId="0" borderId="35" xfId="0" applyBorder="1"/>
    <xf numFmtId="37" fontId="8" fillId="53" borderId="0" xfId="0" applyFont="1" applyFill="1" applyAlignment="1">
      <alignment horizontal="center"/>
    </xf>
    <xf numFmtId="164" fontId="9" fillId="42" borderId="24" xfId="0" applyNumberFormat="1" applyFont="1" applyFill="1" applyBorder="1" applyAlignment="1">
      <alignment horizontal="center"/>
    </xf>
    <xf numFmtId="164" fontId="9" fillId="42" borderId="0" xfId="0" applyNumberFormat="1" applyFont="1" applyFill="1" applyAlignment="1">
      <alignment horizontal="center"/>
    </xf>
    <xf numFmtId="37" fontId="10" fillId="54" borderId="36" xfId="0" applyFont="1" applyFill="1" applyBorder="1" applyAlignment="1">
      <alignment horizontal="left"/>
    </xf>
    <xf numFmtId="37" fontId="11" fillId="54" borderId="37" xfId="0" applyFont="1" applyFill="1" applyBorder="1" applyAlignment="1">
      <alignment horizontal="left"/>
    </xf>
    <xf numFmtId="37" fontId="0" fillId="0" borderId="24" xfId="0" applyBorder="1"/>
    <xf numFmtId="37" fontId="0" fillId="0" borderId="38" xfId="0" applyBorder="1"/>
    <xf numFmtId="9" fontId="23" fillId="0" borderId="24" xfId="2222" applyBorder="1"/>
    <xf numFmtId="37" fontId="23" fillId="0" borderId="34" xfId="0" applyFont="1" applyBorder="1"/>
    <xf numFmtId="37" fontId="0" fillId="0" borderId="0" xfId="0" applyFill="1"/>
    <xf numFmtId="37" fontId="0" fillId="41" borderId="0" xfId="0" applyFill="1"/>
    <xf numFmtId="37" fontId="7" fillId="41" borderId="0" xfId="0" applyFont="1" applyFill="1" applyBorder="1"/>
    <xf numFmtId="37" fontId="23" fillId="0" borderId="0" xfId="0" applyFont="1"/>
    <xf numFmtId="37" fontId="24" fillId="53" borderId="0" xfId="0" applyFont="1" applyFill="1"/>
    <xf numFmtId="37" fontId="23" fillId="0" borderId="24" xfId="0" applyFont="1" applyBorder="1"/>
    <xf numFmtId="166" fontId="23" fillId="0" borderId="24" xfId="0" applyNumberFormat="1" applyFont="1" applyBorder="1"/>
    <xf numFmtId="166" fontId="23" fillId="0" borderId="0" xfId="0" applyNumberFormat="1" applyFont="1"/>
    <xf numFmtId="37" fontId="24" fillId="0" borderId="0" xfId="0" applyFont="1"/>
    <xf numFmtId="37" fontId="23" fillId="0" borderId="5" xfId="0" applyFont="1" applyBorder="1"/>
    <xf numFmtId="2" fontId="25" fillId="0" borderId="0" xfId="0" applyNumberFormat="1" applyFont="1" applyBorder="1" applyAlignment="1">
      <alignment horizontal="left"/>
    </xf>
    <xf numFmtId="2" fontId="15" fillId="0" borderId="0" xfId="0" applyNumberFormat="1" applyFont="1" applyBorder="1" applyAlignment="1">
      <alignment horizontal="left" indent="1"/>
    </xf>
    <xf numFmtId="2" fontId="15" fillId="0" borderId="0" xfId="0" applyNumberFormat="1" applyFont="1" applyBorder="1" applyAlignment="1">
      <alignment horizontal="left"/>
    </xf>
    <xf numFmtId="2" fontId="25" fillId="0" borderId="0" xfId="0" applyNumberFormat="1" applyFont="1" applyFill="1" applyBorder="1" applyAlignment="1">
      <alignment horizontal="left"/>
    </xf>
    <xf numFmtId="2" fontId="25" fillId="0" borderId="5" xfId="0" applyNumberFormat="1" applyFont="1" applyFill="1" applyBorder="1" applyAlignment="1">
      <alignment horizontal="left"/>
    </xf>
    <xf numFmtId="37" fontId="24" fillId="0" borderId="5" xfId="0" applyFont="1" applyBorder="1"/>
    <xf numFmtId="37" fontId="23" fillId="0" borderId="0" xfId="0" applyFont="1" applyBorder="1"/>
    <xf numFmtId="37" fontId="23" fillId="0" borderId="38" xfId="0" applyFont="1" applyBorder="1"/>
    <xf numFmtId="37" fontId="24" fillId="42" borderId="5" xfId="0" applyFont="1" applyFill="1" applyBorder="1"/>
    <xf numFmtId="2" fontId="25" fillId="42" borderId="5" xfId="0" applyNumberFormat="1" applyFont="1" applyFill="1" applyBorder="1" applyAlignment="1">
      <alignment horizontal="left"/>
    </xf>
    <xf numFmtId="169" fontId="23" fillId="0" borderId="24" xfId="0" applyNumberFormat="1" applyFont="1" applyBorder="1"/>
    <xf numFmtId="169" fontId="23" fillId="0" borderId="0" xfId="0" applyNumberFormat="1" applyFont="1"/>
    <xf numFmtId="167" fontId="24" fillId="53" borderId="0" xfId="0" applyNumberFormat="1" applyFont="1" applyFill="1" applyBorder="1"/>
    <xf numFmtId="167" fontId="29" fillId="41" borderId="0" xfId="0" applyNumberFormat="1" applyFont="1" applyFill="1" applyBorder="1"/>
    <xf numFmtId="168" fontId="29" fillId="41" borderId="0" xfId="0" applyNumberFormat="1" applyFont="1" applyFill="1" applyBorder="1"/>
    <xf numFmtId="37" fontId="31" fillId="0" borderId="0" xfId="0" applyFont="1"/>
    <xf numFmtId="37" fontId="29" fillId="41" borderId="0" xfId="0" applyFont="1" applyFill="1" applyBorder="1"/>
    <xf numFmtId="37" fontId="32" fillId="53" borderId="0" xfId="0" applyFont="1" applyFill="1" applyBorder="1"/>
    <xf numFmtId="169" fontId="26" fillId="0" borderId="0" xfId="0" applyNumberFormat="1" applyFont="1"/>
    <xf numFmtId="169" fontId="26" fillId="0" borderId="24" xfId="0" applyNumberFormat="1" applyFont="1" applyBorder="1"/>
    <xf numFmtId="37" fontId="22" fillId="41" borderId="0" xfId="0" applyFont="1" applyFill="1" applyBorder="1" applyAlignment="1">
      <alignment horizontal="left"/>
    </xf>
    <xf numFmtId="164" fontId="9" fillId="41" borderId="24" xfId="0" applyNumberFormat="1" applyFont="1" applyFill="1" applyBorder="1" applyAlignment="1">
      <alignment horizontal="center"/>
    </xf>
    <xf numFmtId="164" fontId="9" fillId="41" borderId="0" xfId="0" applyNumberFormat="1" applyFont="1" applyFill="1" applyAlignment="1">
      <alignment horizontal="center"/>
    </xf>
    <xf numFmtId="7" fontId="24" fillId="0" borderId="24" xfId="1559" applyFont="1" applyBorder="1"/>
    <xf numFmtId="37" fontId="14" fillId="0" borderId="0" xfId="0" applyFont="1" applyAlignment="1">
      <alignment horizontal="left" indent="1"/>
    </xf>
    <xf numFmtId="37" fontId="31" fillId="53" borderId="0" xfId="0" applyFont="1" applyFill="1"/>
    <xf numFmtId="2" fontId="33" fillId="0" borderId="0" xfId="0" applyNumberFormat="1" applyFont="1" applyFill="1" applyBorder="1" applyAlignment="1">
      <alignment horizontal="left"/>
    </xf>
    <xf numFmtId="37" fontId="31" fillId="0" borderId="0" xfId="0" applyFont="1" applyBorder="1"/>
    <xf numFmtId="167" fontId="14" fillId="0" borderId="0" xfId="0" applyNumberFormat="1" applyFont="1" applyFill="1"/>
    <xf numFmtId="9" fontId="23" fillId="0" borderId="0" xfId="2222"/>
    <xf numFmtId="172" fontId="27" fillId="0" borderId="0" xfId="1931" applyFont="1"/>
    <xf numFmtId="172" fontId="27" fillId="0" borderId="24" xfId="1931" applyFont="1" applyBorder="1"/>
    <xf numFmtId="37" fontId="29" fillId="41" borderId="15" xfId="0" applyFont="1" applyFill="1" applyBorder="1"/>
    <xf numFmtId="172" fontId="26" fillId="0" borderId="0" xfId="1931" applyFont="1"/>
    <xf numFmtId="172" fontId="26" fillId="0" borderId="0" xfId="1931" applyFont="1" applyFill="1" applyBorder="1"/>
    <xf numFmtId="172" fontId="26" fillId="0" borderId="24" xfId="1931" applyFont="1" applyFill="1" applyBorder="1"/>
    <xf numFmtId="172" fontId="24" fillId="0" borderId="24" xfId="1931" applyFont="1" applyBorder="1"/>
    <xf numFmtId="172" fontId="24" fillId="0" borderId="0" xfId="1931" applyFont="1"/>
    <xf numFmtId="172" fontId="24" fillId="0" borderId="34" xfId="1931" applyFont="1" applyBorder="1"/>
    <xf numFmtId="172" fontId="24" fillId="0" borderId="5" xfId="1931" applyFont="1" applyBorder="1"/>
    <xf numFmtId="7" fontId="14" fillId="0" borderId="24" xfId="0" applyNumberFormat="1" applyFont="1" applyBorder="1"/>
    <xf numFmtId="7" fontId="14" fillId="0" borderId="0" xfId="0" applyNumberFormat="1" applyFont="1"/>
    <xf numFmtId="7" fontId="23" fillId="0" borderId="24" xfId="0" applyNumberFormat="1" applyFont="1" applyBorder="1"/>
    <xf numFmtId="7" fontId="23" fillId="0" borderId="0" xfId="0" applyNumberFormat="1" applyFont="1"/>
    <xf numFmtId="7" fontId="24" fillId="42" borderId="34" xfId="0" applyNumberFormat="1" applyFont="1" applyFill="1" applyBorder="1"/>
    <xf numFmtId="7" fontId="24" fillId="42" borderId="5" xfId="0" applyNumberFormat="1" applyFont="1" applyFill="1" applyBorder="1"/>
    <xf numFmtId="172" fontId="35" fillId="0" borderId="24" xfId="1931" applyFont="1" applyBorder="1"/>
    <xf numFmtId="172" fontId="35" fillId="0" borderId="0" xfId="1931" applyFont="1"/>
    <xf numFmtId="37" fontId="35" fillId="0" borderId="24" xfId="0" applyFont="1" applyBorder="1"/>
    <xf numFmtId="37" fontId="35" fillId="0" borderId="0" xfId="0" applyFont="1"/>
    <xf numFmtId="166" fontId="26" fillId="0" borderId="0" xfId="1931" applyNumberFormat="1" applyFont="1" applyFill="1" applyBorder="1"/>
    <xf numFmtId="166" fontId="26" fillId="0" borderId="24" xfId="1931" applyNumberFormat="1" applyFont="1" applyFill="1" applyBorder="1"/>
    <xf numFmtId="37" fontId="41" fillId="0" borderId="24" xfId="0" applyFont="1" applyBorder="1"/>
    <xf numFmtId="37" fontId="41" fillId="0" borderId="0" xfId="0" applyFont="1"/>
    <xf numFmtId="9" fontId="23" fillId="0" borderId="24" xfId="0" applyNumberFormat="1" applyFont="1" applyBorder="1"/>
    <xf numFmtId="9" fontId="23" fillId="0" borderId="0" xfId="0" applyNumberFormat="1" applyFont="1"/>
    <xf numFmtId="9" fontId="23" fillId="0" borderId="33" xfId="0" applyNumberFormat="1" applyFont="1" applyBorder="1"/>
    <xf numFmtId="9" fontId="23" fillId="0" borderId="15" xfId="0" applyNumberFormat="1" applyFont="1" applyBorder="1"/>
    <xf numFmtId="37" fontId="27" fillId="0" borderId="0" xfId="0" applyFont="1"/>
    <xf numFmtId="37" fontId="27" fillId="0" borderId="24" xfId="0" applyFont="1" applyBorder="1"/>
    <xf numFmtId="37" fontId="26" fillId="0" borderId="0" xfId="0" applyFont="1"/>
    <xf numFmtId="37" fontId="26" fillId="0" borderId="24" xfId="0" applyFont="1" applyBorder="1"/>
    <xf numFmtId="37" fontId="24" fillId="0" borderId="24" xfId="0" applyFont="1" applyBorder="1"/>
    <xf numFmtId="37" fontId="34" fillId="0" borderId="0" xfId="0" applyFont="1"/>
    <xf numFmtId="37" fontId="34" fillId="0" borderId="24" xfId="0" applyFont="1" applyBorder="1"/>
    <xf numFmtId="37" fontId="24" fillId="42" borderId="34" xfId="0" applyFont="1" applyFill="1" applyBorder="1"/>
    <xf numFmtId="7" fontId="38" fillId="0" borderId="24" xfId="1559" applyFont="1" applyBorder="1"/>
    <xf numFmtId="172" fontId="42" fillId="0" borderId="24" xfId="1931" applyFont="1" applyBorder="1"/>
    <xf numFmtId="9" fontId="23" fillId="0" borderId="15" xfId="2222" applyBorder="1"/>
    <xf numFmtId="37" fontId="24" fillId="0" borderId="0" xfId="0" applyFont="1" applyBorder="1"/>
    <xf numFmtId="172" fontId="26" fillId="0" borderId="24" xfId="1931" applyFont="1" applyBorder="1"/>
    <xf numFmtId="37" fontId="41" fillId="41" borderId="0" xfId="0" applyFont="1" applyFill="1"/>
    <xf numFmtId="37" fontId="36" fillId="0" borderId="0" xfId="0" applyFont="1" applyAlignment="1">
      <alignment horizontal="left" indent="1"/>
    </xf>
    <xf numFmtId="172" fontId="41" fillId="0" borderId="24" xfId="1931" applyFont="1" applyBorder="1"/>
    <xf numFmtId="172" fontId="41" fillId="0" borderId="0" xfId="1931" applyFont="1"/>
    <xf numFmtId="37" fontId="41" fillId="0" borderId="0" xfId="0" applyFont="1" applyAlignment="1">
      <alignment horizontal="left" indent="1"/>
    </xf>
    <xf numFmtId="2" fontId="33" fillId="0" borderId="0" xfId="0" applyNumberFormat="1" applyFont="1" applyBorder="1" applyAlignment="1">
      <alignment horizontal="left"/>
    </xf>
    <xf numFmtId="2" fontId="37" fillId="0" borderId="5" xfId="0" applyNumberFormat="1" applyFont="1" applyFill="1" applyBorder="1" applyAlignment="1">
      <alignment horizontal="left"/>
    </xf>
    <xf numFmtId="172" fontId="31" fillId="0" borderId="34" xfId="1931" applyFont="1" applyBorder="1"/>
    <xf numFmtId="172" fontId="31" fillId="0" borderId="5" xfId="1931" applyFont="1" applyBorder="1"/>
    <xf numFmtId="169" fontId="41" fillId="0" borderId="24" xfId="0" applyNumberFormat="1" applyFont="1" applyBorder="1"/>
    <xf numFmtId="9" fontId="41" fillId="0" borderId="24" xfId="0" applyNumberFormat="1" applyFont="1" applyBorder="1"/>
    <xf numFmtId="169" fontId="31" fillId="0" borderId="34" xfId="0" applyNumberFormat="1" applyFont="1" applyBorder="1"/>
    <xf numFmtId="9" fontId="41" fillId="0" borderId="0" xfId="2222" applyFont="1"/>
    <xf numFmtId="9" fontId="41" fillId="0" borderId="24" xfId="2222" applyFont="1" applyBorder="1"/>
    <xf numFmtId="169" fontId="31" fillId="0" borderId="5" xfId="0" applyNumberFormat="1" applyFont="1" applyBorder="1"/>
    <xf numFmtId="2" fontId="41" fillId="0" borderId="0" xfId="0" applyNumberFormat="1" applyFont="1" applyBorder="1" applyAlignment="1">
      <alignment horizontal="left"/>
    </xf>
    <xf numFmtId="37" fontId="31" fillId="42" borderId="0" xfId="0" applyFont="1" applyFill="1"/>
    <xf numFmtId="9" fontId="41" fillId="0" borderId="0" xfId="0" applyNumberFormat="1" applyFont="1" applyBorder="1"/>
    <xf numFmtId="37" fontId="41" fillId="0" borderId="0" xfId="0" applyFont="1" applyBorder="1"/>
    <xf numFmtId="169" fontId="41" fillId="0" borderId="0" xfId="0" applyNumberFormat="1" applyFont="1" applyBorder="1"/>
    <xf numFmtId="9" fontId="41" fillId="0" borderId="0" xfId="2222" applyFont="1" applyBorder="1"/>
    <xf numFmtId="172" fontId="41" fillId="0" borderId="0" xfId="1931" applyFont="1" applyBorder="1"/>
    <xf numFmtId="172" fontId="27" fillId="0" borderId="0" xfId="1931" applyFont="1" applyBorder="1"/>
    <xf numFmtId="9" fontId="23" fillId="0" borderId="0" xfId="2222" applyBorder="1"/>
    <xf numFmtId="9" fontId="24" fillId="0" borderId="34" xfId="0" applyNumberFormat="1" applyFont="1" applyBorder="1"/>
    <xf numFmtId="9" fontId="24" fillId="0" borderId="5" xfId="2222" applyFont="1" applyBorder="1"/>
    <xf numFmtId="9" fontId="24" fillId="0" borderId="34" xfId="2222" applyFont="1" applyBorder="1"/>
    <xf numFmtId="37" fontId="41" fillId="0" borderId="15" xfId="0" applyFont="1" applyBorder="1"/>
    <xf numFmtId="9" fontId="23" fillId="0" borderId="33" xfId="2222" applyBorder="1"/>
    <xf numFmtId="9" fontId="23" fillId="41" borderId="0" xfId="2222" applyFill="1"/>
    <xf numFmtId="9" fontId="23" fillId="41" borderId="38" xfId="2222" applyFill="1" applyBorder="1"/>
    <xf numFmtId="37" fontId="24" fillId="41" borderId="5" xfId="0" applyFont="1" applyFill="1" applyBorder="1"/>
    <xf numFmtId="172" fontId="24" fillId="41" borderId="34" xfId="1931" applyFont="1" applyFill="1" applyBorder="1"/>
    <xf numFmtId="173" fontId="24" fillId="41" borderId="34" xfId="1915" applyFont="1" applyFill="1" applyBorder="1"/>
    <xf numFmtId="172" fontId="24" fillId="41" borderId="5" xfId="1931" applyFont="1" applyFill="1" applyBorder="1"/>
    <xf numFmtId="9" fontId="24" fillId="41" borderId="5" xfId="2222" applyFont="1" applyFill="1" applyBorder="1"/>
    <xf numFmtId="172" fontId="41" fillId="0" borderId="33" xfId="1931" applyFont="1" applyBorder="1"/>
    <xf numFmtId="172" fontId="41" fillId="0" borderId="15" xfId="1931" applyFont="1" applyBorder="1"/>
    <xf numFmtId="172" fontId="26" fillId="0" borderId="15" xfId="1931" applyFont="1" applyBorder="1"/>
    <xf numFmtId="2" fontId="15" fillId="0" borderId="13" xfId="0" applyNumberFormat="1" applyFont="1" applyBorder="1" applyAlignment="1">
      <alignment horizontal="left"/>
    </xf>
    <xf numFmtId="172" fontId="14" fillId="0" borderId="39" xfId="1931" applyFont="1" applyBorder="1"/>
    <xf numFmtId="172" fontId="14" fillId="0" borderId="13" xfId="1931" applyFont="1" applyBorder="1"/>
    <xf numFmtId="169" fontId="33" fillId="0" borderId="0" xfId="0" applyNumberFormat="1" applyFont="1" applyBorder="1" applyAlignment="1">
      <alignment horizontal="left"/>
    </xf>
    <xf numFmtId="169" fontId="23" fillId="0" borderId="0" xfId="2222" applyNumberFormat="1" applyBorder="1"/>
    <xf numFmtId="172" fontId="24" fillId="42" borderId="34" xfId="1931" applyFont="1" applyFill="1" applyBorder="1"/>
    <xf numFmtId="172" fontId="24" fillId="42" borderId="5" xfId="1931" applyFont="1" applyFill="1" applyBorder="1"/>
    <xf numFmtId="168" fontId="30" fillId="42" borderId="5" xfId="0" applyNumberFormat="1" applyFont="1" applyFill="1" applyBorder="1"/>
    <xf numFmtId="37" fontId="31" fillId="42" borderId="34" xfId="0" applyFont="1" applyFill="1" applyBorder="1"/>
    <xf numFmtId="37" fontId="31" fillId="42" borderId="5" xfId="0" applyFont="1" applyFill="1" applyBorder="1"/>
    <xf numFmtId="173" fontId="23" fillId="0" borderId="0" xfId="1915"/>
    <xf numFmtId="173" fontId="23" fillId="0" borderId="33" xfId="1915" applyBorder="1"/>
    <xf numFmtId="173" fontId="23" fillId="0" borderId="15" xfId="1915" applyBorder="1"/>
    <xf numFmtId="172" fontId="28" fillId="42" borderId="5" xfId="1931" applyFont="1" applyFill="1" applyBorder="1"/>
    <xf numFmtId="172" fontId="28" fillId="42" borderId="34" xfId="1931" applyFont="1" applyFill="1" applyBorder="1"/>
    <xf numFmtId="37" fontId="0" fillId="0" borderId="0" xfId="0" applyBorder="1"/>
    <xf numFmtId="37" fontId="14" fillId="0" borderId="0" xfId="0" applyFont="1" applyBorder="1"/>
    <xf numFmtId="174" fontId="23" fillId="0" borderId="0" xfId="1931" applyNumberFormat="1" applyBorder="1"/>
    <xf numFmtId="37" fontId="23" fillId="41" borderId="0" xfId="0" applyFont="1" applyFill="1" applyBorder="1"/>
    <xf numFmtId="37" fontId="38" fillId="0" borderId="24" xfId="0" applyFont="1" applyBorder="1"/>
    <xf numFmtId="37" fontId="38" fillId="0" borderId="0" xfId="0" applyFont="1"/>
    <xf numFmtId="5" fontId="15" fillId="0" borderId="0" xfId="0" applyNumberFormat="1" applyFont="1" applyBorder="1" applyAlignment="1">
      <alignment horizontal="left"/>
    </xf>
    <xf numFmtId="5" fontId="23" fillId="0" borderId="24" xfId="0" applyNumberFormat="1" applyFont="1" applyBorder="1"/>
    <xf numFmtId="5" fontId="23" fillId="0" borderId="0" xfId="0" applyNumberFormat="1" applyFont="1"/>
    <xf numFmtId="5" fontId="24" fillId="0" borderId="0" xfId="0" applyNumberFormat="1" applyFont="1"/>
    <xf numFmtId="5" fontId="24" fillId="0" borderId="24" xfId="1931" applyNumberFormat="1" applyFont="1" applyBorder="1"/>
    <xf numFmtId="5" fontId="24" fillId="0" borderId="0" xfId="1931" applyNumberFormat="1" applyFont="1"/>
    <xf numFmtId="5" fontId="23" fillId="0" borderId="24" xfId="1931" applyNumberFormat="1" applyBorder="1"/>
    <xf numFmtId="5" fontId="23" fillId="0" borderId="0" xfId="1931" applyNumberFormat="1"/>
    <xf numFmtId="172" fontId="38" fillId="0" borderId="24" xfId="1931" applyFont="1" applyBorder="1"/>
    <xf numFmtId="37" fontId="24" fillId="0" borderId="0" xfId="0" applyFont="1" applyFill="1" applyBorder="1"/>
    <xf numFmtId="37" fontId="14" fillId="0" borderId="0" xfId="0" applyFont="1" applyFill="1" applyBorder="1"/>
    <xf numFmtId="9" fontId="23" fillId="0" borderId="24" xfId="2222" applyFill="1" applyBorder="1"/>
    <xf numFmtId="37" fontId="24" fillId="0" borderId="0" xfId="0" applyFont="1" applyFill="1"/>
    <xf numFmtId="37" fontId="23" fillId="0" borderId="0" xfId="0" applyFont="1" applyFill="1"/>
    <xf numFmtId="37" fontId="0" fillId="0" borderId="24" xfId="0" applyFill="1" applyBorder="1"/>
    <xf numFmtId="37" fontId="0" fillId="0" borderId="0" xfId="0" applyFill="1" applyBorder="1"/>
    <xf numFmtId="168" fontId="23" fillId="0" borderId="0" xfId="0" applyNumberFormat="1" applyFont="1"/>
    <xf numFmtId="168" fontId="0" fillId="0" borderId="0" xfId="0" applyNumberFormat="1" applyBorder="1"/>
    <xf numFmtId="37" fontId="24" fillId="0" borderId="5" xfId="0" applyFont="1" applyFill="1" applyBorder="1"/>
    <xf numFmtId="37" fontId="0" fillId="41" borderId="0" xfId="0" applyFill="1" applyBorder="1"/>
    <xf numFmtId="172" fontId="24" fillId="0" borderId="0" xfId="1931" applyFont="1" applyBorder="1"/>
    <xf numFmtId="172" fontId="35" fillId="0" borderId="0" xfId="1931" applyFont="1" applyBorder="1"/>
    <xf numFmtId="7" fontId="14" fillId="0" borderId="0" xfId="1559" applyBorder="1"/>
    <xf numFmtId="37" fontId="35" fillId="0" borderId="0" xfId="0" applyFont="1" applyBorder="1"/>
    <xf numFmtId="9" fontId="14" fillId="0" borderId="0" xfId="2222" applyFont="1"/>
    <xf numFmtId="172" fontId="14" fillId="0" borderId="24" xfId="1931" applyFont="1" applyBorder="1"/>
    <xf numFmtId="9" fontId="14" fillId="0" borderId="24" xfId="2222" applyFont="1" applyBorder="1"/>
    <xf numFmtId="9" fontId="59" fillId="0" borderId="24" xfId="2222" applyFont="1" applyBorder="1"/>
    <xf numFmtId="172" fontId="14" fillId="0" borderId="0" xfId="1931" applyFont="1"/>
    <xf numFmtId="169" fontId="14" fillId="0" borderId="0" xfId="0" applyNumberFormat="1" applyFont="1"/>
    <xf numFmtId="37" fontId="14" fillId="0" borderId="0" xfId="0" applyFont="1" applyFill="1"/>
    <xf numFmtId="9" fontId="14" fillId="0" borderId="0" xfId="2222" applyFont="1" applyFill="1" applyBorder="1"/>
    <xf numFmtId="37" fontId="14" fillId="41" borderId="0" xfId="0" applyFont="1" applyFill="1" applyBorder="1"/>
    <xf numFmtId="7" fontId="24" fillId="0" borderId="33" xfId="1915" applyNumberFormat="1" applyFont="1" applyBorder="1"/>
    <xf numFmtId="7" fontId="24" fillId="0" borderId="15" xfId="1915" applyNumberFormat="1" applyFont="1" applyBorder="1"/>
    <xf numFmtId="173" fontId="24" fillId="0" borderId="0" xfId="1915" applyFont="1"/>
    <xf numFmtId="172" fontId="59" fillId="0" borderId="0" xfId="1931" applyFont="1"/>
    <xf numFmtId="9" fontId="14" fillId="0" borderId="0" xfId="0" applyNumberFormat="1" applyFont="1"/>
    <xf numFmtId="172" fontId="14" fillId="0" borderId="0" xfId="1931" applyFont="1" applyBorder="1"/>
    <xf numFmtId="169" fontId="14" fillId="0" borderId="0" xfId="2222" applyNumberFormat="1" applyFont="1" applyBorder="1"/>
    <xf numFmtId="172" fontId="14" fillId="0" borderId="0" xfId="1931" applyFont="1" applyFill="1" applyBorder="1"/>
    <xf numFmtId="166" fontId="14" fillId="0" borderId="0" xfId="1931" applyNumberFormat="1" applyFont="1" applyFill="1" applyBorder="1"/>
    <xf numFmtId="37" fontId="14" fillId="0" borderId="5" xfId="0" applyFont="1" applyBorder="1"/>
    <xf numFmtId="9" fontId="14" fillId="0" borderId="15" xfId="0" applyNumberFormat="1" applyFont="1" applyBorder="1"/>
    <xf numFmtId="9" fontId="14" fillId="41" borderId="0" xfId="2222" applyFont="1" applyFill="1"/>
    <xf numFmtId="37" fontId="22" fillId="54" borderId="42" xfId="0" applyFont="1" applyFill="1" applyBorder="1" applyAlignment="1">
      <alignment horizontal="left"/>
    </xf>
    <xf numFmtId="37" fontId="8" fillId="53" borderId="0" xfId="0" applyFont="1" applyFill="1" applyBorder="1" applyAlignment="1">
      <alignment horizontal="center"/>
    </xf>
    <xf numFmtId="164" fontId="9" fillId="42" borderId="0" xfId="0" applyNumberFormat="1" applyFont="1" applyFill="1" applyBorder="1" applyAlignment="1">
      <alignment horizontal="center"/>
    </xf>
    <xf numFmtId="164" fontId="9" fillId="41" borderId="0" xfId="0" applyNumberFormat="1" applyFont="1" applyFill="1" applyBorder="1"/>
    <xf numFmtId="164" fontId="9" fillId="41" borderId="0" xfId="0" applyNumberFormat="1" applyFont="1" applyFill="1" applyBorder="1" applyAlignment="1">
      <alignment horizontal="center"/>
    </xf>
    <xf numFmtId="37" fontId="24" fillId="53" borderId="0" xfId="0" applyFont="1" applyFill="1" applyBorder="1"/>
    <xf numFmtId="7" fontId="38" fillId="0" borderId="0" xfId="1559" applyFont="1" applyBorder="1"/>
    <xf numFmtId="7" fontId="24" fillId="0" borderId="0" xfId="1559" applyFont="1" applyBorder="1"/>
    <xf numFmtId="172" fontId="42" fillId="0" borderId="0" xfId="1931" applyFont="1" applyBorder="1"/>
    <xf numFmtId="172" fontId="38" fillId="0" borderId="0" xfId="1931" applyFont="1" applyBorder="1"/>
    <xf numFmtId="37" fontId="31" fillId="53" borderId="0" xfId="0" applyFont="1" applyFill="1" applyBorder="1"/>
    <xf numFmtId="9" fontId="14" fillId="0" borderId="24" xfId="2222" applyFont="1" applyFill="1" applyBorder="1"/>
    <xf numFmtId="172" fontId="24" fillId="0" borderId="0" xfId="1931" applyFont="1" applyFill="1" applyBorder="1"/>
    <xf numFmtId="166" fontId="14" fillId="0" borderId="0" xfId="1931" applyNumberFormat="1" applyFont="1"/>
    <xf numFmtId="169" fontId="31" fillId="0" borderId="24" xfId="0" applyNumberFormat="1" applyFont="1" applyBorder="1"/>
    <xf numFmtId="9" fontId="31" fillId="0" borderId="24" xfId="0" applyNumberFormat="1" applyFont="1" applyBorder="1"/>
    <xf numFmtId="9" fontId="31" fillId="0" borderId="0" xfId="0" applyNumberFormat="1" applyFont="1" applyBorder="1"/>
    <xf numFmtId="37" fontId="35" fillId="0" borderId="0" xfId="0" applyFont="1" applyFill="1" applyBorder="1"/>
    <xf numFmtId="2" fontId="15" fillId="0" borderId="0" xfId="0" applyNumberFormat="1" applyFont="1" applyFill="1" applyBorder="1" applyAlignment="1">
      <alignment horizontal="left"/>
    </xf>
    <xf numFmtId="172" fontId="24" fillId="41" borderId="0" xfId="1931" applyFont="1" applyFill="1" applyBorder="1"/>
    <xf numFmtId="37" fontId="24" fillId="41" borderId="0" xfId="0" applyFont="1" applyFill="1" applyBorder="1"/>
    <xf numFmtId="169" fontId="14" fillId="0" borderId="24" xfId="0" applyNumberFormat="1" applyFont="1" applyBorder="1"/>
    <xf numFmtId="37" fontId="10" fillId="54" borderId="44" xfId="0" applyFont="1" applyFill="1" applyBorder="1" applyAlignment="1">
      <alignment horizontal="left"/>
    </xf>
    <xf numFmtId="172" fontId="24" fillId="0" borderId="40" xfId="1931" applyFont="1" applyBorder="1"/>
    <xf numFmtId="172" fontId="24" fillId="0" borderId="45" xfId="1931" applyFont="1" applyBorder="1"/>
    <xf numFmtId="183" fontId="15" fillId="0" borderId="0" xfId="0" applyNumberFormat="1" applyFont="1" applyBorder="1" applyAlignment="1">
      <alignment horizontal="left"/>
    </xf>
    <xf numFmtId="172" fontId="60" fillId="0" borderId="24" xfId="1931" applyFont="1" applyBorder="1"/>
    <xf numFmtId="172" fontId="23" fillId="0" borderId="15" xfId="1931" applyBorder="1"/>
    <xf numFmtId="7" fontId="42" fillId="0" borderId="24" xfId="1559" applyFont="1" applyBorder="1"/>
    <xf numFmtId="175" fontId="23" fillId="0" borderId="24" xfId="1931" applyNumberFormat="1" applyBorder="1"/>
    <xf numFmtId="169" fontId="24" fillId="0" borderId="34" xfId="0" applyNumberFormat="1" applyFont="1" applyBorder="1" applyAlignment="1">
      <alignment horizontal="center"/>
    </xf>
    <xf numFmtId="172" fontId="14" fillId="0" borderId="0" xfId="2072" applyBorder="1"/>
    <xf numFmtId="172" fontId="35" fillId="0" borderId="0" xfId="2072" applyFont="1" applyBorder="1"/>
    <xf numFmtId="172" fontId="24" fillId="0" borderId="0" xfId="2072" applyFont="1" applyBorder="1"/>
    <xf numFmtId="172" fontId="14" fillId="0" borderId="0" xfId="2094" applyBorder="1"/>
    <xf numFmtId="172" fontId="35" fillId="0" borderId="0" xfId="2094" applyFont="1" applyBorder="1"/>
    <xf numFmtId="172" fontId="24" fillId="0" borderId="0" xfId="2094" applyFont="1" applyBorder="1"/>
    <xf numFmtId="172" fontId="14" fillId="0" borderId="0" xfId="2116" applyBorder="1"/>
    <xf numFmtId="172" fontId="35" fillId="0" borderId="0" xfId="2116" applyFont="1" applyBorder="1"/>
    <xf numFmtId="172" fontId="24" fillId="0" borderId="0" xfId="2116" applyFont="1" applyBorder="1"/>
    <xf numFmtId="175" fontId="24" fillId="0" borderId="0" xfId="2116" applyNumberFormat="1" applyFont="1" applyBorder="1"/>
    <xf numFmtId="172" fontId="14" fillId="0" borderId="0" xfId="2134" applyBorder="1"/>
    <xf numFmtId="172" fontId="35" fillId="0" borderId="0" xfId="2134" applyFont="1" applyBorder="1"/>
    <xf numFmtId="172" fontId="24" fillId="0" borderId="0" xfId="2134" applyFont="1" applyBorder="1"/>
    <xf numFmtId="172" fontId="14" fillId="0" borderId="0" xfId="2146" applyBorder="1"/>
    <xf numFmtId="172" fontId="35" fillId="0" borderId="0" xfId="2146" applyFont="1" applyBorder="1"/>
    <xf numFmtId="172" fontId="24" fillId="0" borderId="0" xfId="2146" applyFont="1" applyBorder="1"/>
    <xf numFmtId="172" fontId="14" fillId="0" borderId="0" xfId="2158" applyBorder="1"/>
    <xf numFmtId="172" fontId="35" fillId="0" borderId="0" xfId="2158" applyFont="1" applyBorder="1"/>
    <xf numFmtId="172" fontId="24" fillId="0" borderId="0" xfId="2158" applyFont="1" applyBorder="1"/>
    <xf numFmtId="172" fontId="14" fillId="0" borderId="0" xfId="2171" applyBorder="1"/>
    <xf numFmtId="172" fontId="35" fillId="0" borderId="0" xfId="2171" applyFont="1" applyBorder="1"/>
    <xf numFmtId="172" fontId="24" fillId="0" borderId="0" xfId="2171" applyFont="1" applyBorder="1"/>
    <xf numFmtId="172" fontId="14" fillId="0" borderId="24" xfId="1947" applyBorder="1"/>
    <xf numFmtId="172" fontId="14" fillId="0" borderId="0" xfId="1947" applyBorder="1"/>
    <xf numFmtId="172" fontId="35" fillId="0" borderId="24" xfId="1947" applyFont="1" applyBorder="1"/>
    <xf numFmtId="172" fontId="24" fillId="0" borderId="24" xfId="1947" applyFont="1" applyBorder="1"/>
    <xf numFmtId="172" fontId="14" fillId="0" borderId="24" xfId="1971" applyBorder="1"/>
    <xf numFmtId="172" fontId="35" fillId="0" borderId="24" xfId="1971" applyFont="1" applyBorder="1"/>
    <xf numFmtId="172" fontId="24" fillId="0" borderId="24" xfId="1971" applyFont="1" applyBorder="1"/>
    <xf numFmtId="172" fontId="42" fillId="0" borderId="24" xfId="1971" applyFont="1" applyBorder="1"/>
    <xf numFmtId="172" fontId="14" fillId="0" borderId="0" xfId="1983" applyBorder="1"/>
    <xf numFmtId="172" fontId="35" fillId="0" borderId="0" xfId="1983" applyFont="1" applyBorder="1"/>
    <xf numFmtId="172" fontId="24" fillId="0" borderId="0" xfId="1983" applyFont="1" applyBorder="1"/>
    <xf numFmtId="172" fontId="42" fillId="0" borderId="0" xfId="1983" applyFont="1" applyBorder="1"/>
    <xf numFmtId="172" fontId="24" fillId="0" borderId="45" xfId="1983" applyFont="1" applyBorder="1"/>
    <xf numFmtId="172" fontId="23" fillId="0" borderId="45" xfId="1931" applyBorder="1"/>
    <xf numFmtId="172" fontId="35" fillId="0" borderId="45" xfId="1931" applyFont="1" applyBorder="1"/>
    <xf numFmtId="172" fontId="14" fillId="0" borderId="24" xfId="1994" applyBorder="1"/>
    <xf numFmtId="172" fontId="35" fillId="0" borderId="24" xfId="1994" applyFont="1" applyBorder="1"/>
    <xf numFmtId="172" fontId="24" fillId="0" borderId="24" xfId="1994" applyFont="1" applyBorder="1"/>
    <xf numFmtId="172" fontId="42" fillId="0" borderId="24" xfId="1994" applyFont="1" applyBorder="1"/>
    <xf numFmtId="172" fontId="14" fillId="0" borderId="0" xfId="1996" applyBorder="1"/>
    <xf numFmtId="172" fontId="35" fillId="0" borderId="0" xfId="1996" applyFont="1" applyBorder="1"/>
    <xf numFmtId="172" fontId="24" fillId="0" borderId="0" xfId="1996" applyFont="1" applyBorder="1"/>
    <xf numFmtId="172" fontId="42" fillId="0" borderId="0" xfId="1996" applyFont="1" applyBorder="1"/>
    <xf numFmtId="172" fontId="24" fillId="0" borderId="45" xfId="1996" applyFont="1" applyBorder="1"/>
    <xf numFmtId="172" fontId="14" fillId="0" borderId="0" xfId="1998" applyBorder="1"/>
    <xf numFmtId="172" fontId="35" fillId="0" borderId="0" xfId="1998" applyFont="1" applyBorder="1"/>
    <xf numFmtId="172" fontId="24" fillId="0" borderId="0" xfId="1998" applyFont="1" applyBorder="1"/>
    <xf numFmtId="172" fontId="42" fillId="0" borderId="0" xfId="1998" applyFont="1" applyBorder="1"/>
    <xf numFmtId="172" fontId="24" fillId="0" borderId="45" xfId="1998" applyFont="1" applyBorder="1"/>
    <xf numFmtId="172" fontId="14" fillId="0" borderId="0" xfId="2000" applyBorder="1"/>
    <xf numFmtId="172" fontId="35" fillId="0" borderId="0" xfId="2000" applyFont="1" applyBorder="1"/>
    <xf numFmtId="172" fontId="24" fillId="0" borderId="0" xfId="2000" applyFont="1" applyBorder="1"/>
    <xf numFmtId="172" fontId="42" fillId="0" borderId="0" xfId="2000" applyFont="1" applyBorder="1"/>
    <xf numFmtId="172" fontId="24" fillId="0" borderId="45" xfId="2000" applyFont="1" applyBorder="1"/>
    <xf numFmtId="172" fontId="14" fillId="0" borderId="0" xfId="2002" applyBorder="1"/>
    <xf numFmtId="172" fontId="35" fillId="0" borderId="0" xfId="2002" applyFont="1" applyBorder="1"/>
    <xf numFmtId="172" fontId="24" fillId="0" borderId="0" xfId="2002" applyFont="1" applyBorder="1"/>
    <xf numFmtId="172" fontId="42" fillId="0" borderId="0" xfId="2002" applyFont="1" applyBorder="1"/>
    <xf numFmtId="172" fontId="24" fillId="0" borderId="45" xfId="2002" applyFont="1" applyBorder="1"/>
    <xf numFmtId="172" fontId="14" fillId="0" borderId="24" xfId="2054" applyBorder="1"/>
    <xf numFmtId="172" fontId="24" fillId="0" borderId="24" xfId="2054" applyFont="1" applyBorder="1"/>
    <xf numFmtId="172" fontId="14" fillId="0" borderId="24" xfId="2056" applyBorder="1"/>
    <xf numFmtId="172" fontId="24" fillId="0" borderId="24" xfId="2056" applyFont="1" applyBorder="1"/>
    <xf numFmtId="172" fontId="14" fillId="0" borderId="0" xfId="2058" applyBorder="1"/>
    <xf numFmtId="172" fontId="24" fillId="0" borderId="0" xfId="2058" applyFont="1" applyBorder="1"/>
    <xf numFmtId="172" fontId="14" fillId="0" borderId="0" xfId="2060" applyBorder="1"/>
    <xf numFmtId="172" fontId="35" fillId="0" borderId="0" xfId="2060" applyFont="1" applyBorder="1"/>
    <xf numFmtId="172" fontId="24" fillId="0" borderId="0" xfId="2060" applyFont="1" applyBorder="1"/>
    <xf numFmtId="172" fontId="14" fillId="0" borderId="0" xfId="2062" applyBorder="1"/>
    <xf numFmtId="172" fontId="24" fillId="0" borderId="0" xfId="2062" applyFont="1" applyBorder="1"/>
    <xf numFmtId="172" fontId="14" fillId="0" borderId="0" xfId="2064" applyBorder="1"/>
    <xf numFmtId="172" fontId="24" fillId="0" borderId="0" xfId="2064" applyFont="1" applyBorder="1"/>
    <xf numFmtId="172" fontId="14" fillId="0" borderId="0" xfId="2066" applyBorder="1"/>
    <xf numFmtId="172" fontId="24" fillId="0" borderId="0" xfId="2066" applyFont="1" applyBorder="1"/>
    <xf numFmtId="172" fontId="14" fillId="0" borderId="0" xfId="2068" applyBorder="1"/>
    <xf numFmtId="172" fontId="24" fillId="0" borderId="0" xfId="2068" applyFont="1" applyBorder="1"/>
    <xf numFmtId="172" fontId="14" fillId="0" borderId="0" xfId="2070" applyBorder="1"/>
    <xf numFmtId="172" fontId="24" fillId="0" borderId="0" xfId="2070" applyFont="1" applyBorder="1"/>
    <xf numFmtId="172" fontId="14" fillId="0" borderId="0" xfId="2074" applyBorder="1"/>
    <xf numFmtId="172" fontId="24" fillId="0" borderId="0" xfId="2074" applyFont="1" applyBorder="1"/>
    <xf numFmtId="172" fontId="14" fillId="0" borderId="0" xfId="2076" applyBorder="1"/>
    <xf numFmtId="172" fontId="24" fillId="0" borderId="0" xfId="2076" applyFont="1" applyBorder="1"/>
    <xf numFmtId="172" fontId="14" fillId="0" borderId="0" xfId="2078" applyBorder="1"/>
    <xf numFmtId="172" fontId="24" fillId="0" borderId="0" xfId="2078" applyFont="1" applyBorder="1"/>
    <xf numFmtId="172" fontId="14" fillId="0" borderId="0" xfId="2080" applyBorder="1"/>
    <xf numFmtId="172" fontId="24" fillId="0" borderId="0" xfId="2080" applyFont="1" applyBorder="1"/>
    <xf numFmtId="172" fontId="14" fillId="0" borderId="0" xfId="2082" applyBorder="1"/>
    <xf numFmtId="172" fontId="24" fillId="0" borderId="0" xfId="2082" applyFont="1" applyBorder="1"/>
    <xf numFmtId="172" fontId="14" fillId="0" borderId="0" xfId="2084" applyBorder="1"/>
    <xf numFmtId="172" fontId="24" fillId="0" borderId="0" xfId="2084" applyFont="1" applyBorder="1"/>
    <xf numFmtId="172" fontId="14" fillId="0" borderId="0" xfId="2086" applyBorder="1"/>
    <xf numFmtId="172" fontId="24" fillId="0" borderId="0" xfId="2086" applyFont="1" applyBorder="1"/>
    <xf numFmtId="172" fontId="14" fillId="0" borderId="0" xfId="2090" applyBorder="1"/>
    <xf numFmtId="172" fontId="14" fillId="0" borderId="0" xfId="2090"/>
    <xf numFmtId="172" fontId="24" fillId="0" borderId="0" xfId="2090" applyFont="1" applyBorder="1"/>
    <xf numFmtId="172" fontId="24" fillId="0" borderId="0" xfId="2090" applyFont="1"/>
    <xf numFmtId="172" fontId="14" fillId="0" borderId="0" xfId="2092" applyBorder="1"/>
    <xf numFmtId="172" fontId="14" fillId="0" borderId="0" xfId="2092"/>
    <xf numFmtId="172" fontId="24" fillId="0" borderId="0" xfId="2092" applyFont="1" applyBorder="1"/>
    <xf numFmtId="172" fontId="14" fillId="0" borderId="0" xfId="2096" applyBorder="1"/>
    <xf numFmtId="172" fontId="24" fillId="0" borderId="0" xfId="2096" applyFont="1" applyBorder="1"/>
    <xf numFmtId="172" fontId="14" fillId="41" borderId="0" xfId="1931" applyFont="1" applyFill="1"/>
    <xf numFmtId="172" fontId="14" fillId="0" borderId="0" xfId="2098" applyBorder="1"/>
    <xf numFmtId="170" fontId="26" fillId="0" borderId="0" xfId="1344" applyNumberFormat="1" applyFont="1"/>
    <xf numFmtId="5" fontId="25" fillId="0" borderId="0" xfId="0" applyNumberFormat="1" applyFont="1" applyBorder="1" applyAlignment="1">
      <alignment horizontal="left"/>
    </xf>
    <xf numFmtId="2" fontId="211" fillId="0" borderId="0" xfId="0" applyNumberFormat="1" applyFont="1" applyFill="1" applyBorder="1" applyAlignment="1">
      <alignment horizontal="right"/>
    </xf>
    <xf numFmtId="2" fontId="211" fillId="0" borderId="24" xfId="0" applyNumberFormat="1" applyFont="1" applyFill="1" applyBorder="1" applyAlignment="1">
      <alignment horizontal="right"/>
    </xf>
    <xf numFmtId="172" fontId="26" fillId="0" borderId="0" xfId="1931" applyFont="1" applyFill="1"/>
    <xf numFmtId="176" fontId="26" fillId="0" borderId="0" xfId="1915" applyNumberFormat="1" applyFont="1" applyFill="1"/>
    <xf numFmtId="37" fontId="27" fillId="0" borderId="0" xfId="0" applyFont="1" applyFill="1"/>
    <xf numFmtId="37" fontId="26" fillId="0" borderId="0" xfId="0" applyFont="1" applyFill="1"/>
    <xf numFmtId="37" fontId="40" fillId="0" borderId="0" xfId="0" applyFont="1" applyFill="1"/>
    <xf numFmtId="37" fontId="23" fillId="0" borderId="24" xfId="0" applyFont="1" applyFill="1" applyBorder="1"/>
    <xf numFmtId="37" fontId="27" fillId="0" borderId="24" xfId="0" applyFont="1" applyFill="1" applyBorder="1"/>
    <xf numFmtId="37" fontId="26" fillId="0" borderId="24" xfId="0" applyFont="1" applyFill="1" applyBorder="1"/>
    <xf numFmtId="37" fontId="35" fillId="0" borderId="24" xfId="0" applyFont="1" applyFill="1" applyBorder="1"/>
    <xf numFmtId="37" fontId="40" fillId="0" borderId="24" xfId="0" applyFont="1" applyFill="1" applyBorder="1"/>
    <xf numFmtId="37" fontId="24" fillId="0" borderId="24" xfId="0" applyFont="1" applyFill="1" applyBorder="1"/>
    <xf numFmtId="172" fontId="23" fillId="0" borderId="24" xfId="1931" applyFill="1" applyBorder="1"/>
    <xf numFmtId="172" fontId="27" fillId="0" borderId="24" xfId="1931" applyFont="1" applyFill="1" applyBorder="1"/>
    <xf numFmtId="172" fontId="23" fillId="0" borderId="0" xfId="1931" applyFill="1"/>
    <xf numFmtId="166" fontId="23" fillId="0" borderId="24" xfId="0" applyNumberFormat="1" applyFont="1" applyFill="1" applyBorder="1"/>
    <xf numFmtId="166" fontId="23" fillId="0" borderId="0" xfId="0" applyNumberFormat="1" applyFont="1" applyFill="1"/>
    <xf numFmtId="7" fontId="14" fillId="0" borderId="24" xfId="1559" applyFill="1" applyBorder="1"/>
    <xf numFmtId="7" fontId="14" fillId="0" borderId="0" xfId="1559" applyFill="1"/>
    <xf numFmtId="9" fontId="23" fillId="0" borderId="0" xfId="2222" applyFill="1"/>
    <xf numFmtId="170" fontId="23" fillId="0" borderId="45" xfId="0" applyNumberFormat="1" applyFont="1" applyFill="1" applyBorder="1"/>
    <xf numFmtId="170" fontId="23" fillId="0" borderId="0" xfId="0" applyNumberFormat="1" applyFont="1" applyFill="1" applyBorder="1"/>
    <xf numFmtId="170" fontId="23" fillId="0" borderId="40" xfId="0" applyNumberFormat="1" applyFont="1" applyFill="1" applyBorder="1"/>
    <xf numFmtId="176" fontId="23" fillId="0" borderId="24" xfId="1915" applyNumberFormat="1" applyFill="1" applyBorder="1"/>
    <xf numFmtId="176" fontId="23" fillId="0" borderId="0" xfId="1915" applyNumberFormat="1" applyFill="1"/>
    <xf numFmtId="176" fontId="26" fillId="0" borderId="24" xfId="1915" applyNumberFormat="1" applyFont="1" applyFill="1" applyBorder="1"/>
    <xf numFmtId="169" fontId="23" fillId="0" borderId="24" xfId="0" applyNumberFormat="1" applyFont="1" applyFill="1" applyBorder="1"/>
    <xf numFmtId="169" fontId="23" fillId="0" borderId="0" xfId="0" applyNumberFormat="1" applyFont="1" applyFill="1"/>
    <xf numFmtId="37" fontId="24" fillId="0" borderId="0" xfId="2127" applyFont="1"/>
    <xf numFmtId="172" fontId="14" fillId="0" borderId="34" xfId="1931" applyFont="1" applyBorder="1"/>
    <xf numFmtId="172" fontId="14" fillId="0" borderId="5" xfId="1931" applyFont="1" applyBorder="1"/>
    <xf numFmtId="172" fontId="14" fillId="0" borderId="15" xfId="1931" applyFont="1" applyBorder="1"/>
    <xf numFmtId="169" fontId="31" fillId="0" borderId="0" xfId="0" applyNumberFormat="1" applyFont="1" applyBorder="1"/>
    <xf numFmtId="169" fontId="24" fillId="0" borderId="5" xfId="0" applyNumberFormat="1" applyFont="1" applyBorder="1"/>
    <xf numFmtId="9" fontId="24" fillId="0" borderId="24" xfId="2222" applyFont="1" applyBorder="1"/>
    <xf numFmtId="9" fontId="24" fillId="0" borderId="0" xfId="2222" applyFont="1" applyBorder="1"/>
    <xf numFmtId="180" fontId="23" fillId="0" borderId="0" xfId="0" applyNumberFormat="1" applyFont="1"/>
    <xf numFmtId="180" fontId="41" fillId="0" borderId="0" xfId="0" applyNumberFormat="1" applyFont="1"/>
    <xf numFmtId="172" fontId="41" fillId="0" borderId="0" xfId="1931" applyFont="1" applyFill="1"/>
    <xf numFmtId="9" fontId="14" fillId="0" borderId="0" xfId="2222" applyFont="1" applyFill="1"/>
    <xf numFmtId="37" fontId="41" fillId="0" borderId="24" xfId="0" applyFont="1" applyFill="1" applyBorder="1"/>
    <xf numFmtId="170" fontId="26" fillId="0" borderId="24" xfId="1344" applyNumberFormat="1" applyFont="1" applyBorder="1"/>
    <xf numFmtId="5" fontId="14" fillId="0" borderId="0" xfId="1931" applyNumberFormat="1" applyFont="1"/>
    <xf numFmtId="169" fontId="14" fillId="0" borderId="0" xfId="2222" applyNumberFormat="1" applyFont="1"/>
    <xf numFmtId="37" fontId="41" fillId="0" borderId="0" xfId="0" applyFont="1" applyFill="1"/>
    <xf numFmtId="0" fontId="14" fillId="0" borderId="0" xfId="3"/>
    <xf numFmtId="37" fontId="35" fillId="0" borderId="0" xfId="0" applyFont="1" applyFill="1"/>
    <xf numFmtId="2" fontId="37" fillId="0" borderId="0" xfId="0" applyNumberFormat="1" applyFont="1" applyFill="1" applyBorder="1" applyAlignment="1">
      <alignment horizontal="left"/>
    </xf>
    <xf numFmtId="169" fontId="14" fillId="0" borderId="0" xfId="2144" applyNumberFormat="1" applyFont="1"/>
    <xf numFmtId="170" fontId="14" fillId="0" borderId="0" xfId="1344" applyNumberFormat="1" applyFont="1" applyBorder="1"/>
    <xf numFmtId="169" fontId="24" fillId="0" borderId="24" xfId="0" applyNumberFormat="1" applyFont="1" applyBorder="1" applyAlignment="1">
      <alignment horizontal="center"/>
    </xf>
    <xf numFmtId="37" fontId="46" fillId="0" borderId="0" xfId="2169" applyNumberFormat="1"/>
    <xf numFmtId="37" fontId="46" fillId="0" borderId="0" xfId="2172" applyNumberFormat="1" applyAlignment="1">
      <alignment horizontal="right"/>
    </xf>
    <xf numFmtId="170" fontId="14" fillId="0" borderId="0" xfId="1374" applyNumberFormat="1" applyFont="1" applyBorder="1"/>
    <xf numFmtId="37" fontId="41" fillId="41" borderId="24" xfId="0" applyFont="1" applyFill="1" applyBorder="1"/>
    <xf numFmtId="297" fontId="35" fillId="0" borderId="0" xfId="1931" applyNumberFormat="1" applyFont="1"/>
    <xf numFmtId="169" fontId="14" fillId="0" borderId="24" xfId="2222" applyNumberFormat="1" applyFont="1" applyFill="1" applyBorder="1"/>
    <xf numFmtId="169" fontId="14" fillId="0" borderId="0" xfId="2222" applyNumberFormat="1" applyFont="1" applyFill="1" applyBorder="1"/>
    <xf numFmtId="169" fontId="14" fillId="0" borderId="0" xfId="2222" applyNumberFormat="1" applyFont="1" applyFill="1"/>
    <xf numFmtId="169" fontId="14" fillId="0" borderId="24" xfId="2222" applyNumberFormat="1" applyFont="1" applyBorder="1"/>
    <xf numFmtId="9" fontId="24" fillId="0" borderId="5" xfId="0" applyNumberFormat="1" applyFont="1" applyBorder="1"/>
    <xf numFmtId="169" fontId="24" fillId="0" borderId="34" xfId="2222" applyNumberFormat="1" applyFont="1" applyBorder="1"/>
    <xf numFmtId="169" fontId="24" fillId="0" borderId="5" xfId="2222" applyNumberFormat="1" applyFont="1" applyBorder="1"/>
    <xf numFmtId="169" fontId="24" fillId="0" borderId="5" xfId="2222" applyNumberFormat="1" applyFont="1" applyFill="1" applyBorder="1"/>
    <xf numFmtId="169" fontId="24" fillId="0" borderId="34" xfId="2222" applyNumberFormat="1" applyFont="1" applyFill="1" applyBorder="1"/>
    <xf numFmtId="169" fontId="24" fillId="0" borderId="34" xfId="0" applyNumberFormat="1" applyFont="1" applyBorder="1"/>
    <xf numFmtId="172" fontId="40" fillId="0" borderId="24" xfId="1931" applyFont="1" applyFill="1" applyBorder="1"/>
    <xf numFmtId="169" fontId="24" fillId="0" borderId="33" xfId="2222" applyNumberFormat="1" applyFont="1" applyBorder="1"/>
    <xf numFmtId="169" fontId="14" fillId="41" borderId="0" xfId="2222" applyNumberFormat="1" applyFont="1" applyFill="1" applyBorder="1"/>
    <xf numFmtId="37" fontId="24" fillId="55" borderId="0" xfId="0" applyFont="1" applyFill="1" applyBorder="1"/>
    <xf numFmtId="172" fontId="14" fillId="0" borderId="24" xfId="1935" applyBorder="1"/>
    <xf numFmtId="172" fontId="14" fillId="0" borderId="0" xfId="1935" applyBorder="1"/>
    <xf numFmtId="172" fontId="14" fillId="0" borderId="0" xfId="1935"/>
    <xf numFmtId="9" fontId="14" fillId="0" borderId="24" xfId="2245" applyBorder="1"/>
    <xf numFmtId="9" fontId="14" fillId="0" borderId="0" xfId="2245" applyBorder="1"/>
    <xf numFmtId="178" fontId="14" fillId="0" borderId="0" xfId="2245" applyNumberFormat="1" applyBorder="1"/>
    <xf numFmtId="9" fontId="14" fillId="0" borderId="0" xfId="2245"/>
    <xf numFmtId="9" fontId="26" fillId="0" borderId="24" xfId="2245" applyFont="1" applyBorder="1"/>
    <xf numFmtId="1" fontId="14" fillId="0" borderId="0" xfId="2245" applyNumberFormat="1" applyBorder="1"/>
    <xf numFmtId="37" fontId="14" fillId="0" borderId="24" xfId="0" applyFont="1" applyFill="1" applyBorder="1"/>
    <xf numFmtId="9" fontId="14" fillId="0" borderId="0" xfId="2245" applyFill="1" applyBorder="1"/>
    <xf numFmtId="37" fontId="24" fillId="57" borderId="0" xfId="0" applyFont="1" applyFill="1"/>
    <xf numFmtId="0" fontId="23" fillId="0" borderId="0" xfId="1931" applyNumberFormat="1" applyFill="1"/>
    <xf numFmtId="172" fontId="26" fillId="0" borderId="0" xfId="1931" applyFont="1" applyBorder="1"/>
    <xf numFmtId="37" fontId="35" fillId="57" borderId="24" xfId="0" applyFont="1" applyFill="1" applyBorder="1"/>
    <xf numFmtId="169" fontId="31" fillId="0" borderId="41" xfId="0" applyNumberFormat="1" applyFont="1" applyBorder="1"/>
    <xf numFmtId="169" fontId="31" fillId="0" borderId="40" xfId="0" applyNumberFormat="1" applyFont="1" applyBorder="1"/>
    <xf numFmtId="172" fontId="14" fillId="57" borderId="0" xfId="2072" applyFill="1" applyBorder="1"/>
    <xf numFmtId="172" fontId="23" fillId="57" borderId="0" xfId="1931" applyFill="1" applyBorder="1"/>
    <xf numFmtId="172" fontId="220" fillId="0" borderId="0" xfId="1931" applyFont="1"/>
    <xf numFmtId="37" fontId="28" fillId="0" borderId="0" xfId="0" applyFont="1"/>
    <xf numFmtId="37" fontId="28" fillId="0" borderId="24" xfId="0" applyFont="1" applyBorder="1"/>
    <xf numFmtId="172" fontId="14" fillId="0" borderId="0" xfId="1344" applyNumberFormat="1" applyFont="1"/>
    <xf numFmtId="172" fontId="14" fillId="0" borderId="40" xfId="1931" applyFont="1" applyBorder="1"/>
    <xf numFmtId="172" fontId="214" fillId="0" borderId="0" xfId="0" applyNumberFormat="1" applyFont="1" applyFill="1" applyBorder="1" applyAlignment="1">
      <alignment horizontal="right"/>
    </xf>
    <xf numFmtId="173" fontId="14" fillId="0" borderId="15" xfId="1915" applyFont="1" applyBorder="1"/>
    <xf numFmtId="167" fontId="24" fillId="0" borderId="0" xfId="0" applyNumberFormat="1" applyFont="1" applyFill="1"/>
    <xf numFmtId="37" fontId="35" fillId="57" borderId="0" xfId="0" applyFont="1" applyFill="1"/>
    <xf numFmtId="0" fontId="0" fillId="0" borderId="0" xfId="0" applyNumberFormat="1"/>
    <xf numFmtId="172" fontId="14" fillId="0" borderId="0" xfId="1931" applyFont="1" applyFill="1"/>
    <xf numFmtId="176" fontId="14" fillId="0" borderId="0" xfId="1915" applyNumberFormat="1" applyFont="1" applyFill="1"/>
    <xf numFmtId="2" fontId="214" fillId="0" borderId="0" xfId="0" applyNumberFormat="1" applyFont="1" applyFill="1" applyBorder="1" applyAlignment="1">
      <alignment horizontal="right"/>
    </xf>
    <xf numFmtId="172" fontId="41" fillId="57" borderId="0" xfId="1931" applyFont="1" applyFill="1"/>
    <xf numFmtId="9" fontId="14" fillId="0" borderId="0" xfId="2222" applyFont="1" applyBorder="1"/>
    <xf numFmtId="166" fontId="14" fillId="0" borderId="0" xfId="0" applyNumberFormat="1" applyFont="1"/>
    <xf numFmtId="5" fontId="14" fillId="0" borderId="0" xfId="0" applyNumberFormat="1" applyFont="1"/>
    <xf numFmtId="166" fontId="14" fillId="0" borderId="0" xfId="0" applyNumberFormat="1" applyFont="1" applyFill="1"/>
    <xf numFmtId="169" fontId="14" fillId="0" borderId="0" xfId="0" applyNumberFormat="1" applyFont="1" applyFill="1"/>
    <xf numFmtId="169" fontId="14" fillId="0" borderId="15" xfId="0" applyNumberFormat="1" applyFont="1" applyBorder="1"/>
    <xf numFmtId="9" fontId="23" fillId="0" borderId="38" xfId="2222" applyBorder="1"/>
    <xf numFmtId="37" fontId="46" fillId="0" borderId="0" xfId="0" applyFont="1"/>
    <xf numFmtId="169" fontId="23" fillId="0" borderId="24" xfId="2222" applyNumberFormat="1" applyBorder="1"/>
    <xf numFmtId="169" fontId="23" fillId="0" borderId="0" xfId="2222" applyNumberFormat="1"/>
    <xf numFmtId="0" fontId="8" fillId="53" borderId="24" xfId="0" applyNumberFormat="1" applyFont="1" applyFill="1" applyBorder="1" applyAlignment="1">
      <alignment horizontal="center"/>
    </xf>
    <xf numFmtId="37" fontId="234" fillId="0" borderId="0" xfId="0" applyFont="1"/>
    <xf numFmtId="169" fontId="24" fillId="0" borderId="50" xfId="2222" applyNumberFormat="1" applyFont="1" applyFill="1" applyBorder="1"/>
    <xf numFmtId="169" fontId="14" fillId="0" borderId="0" xfId="0" applyNumberFormat="1" applyFont="1" applyFill="1" applyBorder="1"/>
    <xf numFmtId="172" fontId="23" fillId="57" borderId="0" xfId="1931" applyFill="1"/>
    <xf numFmtId="172" fontId="14" fillId="57" borderId="0" xfId="1935" applyFill="1"/>
    <xf numFmtId="172" fontId="24" fillId="57" borderId="0" xfId="2096" applyFont="1" applyFill="1" applyBorder="1"/>
    <xf numFmtId="172" fontId="24" fillId="57" borderId="0" xfId="1931" applyFont="1" applyFill="1" applyBorder="1"/>
    <xf numFmtId="172" fontId="14" fillId="57" borderId="0" xfId="1931" applyFont="1" applyFill="1"/>
    <xf numFmtId="172" fontId="27" fillId="57" borderId="0" xfId="1931" applyFont="1" applyFill="1"/>
    <xf numFmtId="172" fontId="59" fillId="57" borderId="0" xfId="1931" applyFont="1" applyFill="1"/>
    <xf numFmtId="170" fontId="26" fillId="57" borderId="0" xfId="1344" applyNumberFormat="1" applyFont="1" applyFill="1"/>
    <xf numFmtId="172" fontId="24" fillId="57" borderId="0" xfId="1935" applyFont="1" applyFill="1"/>
    <xf numFmtId="172" fontId="14" fillId="57" borderId="0" xfId="1931" applyFont="1" applyFill="1" applyBorder="1"/>
    <xf numFmtId="7" fontId="14" fillId="57" borderId="0" xfId="1559" applyFill="1" applyBorder="1"/>
    <xf numFmtId="7" fontId="38" fillId="57" borderId="0" xfId="1559" applyFont="1" applyFill="1" applyBorder="1"/>
    <xf numFmtId="7" fontId="24" fillId="57" borderId="0" xfId="1559" applyFont="1" applyFill="1" applyBorder="1"/>
    <xf numFmtId="172" fontId="35" fillId="57" borderId="0" xfId="1935" applyFont="1" applyFill="1"/>
    <xf numFmtId="172" fontId="42" fillId="57" borderId="0" xfId="1931" applyFont="1" applyFill="1" applyBorder="1"/>
    <xf numFmtId="172" fontId="24" fillId="57" borderId="0" xfId="1931" applyFont="1" applyFill="1"/>
    <xf numFmtId="172" fontId="23" fillId="57" borderId="15" xfId="1931" applyFill="1" applyBorder="1"/>
    <xf numFmtId="0" fontId="0" fillId="0" borderId="51" xfId="0" applyNumberFormat="1" applyBorder="1"/>
    <xf numFmtId="9" fontId="222" fillId="0" borderId="0" xfId="0" applyNumberFormat="1" applyFont="1" applyFill="1" applyBorder="1" applyAlignment="1">
      <alignment horizontal="center" vertical="center"/>
    </xf>
    <xf numFmtId="168" fontId="0" fillId="0" borderId="24" xfId="0" applyNumberFormat="1" applyBorder="1"/>
    <xf numFmtId="170" fontId="14" fillId="0" borderId="24" xfId="1344" applyNumberFormat="1" applyFont="1" applyBorder="1"/>
    <xf numFmtId="37" fontId="236" fillId="0" borderId="0" xfId="0" applyFont="1"/>
    <xf numFmtId="166" fontId="23" fillId="0" borderId="24" xfId="2222" applyNumberFormat="1" applyBorder="1"/>
    <xf numFmtId="166" fontId="14" fillId="0" borderId="24" xfId="1931" applyNumberFormat="1" applyFont="1" applyFill="1" applyBorder="1"/>
    <xf numFmtId="172" fontId="14" fillId="0" borderId="24" xfId="1931" applyFont="1" applyFill="1" applyBorder="1"/>
    <xf numFmtId="172" fontId="24" fillId="0" borderId="24" xfId="1931" applyFont="1" applyFill="1" applyBorder="1"/>
    <xf numFmtId="172" fontId="14" fillId="0" borderId="15" xfId="1931" applyFont="1" applyFill="1" applyBorder="1"/>
    <xf numFmtId="172" fontId="24" fillId="0" borderId="0" xfId="1931" applyFont="1" applyFill="1"/>
    <xf numFmtId="7" fontId="14" fillId="0" borderId="0" xfId="1559" applyFill="1" applyBorder="1"/>
    <xf numFmtId="7" fontId="38" fillId="0" borderId="0" xfId="1559" applyFont="1" applyFill="1" applyBorder="1"/>
    <xf numFmtId="7" fontId="24" fillId="0" borderId="0" xfId="1559" applyFont="1" applyFill="1" applyBorder="1"/>
    <xf numFmtId="172" fontId="24" fillId="0" borderId="0" xfId="2096" applyFont="1" applyFill="1" applyBorder="1"/>
    <xf numFmtId="172" fontId="14" fillId="0" borderId="0" xfId="1935" applyFill="1"/>
    <xf numFmtId="9" fontId="14" fillId="0" borderId="0" xfId="2245" applyFill="1"/>
    <xf numFmtId="0" fontId="20" fillId="0" borderId="0" xfId="2983" applyFont="1"/>
    <xf numFmtId="0" fontId="6" fillId="0" borderId="0" xfId="2983" applyFont="1"/>
    <xf numFmtId="169" fontId="14" fillId="0" borderId="33" xfId="2222" applyNumberFormat="1" applyFont="1" applyBorder="1"/>
    <xf numFmtId="37" fontId="14" fillId="0" borderId="0" xfId="3027" applyFill="1" applyBorder="1"/>
    <xf numFmtId="37" fontId="14" fillId="0" borderId="0" xfId="3027" applyBorder="1"/>
    <xf numFmtId="37" fontId="24" fillId="53" borderId="0" xfId="3027" applyFont="1" applyFill="1"/>
    <xf numFmtId="0" fontId="221" fillId="58" borderId="0" xfId="0" applyNumberFormat="1" applyFont="1" applyFill="1" applyBorder="1" applyAlignment="1">
      <alignment horizontal="left" vertical="center"/>
    </xf>
    <xf numFmtId="168" fontId="23" fillId="0" borderId="0" xfId="0" applyNumberFormat="1" applyFont="1" applyFill="1"/>
    <xf numFmtId="172" fontId="26" fillId="0" borderId="0" xfId="1935" applyFont="1" applyBorder="1"/>
    <xf numFmtId="2" fontId="25" fillId="0" borderId="5" xfId="0" applyNumberFormat="1" applyFont="1" applyBorder="1" applyAlignment="1">
      <alignment horizontal="left"/>
    </xf>
    <xf numFmtId="2" fontId="25" fillId="0" borderId="13" xfId="0" applyNumberFormat="1" applyFont="1" applyBorder="1" applyAlignment="1">
      <alignment horizontal="left"/>
    </xf>
    <xf numFmtId="172" fontId="24" fillId="0" borderId="39" xfId="1931" applyFont="1" applyBorder="1"/>
    <xf numFmtId="172" fontId="24" fillId="0" borderId="13" xfId="1931" applyFont="1" applyBorder="1"/>
    <xf numFmtId="169" fontId="25" fillId="0" borderId="5" xfId="0" applyNumberFormat="1" applyFont="1" applyBorder="1" applyAlignment="1">
      <alignment horizontal="left"/>
    </xf>
    <xf numFmtId="169" fontId="24" fillId="0" borderId="41" xfId="2222" applyNumberFormat="1" applyFont="1" applyBorder="1"/>
    <xf numFmtId="169" fontId="24" fillId="0" borderId="41" xfId="0" applyNumberFormat="1" applyFont="1" applyBorder="1"/>
    <xf numFmtId="169" fontId="24" fillId="0" borderId="46" xfId="0" applyNumberFormat="1" applyFont="1" applyBorder="1"/>
    <xf numFmtId="37" fontId="14" fillId="0" borderId="45" xfId="0" applyFont="1" applyBorder="1"/>
    <xf numFmtId="0" fontId="222" fillId="0" borderId="0" xfId="3137" applyFont="1"/>
    <xf numFmtId="0" fontId="221" fillId="0" borderId="0" xfId="3137" applyFont="1"/>
    <xf numFmtId="1" fontId="222" fillId="0" borderId="0" xfId="3137" applyNumberFormat="1" applyFont="1"/>
    <xf numFmtId="43" fontId="222" fillId="0" borderId="0" xfId="3137" applyNumberFormat="1" applyFont="1"/>
    <xf numFmtId="9" fontId="222" fillId="0" borderId="0" xfId="3138" applyFont="1"/>
    <xf numFmtId="0" fontId="247" fillId="0" borderId="0" xfId="3137" applyFont="1"/>
    <xf numFmtId="303" fontId="222" fillId="0" borderId="0" xfId="3137" applyNumberFormat="1" applyFont="1"/>
    <xf numFmtId="0" fontId="248" fillId="0" borderId="0" xfId="3137" applyFont="1" applyAlignment="1">
      <alignment horizontal="right"/>
    </xf>
    <xf numFmtId="0" fontId="248" fillId="0" borderId="0" xfId="3137" applyFont="1"/>
    <xf numFmtId="0" fontId="222" fillId="62" borderId="58" xfId="3137" applyFont="1" applyFill="1" applyBorder="1"/>
    <xf numFmtId="0" fontId="221" fillId="62" borderId="11" xfId="3137" applyFont="1" applyFill="1" applyBorder="1" applyAlignment="1">
      <alignment horizontal="center"/>
    </xf>
    <xf numFmtId="0" fontId="221" fillId="62" borderId="59" xfId="3137" applyFont="1" applyFill="1" applyBorder="1" applyAlignment="1">
      <alignment horizontal="center"/>
    </xf>
    <xf numFmtId="0" fontId="222" fillId="0" borderId="0" xfId="3137" applyFont="1" applyAlignment="1">
      <alignment horizontal="right"/>
    </xf>
    <xf numFmtId="9" fontId="222" fillId="63" borderId="0" xfId="3138" applyFont="1" applyFill="1"/>
    <xf numFmtId="9" fontId="222" fillId="0" borderId="0" xfId="3138" applyFont="1" applyFill="1"/>
    <xf numFmtId="0" fontId="222" fillId="0" borderId="45" xfId="3137" applyFont="1" applyBorder="1"/>
    <xf numFmtId="303" fontId="222" fillId="0" borderId="40" xfId="3137" applyNumberFormat="1" applyFont="1" applyBorder="1"/>
    <xf numFmtId="0" fontId="249" fillId="0" borderId="0" xfId="3137" applyFont="1" applyAlignment="1">
      <alignment horizontal="right"/>
    </xf>
    <xf numFmtId="0" fontId="249" fillId="0" borderId="0" xfId="3137" applyFont="1"/>
    <xf numFmtId="9" fontId="249" fillId="0" borderId="0" xfId="3138" applyFont="1" applyFill="1"/>
    <xf numFmtId="0" fontId="249" fillId="0" borderId="45" xfId="3137" applyFont="1" applyBorder="1" applyAlignment="1">
      <alignment horizontal="left" indent="1"/>
    </xf>
    <xf numFmtId="303" fontId="249" fillId="0" borderId="0" xfId="3137" applyNumberFormat="1" applyFont="1"/>
    <xf numFmtId="169" fontId="249" fillId="0" borderId="0" xfId="3138" applyNumberFormat="1" applyFont="1" applyBorder="1"/>
    <xf numFmtId="169" fontId="21" fillId="0" borderId="0" xfId="3137" applyNumberFormat="1" applyFont="1"/>
    <xf numFmtId="169" fontId="21" fillId="0" borderId="40" xfId="3137" applyNumberFormat="1" applyFont="1" applyBorder="1"/>
    <xf numFmtId="0" fontId="222" fillId="0" borderId="40" xfId="3137" applyFont="1" applyBorder="1"/>
    <xf numFmtId="315" fontId="222" fillId="63" borderId="0" xfId="3139" applyNumberFormat="1" applyFont="1" applyFill="1"/>
    <xf numFmtId="170" fontId="222" fillId="0" borderId="0" xfId="3140" applyNumberFormat="1" applyFont="1" applyFill="1" applyBorder="1"/>
    <xf numFmtId="170" fontId="222" fillId="0" borderId="40" xfId="3140" applyNumberFormat="1" applyFont="1" applyFill="1" applyBorder="1"/>
    <xf numFmtId="169" fontId="222" fillId="63" borderId="0" xfId="3138" applyNumberFormat="1" applyFont="1" applyFill="1"/>
    <xf numFmtId="316" fontId="222" fillId="0" borderId="0" xfId="3140" applyNumberFormat="1" applyFont="1" applyFill="1" applyBorder="1"/>
    <xf numFmtId="304" fontId="222" fillId="0" borderId="0" xfId="3137" applyNumberFormat="1" applyFont="1"/>
    <xf numFmtId="304" fontId="222" fillId="0" borderId="40" xfId="3137" applyNumberFormat="1" applyFont="1" applyBorder="1"/>
    <xf numFmtId="7" fontId="222" fillId="0" borderId="0" xfId="3139" applyNumberFormat="1" applyFont="1" applyFill="1" applyBorder="1"/>
    <xf numFmtId="7" fontId="222" fillId="0" borderId="40" xfId="3139" applyNumberFormat="1" applyFont="1" applyFill="1" applyBorder="1"/>
    <xf numFmtId="7" fontId="250" fillId="0" borderId="0" xfId="3139" applyNumberFormat="1" applyFont="1" applyFill="1" applyBorder="1"/>
    <xf numFmtId="7" fontId="250" fillId="0" borderId="40" xfId="3139" applyNumberFormat="1" applyFont="1" applyFill="1" applyBorder="1"/>
    <xf numFmtId="0" fontId="221" fillId="0" borderId="45" xfId="3137" applyFont="1" applyBorder="1"/>
    <xf numFmtId="172" fontId="251" fillId="0" borderId="0" xfId="1935" applyFont="1" applyBorder="1"/>
    <xf numFmtId="5" fontId="221" fillId="0" borderId="0" xfId="3137" applyNumberFormat="1" applyFont="1"/>
    <xf numFmtId="5" fontId="221" fillId="0" borderId="40" xfId="3137" applyNumberFormat="1" applyFont="1" applyBorder="1"/>
    <xf numFmtId="317" fontId="222" fillId="63" borderId="0" xfId="3139" applyNumberFormat="1" applyFont="1" applyFill="1"/>
    <xf numFmtId="170" fontId="222" fillId="0" borderId="0" xfId="3140" applyNumberFormat="1" applyFont="1" applyBorder="1"/>
    <xf numFmtId="170" fontId="222" fillId="0" borderId="40" xfId="3140" applyNumberFormat="1" applyFont="1" applyBorder="1"/>
    <xf numFmtId="303" fontId="222" fillId="0" borderId="0" xfId="3140" applyNumberFormat="1" applyFont="1" applyBorder="1"/>
    <xf numFmtId="303" fontId="222" fillId="0" borderId="40" xfId="3140" applyNumberFormat="1" applyFont="1" applyBorder="1"/>
    <xf numFmtId="317" fontId="222" fillId="0" borderId="0" xfId="3139" applyNumberFormat="1" applyFont="1" applyFill="1"/>
    <xf numFmtId="303" fontId="250" fillId="0" borderId="0" xfId="3140" applyNumberFormat="1" applyFont="1" applyBorder="1"/>
    <xf numFmtId="303" fontId="250" fillId="0" borderId="40" xfId="3140" applyNumberFormat="1" applyFont="1" applyBorder="1"/>
    <xf numFmtId="170" fontId="221" fillId="0" borderId="0" xfId="3140" applyNumberFormat="1" applyFont="1" applyBorder="1"/>
    <xf numFmtId="303" fontId="221" fillId="0" borderId="0" xfId="3139" applyNumberFormat="1" applyFont="1" applyBorder="1"/>
    <xf numFmtId="303" fontId="221" fillId="0" borderId="40" xfId="3139" applyNumberFormat="1" applyFont="1" applyBorder="1"/>
    <xf numFmtId="0" fontId="221" fillId="64" borderId="45" xfId="3137" applyFont="1" applyFill="1" applyBorder="1"/>
    <xf numFmtId="5" fontId="221" fillId="64" borderId="0" xfId="3137" applyNumberFormat="1" applyFont="1" applyFill="1"/>
    <xf numFmtId="5" fontId="221" fillId="64" borderId="40" xfId="3137" applyNumberFormat="1" applyFont="1" applyFill="1" applyBorder="1"/>
    <xf numFmtId="172" fontId="252" fillId="0" borderId="0" xfId="1935" applyFont="1" applyBorder="1"/>
    <xf numFmtId="172" fontId="252" fillId="0" borderId="40" xfId="1935" applyFont="1" applyBorder="1"/>
    <xf numFmtId="170" fontId="222" fillId="0" borderId="0" xfId="3137" applyNumberFormat="1" applyFont="1"/>
    <xf numFmtId="0" fontId="221" fillId="56" borderId="54" xfId="3137" applyFont="1" applyFill="1" applyBorder="1"/>
    <xf numFmtId="171" fontId="222" fillId="0" borderId="0" xfId="3137" applyNumberFormat="1" applyFont="1"/>
    <xf numFmtId="169" fontId="222" fillId="0" borderId="0" xfId="3138" applyNumberFormat="1" applyFont="1"/>
    <xf numFmtId="169" fontId="253" fillId="0" borderId="0" xfId="3137" applyNumberFormat="1" applyFont="1"/>
    <xf numFmtId="0" fontId="254" fillId="0" borderId="0" xfId="3137" applyFont="1"/>
    <xf numFmtId="170" fontId="222" fillId="0" borderId="0" xfId="3140" applyNumberFormat="1" applyFont="1"/>
    <xf numFmtId="0" fontId="221" fillId="62" borderId="0" xfId="3137" applyFont="1" applyFill="1"/>
    <xf numFmtId="170" fontId="222" fillId="0" borderId="15" xfId="3140" applyNumberFormat="1" applyFont="1" applyBorder="1"/>
    <xf numFmtId="166" fontId="222" fillId="0" borderId="0" xfId="3137" applyNumberFormat="1" applyFont="1"/>
    <xf numFmtId="318" fontId="222" fillId="0" borderId="0" xfId="3139" applyNumberFormat="1" applyFont="1"/>
    <xf numFmtId="319" fontId="222" fillId="0" borderId="0" xfId="3137" applyNumberFormat="1" applyFont="1"/>
    <xf numFmtId="9" fontId="235" fillId="0" borderId="0" xfId="3138" applyFont="1"/>
    <xf numFmtId="0" fontId="222" fillId="0" borderId="0" xfId="3137" applyFont="1" applyAlignment="1">
      <alignment horizontal="left" indent="1"/>
    </xf>
    <xf numFmtId="170" fontId="254" fillId="0" borderId="0" xfId="3140" applyNumberFormat="1" applyFont="1"/>
    <xf numFmtId="3" fontId="254" fillId="0" borderId="0" xfId="3137" applyNumberFormat="1" applyFont="1"/>
    <xf numFmtId="0" fontId="221" fillId="62" borderId="0" xfId="3137" applyFont="1" applyFill="1" applyAlignment="1">
      <alignment horizontal="center"/>
    </xf>
    <xf numFmtId="170" fontId="46" fillId="0" borderId="0" xfId="3140" applyNumberFormat="1" applyFont="1"/>
    <xf numFmtId="170" fontId="221" fillId="0" borderId="0" xfId="3137" applyNumberFormat="1" applyFont="1"/>
    <xf numFmtId="170" fontId="221" fillId="0" borderId="0" xfId="3140" applyNumberFormat="1" applyFont="1"/>
    <xf numFmtId="169" fontId="6" fillId="0" borderId="0" xfId="3137" applyNumberFormat="1" applyFont="1"/>
    <xf numFmtId="37" fontId="0" fillId="57" borderId="24" xfId="0" applyFill="1" applyBorder="1"/>
    <xf numFmtId="172" fontId="23" fillId="57" borderId="24" xfId="1931" applyFill="1" applyBorder="1"/>
    <xf numFmtId="170" fontId="14" fillId="0" borderId="0" xfId="1931" applyNumberFormat="1" applyFont="1"/>
    <xf numFmtId="7" fontId="219" fillId="0" borderId="0" xfId="0" applyNumberFormat="1" applyFont="1"/>
    <xf numFmtId="7" fontId="219" fillId="0" borderId="24" xfId="0" applyNumberFormat="1" applyFont="1" applyBorder="1"/>
    <xf numFmtId="9" fontId="222" fillId="0" borderId="0" xfId="0" quotePrefix="1" applyNumberFormat="1" applyFont="1" applyFill="1" applyBorder="1" applyAlignment="1">
      <alignment horizontal="center" vertical="center"/>
    </xf>
    <xf numFmtId="169" fontId="26" fillId="0" borderId="24" xfId="0" applyNumberFormat="1" applyFont="1" applyFill="1" applyBorder="1"/>
    <xf numFmtId="172" fontId="27" fillId="0" borderId="0" xfId="1931" applyFont="1" applyFill="1"/>
    <xf numFmtId="172" fontId="41" fillId="0" borderId="24" xfId="1931" applyFont="1" applyFill="1" applyBorder="1"/>
    <xf numFmtId="170" fontId="14" fillId="0" borderId="0" xfId="1931" applyNumberFormat="1" applyFont="1" applyFill="1"/>
    <xf numFmtId="172" fontId="219" fillId="0" borderId="0" xfId="1931" applyFont="1"/>
    <xf numFmtId="37" fontId="24" fillId="0" borderId="0" xfId="1993" applyFont="1"/>
    <xf numFmtId="37" fontId="14" fillId="0" borderId="0" xfId="1993"/>
    <xf numFmtId="37" fontId="216" fillId="0" borderId="0" xfId="3099"/>
    <xf numFmtId="172" fontId="219" fillId="57" borderId="0" xfId="1935" applyFont="1" applyFill="1"/>
    <xf numFmtId="172" fontId="44" fillId="0" borderId="0" xfId="1931" applyFont="1"/>
    <xf numFmtId="0" fontId="24" fillId="0" borderId="0" xfId="1934" applyFont="1"/>
    <xf numFmtId="166" fontId="14" fillId="0" borderId="24" xfId="0" applyNumberFormat="1" applyFont="1" applyBorder="1"/>
    <xf numFmtId="170" fontId="14" fillId="0" borderId="0" xfId="0" applyNumberFormat="1" applyFont="1"/>
    <xf numFmtId="170" fontId="14" fillId="0" borderId="24" xfId="0" applyNumberFormat="1" applyFont="1" applyBorder="1"/>
    <xf numFmtId="170" fontId="14" fillId="57" borderId="0" xfId="0" applyNumberFormat="1" applyFont="1" applyFill="1"/>
    <xf numFmtId="170" fontId="14" fillId="0" borderId="0" xfId="0" applyNumberFormat="1" applyFont="1" applyFill="1"/>
    <xf numFmtId="37" fontId="14" fillId="0" borderId="40" xfId="0" applyFont="1" applyBorder="1"/>
    <xf numFmtId="170" fontId="0" fillId="0" borderId="24" xfId="0" applyNumberFormat="1" applyBorder="1"/>
    <xf numFmtId="170" fontId="0" fillId="0" borderId="0" xfId="0" applyNumberFormat="1"/>
    <xf numFmtId="172" fontId="24" fillId="41" borderId="0" xfId="1931" applyFont="1" applyFill="1"/>
    <xf numFmtId="0" fontId="24" fillId="0" borderId="0" xfId="3" applyFont="1"/>
    <xf numFmtId="172" fontId="24" fillId="0" borderId="0" xfId="2092" applyFont="1"/>
    <xf numFmtId="170" fontId="14" fillId="57" borderId="0" xfId="0" applyNumberFormat="1" applyFont="1" applyFill="1" applyAlignment="1">
      <alignment horizontal="left" indent="1"/>
    </xf>
    <xf numFmtId="172" fontId="24" fillId="0" borderId="0" xfId="1935" applyFont="1"/>
    <xf numFmtId="172" fontId="14" fillId="0" borderId="0" xfId="1935" applyFill="1" applyBorder="1"/>
    <xf numFmtId="170" fontId="26" fillId="0" borderId="0" xfId="0" applyNumberFormat="1" applyFont="1" applyFill="1"/>
    <xf numFmtId="37" fontId="220" fillId="0" borderId="0" xfId="0" applyFont="1"/>
    <xf numFmtId="178" fontId="14" fillId="0" borderId="24" xfId="0" applyNumberFormat="1" applyFont="1" applyBorder="1"/>
    <xf numFmtId="37" fontId="284" fillId="0" borderId="0" xfId="0" applyFont="1"/>
    <xf numFmtId="170" fontId="14" fillId="0" borderId="24" xfId="0" applyNumberFormat="1" applyFont="1" applyFill="1" applyBorder="1"/>
    <xf numFmtId="170" fontId="220" fillId="0" borderId="24" xfId="0" applyNumberFormat="1" applyFont="1" applyFill="1" applyBorder="1"/>
    <xf numFmtId="167" fontId="26" fillId="0" borderId="24" xfId="0" applyNumberFormat="1" applyFont="1" applyBorder="1"/>
    <xf numFmtId="178" fontId="26" fillId="0" borderId="24" xfId="0" applyNumberFormat="1" applyFont="1" applyBorder="1"/>
    <xf numFmtId="178" fontId="26" fillId="0" borderId="0" xfId="0" applyNumberFormat="1" applyFont="1"/>
    <xf numFmtId="167" fontId="26" fillId="0" borderId="0" xfId="0" applyNumberFormat="1" applyFont="1"/>
    <xf numFmtId="167" fontId="14" fillId="0" borderId="0" xfId="0" applyNumberFormat="1" applyFont="1"/>
    <xf numFmtId="167" fontId="14" fillId="0" borderId="24" xfId="0" applyNumberFormat="1" applyFont="1" applyBorder="1"/>
    <xf numFmtId="166" fontId="24" fillId="0" borderId="0" xfId="0" applyNumberFormat="1" applyFont="1"/>
    <xf numFmtId="170" fontId="24" fillId="0" borderId="24" xfId="0" applyNumberFormat="1" applyFont="1" applyBorder="1"/>
    <xf numFmtId="170" fontId="24" fillId="0" borderId="0" xfId="0" applyNumberFormat="1" applyFont="1"/>
    <xf numFmtId="170" fontId="24" fillId="57" borderId="0" xfId="0" applyNumberFormat="1" applyFont="1" applyFill="1"/>
    <xf numFmtId="170" fontId="24" fillId="0" borderId="0" xfId="0" applyNumberFormat="1" applyFont="1" applyFill="1"/>
    <xf numFmtId="170" fontId="24" fillId="57" borderId="0" xfId="0" applyNumberFormat="1" applyFont="1" applyFill="1" applyAlignment="1">
      <alignment horizontal="left" indent="1"/>
    </xf>
    <xf numFmtId="170" fontId="24" fillId="0" borderId="24" xfId="1931" applyNumberFormat="1" applyFont="1" applyBorder="1"/>
    <xf numFmtId="170" fontId="24" fillId="0" borderId="0" xfId="1931" applyNumberFormat="1" applyFont="1" applyBorder="1"/>
    <xf numFmtId="170" fontId="24" fillId="0" borderId="0" xfId="1931" applyNumberFormat="1" applyFont="1"/>
    <xf numFmtId="170" fontId="26" fillId="0" borderId="0" xfId="0" applyNumberFormat="1" applyFont="1"/>
    <xf numFmtId="170" fontId="26" fillId="0" borderId="24" xfId="0" applyNumberFormat="1" applyFont="1" applyFill="1" applyBorder="1"/>
    <xf numFmtId="37" fontId="24" fillId="42" borderId="0" xfId="0" applyFont="1" applyFill="1"/>
    <xf numFmtId="170" fontId="23" fillId="0" borderId="24" xfId="1344" applyNumberFormat="1" applyFont="1" applyFill="1" applyBorder="1"/>
    <xf numFmtId="170" fontId="23" fillId="0" borderId="0" xfId="1344" applyNumberFormat="1" applyFont="1" applyFill="1"/>
    <xf numFmtId="170" fontId="14" fillId="0" borderId="24" xfId="1344" applyNumberFormat="1" applyFont="1" applyFill="1" applyBorder="1"/>
    <xf numFmtId="170" fontId="24" fillId="41" borderId="34" xfId="1344" applyNumberFormat="1" applyFont="1" applyFill="1" applyBorder="1"/>
    <xf numFmtId="170" fontId="24" fillId="41" borderId="5" xfId="1344" applyNumberFormat="1" applyFont="1" applyFill="1" applyBorder="1"/>
    <xf numFmtId="312" fontId="14" fillId="0" borderId="24" xfId="3101" applyFont="1" applyBorder="1" applyAlignment="1">
      <alignment horizontal="right"/>
    </xf>
    <xf numFmtId="5" fontId="23" fillId="0" borderId="24" xfId="1931" applyNumberFormat="1" applyFill="1" applyBorder="1"/>
    <xf numFmtId="5" fontId="14" fillId="0" borderId="0" xfId="1931" applyNumberFormat="1" applyFont="1" applyFill="1"/>
    <xf numFmtId="5" fontId="58" fillId="0" borderId="0" xfId="1931" applyNumberFormat="1" applyFont="1" applyFill="1"/>
    <xf numFmtId="5" fontId="58" fillId="0" borderId="24" xfId="1931" applyNumberFormat="1" applyFont="1" applyFill="1" applyBorder="1"/>
    <xf numFmtId="166" fontId="26" fillId="0" borderId="0" xfId="1931" applyNumberFormat="1" applyFont="1" applyFill="1"/>
    <xf numFmtId="316" fontId="23" fillId="0" borderId="24" xfId="2222" applyNumberFormat="1" applyFill="1" applyBorder="1"/>
    <xf numFmtId="166" fontId="23" fillId="0" borderId="24" xfId="2222" applyNumberFormat="1" applyFill="1" applyBorder="1"/>
    <xf numFmtId="169" fontId="26" fillId="0" borderId="0" xfId="0" applyNumberFormat="1" applyFont="1" applyFill="1"/>
    <xf numFmtId="169" fontId="14" fillId="0" borderId="24" xfId="0" applyNumberFormat="1" applyFont="1" applyFill="1" applyBorder="1"/>
    <xf numFmtId="172" fontId="35" fillId="0" borderId="24" xfId="1931" applyFont="1" applyFill="1" applyBorder="1"/>
    <xf numFmtId="172" fontId="40" fillId="0" borderId="0" xfId="1931" applyFont="1" applyFill="1"/>
    <xf numFmtId="5" fontId="24" fillId="0" borderId="24" xfId="1931" applyNumberFormat="1" applyFont="1" applyFill="1" applyBorder="1"/>
    <xf numFmtId="5" fontId="39" fillId="0" borderId="0" xfId="1931" applyNumberFormat="1" applyFont="1" applyFill="1"/>
    <xf numFmtId="5" fontId="39" fillId="0" borderId="24" xfId="1931" applyNumberFormat="1" applyFont="1" applyFill="1" applyBorder="1"/>
    <xf numFmtId="172" fontId="35" fillId="0" borderId="0" xfId="1931" applyFont="1" applyFill="1"/>
    <xf numFmtId="172" fontId="39" fillId="0" borderId="0" xfId="1931" applyFont="1" applyFill="1"/>
    <xf numFmtId="172" fontId="39" fillId="0" borderId="24" xfId="1931" applyFont="1" applyFill="1" applyBorder="1"/>
    <xf numFmtId="5" fontId="14" fillId="0" borderId="0" xfId="0" applyNumberFormat="1" applyFont="1" applyFill="1"/>
    <xf numFmtId="5" fontId="23" fillId="0" borderId="24" xfId="0" applyNumberFormat="1" applyFont="1" applyFill="1" applyBorder="1"/>
    <xf numFmtId="37" fontId="34" fillId="0" borderId="24" xfId="0" applyFont="1" applyFill="1" applyBorder="1"/>
    <xf numFmtId="37" fontId="38" fillId="0" borderId="24" xfId="0" applyFont="1" applyFill="1" applyBorder="1"/>
    <xf numFmtId="5" fontId="27" fillId="0" borderId="0" xfId="0" applyNumberFormat="1" applyFont="1" applyFill="1"/>
    <xf numFmtId="5" fontId="27" fillId="0" borderId="24" xfId="0" applyNumberFormat="1" applyFont="1" applyFill="1" applyBorder="1"/>
    <xf numFmtId="37" fontId="45" fillId="0" borderId="0" xfId="0" applyFont="1" applyFill="1"/>
    <xf numFmtId="37" fontId="45" fillId="0" borderId="24" xfId="0" applyFont="1" applyFill="1" applyBorder="1"/>
    <xf numFmtId="172" fontId="27" fillId="0" borderId="0" xfId="1931" applyFont="1" applyFill="1" applyBorder="1"/>
    <xf numFmtId="304" fontId="0" fillId="41" borderId="0" xfId="0" applyNumberFormat="1" applyFill="1" applyBorder="1"/>
    <xf numFmtId="304" fontId="0" fillId="0" borderId="65" xfId="0" applyNumberFormat="1" applyBorder="1"/>
    <xf numFmtId="37" fontId="236" fillId="41" borderId="0" xfId="0" applyFont="1" applyFill="1" applyBorder="1"/>
    <xf numFmtId="172" fontId="58" fillId="0" borderId="0" xfId="1931" applyFont="1" applyFill="1" applyBorder="1"/>
    <xf numFmtId="172" fontId="58" fillId="0" borderId="24" xfId="1931" applyFont="1" applyFill="1" applyBorder="1"/>
    <xf numFmtId="7" fontId="26" fillId="0" borderId="0" xfId="0" applyNumberFormat="1" applyFont="1" applyFill="1"/>
    <xf numFmtId="7" fontId="23" fillId="0" borderId="24" xfId="0" applyNumberFormat="1" applyFont="1" applyFill="1" applyBorder="1"/>
    <xf numFmtId="7" fontId="26" fillId="0" borderId="24" xfId="0" applyNumberFormat="1" applyFont="1" applyFill="1" applyBorder="1"/>
    <xf numFmtId="5" fontId="23" fillId="0" borderId="0" xfId="1931" applyNumberFormat="1" applyFill="1"/>
    <xf numFmtId="0" fontId="222" fillId="0" borderId="0" xfId="3137" applyFont="1" applyAlignment="1">
      <alignment horizontal="left" indent="2"/>
    </xf>
    <xf numFmtId="170" fontId="254" fillId="0" borderId="0" xfId="3137" applyNumberFormat="1" applyFont="1"/>
    <xf numFmtId="303" fontId="221" fillId="56" borderId="6" xfId="3138" applyNumberFormat="1" applyFont="1" applyFill="1" applyBorder="1"/>
    <xf numFmtId="303" fontId="221" fillId="56" borderId="43" xfId="3138" applyNumberFormat="1" applyFont="1" applyFill="1" applyBorder="1"/>
    <xf numFmtId="0" fontId="221" fillId="56" borderId="45" xfId="3137" applyFont="1" applyFill="1" applyBorder="1"/>
    <xf numFmtId="303" fontId="221" fillId="56" borderId="0" xfId="3137" applyNumberFormat="1" applyFont="1" applyFill="1"/>
    <xf numFmtId="303" fontId="221" fillId="56" borderId="40" xfId="3137" applyNumberFormat="1" applyFont="1" applyFill="1" applyBorder="1"/>
    <xf numFmtId="170" fontId="23" fillId="0" borderId="0" xfId="1344" applyNumberFormat="1" applyFont="1"/>
    <xf numFmtId="0" fontId="285" fillId="62" borderId="0" xfId="3137" applyFont="1" applyFill="1" applyAlignment="1">
      <alignment horizontal="center"/>
    </xf>
    <xf numFmtId="170" fontId="9" fillId="0" borderId="0" xfId="3140" applyNumberFormat="1" applyFont="1"/>
    <xf numFmtId="169" fontId="286" fillId="0" borderId="0" xfId="3137" applyNumberFormat="1" applyFont="1"/>
    <xf numFmtId="170" fontId="285" fillId="0" borderId="0" xfId="3140" applyNumberFormat="1" applyFont="1"/>
    <xf numFmtId="169" fontId="20" fillId="0" borderId="0" xfId="3137" applyNumberFormat="1" applyFont="1"/>
    <xf numFmtId="170" fontId="285" fillId="0" borderId="0" xfId="3137" applyNumberFormat="1" applyFont="1"/>
    <xf numFmtId="170" fontId="26" fillId="0" borderId="0" xfId="1931" applyNumberFormat="1" applyFont="1" applyFill="1"/>
    <xf numFmtId="170" fontId="26" fillId="0" borderId="24" xfId="1931" applyNumberFormat="1" applyFont="1" applyFill="1" applyBorder="1"/>
    <xf numFmtId="0" fontId="168" fillId="0" borderId="0" xfId="3143"/>
    <xf numFmtId="37" fontId="43" fillId="0" borderId="0" xfId="0" applyFont="1" applyFill="1"/>
    <xf numFmtId="37" fontId="43" fillId="0" borderId="24" xfId="0" applyFont="1" applyFill="1" applyBorder="1"/>
    <xf numFmtId="0" fontId="221" fillId="56" borderId="0" xfId="3137" applyFont="1" applyFill="1"/>
    <xf numFmtId="0" fontId="222" fillId="56" borderId="0" xfId="3137" applyFont="1" applyFill="1"/>
    <xf numFmtId="170" fontId="254" fillId="56" borderId="0" xfId="3137" applyNumberFormat="1" applyFont="1" applyFill="1"/>
    <xf numFmtId="303" fontId="222" fillId="0" borderId="0" xfId="3137" quotePrefix="1" applyNumberFormat="1" applyFont="1" applyAlignment="1">
      <alignment horizontal="right"/>
    </xf>
    <xf numFmtId="169" fontId="236" fillId="0" borderId="0" xfId="2222" applyNumberFormat="1" applyFont="1"/>
    <xf numFmtId="37" fontId="236" fillId="0" borderId="24" xfId="0" applyFont="1" applyBorder="1"/>
    <xf numFmtId="37" fontId="44" fillId="42" borderId="34" xfId="0" applyFont="1" applyFill="1" applyBorder="1"/>
    <xf numFmtId="37" fontId="44" fillId="42" borderId="5" xfId="0" applyFont="1" applyFill="1" applyBorder="1"/>
    <xf numFmtId="169" fontId="236" fillId="0" borderId="24" xfId="0" applyNumberFormat="1" applyFont="1" applyBorder="1"/>
    <xf numFmtId="37" fontId="14" fillId="0" borderId="0" xfId="0" applyFont="1" applyBorder="1" applyAlignment="1">
      <alignment horizontal="right"/>
    </xf>
    <xf numFmtId="37" fontId="0" fillId="41" borderId="40" xfId="0" applyFill="1" applyBorder="1"/>
    <xf numFmtId="37" fontId="236" fillId="0" borderId="45" xfId="0" applyFont="1" applyBorder="1"/>
    <xf numFmtId="37" fontId="236" fillId="0" borderId="0" xfId="0" applyFont="1" applyBorder="1"/>
    <xf numFmtId="37" fontId="236" fillId="0" borderId="0" xfId="0" applyFont="1" applyBorder="1" applyAlignment="1">
      <alignment horizontal="right"/>
    </xf>
    <xf numFmtId="37" fontId="24" fillId="0" borderId="45" xfId="0" applyFont="1" applyBorder="1"/>
    <xf numFmtId="37" fontId="24" fillId="0" borderId="0" xfId="0" applyFont="1" applyBorder="1" applyAlignment="1">
      <alignment horizontal="right"/>
    </xf>
    <xf numFmtId="37" fontId="24" fillId="41" borderId="40" xfId="0" applyFont="1" applyFill="1" applyBorder="1"/>
    <xf numFmtId="304" fontId="0" fillId="41" borderId="40" xfId="0" applyNumberFormat="1" applyFill="1" applyBorder="1"/>
    <xf numFmtId="37" fontId="14" fillId="0" borderId="54" xfId="0" applyFont="1" applyBorder="1"/>
    <xf numFmtId="37" fontId="0" fillId="0" borderId="6" xfId="0" applyBorder="1"/>
    <xf numFmtId="37" fontId="14" fillId="41" borderId="6" xfId="0" applyFont="1" applyFill="1" applyBorder="1"/>
    <xf numFmtId="37" fontId="0" fillId="41" borderId="6" xfId="0" applyFill="1" applyBorder="1"/>
    <xf numFmtId="37" fontId="14" fillId="0" borderId="6" xfId="0" applyFont="1" applyBorder="1" applyAlignment="1">
      <alignment horizontal="right"/>
    </xf>
    <xf numFmtId="169" fontId="23" fillId="41" borderId="6" xfId="2222" applyNumberFormat="1" applyFill="1" applyBorder="1"/>
    <xf numFmtId="169" fontId="23" fillId="41" borderId="43" xfId="2222" applyNumberFormat="1" applyFill="1" applyBorder="1"/>
    <xf numFmtId="37" fontId="24" fillId="56" borderId="58" xfId="0" applyFont="1" applyFill="1" applyBorder="1"/>
    <xf numFmtId="37" fontId="0" fillId="56" borderId="11" xfId="0" applyFill="1" applyBorder="1"/>
    <xf numFmtId="37" fontId="14" fillId="56" borderId="11" xfId="0" applyFont="1" applyFill="1" applyBorder="1"/>
    <xf numFmtId="37" fontId="24" fillId="56" borderId="11" xfId="0" applyFont="1" applyFill="1" applyBorder="1" applyAlignment="1">
      <alignment horizontal="right"/>
    </xf>
    <xf numFmtId="0" fontId="24" fillId="56" borderId="11" xfId="0" applyNumberFormat="1" applyFont="1" applyFill="1" applyBorder="1" applyAlignment="1">
      <alignment horizontal="center"/>
    </xf>
    <xf numFmtId="37" fontId="0" fillId="56" borderId="11" xfId="0" applyFill="1" applyBorder="1" applyAlignment="1">
      <alignment horizontal="center"/>
    </xf>
    <xf numFmtId="0" fontId="24" fillId="56" borderId="59" xfId="0" applyNumberFormat="1" applyFont="1" applyFill="1" applyBorder="1" applyAlignment="1">
      <alignment horizontal="center"/>
    </xf>
    <xf numFmtId="304" fontId="222" fillId="0" borderId="0" xfId="3138" applyNumberFormat="1" applyFont="1"/>
    <xf numFmtId="172" fontId="41" fillId="0" borderId="0" xfId="1931" applyFont="1" applyFill="1" applyBorder="1"/>
    <xf numFmtId="0" fontId="254" fillId="0" borderId="0" xfId="3137" applyFont="1" applyAlignment="1">
      <alignment horizontal="left" indent="1"/>
    </xf>
    <xf numFmtId="9" fontId="236" fillId="0" borderId="0" xfId="2222" applyFont="1"/>
    <xf numFmtId="170" fontId="41" fillId="0" borderId="0" xfId="1344" applyNumberFormat="1" applyFont="1" applyBorder="1" applyAlignment="1">
      <alignment horizontal="left"/>
    </xf>
    <xf numFmtId="170" fontId="41" fillId="0" borderId="0" xfId="1344" applyNumberFormat="1" applyFont="1" applyFill="1"/>
    <xf numFmtId="170" fontId="14" fillId="0" borderId="0" xfId="1344" applyNumberFormat="1" applyFont="1" applyFill="1" applyBorder="1"/>
    <xf numFmtId="170" fontId="41" fillId="41" borderId="0" xfId="1344" applyNumberFormat="1" applyFont="1" applyFill="1"/>
    <xf numFmtId="312" fontId="14" fillId="0" borderId="45" xfId="3101" applyFont="1" applyBorder="1" applyAlignment="1">
      <alignment horizontal="right"/>
    </xf>
    <xf numFmtId="312" fontId="14" fillId="0" borderId="0" xfId="3101" applyFont="1" applyBorder="1" applyAlignment="1">
      <alignment horizontal="right"/>
    </xf>
    <xf numFmtId="312" fontId="14" fillId="0" borderId="40" xfId="3101" applyFont="1" applyBorder="1" applyAlignment="1">
      <alignment horizontal="right"/>
    </xf>
    <xf numFmtId="312" fontId="14" fillId="0" borderId="57" xfId="3101" applyFont="1" applyBorder="1" applyAlignment="1">
      <alignment horizontal="right"/>
    </xf>
    <xf numFmtId="312" fontId="14" fillId="0" borderId="15" xfId="3101" applyFont="1" applyBorder="1" applyAlignment="1">
      <alignment horizontal="right"/>
    </xf>
    <xf numFmtId="172" fontId="287" fillId="0" borderId="0" xfId="1931" applyFont="1"/>
    <xf numFmtId="172" fontId="287" fillId="0" borderId="24" xfId="1931" applyFont="1" applyFill="1" applyBorder="1"/>
    <xf numFmtId="172" fontId="14" fillId="0" borderId="0" xfId="1931" applyFont="1" applyBorder="1" applyAlignment="1">
      <alignment horizontal="right"/>
    </xf>
    <xf numFmtId="174" fontId="23" fillId="0" borderId="0" xfId="0" applyNumberFormat="1" applyFont="1"/>
    <xf numFmtId="174" fontId="23" fillId="0" borderId="0" xfId="0" applyNumberFormat="1" applyFont="1" applyBorder="1"/>
    <xf numFmtId="174" fontId="46" fillId="0" borderId="0" xfId="1958" applyNumberFormat="1"/>
    <xf numFmtId="174" fontId="14" fillId="57" borderId="0" xfId="1935" applyNumberFormat="1" applyFill="1"/>
    <xf numFmtId="174" fontId="23" fillId="0" borderId="0" xfId="1931" applyNumberFormat="1" applyFill="1"/>
    <xf numFmtId="174" fontId="46" fillId="0" borderId="0" xfId="1970" applyNumberFormat="1"/>
    <xf numFmtId="172" fontId="236" fillId="0" borderId="0" xfId="1931" applyFont="1"/>
    <xf numFmtId="172" fontId="14" fillId="0" borderId="0" xfId="1931" applyFont="1" applyAlignment="1">
      <alignment horizontal="right"/>
    </xf>
    <xf numFmtId="5" fontId="24" fillId="0" borderId="0" xfId="1931" applyNumberFormat="1" applyFont="1" applyFill="1"/>
    <xf numFmtId="166" fontId="14" fillId="0" borderId="0" xfId="1931" applyNumberFormat="1" applyFont="1" applyFill="1"/>
    <xf numFmtId="170" fontId="41" fillId="0" borderId="0" xfId="1344" applyNumberFormat="1" applyFont="1"/>
    <xf numFmtId="312" fontId="236" fillId="0" borderId="0" xfId="3101" applyFont="1" applyBorder="1" applyAlignment="1">
      <alignment horizontal="right"/>
    </xf>
    <xf numFmtId="312" fontId="236" fillId="0" borderId="15" xfId="3101" applyFont="1" applyBorder="1" applyAlignment="1">
      <alignment horizontal="right"/>
    </xf>
    <xf numFmtId="170" fontId="23" fillId="0" borderId="0" xfId="0" applyNumberFormat="1" applyFont="1"/>
    <xf numFmtId="170" fontId="23" fillId="0" borderId="24" xfId="0" applyNumberFormat="1" applyFont="1" applyBorder="1"/>
    <xf numFmtId="37" fontId="44" fillId="0" borderId="0" xfId="0" applyFont="1"/>
    <xf numFmtId="37" fontId="44" fillId="0" borderId="24" xfId="0" applyFont="1" applyFill="1" applyBorder="1"/>
    <xf numFmtId="37" fontId="44" fillId="0" borderId="0" xfId="0" applyFont="1" applyFill="1"/>
    <xf numFmtId="37" fontId="236" fillId="0" borderId="24" xfId="0" applyFont="1" applyFill="1" applyBorder="1"/>
    <xf numFmtId="37" fontId="236" fillId="0" borderId="0" xfId="0" applyFont="1" applyFill="1"/>
    <xf numFmtId="37" fontId="36" fillId="0" borderId="0" xfId="0" applyFont="1"/>
    <xf numFmtId="37" fontId="36" fillId="0" borderId="24" xfId="0" applyFont="1" applyFill="1" applyBorder="1"/>
    <xf numFmtId="37" fontId="36" fillId="0" borderId="0" xfId="0" applyFont="1" applyFill="1"/>
    <xf numFmtId="173" fontId="24" fillId="0" borderId="33" xfId="1915" applyFont="1" applyBorder="1"/>
    <xf numFmtId="173" fontId="24" fillId="0" borderId="15" xfId="1915" applyFont="1" applyBorder="1"/>
    <xf numFmtId="172" fontId="24" fillId="0" borderId="34" xfId="1931" applyFont="1" applyFill="1" applyBorder="1"/>
    <xf numFmtId="172" fontId="24" fillId="0" borderId="5" xfId="1931" applyFont="1" applyFill="1" applyBorder="1"/>
    <xf numFmtId="298" fontId="24" fillId="0" borderId="5" xfId="1931" applyNumberFormat="1" applyFont="1" applyFill="1" applyBorder="1"/>
    <xf numFmtId="298" fontId="24" fillId="0" borderId="34" xfId="1931" applyNumberFormat="1" applyFont="1" applyFill="1" applyBorder="1"/>
    <xf numFmtId="169" fontId="236" fillId="0" borderId="24" xfId="2222" applyNumberFormat="1" applyFont="1" applyBorder="1"/>
    <xf numFmtId="10" fontId="23" fillId="0" borderId="0" xfId="2222" applyNumberFormat="1"/>
    <xf numFmtId="9" fontId="26" fillId="0" borderId="24" xfId="0" applyNumberFormat="1" applyFont="1" applyBorder="1"/>
    <xf numFmtId="169" fontId="24" fillId="0" borderId="0" xfId="0" applyNumberFormat="1" applyFont="1" applyBorder="1"/>
    <xf numFmtId="169" fontId="24" fillId="0" borderId="15" xfId="0" applyNumberFormat="1" applyFont="1" applyFill="1" applyBorder="1"/>
    <xf numFmtId="169" fontId="24" fillId="0" borderId="33" xfId="1931" applyNumberFormat="1" applyFont="1" applyFill="1" applyBorder="1"/>
    <xf numFmtId="169" fontId="24" fillId="0" borderId="15" xfId="1931" applyNumberFormat="1" applyFont="1" applyFill="1" applyBorder="1"/>
    <xf numFmtId="169" fontId="24" fillId="0" borderId="33" xfId="2222" applyNumberFormat="1" applyFont="1" applyFill="1" applyBorder="1"/>
    <xf numFmtId="169" fontId="24" fillId="0" borderId="15" xfId="2222" applyNumberFormat="1" applyFont="1" applyFill="1" applyBorder="1"/>
    <xf numFmtId="169" fontId="24" fillId="0" borderId="0" xfId="1915" applyNumberFormat="1" applyFont="1"/>
    <xf numFmtId="172" fontId="287" fillId="0" borderId="0" xfId="1931" applyFont="1" applyFill="1" applyBorder="1"/>
    <xf numFmtId="172" fontId="288" fillId="0" borderId="0" xfId="1931" applyFont="1" applyFill="1" applyBorder="1"/>
    <xf numFmtId="312" fontId="236" fillId="0" borderId="24" xfId="3101" applyFont="1" applyBorder="1" applyAlignment="1">
      <alignment horizontal="right"/>
    </xf>
    <xf numFmtId="172" fontId="36" fillId="0" borderId="0" xfId="1931" applyFont="1" applyBorder="1"/>
    <xf numFmtId="172" fontId="44" fillId="57" borderId="0" xfId="1931" applyFont="1" applyFill="1" applyBorder="1"/>
    <xf numFmtId="172" fontId="236" fillId="57" borderId="0" xfId="1931" applyFont="1" applyFill="1" applyBorder="1"/>
    <xf numFmtId="172" fontId="236" fillId="0" borderId="15" xfId="1931" applyFont="1" applyBorder="1"/>
    <xf numFmtId="172" fontId="26" fillId="0" borderId="0" xfId="1935" applyFont="1" applyFill="1" applyBorder="1"/>
    <xf numFmtId="7" fontId="24" fillId="0" borderId="0" xfId="2222" applyNumberFormat="1" applyFont="1" applyBorder="1"/>
    <xf numFmtId="170" fontId="14" fillId="0" borderId="0" xfId="1344" applyNumberFormat="1" applyFont="1"/>
    <xf numFmtId="7" fontId="14" fillId="0" borderId="0" xfId="0" applyNumberFormat="1" applyFont="1" applyFill="1"/>
    <xf numFmtId="7" fontId="14" fillId="0" borderId="24" xfId="0" applyNumberFormat="1" applyFont="1" applyFill="1" applyBorder="1"/>
    <xf numFmtId="168" fontId="41" fillId="0" borderId="24" xfId="0" applyNumberFormat="1" applyFont="1" applyFill="1" applyBorder="1"/>
    <xf numFmtId="173" fontId="24" fillId="41" borderId="5" xfId="1915" applyFont="1" applyFill="1" applyBorder="1"/>
    <xf numFmtId="0" fontId="221" fillId="59" borderId="0" xfId="0" applyNumberFormat="1" applyFont="1" applyFill="1" applyBorder="1" applyAlignment="1">
      <alignment horizontal="center" wrapText="1"/>
    </xf>
    <xf numFmtId="0" fontId="221" fillId="58" borderId="0" xfId="0" applyNumberFormat="1" applyFont="1" applyFill="1" applyBorder="1" applyAlignment="1">
      <alignment horizontal="center" vertical="center"/>
    </xf>
    <xf numFmtId="37" fontId="0" fillId="0" borderId="0" xfId="0" applyBorder="1" applyAlignment="1">
      <alignment horizontal="center"/>
    </xf>
    <xf numFmtId="169" fontId="41" fillId="0" borderId="40" xfId="0" applyNumberFormat="1" applyFont="1" applyBorder="1"/>
    <xf numFmtId="169" fontId="14" fillId="0" borderId="40" xfId="0" applyNumberFormat="1" applyFont="1" applyBorder="1"/>
    <xf numFmtId="170" fontId="289" fillId="0" borderId="0" xfId="0" applyNumberFormat="1" applyFont="1"/>
    <xf numFmtId="170" fontId="289" fillId="0" borderId="24" xfId="0" applyNumberFormat="1" applyFont="1" applyFill="1" applyBorder="1"/>
    <xf numFmtId="169" fontId="23" fillId="0" borderId="0" xfId="1931" applyNumberFormat="1"/>
    <xf numFmtId="169" fontId="23" fillId="0" borderId="24" xfId="1931" applyNumberFormat="1" applyBorder="1"/>
    <xf numFmtId="169" fontId="35" fillId="0" borderId="0" xfId="0" applyNumberFormat="1" applyFont="1"/>
    <xf numFmtId="169" fontId="23" fillId="57" borderId="0" xfId="1931" applyNumberFormat="1" applyFill="1"/>
    <xf numFmtId="37" fontId="24" fillId="0" borderId="0" xfId="1992" applyFont="1"/>
    <xf numFmtId="37" fontId="14" fillId="0" borderId="0" xfId="1992"/>
    <xf numFmtId="0" fontId="216" fillId="0" borderId="0" xfId="1825" applyAlignment="1" applyProtection="1"/>
    <xf numFmtId="37" fontId="290" fillId="0" borderId="0" xfId="0" applyFont="1"/>
    <xf numFmtId="14" fontId="8" fillId="0" borderId="0" xfId="1992" applyNumberFormat="1" applyFont="1" applyAlignment="1">
      <alignment horizontal="left"/>
    </xf>
    <xf numFmtId="170" fontId="234" fillId="0" borderId="0" xfId="1931" applyNumberFormat="1" applyFont="1" applyFill="1"/>
    <xf numFmtId="37" fontId="236" fillId="0" borderId="40" xfId="0" applyFont="1" applyFill="1" applyBorder="1"/>
    <xf numFmtId="37" fontId="14" fillId="41" borderId="40" xfId="0" applyFont="1" applyFill="1" applyBorder="1"/>
    <xf numFmtId="37" fontId="14" fillId="0" borderId="40" xfId="0" applyFont="1" applyFill="1" applyBorder="1"/>
    <xf numFmtId="2" fontId="292" fillId="0" borderId="0" xfId="0" applyNumberFormat="1" applyFont="1" applyBorder="1" applyAlignment="1">
      <alignment horizontal="left" indent="1"/>
    </xf>
    <xf numFmtId="172" fontId="291" fillId="0" borderId="0" xfId="1931" applyFont="1"/>
    <xf numFmtId="174" fontId="220" fillId="0" borderId="0" xfId="1931" applyNumberFormat="1" applyFont="1"/>
    <xf numFmtId="37" fontId="220" fillId="0" borderId="0" xfId="0" applyFont="1" applyFill="1" applyBorder="1"/>
    <xf numFmtId="172" fontId="42" fillId="0" borderId="0" xfId="1931" applyFont="1"/>
    <xf numFmtId="37" fontId="24" fillId="41" borderId="34" xfId="1915" applyNumberFormat="1" applyFont="1" applyFill="1" applyBorder="1"/>
    <xf numFmtId="172" fontId="220" fillId="0" borderId="0" xfId="1931" applyFont="1" applyBorder="1"/>
    <xf numFmtId="172" fontId="220" fillId="0" borderId="0" xfId="1935" applyFont="1" applyBorder="1"/>
    <xf numFmtId="170" fontId="220" fillId="0" borderId="0" xfId="0" applyNumberFormat="1" applyFont="1"/>
    <xf numFmtId="170" fontId="220" fillId="0" borderId="0" xfId="1931" applyNumberFormat="1" applyFont="1" applyFill="1"/>
    <xf numFmtId="172" fontId="220" fillId="0" borderId="0" xfId="1931" applyFont="1" applyFill="1"/>
    <xf numFmtId="37" fontId="41" fillId="57" borderId="0" xfId="0" applyFont="1" applyFill="1"/>
    <xf numFmtId="5" fontId="14" fillId="0" borderId="24" xfId="0" applyNumberFormat="1" applyFont="1" applyFill="1" applyBorder="1"/>
    <xf numFmtId="9" fontId="14" fillId="0" borderId="0" xfId="3135" applyBorder="1"/>
    <xf numFmtId="0" fontId="221" fillId="59" borderId="0" xfId="0" applyNumberFormat="1" applyFont="1" applyFill="1" applyBorder="1" applyAlignment="1">
      <alignment horizontal="center" wrapText="1"/>
    </xf>
  </cellXfs>
  <cellStyles count="7088">
    <cellStyle name="—" xfId="1" xr:uid="{00000000-0005-0000-0000-000000000000}"/>
    <cellStyle name="— 2" xfId="3141" xr:uid="{00000000-0005-0000-0000-000001000000}"/>
    <cellStyle name="_x000a_386grabber=M" xfId="3142" xr:uid="{00000000-0005-0000-0000-000002000000}"/>
    <cellStyle name="_x000a_mouse.drv=lm" xfId="3143" xr:uid="{00000000-0005-0000-0000-000003000000}"/>
    <cellStyle name="$" xfId="2" xr:uid="{00000000-0005-0000-0000-000004000000}"/>
    <cellStyle name="$ 1 decimal" xfId="3144" xr:uid="{00000000-0005-0000-0000-000005000000}"/>
    <cellStyle name="$ 2" xfId="3" xr:uid="{00000000-0005-0000-0000-000006000000}"/>
    <cellStyle name="$ 3" xfId="3145" xr:uid="{00000000-0005-0000-0000-000007000000}"/>
    <cellStyle name="$_Adjustments" xfId="3146" xr:uid="{00000000-0005-0000-0000-000008000000}"/>
    <cellStyle name="$_AG" xfId="4" xr:uid="{00000000-0005-0000-0000-000009000000}"/>
    <cellStyle name="$_CNH" xfId="5" xr:uid="{00000000-0005-0000-0000-00000A000000}"/>
    <cellStyle name="$_document(1)" xfId="3147" xr:uid="{00000000-0005-0000-0000-00000B000000}"/>
    <cellStyle name="$_DOV" xfId="6" xr:uid="{00000000-0005-0000-0000-00000C000000}"/>
    <cellStyle name="$_ETN" xfId="7" xr:uid="{00000000-0005-0000-0000-00000D000000}"/>
    <cellStyle name="$_FSS" xfId="8" xr:uid="{00000000-0005-0000-0000-00000E000000}"/>
    <cellStyle name="$_Hist Summary" xfId="9" xr:uid="{00000000-0005-0000-0000-00000F000000}"/>
    <cellStyle name="$_ITW Working 69" xfId="3148" xr:uid="{00000000-0005-0000-0000-000010000000}"/>
    <cellStyle name="$_JOYG" xfId="10" xr:uid="{00000000-0005-0000-0000-000011000000}"/>
    <cellStyle name="$_Machinery group valuation" xfId="11" xr:uid="{00000000-0005-0000-0000-000012000000}"/>
    <cellStyle name="$_MLM" xfId="12" xr:uid="{00000000-0005-0000-0000-000013000000}"/>
    <cellStyle name="$_NAV" xfId="13" xr:uid="{00000000-0005-0000-0000-000014000000}"/>
    <cellStyle name="$_New Version" xfId="3149" xr:uid="{00000000-0005-0000-0000-000015000000}"/>
    <cellStyle name="$_OSK" xfId="14" xr:uid="{00000000-0005-0000-0000-000016000000}"/>
    <cellStyle name="$_PCAR" xfId="15" xr:uid="{00000000-0005-0000-0000-000017000000}"/>
    <cellStyle name="$_PCP" xfId="16" xr:uid="{00000000-0005-0000-0000-000018000000}"/>
    <cellStyle name="$_PH" xfId="17" xr:uid="{00000000-0005-0000-0000-000019000000}"/>
    <cellStyle name="$_Sheet2" xfId="3150" xr:uid="{00000000-0005-0000-0000-00001A000000}"/>
    <cellStyle name="$0.0" xfId="18" xr:uid="{00000000-0005-0000-0000-00001B000000}"/>
    <cellStyle name="$0.0 2" xfId="19" xr:uid="{00000000-0005-0000-0000-00001C000000}"/>
    <cellStyle name="$0.0 3" xfId="20" xr:uid="{00000000-0005-0000-0000-00001D000000}"/>
    <cellStyle name="$0.0_GWW-Working 31" xfId="3151" xr:uid="{00000000-0005-0000-0000-00001E000000}"/>
    <cellStyle name="$0.00" xfId="21" xr:uid="{00000000-0005-0000-0000-00001F000000}"/>
    <cellStyle name="$0.000" xfId="22" xr:uid="{00000000-0005-0000-0000-000020000000}"/>
    <cellStyle name="$0.000 2" xfId="23" xr:uid="{00000000-0005-0000-0000-000021000000}"/>
    <cellStyle name="$0.000 3" xfId="3152" xr:uid="{00000000-0005-0000-0000-000022000000}"/>
    <cellStyle name="$3places" xfId="24" xr:uid="{00000000-0005-0000-0000-000023000000}"/>
    <cellStyle name="$3places 2" xfId="25" xr:uid="{00000000-0005-0000-0000-000024000000}"/>
    <cellStyle name="$currency" xfId="26" xr:uid="{00000000-0005-0000-0000-000025000000}"/>
    <cellStyle name="$m" xfId="27" xr:uid="{00000000-0005-0000-0000-000026000000}"/>
    <cellStyle name="$q" xfId="28" xr:uid="{00000000-0005-0000-0000-000027000000}"/>
    <cellStyle name="$q*" xfId="29" xr:uid="{00000000-0005-0000-0000-000028000000}"/>
    <cellStyle name="$qA" xfId="30" xr:uid="{00000000-0005-0000-0000-000029000000}"/>
    <cellStyle name="$qRange" xfId="31" xr:uid="{00000000-0005-0000-0000-00002A000000}"/>
    <cellStyle name="%" xfId="32" xr:uid="{00000000-0005-0000-0000-00002B000000}"/>
    <cellStyle name="% 2" xfId="33" xr:uid="{00000000-0005-0000-0000-00002C000000}"/>
    <cellStyle name="% Growth" xfId="3153" xr:uid="{00000000-0005-0000-0000-00002D000000}"/>
    <cellStyle name="% Underline" xfId="34" xr:uid="{00000000-0005-0000-0000-00002E000000}"/>
    <cellStyle name="% Underline 2" xfId="35" xr:uid="{00000000-0005-0000-0000-00002F000000}"/>
    <cellStyle name="% XX, X" xfId="3154" xr:uid="{00000000-0005-0000-0000-000030000000}"/>
    <cellStyle name="% XX,X" xfId="3155" xr:uid="{00000000-0005-0000-0000-000031000000}"/>
    <cellStyle name="%_Adjustments" xfId="3156" xr:uid="{00000000-0005-0000-0000-000032000000}"/>
    <cellStyle name="%_AG" xfId="36" xr:uid="{00000000-0005-0000-0000-000033000000}"/>
    <cellStyle name="%_CNH" xfId="37" xr:uid="{00000000-0005-0000-0000-000034000000}"/>
    <cellStyle name="%_document(1)" xfId="3157" xr:uid="{00000000-0005-0000-0000-000035000000}"/>
    <cellStyle name="%_DOV" xfId="38" xr:uid="{00000000-0005-0000-0000-000036000000}"/>
    <cellStyle name="%_ETN" xfId="39" xr:uid="{00000000-0005-0000-0000-000037000000}"/>
    <cellStyle name="%_FSS" xfId="40" xr:uid="{00000000-0005-0000-0000-000038000000}"/>
    <cellStyle name="%_Hist Summary" xfId="41" xr:uid="{00000000-0005-0000-0000-000039000000}"/>
    <cellStyle name="%_JOYG" xfId="42" xr:uid="{00000000-0005-0000-0000-00003A000000}"/>
    <cellStyle name="%_Machinery group valuation" xfId="43" xr:uid="{00000000-0005-0000-0000-00003B000000}"/>
    <cellStyle name="%_MLM" xfId="44" xr:uid="{00000000-0005-0000-0000-00003C000000}"/>
    <cellStyle name="%_NAV" xfId="45" xr:uid="{00000000-0005-0000-0000-00003D000000}"/>
    <cellStyle name="%_New Version" xfId="3158" xr:uid="{00000000-0005-0000-0000-00003E000000}"/>
    <cellStyle name="%_OSK" xfId="46" xr:uid="{00000000-0005-0000-0000-00003F000000}"/>
    <cellStyle name="%_PCAR" xfId="47" xr:uid="{00000000-0005-0000-0000-000040000000}"/>
    <cellStyle name="%_PH" xfId="48" xr:uid="{00000000-0005-0000-0000-000041000000}"/>
    <cellStyle name="%_Sheet2" xfId="3159" xr:uid="{00000000-0005-0000-0000-000042000000}"/>
    <cellStyle name="%_Utility" xfId="49" xr:uid="{00000000-0005-0000-0000-000043000000}"/>
    <cellStyle name="(0%) &quot; - &quot;" xfId="3160" xr:uid="{00000000-0005-0000-0000-000044000000}"/>
    <cellStyle name="(0%) &quot; - &quot;per" xfId="3161" xr:uid="{00000000-0005-0000-0000-000045000000}"/>
    <cellStyle name="(0%) &quot; - &quot;per 2" xfId="3162" xr:uid="{00000000-0005-0000-0000-000046000000}"/>
    <cellStyle name="(0,000) &quot; - &quot;" xfId="3163" xr:uid="{00000000-0005-0000-0000-000047000000}"/>
    <cellStyle name="(0,000) &quot; - &quot;num" xfId="3164" xr:uid="{00000000-0005-0000-0000-000048000000}"/>
    <cellStyle name="(0,000) &quot; - &quot;num 2" xfId="3165" xr:uid="{00000000-0005-0000-0000-000049000000}"/>
    <cellStyle name="(0.0%)" xfId="3166" xr:uid="{00000000-0005-0000-0000-00004A000000}"/>
    <cellStyle name="(1,000)" xfId="50" xr:uid="{00000000-0005-0000-0000-00004B000000}"/>
    <cellStyle name="(1,000) 2" xfId="3167" xr:uid="{00000000-0005-0000-0000-00004C000000}"/>
    <cellStyle name="(1,000)x" xfId="51" xr:uid="{00000000-0005-0000-0000-00004D000000}"/>
    <cellStyle name="(1,000)x 2" xfId="3168" xr:uid="{00000000-0005-0000-0000-00004E000000}"/>
    <cellStyle name="******************************************" xfId="52" xr:uid="{00000000-0005-0000-0000-00004F000000}"/>
    <cellStyle name="****************************************** 2" xfId="53" xr:uid="{00000000-0005-0000-0000-000050000000}"/>
    <cellStyle name="****************************************** 2 2" xfId="2896" xr:uid="{00000000-0005-0000-0000-000051000000}"/>
    <cellStyle name="****************************************** 2 3" xfId="7018" xr:uid="{00000000-0005-0000-0000-000052000000}"/>
    <cellStyle name="****************************************** 3" xfId="3169" xr:uid="{00000000-0005-0000-0000-000053000000}"/>
    <cellStyle name="?? [0.00]_??????cula" xfId="3170" xr:uid="{00000000-0005-0000-0000-000054000000}"/>
    <cellStyle name="?? [0]_VERA" xfId="3171" xr:uid="{00000000-0005-0000-0000-000055000000}"/>
    <cellStyle name="?????_VERA" xfId="3172" xr:uid="{00000000-0005-0000-0000-000056000000}"/>
    <cellStyle name="??_??????_???" xfId="3173" xr:uid="{00000000-0005-0000-0000-000057000000}"/>
    <cellStyle name="[0.0]" xfId="3174" xr:uid="{00000000-0005-0000-0000-000058000000}"/>
    <cellStyle name="\" xfId="3175" xr:uid="{00000000-0005-0000-0000-000059000000}"/>
    <cellStyle name="\0,000" xfId="3176" xr:uid="{00000000-0005-0000-0000-00005A000000}"/>
    <cellStyle name="\0,000.0" xfId="3177" xr:uid="{00000000-0005-0000-0000-00005B000000}"/>
    <cellStyle name="\0,000_1812BS-c" xfId="3178" xr:uid="{00000000-0005-0000-0000-00005C000000}"/>
    <cellStyle name="_%(SignOnly)" xfId="54" xr:uid="{00000000-0005-0000-0000-00005D000000}"/>
    <cellStyle name="_%(SignOnly) 2" xfId="55" xr:uid="{00000000-0005-0000-0000-00005E000000}"/>
    <cellStyle name="_%(SignOnly) 2 2" xfId="2897" xr:uid="{00000000-0005-0000-0000-00005F000000}"/>
    <cellStyle name="_%(SignOnly) 2 3" xfId="7019" xr:uid="{00000000-0005-0000-0000-000060000000}"/>
    <cellStyle name="_%(SignOnly) 3" xfId="56" xr:uid="{00000000-0005-0000-0000-000061000000}"/>
    <cellStyle name="_%(SignOnly) 4" xfId="2898" xr:uid="{00000000-0005-0000-0000-000062000000}"/>
    <cellStyle name="_%(SignOnly) 5" xfId="3063" xr:uid="{00000000-0005-0000-0000-000063000000}"/>
    <cellStyle name="_%(SignOnly) 6" xfId="7020" xr:uid="{00000000-0005-0000-0000-000064000000}"/>
    <cellStyle name="_%(SignOnly) 7" xfId="7021" xr:uid="{00000000-0005-0000-0000-000065000000}"/>
    <cellStyle name="_%(SignOnly)_Adjustments" xfId="3179" xr:uid="{00000000-0005-0000-0000-000066000000}"/>
    <cellStyle name="_%(SignOnly)_Adjustments 2" xfId="3180" xr:uid="{00000000-0005-0000-0000-000067000000}"/>
    <cellStyle name="_%(SignOnly)_AG" xfId="57" xr:uid="{00000000-0005-0000-0000-000068000000}"/>
    <cellStyle name="_%(SignOnly)_CNH" xfId="58" xr:uid="{00000000-0005-0000-0000-000069000000}"/>
    <cellStyle name="_%(SignOnly)_CNH 2" xfId="3181" xr:uid="{00000000-0005-0000-0000-00006A000000}"/>
    <cellStyle name="_%(SignOnly)_CNH_BU 15 performance" xfId="3182" xr:uid="{00000000-0005-0000-0000-00006B000000}"/>
    <cellStyle name="_%(SignOnly)_CNH_BU 15 performance 2" xfId="3183" xr:uid="{00000000-0005-0000-0000-00006C000000}"/>
    <cellStyle name="_%(SignOnly)_CNH_Industrials CL Portfolio_021009" xfId="3184" xr:uid="{00000000-0005-0000-0000-00006D000000}"/>
    <cellStyle name="_%(SignOnly)_CNH_Industrials CL Portfolio_021009 2" xfId="3185" xr:uid="{00000000-0005-0000-0000-00006E000000}"/>
    <cellStyle name="_%(SignOnly)_CNH_Industrials CL Portfolio_021109" xfId="3186" xr:uid="{00000000-0005-0000-0000-00006F000000}"/>
    <cellStyle name="_%(SignOnly)_CNH_Industrials CL Portfolio_021109 2" xfId="3187" xr:uid="{00000000-0005-0000-0000-000070000000}"/>
    <cellStyle name="_%(SignOnly)_CNH_Investment Profile Screen" xfId="3188" xr:uid="{00000000-0005-0000-0000-000071000000}"/>
    <cellStyle name="_%(SignOnly)_CNH_Investment Profile Screen 2" xfId="3189" xr:uid="{00000000-0005-0000-0000-000072000000}"/>
    <cellStyle name="_%(SignOnly)_document(1)" xfId="3190" xr:uid="{00000000-0005-0000-0000-000073000000}"/>
    <cellStyle name="_%(SignOnly)_document(1) 2" xfId="3191" xr:uid="{00000000-0005-0000-0000-000074000000}"/>
    <cellStyle name="_%(SignOnly)_DOV" xfId="59" xr:uid="{00000000-0005-0000-0000-000075000000}"/>
    <cellStyle name="_%(SignOnly)_DOV 2" xfId="3192" xr:uid="{00000000-0005-0000-0000-000076000000}"/>
    <cellStyle name="_%(SignOnly)_ETN" xfId="60" xr:uid="{00000000-0005-0000-0000-000077000000}"/>
    <cellStyle name="_%(SignOnly)_ETN 2" xfId="3193" xr:uid="{00000000-0005-0000-0000-000078000000}"/>
    <cellStyle name="_%(SignOnly)_FSS" xfId="61" xr:uid="{00000000-0005-0000-0000-000079000000}"/>
    <cellStyle name="_%(SignOnly)_FSS 2" xfId="3194" xr:uid="{00000000-0005-0000-0000-00007A000000}"/>
    <cellStyle name="_%(SignOnly)_JOYG" xfId="62" xr:uid="{00000000-0005-0000-0000-00007B000000}"/>
    <cellStyle name="_%(SignOnly)_MDO breakdown" xfId="3195" xr:uid="{00000000-0005-0000-0000-00007C000000}"/>
    <cellStyle name="_%(SignOnly)_MDO breakdown 2" xfId="3196" xr:uid="{00000000-0005-0000-0000-00007D000000}"/>
    <cellStyle name="_%(SignOnly)_MLM" xfId="63" xr:uid="{00000000-0005-0000-0000-00007E000000}"/>
    <cellStyle name="_%(SignOnly)_NAV" xfId="64" xr:uid="{00000000-0005-0000-0000-00007F000000}"/>
    <cellStyle name="_%(SignOnly)_New Version" xfId="3197" xr:uid="{00000000-0005-0000-0000-000080000000}"/>
    <cellStyle name="_%(SignOnly)_New Version 2" xfId="3198" xr:uid="{00000000-0005-0000-0000-000081000000}"/>
    <cellStyle name="_%(SignOnly)_Origination Market Share-Qtr" xfId="3199" xr:uid="{00000000-0005-0000-0000-000082000000}"/>
    <cellStyle name="_%(SignOnly)_OSK" xfId="65" xr:uid="{00000000-0005-0000-0000-000083000000}"/>
    <cellStyle name="_%(SignOnly)_PCAR" xfId="66" xr:uid="{00000000-0005-0000-0000-000084000000}"/>
    <cellStyle name="_%(SignOnly)_PH" xfId="67" xr:uid="{00000000-0005-0000-0000-000085000000}"/>
    <cellStyle name="_%(SignOnly)_Sheet2" xfId="3200" xr:uid="{00000000-0005-0000-0000-000086000000}"/>
    <cellStyle name="_%(SignOnly)_Sheet2 2" xfId="3201" xr:uid="{00000000-0005-0000-0000-000087000000}"/>
    <cellStyle name="_%(SignSpaceOnly)" xfId="68" xr:uid="{00000000-0005-0000-0000-000088000000}"/>
    <cellStyle name="_%(SignSpaceOnly) 2" xfId="69" xr:uid="{00000000-0005-0000-0000-000089000000}"/>
    <cellStyle name="_%(SignSpaceOnly) 2 2" xfId="2899" xr:uid="{00000000-0005-0000-0000-00008A000000}"/>
    <cellStyle name="_%(SignSpaceOnly) 2 3" xfId="7022" xr:uid="{00000000-0005-0000-0000-00008B000000}"/>
    <cellStyle name="_%(SignSpaceOnly) 3" xfId="70" xr:uid="{00000000-0005-0000-0000-00008C000000}"/>
    <cellStyle name="_%(SignSpaceOnly) 4" xfId="2900" xr:uid="{00000000-0005-0000-0000-00008D000000}"/>
    <cellStyle name="_%(SignSpaceOnly) 5" xfId="3064" xr:uid="{00000000-0005-0000-0000-00008E000000}"/>
    <cellStyle name="_%(SignSpaceOnly) 6" xfId="7023" xr:uid="{00000000-0005-0000-0000-00008F000000}"/>
    <cellStyle name="_%(SignSpaceOnly) 7" xfId="7024" xr:uid="{00000000-0005-0000-0000-000090000000}"/>
    <cellStyle name="_%(SignSpaceOnly)_Adjustments" xfId="3202" xr:uid="{00000000-0005-0000-0000-000091000000}"/>
    <cellStyle name="_%(SignSpaceOnly)_Adjustments 2" xfId="3203" xr:uid="{00000000-0005-0000-0000-000092000000}"/>
    <cellStyle name="_%(SignSpaceOnly)_AG" xfId="71" xr:uid="{00000000-0005-0000-0000-000093000000}"/>
    <cellStyle name="_%(SignSpaceOnly)_CNH" xfId="72" xr:uid="{00000000-0005-0000-0000-000094000000}"/>
    <cellStyle name="_%(SignSpaceOnly)_CNH 2" xfId="3204" xr:uid="{00000000-0005-0000-0000-000095000000}"/>
    <cellStyle name="_%(SignSpaceOnly)_document(1)" xfId="3205" xr:uid="{00000000-0005-0000-0000-000096000000}"/>
    <cellStyle name="_%(SignSpaceOnly)_document(1) 2" xfId="3206" xr:uid="{00000000-0005-0000-0000-000097000000}"/>
    <cellStyle name="_%(SignSpaceOnly)_DOV" xfId="73" xr:uid="{00000000-0005-0000-0000-000098000000}"/>
    <cellStyle name="_%(SignSpaceOnly)_DOV 2" xfId="3207" xr:uid="{00000000-0005-0000-0000-000099000000}"/>
    <cellStyle name="_%(SignSpaceOnly)_ETN" xfId="74" xr:uid="{00000000-0005-0000-0000-00009A000000}"/>
    <cellStyle name="_%(SignSpaceOnly)_ETN 2" xfId="3208" xr:uid="{00000000-0005-0000-0000-00009B000000}"/>
    <cellStyle name="_%(SignSpaceOnly)_FSS" xfId="75" xr:uid="{00000000-0005-0000-0000-00009C000000}"/>
    <cellStyle name="_%(SignSpaceOnly)_FSS 2" xfId="3209" xr:uid="{00000000-0005-0000-0000-00009D000000}"/>
    <cellStyle name="_%(SignSpaceOnly)_JOYG" xfId="76" xr:uid="{00000000-0005-0000-0000-00009E000000}"/>
    <cellStyle name="_%(SignSpaceOnly)_MDO breakdown" xfId="3210" xr:uid="{00000000-0005-0000-0000-00009F000000}"/>
    <cellStyle name="_%(SignSpaceOnly)_MDO breakdown 2" xfId="3211" xr:uid="{00000000-0005-0000-0000-0000A0000000}"/>
    <cellStyle name="_%(SignSpaceOnly)_MLM" xfId="77" xr:uid="{00000000-0005-0000-0000-0000A1000000}"/>
    <cellStyle name="_%(SignSpaceOnly)_NAV" xfId="78" xr:uid="{00000000-0005-0000-0000-0000A2000000}"/>
    <cellStyle name="_%(SignSpaceOnly)_New Version" xfId="3212" xr:uid="{00000000-0005-0000-0000-0000A3000000}"/>
    <cellStyle name="_%(SignSpaceOnly)_New Version 2" xfId="3213" xr:uid="{00000000-0005-0000-0000-0000A4000000}"/>
    <cellStyle name="_%(SignSpaceOnly)_Origination Market Share-Qtr" xfId="3214" xr:uid="{00000000-0005-0000-0000-0000A5000000}"/>
    <cellStyle name="_%(SignSpaceOnly)_OSK" xfId="79" xr:uid="{00000000-0005-0000-0000-0000A6000000}"/>
    <cellStyle name="_%(SignSpaceOnly)_PCAR" xfId="80" xr:uid="{00000000-0005-0000-0000-0000A7000000}"/>
    <cellStyle name="_%(SignSpaceOnly)_PH" xfId="81" xr:uid="{00000000-0005-0000-0000-0000A8000000}"/>
    <cellStyle name="_%(SignSpaceOnly)_Sheet2" xfId="3215" xr:uid="{00000000-0005-0000-0000-0000A9000000}"/>
    <cellStyle name="_%(SignSpaceOnly)_Sheet2 2" xfId="3216" xr:uid="{00000000-0005-0000-0000-0000AA000000}"/>
    <cellStyle name="_1Red" xfId="3217" xr:uid="{00000000-0005-0000-0000-0000AB000000}"/>
    <cellStyle name="_AFL" xfId="3218" xr:uid="{00000000-0005-0000-0000-0000AC000000}"/>
    <cellStyle name="_AFL 2" xfId="3219" xr:uid="{00000000-0005-0000-0000-0000AD000000}"/>
    <cellStyle name="_Balance Sheet" xfId="3220" xr:uid="{00000000-0005-0000-0000-0000AE000000}"/>
    <cellStyle name="_Balance Sheet 2" xfId="3221" xr:uid="{00000000-0005-0000-0000-0000AF000000}"/>
    <cellStyle name="_BMW" xfId="3222" xr:uid="{00000000-0005-0000-0000-0000B0000000}"/>
    <cellStyle name="_BMW 2" xfId="3223" xr:uid="{00000000-0005-0000-0000-0000B1000000}"/>
    <cellStyle name="_Book2" xfId="3224" xr:uid="{00000000-0005-0000-0000-0000B2000000}"/>
    <cellStyle name="_Book9" xfId="3225" xr:uid="{00000000-0005-0000-0000-0000B3000000}"/>
    <cellStyle name="_CBS Accretion - Dilution" xfId="82" xr:uid="{00000000-0005-0000-0000-0000B4000000}"/>
    <cellStyle name="_CBS Accretion - Dilution_ITW Working 69" xfId="3226" xr:uid="{00000000-0005-0000-0000-0000B5000000}"/>
    <cellStyle name="_CIENMOD" xfId="3227" xr:uid="{00000000-0005-0000-0000-0000B6000000}"/>
    <cellStyle name="_Comma" xfId="83" xr:uid="{00000000-0005-0000-0000-0000B7000000}"/>
    <cellStyle name="_Comma 2" xfId="84" xr:uid="{00000000-0005-0000-0000-0000B8000000}"/>
    <cellStyle name="_Comma 2 2" xfId="2902" xr:uid="{00000000-0005-0000-0000-0000B9000000}"/>
    <cellStyle name="_Comma 2 3" xfId="7025" xr:uid="{00000000-0005-0000-0000-0000BA000000}"/>
    <cellStyle name="_Comma 3" xfId="85" xr:uid="{00000000-0005-0000-0000-0000BB000000}"/>
    <cellStyle name="_Comma 3 2" xfId="2903" xr:uid="{00000000-0005-0000-0000-0000BC000000}"/>
    <cellStyle name="_Comma 3 3" xfId="7026" xr:uid="{00000000-0005-0000-0000-0000BD000000}"/>
    <cellStyle name="_Comma 4" xfId="2904" xr:uid="{00000000-0005-0000-0000-0000BE000000}"/>
    <cellStyle name="_Comma 5" xfId="2901" xr:uid="{00000000-0005-0000-0000-0000BF000000}"/>
    <cellStyle name="_Comma 6" xfId="3065" xr:uid="{00000000-0005-0000-0000-0000C0000000}"/>
    <cellStyle name="_Comma 7" xfId="7027" xr:uid="{00000000-0005-0000-0000-0000C1000000}"/>
    <cellStyle name="_Comma 8" xfId="7028" xr:uid="{00000000-0005-0000-0000-0000C2000000}"/>
    <cellStyle name="_Comma_01 adj for merger plan" xfId="2672" xr:uid="{00000000-0005-0000-0000-0000C3000000}"/>
    <cellStyle name="_Comma_01 adj for merger plan 2" xfId="3228" xr:uid="{00000000-0005-0000-0000-0000C4000000}"/>
    <cellStyle name="_Comma_01 adj for merger plan_Origination Market Share-Qtr" xfId="3229" xr:uid="{00000000-0005-0000-0000-0000C5000000}"/>
    <cellStyle name="_Comma_01 adj for merger plan_Origination Market Share-Qtr 2" xfId="3230" xr:uid="{00000000-0005-0000-0000-0000C6000000}"/>
    <cellStyle name="_Comma_Ability to Pay Analysis" xfId="2673" xr:uid="{00000000-0005-0000-0000-0000C7000000}"/>
    <cellStyle name="_Comma_Ability to Pay Analysis 2" xfId="3231" xr:uid="{00000000-0005-0000-0000-0000C8000000}"/>
    <cellStyle name="_Comma_Ability to Pay Analysis_Origination Market Share-Qtr" xfId="3232" xr:uid="{00000000-0005-0000-0000-0000C9000000}"/>
    <cellStyle name="_Comma_Ability to Pay Analysis_Origination Market Share-Qtr 2" xfId="3233" xr:uid="{00000000-0005-0000-0000-0000CA000000}"/>
    <cellStyle name="_Comma_Adjustments" xfId="3234" xr:uid="{00000000-0005-0000-0000-0000CB000000}"/>
    <cellStyle name="_Comma_Adjustments 2" xfId="3235" xr:uid="{00000000-0005-0000-0000-0000CC000000}"/>
    <cellStyle name="_Comma_AFL" xfId="2674" xr:uid="{00000000-0005-0000-0000-0000CD000000}"/>
    <cellStyle name="_Comma_AFL_Origination Market Share-Qtr" xfId="3236" xr:uid="{00000000-0005-0000-0000-0000CE000000}"/>
    <cellStyle name="_Comma_AG" xfId="86" xr:uid="{00000000-0005-0000-0000-0000CF000000}"/>
    <cellStyle name="_Comma_AIZ" xfId="2675" xr:uid="{00000000-0005-0000-0000-0000D0000000}"/>
    <cellStyle name="_Comma_AIZ_Origination Market Share-Qtr" xfId="3237" xr:uid="{00000000-0005-0000-0000-0000D1000000}"/>
    <cellStyle name="_Comma_AIZ04-Quantum2" xfId="2676" xr:uid="{00000000-0005-0000-0000-0000D2000000}"/>
    <cellStyle name="_Comma_AIZ04-Quantum2_Origination Market Share-Qtr" xfId="3238" xr:uid="{00000000-0005-0000-0000-0000D3000000}"/>
    <cellStyle name="_Comma_AMP" xfId="2677" xr:uid="{00000000-0005-0000-0000-0000D4000000}"/>
    <cellStyle name="_Comma_AMP_Origination Market Share-Qtr" xfId="3239" xr:uid="{00000000-0005-0000-0000-0000D5000000}"/>
    <cellStyle name="_Comma_AutoPrice2000" xfId="3240" xr:uid="{00000000-0005-0000-0000-0000D6000000}"/>
    <cellStyle name="_Comma_bls roic" xfId="87" xr:uid="{00000000-0005-0000-0000-0000D7000000}"/>
    <cellStyle name="_Comma_bls roic 2" xfId="88" xr:uid="{00000000-0005-0000-0000-0000D8000000}"/>
    <cellStyle name="_Comma_bls roic 3" xfId="89" xr:uid="{00000000-0005-0000-0000-0000D9000000}"/>
    <cellStyle name="_Comma_bls roic_AG" xfId="90" xr:uid="{00000000-0005-0000-0000-0000DA000000}"/>
    <cellStyle name="_Comma_bls roic_CNH" xfId="91" xr:uid="{00000000-0005-0000-0000-0000DB000000}"/>
    <cellStyle name="_Comma_bls roic_CNH 2" xfId="3241" xr:uid="{00000000-0005-0000-0000-0000DC000000}"/>
    <cellStyle name="_Comma_bls roic_DOV" xfId="92" xr:uid="{00000000-0005-0000-0000-0000DD000000}"/>
    <cellStyle name="_Comma_bls roic_DOV 2" xfId="3242" xr:uid="{00000000-0005-0000-0000-0000DE000000}"/>
    <cellStyle name="_Comma_bls roic_ETN" xfId="93" xr:uid="{00000000-0005-0000-0000-0000DF000000}"/>
    <cellStyle name="_Comma_bls roic_ETN 2" xfId="3243" xr:uid="{00000000-0005-0000-0000-0000E0000000}"/>
    <cellStyle name="_Comma_bls roic_FSS" xfId="94" xr:uid="{00000000-0005-0000-0000-0000E1000000}"/>
    <cellStyle name="_Comma_bls roic_FSS 2" xfId="3244" xr:uid="{00000000-0005-0000-0000-0000E2000000}"/>
    <cellStyle name="_Comma_bls roic_JOYG" xfId="95" xr:uid="{00000000-0005-0000-0000-0000E3000000}"/>
    <cellStyle name="_Comma_bls roic_MDO breakdown" xfId="3245" xr:uid="{00000000-0005-0000-0000-0000E4000000}"/>
    <cellStyle name="_Comma_bls roic_MDO breakdown 2" xfId="3246" xr:uid="{00000000-0005-0000-0000-0000E5000000}"/>
    <cellStyle name="_Comma_bls roic_MLM" xfId="96" xr:uid="{00000000-0005-0000-0000-0000E6000000}"/>
    <cellStyle name="_Comma_bls roic_NAV" xfId="97" xr:uid="{00000000-0005-0000-0000-0000E7000000}"/>
    <cellStyle name="_Comma_bls roic_New Version" xfId="3247" xr:uid="{00000000-0005-0000-0000-0000E8000000}"/>
    <cellStyle name="_Comma_bls roic_New Version 2" xfId="3248" xr:uid="{00000000-0005-0000-0000-0000E9000000}"/>
    <cellStyle name="_Comma_bls roic_OSK" xfId="98" xr:uid="{00000000-0005-0000-0000-0000EA000000}"/>
    <cellStyle name="_Comma_bls roic_PCAR" xfId="99" xr:uid="{00000000-0005-0000-0000-0000EB000000}"/>
    <cellStyle name="_Comma_bls roic_PH" xfId="100" xr:uid="{00000000-0005-0000-0000-0000EC000000}"/>
    <cellStyle name="_Comma_bls roic_Sheet2" xfId="3249" xr:uid="{00000000-0005-0000-0000-0000ED000000}"/>
    <cellStyle name="_Comma_bls roic_Sheet2 2" xfId="3250" xr:uid="{00000000-0005-0000-0000-0000EE000000}"/>
    <cellStyle name="_Comma_Book1" xfId="2678" xr:uid="{00000000-0005-0000-0000-0000EF000000}"/>
    <cellStyle name="_Comma_Book1 2" xfId="3251" xr:uid="{00000000-0005-0000-0000-0000F0000000}"/>
    <cellStyle name="_Comma_Book1_Origination Market Share-Qtr" xfId="3252" xr:uid="{00000000-0005-0000-0000-0000F1000000}"/>
    <cellStyle name="_Comma_Book1_Origination Market Share-Qtr 2" xfId="3253" xr:uid="{00000000-0005-0000-0000-0000F2000000}"/>
    <cellStyle name="_Comma_Book3" xfId="101" xr:uid="{00000000-0005-0000-0000-0000F3000000}"/>
    <cellStyle name="_Comma_Book3 2" xfId="3066" xr:uid="{00000000-0005-0000-0000-0000F4000000}"/>
    <cellStyle name="_Comma_Book3 3" xfId="7029" xr:uid="{00000000-0005-0000-0000-0000F5000000}"/>
    <cellStyle name="_Comma_Book3 4" xfId="7030" xr:uid="{00000000-0005-0000-0000-0000F6000000}"/>
    <cellStyle name="_Comma_Book3_Adjustments" xfId="3254" xr:uid="{00000000-0005-0000-0000-0000F7000000}"/>
    <cellStyle name="_Comma_Book3_Adjustments 2" xfId="3255" xr:uid="{00000000-0005-0000-0000-0000F8000000}"/>
    <cellStyle name="_Comma_Book3_Origination Market Share-Qtr" xfId="3256" xr:uid="{00000000-0005-0000-0000-0000F9000000}"/>
    <cellStyle name="_Comma_Book3_Origination Market Share-Qtr 2" xfId="3257" xr:uid="{00000000-0005-0000-0000-0000FA000000}"/>
    <cellStyle name="_Comma_Broadcasting" xfId="102" xr:uid="{00000000-0005-0000-0000-0000FB000000}"/>
    <cellStyle name="_Comma_Broadcasting 2" xfId="3258" xr:uid="{00000000-0005-0000-0000-0000FC000000}"/>
    <cellStyle name="_Comma_Broadcasting_New Version" xfId="3259" xr:uid="{00000000-0005-0000-0000-0000FD000000}"/>
    <cellStyle name="_Comma_Broadcasting_New Version 2" xfId="3260" xr:uid="{00000000-0005-0000-0000-0000FE000000}"/>
    <cellStyle name="_Comma_Broadcasting_Sheet2" xfId="3261" xr:uid="{00000000-0005-0000-0000-0000FF000000}"/>
    <cellStyle name="_Comma_Broadcasting_Sheet2 2" xfId="3262" xr:uid="{00000000-0005-0000-0000-000000010000}"/>
    <cellStyle name="_Comma_capital expenditures 6-18-02" xfId="103" xr:uid="{00000000-0005-0000-0000-000001010000}"/>
    <cellStyle name="_Comma_capital expenditures 6-18-02 2" xfId="104" xr:uid="{00000000-0005-0000-0000-000002010000}"/>
    <cellStyle name="_Comma_capital expenditures 6-18-02 3" xfId="105" xr:uid="{00000000-0005-0000-0000-000003010000}"/>
    <cellStyle name="_Comma_capital expenditures 6-18-02_AG" xfId="106" xr:uid="{00000000-0005-0000-0000-000004010000}"/>
    <cellStyle name="_Comma_capital expenditures 6-18-02_CNH" xfId="107" xr:uid="{00000000-0005-0000-0000-000005010000}"/>
    <cellStyle name="_Comma_capital expenditures 6-18-02_CNH 2" xfId="3263" xr:uid="{00000000-0005-0000-0000-000006010000}"/>
    <cellStyle name="_Comma_capital expenditures 6-18-02_DOV" xfId="108" xr:uid="{00000000-0005-0000-0000-000007010000}"/>
    <cellStyle name="_Comma_capital expenditures 6-18-02_DOV 2" xfId="3264" xr:uid="{00000000-0005-0000-0000-000008010000}"/>
    <cellStyle name="_Comma_capital expenditures 6-18-02_ETN" xfId="109" xr:uid="{00000000-0005-0000-0000-000009010000}"/>
    <cellStyle name="_Comma_capital expenditures 6-18-02_ETN 2" xfId="3265" xr:uid="{00000000-0005-0000-0000-00000A010000}"/>
    <cellStyle name="_Comma_capital expenditures 6-18-02_FSS" xfId="110" xr:uid="{00000000-0005-0000-0000-00000B010000}"/>
    <cellStyle name="_Comma_capital expenditures 6-18-02_FSS 2" xfId="3266" xr:uid="{00000000-0005-0000-0000-00000C010000}"/>
    <cellStyle name="_Comma_capital expenditures 6-18-02_JOYG" xfId="111" xr:uid="{00000000-0005-0000-0000-00000D010000}"/>
    <cellStyle name="_Comma_capital expenditures 6-18-02_MDO breakdown" xfId="3267" xr:uid="{00000000-0005-0000-0000-00000E010000}"/>
    <cellStyle name="_Comma_capital expenditures 6-18-02_MDO breakdown 2" xfId="3268" xr:uid="{00000000-0005-0000-0000-00000F010000}"/>
    <cellStyle name="_Comma_capital expenditures 6-18-02_MLM" xfId="112" xr:uid="{00000000-0005-0000-0000-000010010000}"/>
    <cellStyle name="_Comma_capital expenditures 6-18-02_NAV" xfId="113" xr:uid="{00000000-0005-0000-0000-000011010000}"/>
    <cellStyle name="_Comma_capital expenditures 6-18-02_New Version" xfId="3269" xr:uid="{00000000-0005-0000-0000-000012010000}"/>
    <cellStyle name="_Comma_capital expenditures 6-18-02_New Version 2" xfId="3270" xr:uid="{00000000-0005-0000-0000-000013010000}"/>
    <cellStyle name="_Comma_capital expenditures 6-18-02_OSK" xfId="114" xr:uid="{00000000-0005-0000-0000-000014010000}"/>
    <cellStyle name="_Comma_capital expenditures 6-18-02_PCAR" xfId="115" xr:uid="{00000000-0005-0000-0000-000015010000}"/>
    <cellStyle name="_Comma_capital expenditures 6-18-02_PH" xfId="116" xr:uid="{00000000-0005-0000-0000-000016010000}"/>
    <cellStyle name="_Comma_capital expenditures 6-18-02_Sheet2" xfId="3271" xr:uid="{00000000-0005-0000-0000-000017010000}"/>
    <cellStyle name="_Comma_capital expenditures 6-18-02_Sheet2 2" xfId="3272" xr:uid="{00000000-0005-0000-0000-000018010000}"/>
    <cellStyle name="_Comma_CMX" xfId="3273" xr:uid="{00000000-0005-0000-0000-000019010000}"/>
    <cellStyle name="_Comma_CMX 2" xfId="3274" xr:uid="{00000000-0005-0000-0000-00001A010000}"/>
    <cellStyle name="_Comma_CNH" xfId="117" xr:uid="{00000000-0005-0000-0000-00001B010000}"/>
    <cellStyle name="_Comma_CNH 2" xfId="3275" xr:uid="{00000000-0005-0000-0000-00001C010000}"/>
    <cellStyle name="_Comma_CNO" xfId="2679" xr:uid="{00000000-0005-0000-0000-00001D010000}"/>
    <cellStyle name="_Comma_CNO 2" xfId="3276" xr:uid="{00000000-0005-0000-0000-00001E010000}"/>
    <cellStyle name="_Comma_CNO_Origination Market Share-Qtr" xfId="3277" xr:uid="{00000000-0005-0000-0000-00001F010000}"/>
    <cellStyle name="_Comma_CNO_Origination Market Share-Qtr 2" xfId="3278" xr:uid="{00000000-0005-0000-0000-000020010000}"/>
    <cellStyle name="_Comma_CNO04" xfId="2680" xr:uid="{00000000-0005-0000-0000-000021010000}"/>
    <cellStyle name="_Comma_CNO04 2" xfId="3279" xr:uid="{00000000-0005-0000-0000-000022010000}"/>
    <cellStyle name="_Comma_CNO04_Origination Market Share-Qtr" xfId="3280" xr:uid="{00000000-0005-0000-0000-000023010000}"/>
    <cellStyle name="_Comma_CNO04_Origination Market Share-Qtr 2" xfId="3281" xr:uid="{00000000-0005-0000-0000-000024010000}"/>
    <cellStyle name="_Comma_Commtech" xfId="118" xr:uid="{00000000-0005-0000-0000-000025010000}"/>
    <cellStyle name="_Comma_Commtech 2" xfId="3282" xr:uid="{00000000-0005-0000-0000-000026010000}"/>
    <cellStyle name="_Comma_Commtech_New Version" xfId="3283" xr:uid="{00000000-0005-0000-0000-000027010000}"/>
    <cellStyle name="_Comma_Commtech_New Version 2" xfId="3284" xr:uid="{00000000-0005-0000-0000-000028010000}"/>
    <cellStyle name="_Comma_Commtech_Sheet2" xfId="3285" xr:uid="{00000000-0005-0000-0000-000029010000}"/>
    <cellStyle name="_Comma_Commtech_Sheet2 2" xfId="3286" xr:uid="{00000000-0005-0000-0000-00002A010000}"/>
    <cellStyle name="_Comma_Competitors" xfId="3287" xr:uid="{00000000-0005-0000-0000-00002B010000}"/>
    <cellStyle name="_Comma_CRO 3Q group metrics 12-22-03 for reports" xfId="119" xr:uid="{00000000-0005-0000-0000-00002C010000}"/>
    <cellStyle name="_Comma_CRO 3Q group metrics 12-22-03 for reports 2" xfId="3288" xr:uid="{00000000-0005-0000-0000-00002D010000}"/>
    <cellStyle name="_Comma_CRO 3Q group metrics 12-22-03 for reports_New Version" xfId="3289" xr:uid="{00000000-0005-0000-0000-00002E010000}"/>
    <cellStyle name="_Comma_CRO 3Q group metrics 12-22-03 for reports_New Version 2" xfId="3290" xr:uid="{00000000-0005-0000-0000-00002F010000}"/>
    <cellStyle name="_Comma_CRO 3Q group metrics 12-22-03 for reports_Sheet2" xfId="3291" xr:uid="{00000000-0005-0000-0000-000030010000}"/>
    <cellStyle name="_Comma_CRO 3Q group metrics 12-22-03 for reports_Sheet2 2" xfId="3292" xr:uid="{00000000-0005-0000-0000-000031010000}"/>
    <cellStyle name="_Comma_CRO comp metrics 4Q03 2-18-04 send out" xfId="120" xr:uid="{00000000-0005-0000-0000-000032010000}"/>
    <cellStyle name="_Comma_CRO comp metrics 4Q03 2-18-04 send out 2" xfId="3293" xr:uid="{00000000-0005-0000-0000-000033010000}"/>
    <cellStyle name="_Comma_CRO comp metrics 4Q03 2-18-04 send out_New Version" xfId="3294" xr:uid="{00000000-0005-0000-0000-000034010000}"/>
    <cellStyle name="_Comma_CRO comp metrics 4Q03 2-18-04 send out_New Version 2" xfId="3295" xr:uid="{00000000-0005-0000-0000-000035010000}"/>
    <cellStyle name="_Comma_CRO comp metrics 4Q03 2-18-04 send out_Sheet2" xfId="3296" xr:uid="{00000000-0005-0000-0000-000036010000}"/>
    <cellStyle name="_Comma_CRO comp metrics 4Q03 2-18-04 send out_Sheet2 2" xfId="3297" xr:uid="{00000000-0005-0000-0000-000037010000}"/>
    <cellStyle name="_Comma_CRO Comp Sheet V.2" xfId="3298" xr:uid="{00000000-0005-0000-0000-000038010000}"/>
    <cellStyle name="_Comma_CRO Comp Sheet V.2 2" xfId="3299" xr:uid="{00000000-0005-0000-0000-000039010000}"/>
    <cellStyle name="_Comma_CVD" xfId="3300" xr:uid="{00000000-0005-0000-0000-00003A010000}"/>
    <cellStyle name="_Comma_CVD 2" xfId="3301" xr:uid="{00000000-0005-0000-0000-00003B010000}"/>
    <cellStyle name="_Comma_Data" xfId="121" xr:uid="{00000000-0005-0000-0000-00003C010000}"/>
    <cellStyle name="_Comma_Data 2" xfId="3302" xr:uid="{00000000-0005-0000-0000-00003D010000}"/>
    <cellStyle name="_Comma_Data_New Version" xfId="3303" xr:uid="{00000000-0005-0000-0000-00003E010000}"/>
    <cellStyle name="_Comma_Data_New Version 2" xfId="3304" xr:uid="{00000000-0005-0000-0000-00003F010000}"/>
    <cellStyle name="_Comma_Data_Sheet2" xfId="3305" xr:uid="{00000000-0005-0000-0000-000040010000}"/>
    <cellStyle name="_Comma_Data_Sheet2 2" xfId="3306" xr:uid="{00000000-0005-0000-0000-000041010000}"/>
    <cellStyle name="_Comma_DCF Alexander Forbes" xfId="2681" xr:uid="{00000000-0005-0000-0000-000042010000}"/>
    <cellStyle name="_Comma_DCF Alexander Forbes 2" xfId="3307" xr:uid="{00000000-0005-0000-0000-000043010000}"/>
    <cellStyle name="_Comma_DCF Alexander Forbes_Origination Market Share-Qtr" xfId="3308" xr:uid="{00000000-0005-0000-0000-000044010000}"/>
    <cellStyle name="_Comma_DCF Alexander Forbes_Origination Market Share-Qtr 2" xfId="3309" xr:uid="{00000000-0005-0000-0000-000045010000}"/>
    <cellStyle name="_Comma_dcf_1" xfId="122" xr:uid="{00000000-0005-0000-0000-000046010000}"/>
    <cellStyle name="_Comma_dcf_1 2" xfId="3310" xr:uid="{00000000-0005-0000-0000-000047010000}"/>
    <cellStyle name="_Comma_document(1)" xfId="3311" xr:uid="{00000000-0005-0000-0000-000048010000}"/>
    <cellStyle name="_Comma_document(1) 2" xfId="3312" xr:uid="{00000000-0005-0000-0000-000049010000}"/>
    <cellStyle name="_Comma_DOV" xfId="123" xr:uid="{00000000-0005-0000-0000-00004A010000}"/>
    <cellStyle name="_Comma_DOV 2" xfId="3313" xr:uid="{00000000-0005-0000-0000-00004B010000}"/>
    <cellStyle name="_Comma_DRTE" xfId="3314" xr:uid="{00000000-0005-0000-0000-00004C010000}"/>
    <cellStyle name="_Comma_DRTE 2" xfId="3315" xr:uid="{00000000-0005-0000-0000-00004D010000}"/>
    <cellStyle name="_Comma_DUK" xfId="124" xr:uid="{00000000-0005-0000-0000-00004E010000}"/>
    <cellStyle name="_Comma_DUK 2" xfId="3316" xr:uid="{00000000-0005-0000-0000-00004F010000}"/>
    <cellStyle name="_Comma_ED 2005.08.01" xfId="125" xr:uid="{00000000-0005-0000-0000-000050010000}"/>
    <cellStyle name="_Comma_ED 2005.08.01 2" xfId="3317" xr:uid="{00000000-0005-0000-0000-000051010000}"/>
    <cellStyle name="_Comma_EEEE" xfId="3318" xr:uid="{00000000-0005-0000-0000-000052010000}"/>
    <cellStyle name="_Comma_EEEE 2" xfId="3319" xr:uid="{00000000-0005-0000-0000-000053010000}"/>
    <cellStyle name="_Comma_ESRX" xfId="3320" xr:uid="{00000000-0005-0000-0000-000054010000}"/>
    <cellStyle name="_Comma_ESRX 2" xfId="3321" xr:uid="{00000000-0005-0000-0000-000055010000}"/>
    <cellStyle name="_Comma_ETN" xfId="126" xr:uid="{00000000-0005-0000-0000-000056010000}"/>
    <cellStyle name="_Comma_ETN 2" xfId="3322" xr:uid="{00000000-0005-0000-0000-000057010000}"/>
    <cellStyle name="_Comma_EZJ vs go" xfId="3323" xr:uid="{00000000-0005-0000-0000-000058010000}"/>
    <cellStyle name="_Comma_Financial Performance Benchmarking and Valuation(2)" xfId="3324" xr:uid="{00000000-0005-0000-0000-000059010000}"/>
    <cellStyle name="_Comma_fmbi counties" xfId="2682" xr:uid="{00000000-0005-0000-0000-00005A010000}"/>
    <cellStyle name="_Comma_fmbi counties_Origination Market Share-Qtr" xfId="3325" xr:uid="{00000000-0005-0000-0000-00005B010000}"/>
    <cellStyle name="_Comma_FMBI MBHI Graphs" xfId="2683" xr:uid="{00000000-0005-0000-0000-00005C010000}"/>
    <cellStyle name="_Comma_FMBI MBHI Graphs 07102001" xfId="2684" xr:uid="{00000000-0005-0000-0000-00005D010000}"/>
    <cellStyle name="_Comma_FMBI MBHI Graphs 07102001 2" xfId="3326" xr:uid="{00000000-0005-0000-0000-00005E010000}"/>
    <cellStyle name="_Comma_FMBI MBHI Graphs 07102001_Origination Market Share-Qtr" xfId="3327" xr:uid="{00000000-0005-0000-0000-00005F010000}"/>
    <cellStyle name="_Comma_FMBI MBHI Graphs 07102001_Origination Market Share-Qtr 2" xfId="3328" xr:uid="{00000000-0005-0000-0000-000060010000}"/>
    <cellStyle name="_Comma_FMBI MBHI Graphs 2" xfId="3329" xr:uid="{00000000-0005-0000-0000-000061010000}"/>
    <cellStyle name="_Comma_FMBI MBHI Graphs_7601" xfId="2685" xr:uid="{00000000-0005-0000-0000-000062010000}"/>
    <cellStyle name="_Comma_FMBI MBHI Graphs_7601 2" xfId="3330" xr:uid="{00000000-0005-0000-0000-000063010000}"/>
    <cellStyle name="_Comma_FMBI MBHI Graphs_7601_Origination Market Share-Qtr" xfId="3331" xr:uid="{00000000-0005-0000-0000-000064010000}"/>
    <cellStyle name="_Comma_FMBI MBHI Graphs_7601_Origination Market Share-Qtr 2" xfId="3332" xr:uid="{00000000-0005-0000-0000-000065010000}"/>
    <cellStyle name="_Comma_FMBI MBHI Graphs_Origination Market Share-Qtr" xfId="3333" xr:uid="{00000000-0005-0000-0000-000066010000}"/>
    <cellStyle name="_Comma_FMBI MBHI Graphs_Origination Market Share-Qtr 2" xfId="3334" xr:uid="{00000000-0005-0000-0000-000067010000}"/>
    <cellStyle name="_Comma_Foreclosures_data_Realty Trac Break up" xfId="3335" xr:uid="{00000000-0005-0000-0000-000068010000}"/>
    <cellStyle name="_Comma_Foreclosures_data_Realty Trac Break up 2" xfId="3336" xr:uid="{00000000-0005-0000-0000-000069010000}"/>
    <cellStyle name="_Comma_FSS" xfId="127" xr:uid="{00000000-0005-0000-0000-00006A010000}"/>
    <cellStyle name="_Comma_FSS 2" xfId="3337" xr:uid="{00000000-0005-0000-0000-00006B010000}"/>
    <cellStyle name="_Comma_GCI" xfId="3338" xr:uid="{00000000-0005-0000-0000-00006C010000}"/>
    <cellStyle name="_Comma_GCI 2" xfId="3339" xr:uid="{00000000-0005-0000-0000-00006D010000}"/>
    <cellStyle name="_Comma_genworth model" xfId="2686" xr:uid="{00000000-0005-0000-0000-00006E010000}"/>
    <cellStyle name="_Comma_genworth model_Origination Market Share-Qtr" xfId="3340" xr:uid="{00000000-0005-0000-0000-00006F010000}"/>
    <cellStyle name="_Comma_Global ROIC 2007" xfId="3341" xr:uid="{00000000-0005-0000-0000-000070010000}"/>
    <cellStyle name="_Comma_GS_McFadden_CMX_9-27" xfId="3342" xr:uid="{00000000-0005-0000-0000-000071010000}"/>
    <cellStyle name="_Comma_GS_McFadden_CMX_9-27 2" xfId="3343" xr:uid="{00000000-0005-0000-0000-000072010000}"/>
    <cellStyle name="_Comma_GS_McFadden_CVD_9-27" xfId="3344" xr:uid="{00000000-0005-0000-0000-000073010000}"/>
    <cellStyle name="_Comma_GS_McFadden_CVD_9-27 2" xfId="3345" xr:uid="{00000000-0005-0000-0000-000074010000}"/>
    <cellStyle name="_Comma_GS_McFadden_DRTE_9-27" xfId="3346" xr:uid="{00000000-0005-0000-0000-000075010000}"/>
    <cellStyle name="_Comma_GS_McFadden_DRTE_9-27 2" xfId="3347" xr:uid="{00000000-0005-0000-0000-000076010000}"/>
    <cellStyle name="_Comma_GS_McFadden_ESRX_9-27" xfId="3348" xr:uid="{00000000-0005-0000-0000-000077010000}"/>
    <cellStyle name="_Comma_GS_McFadden_ESRX_9-27 2" xfId="3349" xr:uid="{00000000-0005-0000-0000-000078010000}"/>
    <cellStyle name="_Comma_GS_McFadden_HLTH_9-27" xfId="3350" xr:uid="{00000000-0005-0000-0000-000079010000}"/>
    <cellStyle name="_Comma_GS_McFadden_HLTH_9-27 2" xfId="3351" xr:uid="{00000000-0005-0000-0000-00007A010000}"/>
    <cellStyle name="_Comma_GS_McFadden_HSIC" xfId="3352" xr:uid="{00000000-0005-0000-0000-00007B010000}"/>
    <cellStyle name="_Comma_GS_McFadden_HSIC 2" xfId="3353" xr:uid="{00000000-0005-0000-0000-00007C010000}"/>
    <cellStyle name="_Comma_GS_McFadden_ICLR_9-28" xfId="3354" xr:uid="{00000000-0005-0000-0000-00007D010000}"/>
    <cellStyle name="_Comma_GS_McFadden_ICLR_9-28 2" xfId="3355" xr:uid="{00000000-0005-0000-0000-00007E010000}"/>
    <cellStyle name="_Comma_GS_McFadden_MCK" xfId="3356" xr:uid="{00000000-0005-0000-0000-00007F010000}"/>
    <cellStyle name="_Comma_GS_McFadden_MCK 2" xfId="3357" xr:uid="{00000000-0005-0000-0000-000080010000}"/>
    <cellStyle name="_Comma_GS_McFadden_MHS_9-27" xfId="3358" xr:uid="{00000000-0005-0000-0000-000081010000}"/>
    <cellStyle name="_Comma_GS_McFadden_MHS_9-27 2" xfId="3359" xr:uid="{00000000-0005-0000-0000-000082010000}"/>
    <cellStyle name="_Comma_GS_McFadden_NDC_9-28-04" xfId="3360" xr:uid="{00000000-0005-0000-0000-000083010000}"/>
    <cellStyle name="_Comma_GS_McFadden_NDC_9-28-04 2" xfId="3361" xr:uid="{00000000-0005-0000-0000-000084010000}"/>
    <cellStyle name="_Comma_GS_McFadden_PHCC_9-27" xfId="3362" xr:uid="{00000000-0005-0000-0000-000085010000}"/>
    <cellStyle name="_Comma_GS_McFadden_PHCC_9-27 2" xfId="3363" xr:uid="{00000000-0005-0000-0000-000086010000}"/>
    <cellStyle name="_Comma_GS_Mcfadden_PPDI_9-27" xfId="3364" xr:uid="{00000000-0005-0000-0000-000087010000}"/>
    <cellStyle name="_Comma_GS_Mcfadden_PPDI_9-27 2" xfId="3365" xr:uid="{00000000-0005-0000-0000-000088010000}"/>
    <cellStyle name="_Comma_GS_McFadden_PRXL-9-27" xfId="3366" xr:uid="{00000000-0005-0000-0000-000089010000}"/>
    <cellStyle name="_Comma_GS_McFadden_PRXL-9-27 2" xfId="3367" xr:uid="{00000000-0005-0000-0000-00008A010000}"/>
    <cellStyle name="_Comma_GS_McFadden_PSSI_9-27" xfId="3368" xr:uid="{00000000-0005-0000-0000-00008B010000}"/>
    <cellStyle name="_Comma_GS_McFadden_PSSI_9-27 2" xfId="3369" xr:uid="{00000000-0005-0000-0000-00008C010000}"/>
    <cellStyle name="_Comma_Henry Schein" xfId="3370" xr:uid="{00000000-0005-0000-0000-00008D010000}"/>
    <cellStyle name="_Comma_Henry Schein 2" xfId="3371" xr:uid="{00000000-0005-0000-0000-00008E010000}"/>
    <cellStyle name="_Comma_Hist Summary" xfId="128" xr:uid="{00000000-0005-0000-0000-00008F010000}"/>
    <cellStyle name="_Comma_Hist Summary 2" xfId="3372" xr:uid="{00000000-0005-0000-0000-000090010000}"/>
    <cellStyle name="_Comma_HLTH" xfId="3373" xr:uid="{00000000-0005-0000-0000-000091010000}"/>
    <cellStyle name="_Comma_HLTH 2" xfId="3374" xr:uid="{00000000-0005-0000-0000-000092010000}"/>
    <cellStyle name="_Comma_Hospital Comp -10-24-05" xfId="3375" xr:uid="{00000000-0005-0000-0000-000093010000}"/>
    <cellStyle name="_Comma_Hospital Comp -10-24-05 2" xfId="3376" xr:uid="{00000000-0005-0000-0000-000094010000}"/>
    <cellStyle name="_Comma_HSIC" xfId="3377" xr:uid="{00000000-0005-0000-0000-000095010000}"/>
    <cellStyle name="_Comma_HSIC 2" xfId="3378" xr:uid="{00000000-0005-0000-0000-000096010000}"/>
    <cellStyle name="_Comma_Insurance Brokerage CSC_1Q2002" xfId="2687" xr:uid="{00000000-0005-0000-0000-000097010000}"/>
    <cellStyle name="_Comma_Insurance Brokerage CSC_1Q2002 2" xfId="3379" xr:uid="{00000000-0005-0000-0000-000098010000}"/>
    <cellStyle name="_Comma_Insurance Brokerage CSC_1Q2002_Origination Market Share-Qtr" xfId="3380" xr:uid="{00000000-0005-0000-0000-000099010000}"/>
    <cellStyle name="_Comma_Insurance Brokerage CSC_1Q2002_Origination Market Share-Qtr 2" xfId="3381" xr:uid="{00000000-0005-0000-0000-00009A010000}"/>
    <cellStyle name="_Comma_integrated_standalone_ba" xfId="3382" xr:uid="{00000000-0005-0000-0000-00009B010000}"/>
    <cellStyle name="_Comma_JOYG" xfId="129" xr:uid="{00000000-0005-0000-0000-00009C010000}"/>
    <cellStyle name="_Comma_JP_LNC_spread_monitor (2)" xfId="2688" xr:uid="{00000000-0005-0000-0000-00009D010000}"/>
    <cellStyle name="_Comma_JP_LNC_spread_monitor (2) 2" xfId="3383" xr:uid="{00000000-0005-0000-0000-00009E010000}"/>
    <cellStyle name="_Comma_JP_LNC_spread_monitor (2)_Origination Market Share-Qtr" xfId="3384" xr:uid="{00000000-0005-0000-0000-00009F010000}"/>
    <cellStyle name="_Comma_JP_LNC_spread_monitor (2)_Origination Market Share-Qtr 2" xfId="3385" xr:uid="{00000000-0005-0000-0000-0000A0010000}"/>
    <cellStyle name="_Comma_Kent" xfId="130" xr:uid="{00000000-0005-0000-0000-0000A1010000}"/>
    <cellStyle name="_Comma_Kent 2" xfId="3386" xr:uid="{00000000-0005-0000-0000-0000A2010000}"/>
    <cellStyle name="_Comma_Kent_New Version" xfId="3387" xr:uid="{00000000-0005-0000-0000-0000A3010000}"/>
    <cellStyle name="_Comma_Kent_New Version 2" xfId="3388" xr:uid="{00000000-0005-0000-0000-0000A4010000}"/>
    <cellStyle name="_Comma_Kent_Sheet2" xfId="3389" xr:uid="{00000000-0005-0000-0000-0000A5010000}"/>
    <cellStyle name="_Comma_Kent_Sheet2 2" xfId="3390" xr:uid="{00000000-0005-0000-0000-0000A6010000}"/>
    <cellStyle name="_Comma_Machinery group valuation" xfId="131" xr:uid="{00000000-0005-0000-0000-0000A7010000}"/>
    <cellStyle name="_Comma_Machinery group valuation 2" xfId="3391" xr:uid="{00000000-0005-0000-0000-0000A8010000}"/>
    <cellStyle name="_Comma_MCK" xfId="3392" xr:uid="{00000000-0005-0000-0000-0000A9010000}"/>
    <cellStyle name="_Comma_MCK 2" xfId="3393" xr:uid="{00000000-0005-0000-0000-0000AA010000}"/>
    <cellStyle name="_Comma_MDO breakdown" xfId="3394" xr:uid="{00000000-0005-0000-0000-0000AB010000}"/>
    <cellStyle name="_Comma_MDO breakdown 2" xfId="3395" xr:uid="{00000000-0005-0000-0000-0000AC010000}"/>
    <cellStyle name="_Comma_MDS" xfId="3396" xr:uid="{00000000-0005-0000-0000-0000AD010000}"/>
    <cellStyle name="_Comma_MDS 2" xfId="3397" xr:uid="{00000000-0005-0000-0000-0000AE010000}"/>
    <cellStyle name="_Comma_MHS" xfId="132" xr:uid="{00000000-0005-0000-0000-0000AF010000}"/>
    <cellStyle name="_Comma_MHS 2" xfId="3398" xr:uid="{00000000-0005-0000-0000-0000B0010000}"/>
    <cellStyle name="_Comma_MHS_New Version" xfId="3399" xr:uid="{00000000-0005-0000-0000-0000B1010000}"/>
    <cellStyle name="_Comma_MHS_New Version 2" xfId="3400" xr:uid="{00000000-0005-0000-0000-0000B2010000}"/>
    <cellStyle name="_Comma_MHS_Sheet2" xfId="3401" xr:uid="{00000000-0005-0000-0000-0000B3010000}"/>
    <cellStyle name="_Comma_MHS_Sheet2 2" xfId="3402" xr:uid="{00000000-0005-0000-0000-0000B4010000}"/>
    <cellStyle name="_Comma_MLM" xfId="133" xr:uid="{00000000-0005-0000-0000-0000B5010000}"/>
    <cellStyle name="_Comma_MLP Val-Client-10_02_06" xfId="134" xr:uid="{00000000-0005-0000-0000-0000B6010000}"/>
    <cellStyle name="_Comma_MLP Val-Client-10_02_06 2" xfId="3403" xr:uid="{00000000-0005-0000-0000-0000B7010000}"/>
    <cellStyle name="_Comma_MNST" xfId="3404" xr:uid="{00000000-0005-0000-0000-0000B8010000}"/>
    <cellStyle name="_Comma_MNST 2" xfId="3405" xr:uid="{00000000-0005-0000-0000-0000B9010000}"/>
    <cellStyle name="_Comma_NAV" xfId="135" xr:uid="{00000000-0005-0000-0000-0000BA010000}"/>
    <cellStyle name="_Comma_New Version" xfId="3406" xr:uid="{00000000-0005-0000-0000-0000BB010000}"/>
    <cellStyle name="_Comma_New Version 2" xfId="3407" xr:uid="{00000000-0005-0000-0000-0000BC010000}"/>
    <cellStyle name="_Comma_NFP" xfId="2689" xr:uid="{00000000-0005-0000-0000-0000BD010000}"/>
    <cellStyle name="_Comma_NFP 2" xfId="3408" xr:uid="{00000000-0005-0000-0000-0000BE010000}"/>
    <cellStyle name="_Comma_NFP_Origination Market Share-Qtr" xfId="3409" xr:uid="{00000000-0005-0000-0000-0000BF010000}"/>
    <cellStyle name="_Comma_NFP_Origination Market Share-Qtr 2" xfId="3410" xr:uid="{00000000-0005-0000-0000-0000C0010000}"/>
    <cellStyle name="_Comma_NFS" xfId="2690" xr:uid="{00000000-0005-0000-0000-0000C1010000}"/>
    <cellStyle name="_Comma_NFS_Origination Market Share-Qtr" xfId="3411" xr:uid="{00000000-0005-0000-0000-0000C2010000}"/>
    <cellStyle name="_Comma_NRG 2005.07.22" xfId="136" xr:uid="{00000000-0005-0000-0000-0000C3010000}"/>
    <cellStyle name="_Comma_NRG 2005.07.22 2" xfId="3412" xr:uid="{00000000-0005-0000-0000-0000C4010000}"/>
    <cellStyle name="_Comma_Origination Market Share-Qtr" xfId="3413" xr:uid="{00000000-0005-0000-0000-0000C5010000}"/>
    <cellStyle name="_Comma_Origination Market Share-Qtr_1" xfId="3414" xr:uid="{00000000-0005-0000-0000-0000C6010000}"/>
    <cellStyle name="_Comma_OSK" xfId="137" xr:uid="{00000000-0005-0000-0000-0000C7010000}"/>
    <cellStyle name="_Comma_output" xfId="3415" xr:uid="{00000000-0005-0000-0000-0000C8010000}"/>
    <cellStyle name="_Comma_Overview3" xfId="2691" xr:uid="{00000000-0005-0000-0000-0000C9010000}"/>
    <cellStyle name="_Comma_Overview3 2" xfId="3416" xr:uid="{00000000-0005-0000-0000-0000CA010000}"/>
    <cellStyle name="_Comma_Overview3_Origination Market Share-Qtr" xfId="3417" xr:uid="{00000000-0005-0000-0000-0000CB010000}"/>
    <cellStyle name="_Comma_Overview3_Origination Market Share-Qtr 2" xfId="3418" xr:uid="{00000000-0005-0000-0000-0000CC010000}"/>
    <cellStyle name="_Comma_PCAR" xfId="138" xr:uid="{00000000-0005-0000-0000-0000CD010000}"/>
    <cellStyle name="_Comma_PH" xfId="139" xr:uid="{00000000-0005-0000-0000-0000CE010000}"/>
    <cellStyle name="_Comma_PHCC" xfId="3419" xr:uid="{00000000-0005-0000-0000-0000CF010000}"/>
    <cellStyle name="_Comma_PHCC 2" xfId="3420" xr:uid="{00000000-0005-0000-0000-0000D0010000}"/>
    <cellStyle name="_Comma_phil data" xfId="2692" xr:uid="{00000000-0005-0000-0000-0000D1010000}"/>
    <cellStyle name="_Comma_phil data 2" xfId="3421" xr:uid="{00000000-0005-0000-0000-0000D2010000}"/>
    <cellStyle name="_Comma_phil data_Origination Market Share-Qtr" xfId="3422" xr:uid="{00000000-0005-0000-0000-0000D3010000}"/>
    <cellStyle name="_Comma_phil data_Origination Market Share-Qtr 2" xfId="3423" xr:uid="{00000000-0005-0000-0000-0000D4010000}"/>
    <cellStyle name="_Comma_Price Performance Charts" xfId="2693" xr:uid="{00000000-0005-0000-0000-0000D5010000}"/>
    <cellStyle name="_Comma_Price Performance Charts_Origination Market Share-Qtr" xfId="3424" xr:uid="{00000000-0005-0000-0000-0000D6010000}"/>
    <cellStyle name="_Comma_PRXL" xfId="3425" xr:uid="{00000000-0005-0000-0000-0000D7010000}"/>
    <cellStyle name="_Comma_PRXL 2" xfId="3426" xr:uid="{00000000-0005-0000-0000-0000D8010000}"/>
    <cellStyle name="_Comma_PSSI" xfId="3427" xr:uid="{00000000-0005-0000-0000-0000D9010000}"/>
    <cellStyle name="_Comma_PSSI 2" xfId="3428" xr:uid="{00000000-0005-0000-0000-0000DA010000}"/>
    <cellStyle name="_Comma_Quarterly Review by Company" xfId="2694" xr:uid="{00000000-0005-0000-0000-0000DB010000}"/>
    <cellStyle name="_Comma_Quarterly Review by Company 2" xfId="3429" xr:uid="{00000000-0005-0000-0000-0000DC010000}"/>
    <cellStyle name="_Comma_Quarterly Review by Company_Origination Market Share-Qtr" xfId="3430" xr:uid="{00000000-0005-0000-0000-0000DD010000}"/>
    <cellStyle name="_Comma_Quarterly Review by Company_Origination Market Share-Qtr 2" xfId="3431" xr:uid="{00000000-0005-0000-0000-0000DE010000}"/>
    <cellStyle name="_Comma_RBOC historicals" xfId="140" xr:uid="{00000000-0005-0000-0000-0000DF010000}"/>
    <cellStyle name="_Comma_RBOC historicals 2" xfId="141" xr:uid="{00000000-0005-0000-0000-0000E0010000}"/>
    <cellStyle name="_Comma_RBOC historicals 3" xfId="142" xr:uid="{00000000-0005-0000-0000-0000E1010000}"/>
    <cellStyle name="_Comma_RBOC historicals_AG" xfId="143" xr:uid="{00000000-0005-0000-0000-0000E2010000}"/>
    <cellStyle name="_Comma_RBOC historicals_CNH" xfId="144" xr:uid="{00000000-0005-0000-0000-0000E3010000}"/>
    <cellStyle name="_Comma_RBOC historicals_CNH 2" xfId="3432" xr:uid="{00000000-0005-0000-0000-0000E4010000}"/>
    <cellStyle name="_Comma_RBOC historicals_DOV" xfId="145" xr:uid="{00000000-0005-0000-0000-0000E5010000}"/>
    <cellStyle name="_Comma_RBOC historicals_DOV 2" xfId="3433" xr:uid="{00000000-0005-0000-0000-0000E6010000}"/>
    <cellStyle name="_Comma_RBOC historicals_ETN" xfId="146" xr:uid="{00000000-0005-0000-0000-0000E7010000}"/>
    <cellStyle name="_Comma_RBOC historicals_ETN 2" xfId="3434" xr:uid="{00000000-0005-0000-0000-0000E8010000}"/>
    <cellStyle name="_Comma_RBOC historicals_FSS" xfId="147" xr:uid="{00000000-0005-0000-0000-0000E9010000}"/>
    <cellStyle name="_Comma_RBOC historicals_FSS 2" xfId="3435" xr:uid="{00000000-0005-0000-0000-0000EA010000}"/>
    <cellStyle name="_Comma_RBOC historicals_JOYG" xfId="148" xr:uid="{00000000-0005-0000-0000-0000EB010000}"/>
    <cellStyle name="_Comma_RBOC historicals_MDO breakdown" xfId="3436" xr:uid="{00000000-0005-0000-0000-0000EC010000}"/>
    <cellStyle name="_Comma_RBOC historicals_MDO breakdown 2" xfId="3437" xr:uid="{00000000-0005-0000-0000-0000ED010000}"/>
    <cellStyle name="_Comma_RBOC historicals_MLM" xfId="149" xr:uid="{00000000-0005-0000-0000-0000EE010000}"/>
    <cellStyle name="_Comma_RBOC historicals_NAV" xfId="150" xr:uid="{00000000-0005-0000-0000-0000EF010000}"/>
    <cellStyle name="_Comma_RBOC historicals_New Version" xfId="3438" xr:uid="{00000000-0005-0000-0000-0000F0010000}"/>
    <cellStyle name="_Comma_RBOC historicals_New Version 2" xfId="3439" xr:uid="{00000000-0005-0000-0000-0000F1010000}"/>
    <cellStyle name="_Comma_RBOC historicals_OSK" xfId="151" xr:uid="{00000000-0005-0000-0000-0000F2010000}"/>
    <cellStyle name="_Comma_RBOC historicals_PCAR" xfId="152" xr:uid="{00000000-0005-0000-0000-0000F3010000}"/>
    <cellStyle name="_Comma_RBOC historicals_PH" xfId="153" xr:uid="{00000000-0005-0000-0000-0000F4010000}"/>
    <cellStyle name="_Comma_RBOC historicals_Sheet2" xfId="3440" xr:uid="{00000000-0005-0000-0000-0000F5010000}"/>
    <cellStyle name="_Comma_RBOC historicals_Sheet2 2" xfId="3441" xr:uid="{00000000-0005-0000-0000-0000F6010000}"/>
    <cellStyle name="_Comma_SFG Data File" xfId="2695" xr:uid="{00000000-0005-0000-0000-0000F7010000}"/>
    <cellStyle name="_Comma_SFG Data File 2" xfId="3442" xr:uid="{00000000-0005-0000-0000-0000F8010000}"/>
    <cellStyle name="_Comma_SFG Data File_Origination Market Share-Qtr" xfId="3443" xr:uid="{00000000-0005-0000-0000-0000F9010000}"/>
    <cellStyle name="_Comma_SFG Data File_Origination Market Share-Qtr 2" xfId="3444" xr:uid="{00000000-0005-0000-0000-0000FA010000}"/>
    <cellStyle name="_Comma_Sheet1" xfId="154" xr:uid="{00000000-0005-0000-0000-0000FB010000}"/>
    <cellStyle name="_Comma_Sheet1 2" xfId="3067" xr:uid="{00000000-0005-0000-0000-0000FC010000}"/>
    <cellStyle name="_Comma_Sheet1 3" xfId="7031" xr:uid="{00000000-0005-0000-0000-0000FD010000}"/>
    <cellStyle name="_Comma_Sheet1 4" xfId="7032" xr:uid="{00000000-0005-0000-0000-0000FE010000}"/>
    <cellStyle name="_Comma_Sheet1_New Version" xfId="3445" xr:uid="{00000000-0005-0000-0000-0000FF010000}"/>
    <cellStyle name="_Comma_Sheet1_New Version 2" xfId="3446" xr:uid="{00000000-0005-0000-0000-000000020000}"/>
    <cellStyle name="_Comma_Sheet1_Origination Market Share-Qtr" xfId="3447" xr:uid="{00000000-0005-0000-0000-000001020000}"/>
    <cellStyle name="_Comma_Sheet1_Origination Market Share-Qtr 2" xfId="3448" xr:uid="{00000000-0005-0000-0000-000002020000}"/>
    <cellStyle name="_Comma_Sheet1_Sheet2" xfId="3449" xr:uid="{00000000-0005-0000-0000-000003020000}"/>
    <cellStyle name="_Comma_Sheet1_Sheet2 2" xfId="3450" xr:uid="{00000000-0005-0000-0000-000004020000}"/>
    <cellStyle name="_Comma_Sheet2" xfId="3451" xr:uid="{00000000-0005-0000-0000-000005020000}"/>
    <cellStyle name="_Comma_Sheet2 2" xfId="3452" xr:uid="{00000000-0005-0000-0000-000006020000}"/>
    <cellStyle name="_Comma_SOP" xfId="155" xr:uid="{00000000-0005-0000-0000-000007020000}"/>
    <cellStyle name="_Comma_SOP 2" xfId="3453" xr:uid="{00000000-0005-0000-0000-000008020000}"/>
    <cellStyle name="_Comma_SRE" xfId="156" xr:uid="{00000000-0005-0000-0000-000009020000}"/>
    <cellStyle name="_Comma_SRE 2" xfId="3454" xr:uid="{00000000-0005-0000-0000-00000A020000}"/>
    <cellStyle name="_Comma_SRE Working" xfId="157" xr:uid="{00000000-0005-0000-0000-00000B020000}"/>
    <cellStyle name="_Comma_SRE Working 2" xfId="3455" xr:uid="{00000000-0005-0000-0000-00000C020000}"/>
    <cellStyle name="_Comma_SSP" xfId="3456" xr:uid="{00000000-0005-0000-0000-00000D020000}"/>
    <cellStyle name="_Comma_SSP 2" xfId="3457" xr:uid="{00000000-0005-0000-0000-00000E020000}"/>
    <cellStyle name="_Comma_Stock-QTR1 FDS" xfId="2696" xr:uid="{00000000-0005-0000-0000-00000F020000}"/>
    <cellStyle name="_Comma_Stock-QTR1 FDS_Origination Market Share-Qtr" xfId="3458" xr:uid="{00000000-0005-0000-0000-000010020000}"/>
    <cellStyle name="_Comma_T - new" xfId="158" xr:uid="{00000000-0005-0000-0000-000011020000}"/>
    <cellStyle name="_Comma_T - new 2" xfId="159" xr:uid="{00000000-0005-0000-0000-000012020000}"/>
    <cellStyle name="_Comma_T - new 3" xfId="160" xr:uid="{00000000-0005-0000-0000-000013020000}"/>
    <cellStyle name="_Comma_T - new_AG" xfId="161" xr:uid="{00000000-0005-0000-0000-000014020000}"/>
    <cellStyle name="_Comma_T - new_CNH" xfId="162" xr:uid="{00000000-0005-0000-0000-000015020000}"/>
    <cellStyle name="_Comma_T - new_CNH 2" xfId="3459" xr:uid="{00000000-0005-0000-0000-000016020000}"/>
    <cellStyle name="_Comma_T - new_DOV" xfId="163" xr:uid="{00000000-0005-0000-0000-000017020000}"/>
    <cellStyle name="_Comma_T - new_DOV 2" xfId="3460" xr:uid="{00000000-0005-0000-0000-000018020000}"/>
    <cellStyle name="_Comma_T - new_ETN" xfId="164" xr:uid="{00000000-0005-0000-0000-000019020000}"/>
    <cellStyle name="_Comma_T - new_ETN 2" xfId="3461" xr:uid="{00000000-0005-0000-0000-00001A020000}"/>
    <cellStyle name="_Comma_T - new_FSS" xfId="165" xr:uid="{00000000-0005-0000-0000-00001B020000}"/>
    <cellStyle name="_Comma_T - new_FSS 2" xfId="3462" xr:uid="{00000000-0005-0000-0000-00001C020000}"/>
    <cellStyle name="_Comma_T - new_JOYG" xfId="166" xr:uid="{00000000-0005-0000-0000-00001D020000}"/>
    <cellStyle name="_Comma_T - new_MDO breakdown" xfId="3463" xr:uid="{00000000-0005-0000-0000-00001E020000}"/>
    <cellStyle name="_Comma_T - new_MDO breakdown 2" xfId="3464" xr:uid="{00000000-0005-0000-0000-00001F020000}"/>
    <cellStyle name="_Comma_T - new_MLM" xfId="167" xr:uid="{00000000-0005-0000-0000-000020020000}"/>
    <cellStyle name="_Comma_T - new_NAV" xfId="168" xr:uid="{00000000-0005-0000-0000-000021020000}"/>
    <cellStyle name="_Comma_T - new_New Version" xfId="3465" xr:uid="{00000000-0005-0000-0000-000022020000}"/>
    <cellStyle name="_Comma_T - new_New Version 2" xfId="3466" xr:uid="{00000000-0005-0000-0000-000023020000}"/>
    <cellStyle name="_Comma_T - new_OSK" xfId="169" xr:uid="{00000000-0005-0000-0000-000024020000}"/>
    <cellStyle name="_Comma_T - new_PCAR" xfId="170" xr:uid="{00000000-0005-0000-0000-000025020000}"/>
    <cellStyle name="_Comma_T - new_PH" xfId="171" xr:uid="{00000000-0005-0000-0000-000026020000}"/>
    <cellStyle name="_Comma_T - new_Sheet2" xfId="3467" xr:uid="{00000000-0005-0000-0000-000027020000}"/>
    <cellStyle name="_Comma_T - new_Sheet2 2" xfId="3468" xr:uid="{00000000-0005-0000-0000-000028020000}"/>
    <cellStyle name="_Comma_Updated Valuation Changes" xfId="2697" xr:uid="{00000000-0005-0000-0000-000029020000}"/>
    <cellStyle name="_Comma_Updated Valuation Changes 2" xfId="3469" xr:uid="{00000000-0005-0000-0000-00002A020000}"/>
    <cellStyle name="_Comma_Updated Valuation Changes_Origination Market Share-Qtr" xfId="3470" xr:uid="{00000000-0005-0000-0000-00002B020000}"/>
    <cellStyle name="_Comma_Updated Valuation Changes_Origination Market Share-Qtr 2" xfId="3471" xr:uid="{00000000-0005-0000-0000-00002C020000}"/>
    <cellStyle name="_Comma_Val Sheets" xfId="172" xr:uid="{00000000-0005-0000-0000-00002D020000}"/>
    <cellStyle name="_Comma_Val Sheets 2" xfId="3472" xr:uid="{00000000-0005-0000-0000-00002E020000}"/>
    <cellStyle name="_Comma_Val Sheets_Adjustments" xfId="3473" xr:uid="{00000000-0005-0000-0000-00002F020000}"/>
    <cellStyle name="_Comma_Val Sheets_Adjustments 2" xfId="3474" xr:uid="{00000000-0005-0000-0000-000030020000}"/>
    <cellStyle name="_Comma_Valuation and Benchmarking Template" xfId="3475" xr:uid="{00000000-0005-0000-0000-000031020000}"/>
    <cellStyle name="_Comma_Valuation Graphs" xfId="2698" xr:uid="{00000000-0005-0000-0000-000032020000}"/>
    <cellStyle name="_Comma_Valuation Graphs 2" xfId="3476" xr:uid="{00000000-0005-0000-0000-000033020000}"/>
    <cellStyle name="_Comma_Valuation Graphs_Origination Market Share-Qtr" xfId="3477" xr:uid="{00000000-0005-0000-0000-000034020000}"/>
    <cellStyle name="_Comma_Valuation Graphs_Origination Market Share-Qtr 2" xfId="3478" xr:uid="{00000000-0005-0000-0000-000035020000}"/>
    <cellStyle name="_Comma_xratio - historical mkt val" xfId="2699" xr:uid="{00000000-0005-0000-0000-000036020000}"/>
    <cellStyle name="_Comma_xratio - historical mkt val 2" xfId="3479" xr:uid="{00000000-0005-0000-0000-000037020000}"/>
    <cellStyle name="_Comma_xratio - historical mkt val_Origination Market Share-Qtr" xfId="3480" xr:uid="{00000000-0005-0000-0000-000038020000}"/>
    <cellStyle name="_Comma_xratio - historical mkt val_Origination Market Share-Qtr 2" xfId="3481" xr:uid="{00000000-0005-0000-0000-000039020000}"/>
    <cellStyle name="_Commtech" xfId="173" xr:uid="{00000000-0005-0000-0000-00003A020000}"/>
    <cellStyle name="_Competitors" xfId="3482" xr:uid="{00000000-0005-0000-0000-00003B020000}"/>
    <cellStyle name="_Competitors 2" xfId="3483" xr:uid="{00000000-0005-0000-0000-00003C020000}"/>
    <cellStyle name="_CORNMOD" xfId="3484" xr:uid="{00000000-0005-0000-0000-00003D020000}"/>
    <cellStyle name="_CSCO ROIC 091602" xfId="3485" xr:uid="{00000000-0005-0000-0000-00003E020000}"/>
    <cellStyle name="_CSCOMOD" xfId="3486" xr:uid="{00000000-0005-0000-0000-00003F020000}"/>
    <cellStyle name="_Currency" xfId="174" xr:uid="{00000000-0005-0000-0000-000040020000}"/>
    <cellStyle name="_Currency 2" xfId="175" xr:uid="{00000000-0005-0000-0000-000041020000}"/>
    <cellStyle name="_Currency 2 2" xfId="2906" xr:uid="{00000000-0005-0000-0000-000042020000}"/>
    <cellStyle name="_Currency 2 3" xfId="7033" xr:uid="{00000000-0005-0000-0000-000043020000}"/>
    <cellStyle name="_Currency 3" xfId="176" xr:uid="{00000000-0005-0000-0000-000044020000}"/>
    <cellStyle name="_Currency 3 2" xfId="2907" xr:uid="{00000000-0005-0000-0000-000045020000}"/>
    <cellStyle name="_Currency 3 3" xfId="7034" xr:uid="{00000000-0005-0000-0000-000046020000}"/>
    <cellStyle name="_Currency 4" xfId="2908" xr:uid="{00000000-0005-0000-0000-000047020000}"/>
    <cellStyle name="_Currency 5" xfId="2905" xr:uid="{00000000-0005-0000-0000-000048020000}"/>
    <cellStyle name="_Currency 6" xfId="7035" xr:uid="{00000000-0005-0000-0000-000049020000}"/>
    <cellStyle name="_Currency 7" xfId="7036" xr:uid="{00000000-0005-0000-0000-00004A020000}"/>
    <cellStyle name="_Currency_01 adj for merger plan" xfId="2700" xr:uid="{00000000-0005-0000-0000-00004B020000}"/>
    <cellStyle name="_Currency_01 adj for merger plan 2" xfId="3487" xr:uid="{00000000-0005-0000-0000-00004C020000}"/>
    <cellStyle name="_Currency_01 adj for merger plan_Origination Market Share-Qtr" xfId="3488" xr:uid="{00000000-0005-0000-0000-00004D020000}"/>
    <cellStyle name="_Currency_01 adj for merger plan_Origination Market Share-Qtr 2" xfId="3489" xr:uid="{00000000-0005-0000-0000-00004E020000}"/>
    <cellStyle name="_Currency_1 Loestrin 24" xfId="3490" xr:uid="{00000000-0005-0000-0000-00004F020000}"/>
    <cellStyle name="_Currency_1 Loestrin 24 2" xfId="3491" xr:uid="{00000000-0005-0000-0000-000050020000}"/>
    <cellStyle name="_Currency_1 Ovcon" xfId="3492" xr:uid="{00000000-0005-0000-0000-000051020000}"/>
    <cellStyle name="_Currency_1 Ovcon 2" xfId="3493" xr:uid="{00000000-0005-0000-0000-000052020000}"/>
    <cellStyle name="_Currency_1 Taclonex" xfId="3494" xr:uid="{00000000-0005-0000-0000-000053020000}"/>
    <cellStyle name="_Currency_1 Taclonex 2" xfId="3495" xr:uid="{00000000-0005-0000-0000-000054020000}"/>
    <cellStyle name="_Currency_4VAL DCF2" xfId="3496" xr:uid="{00000000-0005-0000-0000-000055020000}"/>
    <cellStyle name="_Currency_4VAL DCF2 2" xfId="3497" xr:uid="{00000000-0005-0000-0000-000056020000}"/>
    <cellStyle name="_Currency_Ability to Pay Analysis" xfId="2701" xr:uid="{00000000-0005-0000-0000-000057020000}"/>
    <cellStyle name="_Currency_Ability to Pay Analysis 2" xfId="3498" xr:uid="{00000000-0005-0000-0000-000058020000}"/>
    <cellStyle name="_Currency_Ability to Pay Analysis_Origination Market Share-Qtr" xfId="3499" xr:uid="{00000000-0005-0000-0000-000059020000}"/>
    <cellStyle name="_Currency_Ability to Pay Analysis_Origination Market Share-Qtr 2" xfId="3500" xr:uid="{00000000-0005-0000-0000-00005A020000}"/>
    <cellStyle name="_Currency_Actiq" xfId="3501" xr:uid="{00000000-0005-0000-0000-00005B020000}"/>
    <cellStyle name="_Currency_Actiq 2" xfId="3502" xr:uid="{00000000-0005-0000-0000-00005C020000}"/>
    <cellStyle name="_Currency_Adjustments" xfId="3503" xr:uid="{00000000-0005-0000-0000-00005D020000}"/>
    <cellStyle name="_Currency_Adjustments 2" xfId="3504" xr:uid="{00000000-0005-0000-0000-00005E020000}"/>
    <cellStyle name="_Currency_AF1" xfId="3505" xr:uid="{00000000-0005-0000-0000-00005F020000}"/>
    <cellStyle name="_Currency_AFL" xfId="2702" xr:uid="{00000000-0005-0000-0000-000060020000}"/>
    <cellStyle name="_Currency_AFL 2" xfId="3506" xr:uid="{00000000-0005-0000-0000-000061020000}"/>
    <cellStyle name="_Currency_AG" xfId="177" xr:uid="{00000000-0005-0000-0000-000062020000}"/>
    <cellStyle name="_Currency_Agis" xfId="3507" xr:uid="{00000000-0005-0000-0000-000063020000}"/>
    <cellStyle name="_Currency_Agis 2" xfId="3508" xr:uid="{00000000-0005-0000-0000-000064020000}"/>
    <cellStyle name="_Currency_ahpy" xfId="3509" xr:uid="{00000000-0005-0000-0000-000065020000}"/>
    <cellStyle name="_Currency_ahpy 2" xfId="3510" xr:uid="{00000000-0005-0000-0000-000066020000}"/>
    <cellStyle name="_Currency_AIRLINE DCF's" xfId="3511" xr:uid="{00000000-0005-0000-0000-000067020000}"/>
    <cellStyle name="_Currency_AIZ" xfId="2703" xr:uid="{00000000-0005-0000-0000-000068020000}"/>
    <cellStyle name="_Currency_AIZ 2" xfId="3512" xr:uid="{00000000-0005-0000-0000-000069020000}"/>
    <cellStyle name="_Currency_AIZ_Origination Market Share-Qtr" xfId="3513" xr:uid="{00000000-0005-0000-0000-00006A020000}"/>
    <cellStyle name="_Currency_AIZ_Origination Market Share-Qtr 2" xfId="3514" xr:uid="{00000000-0005-0000-0000-00006B020000}"/>
    <cellStyle name="_Currency_AMP" xfId="2704" xr:uid="{00000000-0005-0000-0000-00006C020000}"/>
    <cellStyle name="_Currency_AMP_Origination Market Share-Qtr" xfId="3515" xr:uid="{00000000-0005-0000-0000-00006D020000}"/>
    <cellStyle name="_Currency_ANDAs" xfId="3516" xr:uid="{00000000-0005-0000-0000-00006E020000}"/>
    <cellStyle name="_Currency_ANDAs 2" xfId="3517" xr:uid="{00000000-0005-0000-0000-00006F020000}"/>
    <cellStyle name="_Currency_ANDAs summary sheet" xfId="3518" xr:uid="{00000000-0005-0000-0000-000070020000}"/>
    <cellStyle name="_Currency_ANDAs summary sheet 2" xfId="3519" xr:uid="{00000000-0005-0000-0000-000071020000}"/>
    <cellStyle name="_Currency_ANDRX DDT" xfId="3520" xr:uid="{00000000-0005-0000-0000-000072020000}"/>
    <cellStyle name="_Currency_ANDRX DDT 2" xfId="3521" xr:uid="{00000000-0005-0000-0000-000073020000}"/>
    <cellStyle name="_Currency_AT" xfId="178" xr:uid="{00000000-0005-0000-0000-000074020000}"/>
    <cellStyle name="_Currency_AT 2" xfId="179" xr:uid="{00000000-0005-0000-0000-000075020000}"/>
    <cellStyle name="_Currency_AT 3" xfId="180" xr:uid="{00000000-0005-0000-0000-000076020000}"/>
    <cellStyle name="_Currency_AT_AG" xfId="181" xr:uid="{00000000-0005-0000-0000-000077020000}"/>
    <cellStyle name="_Currency_AT_CNH" xfId="182" xr:uid="{00000000-0005-0000-0000-000078020000}"/>
    <cellStyle name="_Currency_AT_CNH 2" xfId="3522" xr:uid="{00000000-0005-0000-0000-000079020000}"/>
    <cellStyle name="_Currency_AT_CNH_BU 15 performance" xfId="3523" xr:uid="{00000000-0005-0000-0000-00007A020000}"/>
    <cellStyle name="_Currency_AT_CNH_BU 15 performance 2" xfId="3524" xr:uid="{00000000-0005-0000-0000-00007B020000}"/>
    <cellStyle name="_Currency_AT_CNH_Industrials CL Portfolio_021009" xfId="3525" xr:uid="{00000000-0005-0000-0000-00007C020000}"/>
    <cellStyle name="_Currency_AT_CNH_Industrials CL Portfolio_021009 2" xfId="3526" xr:uid="{00000000-0005-0000-0000-00007D020000}"/>
    <cellStyle name="_Currency_AT_CNH_Industrials CL Portfolio_021109" xfId="3527" xr:uid="{00000000-0005-0000-0000-00007E020000}"/>
    <cellStyle name="_Currency_AT_CNH_Industrials CL Portfolio_021109 2" xfId="3528" xr:uid="{00000000-0005-0000-0000-00007F020000}"/>
    <cellStyle name="_Currency_AT_CNH_Investment Profile Screen" xfId="3529" xr:uid="{00000000-0005-0000-0000-000080020000}"/>
    <cellStyle name="_Currency_AT_CNH_Investment Profile Screen 2" xfId="3530" xr:uid="{00000000-0005-0000-0000-000081020000}"/>
    <cellStyle name="_Currency_AT_DOV" xfId="183" xr:uid="{00000000-0005-0000-0000-000082020000}"/>
    <cellStyle name="_Currency_AT_DOV 2" xfId="3531" xr:uid="{00000000-0005-0000-0000-000083020000}"/>
    <cellStyle name="_Currency_AT_ETN" xfId="184" xr:uid="{00000000-0005-0000-0000-000084020000}"/>
    <cellStyle name="_Currency_AT_ETN 2" xfId="3532" xr:uid="{00000000-0005-0000-0000-000085020000}"/>
    <cellStyle name="_Currency_AT_FSS" xfId="185" xr:uid="{00000000-0005-0000-0000-000086020000}"/>
    <cellStyle name="_Currency_AT_FSS 2" xfId="3533" xr:uid="{00000000-0005-0000-0000-000087020000}"/>
    <cellStyle name="_Currency_AT_JOYG" xfId="186" xr:uid="{00000000-0005-0000-0000-000088020000}"/>
    <cellStyle name="_Currency_AT_MDO breakdown" xfId="3534" xr:uid="{00000000-0005-0000-0000-000089020000}"/>
    <cellStyle name="_Currency_AT_MDO breakdown 2" xfId="3535" xr:uid="{00000000-0005-0000-0000-00008A020000}"/>
    <cellStyle name="_Currency_AT_MLM" xfId="187" xr:uid="{00000000-0005-0000-0000-00008B020000}"/>
    <cellStyle name="_Currency_AT_NAV" xfId="188" xr:uid="{00000000-0005-0000-0000-00008C020000}"/>
    <cellStyle name="_Currency_AT_New Version" xfId="3536" xr:uid="{00000000-0005-0000-0000-00008D020000}"/>
    <cellStyle name="_Currency_AT_New Version 2" xfId="3537" xr:uid="{00000000-0005-0000-0000-00008E020000}"/>
    <cellStyle name="_Currency_AT_OSK" xfId="189" xr:uid="{00000000-0005-0000-0000-00008F020000}"/>
    <cellStyle name="_Currency_AT_PCAR" xfId="190" xr:uid="{00000000-0005-0000-0000-000090020000}"/>
    <cellStyle name="_Currency_AT_PH" xfId="191" xr:uid="{00000000-0005-0000-0000-000091020000}"/>
    <cellStyle name="_Currency_AT_Sheet2" xfId="3538" xr:uid="{00000000-0005-0000-0000-000092020000}"/>
    <cellStyle name="_Currency_AT_Sheet2 2" xfId="3539" xr:uid="{00000000-0005-0000-0000-000093020000}"/>
    <cellStyle name="_Currency_AutoPrice2000" xfId="3540" xr:uid="{00000000-0005-0000-0000-000094020000}"/>
    <cellStyle name="_Currency_AWE" xfId="192" xr:uid="{00000000-0005-0000-0000-000095020000}"/>
    <cellStyle name="_Currency_AWE 2" xfId="193" xr:uid="{00000000-0005-0000-0000-000096020000}"/>
    <cellStyle name="_Currency_AWE 3" xfId="194" xr:uid="{00000000-0005-0000-0000-000097020000}"/>
    <cellStyle name="_Currency_AWE_AG" xfId="195" xr:uid="{00000000-0005-0000-0000-000098020000}"/>
    <cellStyle name="_Currency_AWE_CNH" xfId="196" xr:uid="{00000000-0005-0000-0000-000099020000}"/>
    <cellStyle name="_Currency_AWE_CNH 2" xfId="3541" xr:uid="{00000000-0005-0000-0000-00009A020000}"/>
    <cellStyle name="_Currency_AWE_CNH_BU 15 performance" xfId="3542" xr:uid="{00000000-0005-0000-0000-00009B020000}"/>
    <cellStyle name="_Currency_AWE_CNH_BU 15 performance 2" xfId="3543" xr:uid="{00000000-0005-0000-0000-00009C020000}"/>
    <cellStyle name="_Currency_AWE_CNH_Industrials CL Portfolio_021009" xfId="3544" xr:uid="{00000000-0005-0000-0000-00009D020000}"/>
    <cellStyle name="_Currency_AWE_CNH_Industrials CL Portfolio_021009 2" xfId="3545" xr:uid="{00000000-0005-0000-0000-00009E020000}"/>
    <cellStyle name="_Currency_AWE_CNH_Industrials CL Portfolio_021109" xfId="3546" xr:uid="{00000000-0005-0000-0000-00009F020000}"/>
    <cellStyle name="_Currency_AWE_CNH_Industrials CL Portfolio_021109 2" xfId="3547" xr:uid="{00000000-0005-0000-0000-0000A0020000}"/>
    <cellStyle name="_Currency_AWE_CNH_Investment Profile Screen" xfId="3548" xr:uid="{00000000-0005-0000-0000-0000A1020000}"/>
    <cellStyle name="_Currency_AWE_CNH_Investment Profile Screen 2" xfId="3549" xr:uid="{00000000-0005-0000-0000-0000A2020000}"/>
    <cellStyle name="_Currency_AWE_DOV" xfId="197" xr:uid="{00000000-0005-0000-0000-0000A3020000}"/>
    <cellStyle name="_Currency_AWE_DOV 2" xfId="3550" xr:uid="{00000000-0005-0000-0000-0000A4020000}"/>
    <cellStyle name="_Currency_AWE_ETN" xfId="198" xr:uid="{00000000-0005-0000-0000-0000A5020000}"/>
    <cellStyle name="_Currency_AWE_ETN 2" xfId="3551" xr:uid="{00000000-0005-0000-0000-0000A6020000}"/>
    <cellStyle name="_Currency_AWE_FSS" xfId="199" xr:uid="{00000000-0005-0000-0000-0000A7020000}"/>
    <cellStyle name="_Currency_AWE_FSS 2" xfId="3552" xr:uid="{00000000-0005-0000-0000-0000A8020000}"/>
    <cellStyle name="_Currency_AWE_JOYG" xfId="200" xr:uid="{00000000-0005-0000-0000-0000A9020000}"/>
    <cellStyle name="_Currency_AWE_MDO breakdown" xfId="3553" xr:uid="{00000000-0005-0000-0000-0000AA020000}"/>
    <cellStyle name="_Currency_AWE_MDO breakdown 2" xfId="3554" xr:uid="{00000000-0005-0000-0000-0000AB020000}"/>
    <cellStyle name="_Currency_AWE_MLM" xfId="201" xr:uid="{00000000-0005-0000-0000-0000AC020000}"/>
    <cellStyle name="_Currency_AWE_NAV" xfId="202" xr:uid="{00000000-0005-0000-0000-0000AD020000}"/>
    <cellStyle name="_Currency_AWE_New Version" xfId="3555" xr:uid="{00000000-0005-0000-0000-0000AE020000}"/>
    <cellStyle name="_Currency_AWE_New Version 2" xfId="3556" xr:uid="{00000000-0005-0000-0000-0000AF020000}"/>
    <cellStyle name="_Currency_AWE_OSK" xfId="203" xr:uid="{00000000-0005-0000-0000-0000B0020000}"/>
    <cellStyle name="_Currency_AWE_PCAR" xfId="204" xr:uid="{00000000-0005-0000-0000-0000B1020000}"/>
    <cellStyle name="_Currency_AWE_PH" xfId="205" xr:uid="{00000000-0005-0000-0000-0000B2020000}"/>
    <cellStyle name="_Currency_AWE_Sheet2" xfId="3557" xr:uid="{00000000-0005-0000-0000-0000B3020000}"/>
    <cellStyle name="_Currency_AWE_Sheet2 2" xfId="3558" xr:uid="{00000000-0005-0000-0000-0000B4020000}"/>
    <cellStyle name="_Currency_BA-DCF" xfId="3559" xr:uid="{00000000-0005-0000-0000-0000B5020000}"/>
    <cellStyle name="_Currency_Balance Sheet" xfId="2705" xr:uid="{00000000-0005-0000-0000-0000B6020000}"/>
    <cellStyle name="_Currency_Balance Sheet 2" xfId="3560" xr:uid="{00000000-0005-0000-0000-0000B7020000}"/>
    <cellStyle name="_Currency_Balance Sheet_Origination Market Share-Qtr" xfId="3561" xr:uid="{00000000-0005-0000-0000-0000B8020000}"/>
    <cellStyle name="_Currency_Balance Sheet_Origination Market Share-Qtr 2" xfId="3562" xr:uid="{00000000-0005-0000-0000-0000B9020000}"/>
    <cellStyle name="_Currency_BHI" xfId="206" xr:uid="{00000000-0005-0000-0000-0000BA020000}"/>
    <cellStyle name="_Currency_BHI 2" xfId="207" xr:uid="{00000000-0005-0000-0000-0000BB020000}"/>
    <cellStyle name="_Currency_BHI 3" xfId="208" xr:uid="{00000000-0005-0000-0000-0000BC020000}"/>
    <cellStyle name="_Currency_BHI_AG" xfId="209" xr:uid="{00000000-0005-0000-0000-0000BD020000}"/>
    <cellStyle name="_Currency_BHI_CNH" xfId="210" xr:uid="{00000000-0005-0000-0000-0000BE020000}"/>
    <cellStyle name="_Currency_BHI_CNH 2" xfId="3563" xr:uid="{00000000-0005-0000-0000-0000BF020000}"/>
    <cellStyle name="_Currency_BHI_CNH_BU 15 performance" xfId="3564" xr:uid="{00000000-0005-0000-0000-0000C0020000}"/>
    <cellStyle name="_Currency_BHI_CNH_BU 15 performance 2" xfId="3565" xr:uid="{00000000-0005-0000-0000-0000C1020000}"/>
    <cellStyle name="_Currency_BHI_CNH_Industrials CL Portfolio_021009" xfId="3566" xr:uid="{00000000-0005-0000-0000-0000C2020000}"/>
    <cellStyle name="_Currency_BHI_CNH_Industrials CL Portfolio_021009 2" xfId="3567" xr:uid="{00000000-0005-0000-0000-0000C3020000}"/>
    <cellStyle name="_Currency_BHI_CNH_Industrials CL Portfolio_021109" xfId="3568" xr:uid="{00000000-0005-0000-0000-0000C4020000}"/>
    <cellStyle name="_Currency_BHI_CNH_Industrials CL Portfolio_021109 2" xfId="3569" xr:uid="{00000000-0005-0000-0000-0000C5020000}"/>
    <cellStyle name="_Currency_BHI_CNH_Investment Profile Screen" xfId="3570" xr:uid="{00000000-0005-0000-0000-0000C6020000}"/>
    <cellStyle name="_Currency_BHI_CNH_Investment Profile Screen 2" xfId="3571" xr:uid="{00000000-0005-0000-0000-0000C7020000}"/>
    <cellStyle name="_Currency_BHI_DOV" xfId="211" xr:uid="{00000000-0005-0000-0000-0000C8020000}"/>
    <cellStyle name="_Currency_BHI_DOV 2" xfId="3572" xr:uid="{00000000-0005-0000-0000-0000C9020000}"/>
    <cellStyle name="_Currency_BHI_ETN" xfId="212" xr:uid="{00000000-0005-0000-0000-0000CA020000}"/>
    <cellStyle name="_Currency_BHI_ETN 2" xfId="3573" xr:uid="{00000000-0005-0000-0000-0000CB020000}"/>
    <cellStyle name="_Currency_BHI_FSS" xfId="213" xr:uid="{00000000-0005-0000-0000-0000CC020000}"/>
    <cellStyle name="_Currency_BHI_FSS 2" xfId="3574" xr:uid="{00000000-0005-0000-0000-0000CD020000}"/>
    <cellStyle name="_Currency_BHI_JOYG" xfId="214" xr:uid="{00000000-0005-0000-0000-0000CE020000}"/>
    <cellStyle name="_Currency_BHI_MLM" xfId="215" xr:uid="{00000000-0005-0000-0000-0000CF020000}"/>
    <cellStyle name="_Currency_BHI_NAV" xfId="216" xr:uid="{00000000-0005-0000-0000-0000D0020000}"/>
    <cellStyle name="_Currency_BHI_OSK" xfId="217" xr:uid="{00000000-0005-0000-0000-0000D1020000}"/>
    <cellStyle name="_Currency_BHI_PCAR" xfId="218" xr:uid="{00000000-0005-0000-0000-0000D2020000}"/>
    <cellStyle name="_Currency_BHI_PH" xfId="219" xr:uid="{00000000-0005-0000-0000-0000D3020000}"/>
    <cellStyle name="_Currency_BLS" xfId="220" xr:uid="{00000000-0005-0000-0000-0000D4020000}"/>
    <cellStyle name="_Currency_BLS 2" xfId="221" xr:uid="{00000000-0005-0000-0000-0000D5020000}"/>
    <cellStyle name="_Currency_BLS 3" xfId="222" xr:uid="{00000000-0005-0000-0000-0000D6020000}"/>
    <cellStyle name="_Currency_bls roic" xfId="223" xr:uid="{00000000-0005-0000-0000-0000D7020000}"/>
    <cellStyle name="_Currency_bls roic 2" xfId="224" xr:uid="{00000000-0005-0000-0000-0000D8020000}"/>
    <cellStyle name="_Currency_bls roic 3" xfId="225" xr:uid="{00000000-0005-0000-0000-0000D9020000}"/>
    <cellStyle name="_Currency_bls roic_AG" xfId="226" xr:uid="{00000000-0005-0000-0000-0000DA020000}"/>
    <cellStyle name="_Currency_bls roic_CNH" xfId="227" xr:uid="{00000000-0005-0000-0000-0000DB020000}"/>
    <cellStyle name="_Currency_bls roic_CNH 2" xfId="3575" xr:uid="{00000000-0005-0000-0000-0000DC020000}"/>
    <cellStyle name="_Currency_bls roic_DOV" xfId="228" xr:uid="{00000000-0005-0000-0000-0000DD020000}"/>
    <cellStyle name="_Currency_bls roic_DOV 2" xfId="3576" xr:uid="{00000000-0005-0000-0000-0000DE020000}"/>
    <cellStyle name="_Currency_bls roic_ETN" xfId="229" xr:uid="{00000000-0005-0000-0000-0000DF020000}"/>
    <cellStyle name="_Currency_bls roic_ETN 2" xfId="3577" xr:uid="{00000000-0005-0000-0000-0000E0020000}"/>
    <cellStyle name="_Currency_bls roic_FSS" xfId="230" xr:uid="{00000000-0005-0000-0000-0000E1020000}"/>
    <cellStyle name="_Currency_bls roic_FSS 2" xfId="3578" xr:uid="{00000000-0005-0000-0000-0000E2020000}"/>
    <cellStyle name="_Currency_bls roic_JOYG" xfId="231" xr:uid="{00000000-0005-0000-0000-0000E3020000}"/>
    <cellStyle name="_Currency_bls roic_MDO breakdown" xfId="3579" xr:uid="{00000000-0005-0000-0000-0000E4020000}"/>
    <cellStyle name="_Currency_bls roic_MDO breakdown 2" xfId="3580" xr:uid="{00000000-0005-0000-0000-0000E5020000}"/>
    <cellStyle name="_Currency_bls roic_MLM" xfId="232" xr:uid="{00000000-0005-0000-0000-0000E6020000}"/>
    <cellStyle name="_Currency_bls roic_NAV" xfId="233" xr:uid="{00000000-0005-0000-0000-0000E7020000}"/>
    <cellStyle name="_Currency_bls roic_New Version" xfId="3581" xr:uid="{00000000-0005-0000-0000-0000E8020000}"/>
    <cellStyle name="_Currency_bls roic_New Version 2" xfId="3582" xr:uid="{00000000-0005-0000-0000-0000E9020000}"/>
    <cellStyle name="_Currency_bls roic_OSK" xfId="234" xr:uid="{00000000-0005-0000-0000-0000EA020000}"/>
    <cellStyle name="_Currency_bls roic_PCAR" xfId="235" xr:uid="{00000000-0005-0000-0000-0000EB020000}"/>
    <cellStyle name="_Currency_bls roic_PH" xfId="236" xr:uid="{00000000-0005-0000-0000-0000EC020000}"/>
    <cellStyle name="_Currency_bls roic_Sheet2" xfId="3583" xr:uid="{00000000-0005-0000-0000-0000ED020000}"/>
    <cellStyle name="_Currency_bls roic_Sheet2 2" xfId="3584" xr:uid="{00000000-0005-0000-0000-0000EE020000}"/>
    <cellStyle name="_Currency_BLS_AG" xfId="237" xr:uid="{00000000-0005-0000-0000-0000EF020000}"/>
    <cellStyle name="_Currency_BLS_CNH" xfId="238" xr:uid="{00000000-0005-0000-0000-0000F0020000}"/>
    <cellStyle name="_Currency_BLS_CNH 2" xfId="3585" xr:uid="{00000000-0005-0000-0000-0000F1020000}"/>
    <cellStyle name="_Currency_BLS_CNH_BU 15 performance" xfId="3586" xr:uid="{00000000-0005-0000-0000-0000F2020000}"/>
    <cellStyle name="_Currency_BLS_CNH_BU 15 performance 2" xfId="3587" xr:uid="{00000000-0005-0000-0000-0000F3020000}"/>
    <cellStyle name="_Currency_BLS_CNH_Industrials CL Portfolio_021009" xfId="3588" xr:uid="{00000000-0005-0000-0000-0000F4020000}"/>
    <cellStyle name="_Currency_BLS_CNH_Industrials CL Portfolio_021009 2" xfId="3589" xr:uid="{00000000-0005-0000-0000-0000F5020000}"/>
    <cellStyle name="_Currency_BLS_CNH_Industrials CL Portfolio_021109" xfId="3590" xr:uid="{00000000-0005-0000-0000-0000F6020000}"/>
    <cellStyle name="_Currency_BLS_CNH_Industrials CL Portfolio_021109 2" xfId="3591" xr:uid="{00000000-0005-0000-0000-0000F7020000}"/>
    <cellStyle name="_Currency_BLS_CNH_Investment Profile Screen" xfId="3592" xr:uid="{00000000-0005-0000-0000-0000F8020000}"/>
    <cellStyle name="_Currency_BLS_CNH_Investment Profile Screen 2" xfId="3593" xr:uid="{00000000-0005-0000-0000-0000F9020000}"/>
    <cellStyle name="_Currency_BLS_DOV" xfId="239" xr:uid="{00000000-0005-0000-0000-0000FA020000}"/>
    <cellStyle name="_Currency_BLS_DOV 2" xfId="3594" xr:uid="{00000000-0005-0000-0000-0000FB020000}"/>
    <cellStyle name="_Currency_BLS_ETN" xfId="240" xr:uid="{00000000-0005-0000-0000-0000FC020000}"/>
    <cellStyle name="_Currency_BLS_ETN 2" xfId="3595" xr:uid="{00000000-0005-0000-0000-0000FD020000}"/>
    <cellStyle name="_Currency_BLS_FSS" xfId="241" xr:uid="{00000000-0005-0000-0000-0000FE020000}"/>
    <cellStyle name="_Currency_BLS_FSS 2" xfId="3596" xr:uid="{00000000-0005-0000-0000-0000FF020000}"/>
    <cellStyle name="_Currency_BLS_JOYG" xfId="242" xr:uid="{00000000-0005-0000-0000-000000030000}"/>
    <cellStyle name="_Currency_BLS_MDO breakdown" xfId="3597" xr:uid="{00000000-0005-0000-0000-000001030000}"/>
    <cellStyle name="_Currency_BLS_MDO breakdown 2" xfId="3598" xr:uid="{00000000-0005-0000-0000-000002030000}"/>
    <cellStyle name="_Currency_BLS_MLM" xfId="243" xr:uid="{00000000-0005-0000-0000-000003030000}"/>
    <cellStyle name="_Currency_BLS_NAV" xfId="244" xr:uid="{00000000-0005-0000-0000-000004030000}"/>
    <cellStyle name="_Currency_BLS_New Version" xfId="3599" xr:uid="{00000000-0005-0000-0000-000005030000}"/>
    <cellStyle name="_Currency_BLS_New Version 2" xfId="3600" xr:uid="{00000000-0005-0000-0000-000006030000}"/>
    <cellStyle name="_Currency_BLS_OSK" xfId="245" xr:uid="{00000000-0005-0000-0000-000007030000}"/>
    <cellStyle name="_Currency_BLS_PCAR" xfId="246" xr:uid="{00000000-0005-0000-0000-000008030000}"/>
    <cellStyle name="_Currency_BLS_PH" xfId="247" xr:uid="{00000000-0005-0000-0000-000009030000}"/>
    <cellStyle name="_Currency_BLS_Sheet2" xfId="3601" xr:uid="{00000000-0005-0000-0000-00000A030000}"/>
    <cellStyle name="_Currency_BLS_Sheet2 2" xfId="3602" xr:uid="{00000000-0005-0000-0000-00000B030000}"/>
    <cellStyle name="_Currency_Book1" xfId="2706" xr:uid="{00000000-0005-0000-0000-00000C030000}"/>
    <cellStyle name="_Currency_Book1 2" xfId="3603" xr:uid="{00000000-0005-0000-0000-00000D030000}"/>
    <cellStyle name="_Currency_Book1_Origination Market Share-Qtr" xfId="3604" xr:uid="{00000000-0005-0000-0000-00000E030000}"/>
    <cellStyle name="_Currency_Book1_Origination Market Share-Qtr 2" xfId="3605" xr:uid="{00000000-0005-0000-0000-00000F030000}"/>
    <cellStyle name="_Currency_Book2" xfId="248" xr:uid="{00000000-0005-0000-0000-000010030000}"/>
    <cellStyle name="_Currency_Book2 2" xfId="249" xr:uid="{00000000-0005-0000-0000-000011030000}"/>
    <cellStyle name="_Currency_Book2 3" xfId="250" xr:uid="{00000000-0005-0000-0000-000012030000}"/>
    <cellStyle name="_Currency_Book2_AG" xfId="251" xr:uid="{00000000-0005-0000-0000-000013030000}"/>
    <cellStyle name="_Currency_Book2_CNH" xfId="252" xr:uid="{00000000-0005-0000-0000-000014030000}"/>
    <cellStyle name="_Currency_Book2_CNH 2" xfId="3606" xr:uid="{00000000-0005-0000-0000-000015030000}"/>
    <cellStyle name="_Currency_Book2_DOV" xfId="253" xr:uid="{00000000-0005-0000-0000-000016030000}"/>
    <cellStyle name="_Currency_Book2_DOV 2" xfId="3607" xr:uid="{00000000-0005-0000-0000-000017030000}"/>
    <cellStyle name="_Currency_Book2_ETN" xfId="254" xr:uid="{00000000-0005-0000-0000-000018030000}"/>
    <cellStyle name="_Currency_Book2_ETN 2" xfId="3608" xr:uid="{00000000-0005-0000-0000-000019030000}"/>
    <cellStyle name="_Currency_Book2_FSS" xfId="255" xr:uid="{00000000-0005-0000-0000-00001A030000}"/>
    <cellStyle name="_Currency_Book2_FSS 2" xfId="3609" xr:uid="{00000000-0005-0000-0000-00001B030000}"/>
    <cellStyle name="_Currency_Book2_JOYG" xfId="256" xr:uid="{00000000-0005-0000-0000-00001C030000}"/>
    <cellStyle name="_Currency_Book2_MDO breakdown" xfId="3610" xr:uid="{00000000-0005-0000-0000-00001D030000}"/>
    <cellStyle name="_Currency_Book2_MDO breakdown 2" xfId="3611" xr:uid="{00000000-0005-0000-0000-00001E030000}"/>
    <cellStyle name="_Currency_Book2_MLM" xfId="257" xr:uid="{00000000-0005-0000-0000-00001F030000}"/>
    <cellStyle name="_Currency_Book2_NAV" xfId="258" xr:uid="{00000000-0005-0000-0000-000020030000}"/>
    <cellStyle name="_Currency_Book2_New Version" xfId="3612" xr:uid="{00000000-0005-0000-0000-000021030000}"/>
    <cellStyle name="_Currency_Book2_New Version 2" xfId="3613" xr:uid="{00000000-0005-0000-0000-000022030000}"/>
    <cellStyle name="_Currency_Book2_OSK" xfId="259" xr:uid="{00000000-0005-0000-0000-000023030000}"/>
    <cellStyle name="_Currency_Book2_PCAR" xfId="260" xr:uid="{00000000-0005-0000-0000-000024030000}"/>
    <cellStyle name="_Currency_Book2_PH" xfId="261" xr:uid="{00000000-0005-0000-0000-000025030000}"/>
    <cellStyle name="_Currency_Book2_Sheet2" xfId="3614" xr:uid="{00000000-0005-0000-0000-000026030000}"/>
    <cellStyle name="_Currency_Book2_Sheet2 2" xfId="3615" xr:uid="{00000000-0005-0000-0000-000027030000}"/>
    <cellStyle name="_Currency_Book29" xfId="2707" xr:uid="{00000000-0005-0000-0000-000028030000}"/>
    <cellStyle name="_Currency_Book29 2" xfId="3616" xr:uid="{00000000-0005-0000-0000-000029030000}"/>
    <cellStyle name="_Currency_Book29_Origination Market Share-Qtr" xfId="3617" xr:uid="{00000000-0005-0000-0000-00002A030000}"/>
    <cellStyle name="_Currency_Book29_Origination Market Share-Qtr 2" xfId="3618" xr:uid="{00000000-0005-0000-0000-00002B030000}"/>
    <cellStyle name="_Currency_Book3" xfId="262" xr:uid="{00000000-0005-0000-0000-00002C030000}"/>
    <cellStyle name="_Currency_Book3 2" xfId="3068" xr:uid="{00000000-0005-0000-0000-00002D030000}"/>
    <cellStyle name="_Currency_Book3 3" xfId="7037" xr:uid="{00000000-0005-0000-0000-00002E030000}"/>
    <cellStyle name="_Currency_Book3 4" xfId="7038" xr:uid="{00000000-0005-0000-0000-00002F030000}"/>
    <cellStyle name="_Currency_Book3_1" xfId="2708" xr:uid="{00000000-0005-0000-0000-000030030000}"/>
    <cellStyle name="_Currency_Book3_1 2" xfId="3619" xr:uid="{00000000-0005-0000-0000-000031030000}"/>
    <cellStyle name="_Currency_Book3_1_Origination Market Share-Qtr" xfId="3620" xr:uid="{00000000-0005-0000-0000-000032030000}"/>
    <cellStyle name="_Currency_Book3_1_Origination Market Share-Qtr 2" xfId="3621" xr:uid="{00000000-0005-0000-0000-000033030000}"/>
    <cellStyle name="_Currency_Book3_Adjustments" xfId="3622" xr:uid="{00000000-0005-0000-0000-000034030000}"/>
    <cellStyle name="_Currency_Book3_Adjustments 2" xfId="3623" xr:uid="{00000000-0005-0000-0000-000035030000}"/>
    <cellStyle name="_Currency_Book3_Origination Market Share-Qtr" xfId="3624" xr:uid="{00000000-0005-0000-0000-000036030000}"/>
    <cellStyle name="_Currency_Book3_Origination Market Share-Qtr 2" xfId="3625" xr:uid="{00000000-0005-0000-0000-000037030000}"/>
    <cellStyle name="_Currency_Book32" xfId="263" xr:uid="{00000000-0005-0000-0000-000038030000}"/>
    <cellStyle name="_Currency_Book32 2" xfId="264" xr:uid="{00000000-0005-0000-0000-000039030000}"/>
    <cellStyle name="_Currency_Book32 3" xfId="265" xr:uid="{00000000-0005-0000-0000-00003A030000}"/>
    <cellStyle name="_Currency_Book32_AG" xfId="266" xr:uid="{00000000-0005-0000-0000-00003B030000}"/>
    <cellStyle name="_Currency_Book32_CNH" xfId="267" xr:uid="{00000000-0005-0000-0000-00003C030000}"/>
    <cellStyle name="_Currency_Book32_CNH 2" xfId="3626" xr:uid="{00000000-0005-0000-0000-00003D030000}"/>
    <cellStyle name="_Currency_Book32_DOV" xfId="268" xr:uid="{00000000-0005-0000-0000-00003E030000}"/>
    <cellStyle name="_Currency_Book32_DOV 2" xfId="3627" xr:uid="{00000000-0005-0000-0000-00003F030000}"/>
    <cellStyle name="_Currency_Book32_ETN" xfId="269" xr:uid="{00000000-0005-0000-0000-000040030000}"/>
    <cellStyle name="_Currency_Book32_ETN 2" xfId="3628" xr:uid="{00000000-0005-0000-0000-000041030000}"/>
    <cellStyle name="_Currency_Book32_FSS" xfId="270" xr:uid="{00000000-0005-0000-0000-000042030000}"/>
    <cellStyle name="_Currency_Book32_FSS 2" xfId="3629" xr:uid="{00000000-0005-0000-0000-000043030000}"/>
    <cellStyle name="_Currency_Book32_JOYG" xfId="271" xr:uid="{00000000-0005-0000-0000-000044030000}"/>
    <cellStyle name="_Currency_Book32_MDO breakdown" xfId="3630" xr:uid="{00000000-0005-0000-0000-000045030000}"/>
    <cellStyle name="_Currency_Book32_MDO breakdown 2" xfId="3631" xr:uid="{00000000-0005-0000-0000-000046030000}"/>
    <cellStyle name="_Currency_Book32_MLM" xfId="272" xr:uid="{00000000-0005-0000-0000-000047030000}"/>
    <cellStyle name="_Currency_Book32_NAV" xfId="273" xr:uid="{00000000-0005-0000-0000-000048030000}"/>
    <cellStyle name="_Currency_Book32_New Version" xfId="3632" xr:uid="{00000000-0005-0000-0000-000049030000}"/>
    <cellStyle name="_Currency_Book32_New Version 2" xfId="3633" xr:uid="{00000000-0005-0000-0000-00004A030000}"/>
    <cellStyle name="_Currency_Book32_OSK" xfId="274" xr:uid="{00000000-0005-0000-0000-00004B030000}"/>
    <cellStyle name="_Currency_Book32_PCAR" xfId="275" xr:uid="{00000000-0005-0000-0000-00004C030000}"/>
    <cellStyle name="_Currency_Book32_PH" xfId="276" xr:uid="{00000000-0005-0000-0000-00004D030000}"/>
    <cellStyle name="_Currency_Book32_Sheet2" xfId="3634" xr:uid="{00000000-0005-0000-0000-00004E030000}"/>
    <cellStyle name="_Currency_Book32_Sheet2 2" xfId="3635" xr:uid="{00000000-0005-0000-0000-00004F030000}"/>
    <cellStyle name="_Currency_Book6" xfId="3636" xr:uid="{00000000-0005-0000-0000-000050030000}"/>
    <cellStyle name="_Currency_Broadcasting" xfId="277" xr:uid="{00000000-0005-0000-0000-000051030000}"/>
    <cellStyle name="_Currency_Broadcasting 2" xfId="3637" xr:uid="{00000000-0005-0000-0000-000052030000}"/>
    <cellStyle name="_Currency_Broadcasting_New Version" xfId="3638" xr:uid="{00000000-0005-0000-0000-000053030000}"/>
    <cellStyle name="_Currency_Broadcasting_New Version 2" xfId="3639" xr:uid="{00000000-0005-0000-0000-000054030000}"/>
    <cellStyle name="_Currency_Broadcasting_Sheet2" xfId="3640" xr:uid="{00000000-0005-0000-0000-000055030000}"/>
    <cellStyle name="_Currency_Broadcasting_Sheet2 2" xfId="3641" xr:uid="{00000000-0005-0000-0000-000056030000}"/>
    <cellStyle name="_Currency_CAPEX spend" xfId="3642" xr:uid="{00000000-0005-0000-0000-000057030000}"/>
    <cellStyle name="_Currency_CAPEX spend 2" xfId="3643" xr:uid="{00000000-0005-0000-0000-000058030000}"/>
    <cellStyle name="_Currency_capital expenditures 6-18-02" xfId="278" xr:uid="{00000000-0005-0000-0000-000059030000}"/>
    <cellStyle name="_Currency_capital expenditures 6-18-02 2" xfId="279" xr:uid="{00000000-0005-0000-0000-00005A030000}"/>
    <cellStyle name="_Currency_capital expenditures 6-18-02 3" xfId="280" xr:uid="{00000000-0005-0000-0000-00005B030000}"/>
    <cellStyle name="_Currency_capital expenditures 6-18-02_AG" xfId="281" xr:uid="{00000000-0005-0000-0000-00005C030000}"/>
    <cellStyle name="_Currency_capital expenditures 6-18-02_CNH" xfId="282" xr:uid="{00000000-0005-0000-0000-00005D030000}"/>
    <cellStyle name="_Currency_capital expenditures 6-18-02_CNH 2" xfId="3644" xr:uid="{00000000-0005-0000-0000-00005E030000}"/>
    <cellStyle name="_Currency_capital expenditures 6-18-02_DOV" xfId="283" xr:uid="{00000000-0005-0000-0000-00005F030000}"/>
    <cellStyle name="_Currency_capital expenditures 6-18-02_DOV 2" xfId="3645" xr:uid="{00000000-0005-0000-0000-000060030000}"/>
    <cellStyle name="_Currency_capital expenditures 6-18-02_ETN" xfId="284" xr:uid="{00000000-0005-0000-0000-000061030000}"/>
    <cellStyle name="_Currency_capital expenditures 6-18-02_ETN 2" xfId="3646" xr:uid="{00000000-0005-0000-0000-000062030000}"/>
    <cellStyle name="_Currency_capital expenditures 6-18-02_FSS" xfId="285" xr:uid="{00000000-0005-0000-0000-000063030000}"/>
    <cellStyle name="_Currency_capital expenditures 6-18-02_FSS 2" xfId="3647" xr:uid="{00000000-0005-0000-0000-000064030000}"/>
    <cellStyle name="_Currency_capital expenditures 6-18-02_JOYG" xfId="286" xr:uid="{00000000-0005-0000-0000-000065030000}"/>
    <cellStyle name="_Currency_capital expenditures 6-18-02_MDO breakdown" xfId="3648" xr:uid="{00000000-0005-0000-0000-000066030000}"/>
    <cellStyle name="_Currency_capital expenditures 6-18-02_MDO breakdown 2" xfId="3649" xr:uid="{00000000-0005-0000-0000-000067030000}"/>
    <cellStyle name="_Currency_capital expenditures 6-18-02_MLM" xfId="287" xr:uid="{00000000-0005-0000-0000-000068030000}"/>
    <cellStyle name="_Currency_capital expenditures 6-18-02_NAV" xfId="288" xr:uid="{00000000-0005-0000-0000-000069030000}"/>
    <cellStyle name="_Currency_capital expenditures 6-18-02_New Version" xfId="3650" xr:uid="{00000000-0005-0000-0000-00006A030000}"/>
    <cellStyle name="_Currency_capital expenditures 6-18-02_New Version 2" xfId="3651" xr:uid="{00000000-0005-0000-0000-00006B030000}"/>
    <cellStyle name="_Currency_capital expenditures 6-18-02_OSK" xfId="289" xr:uid="{00000000-0005-0000-0000-00006C030000}"/>
    <cellStyle name="_Currency_capital expenditures 6-18-02_PCAR" xfId="290" xr:uid="{00000000-0005-0000-0000-00006D030000}"/>
    <cellStyle name="_Currency_capital expenditures 6-18-02_PH" xfId="291" xr:uid="{00000000-0005-0000-0000-00006E030000}"/>
    <cellStyle name="_Currency_capital expenditures 6-18-02_Sheet2" xfId="3652" xr:uid="{00000000-0005-0000-0000-00006F030000}"/>
    <cellStyle name="_Currency_capital expenditures 6-18-02_Sheet2 2" xfId="3653" xr:uid="{00000000-0005-0000-0000-000070030000}"/>
    <cellStyle name="_Currency_Cashflow" xfId="3654" xr:uid="{00000000-0005-0000-0000-000071030000}"/>
    <cellStyle name="_Currency_Cingular" xfId="292" xr:uid="{00000000-0005-0000-0000-000072030000}"/>
    <cellStyle name="_Currency_Cingular 2" xfId="293" xr:uid="{00000000-0005-0000-0000-000073030000}"/>
    <cellStyle name="_Currency_Cingular 3" xfId="294" xr:uid="{00000000-0005-0000-0000-000074030000}"/>
    <cellStyle name="_Currency_Cingular_AG" xfId="295" xr:uid="{00000000-0005-0000-0000-000075030000}"/>
    <cellStyle name="_Currency_Cingular_CNH" xfId="296" xr:uid="{00000000-0005-0000-0000-000076030000}"/>
    <cellStyle name="_Currency_Cingular_CNH 2" xfId="3655" xr:uid="{00000000-0005-0000-0000-000077030000}"/>
    <cellStyle name="_Currency_Cingular_DOV" xfId="297" xr:uid="{00000000-0005-0000-0000-000078030000}"/>
    <cellStyle name="_Currency_Cingular_DOV 2" xfId="3656" xr:uid="{00000000-0005-0000-0000-000079030000}"/>
    <cellStyle name="_Currency_Cingular_ETN" xfId="298" xr:uid="{00000000-0005-0000-0000-00007A030000}"/>
    <cellStyle name="_Currency_Cingular_ETN 2" xfId="3657" xr:uid="{00000000-0005-0000-0000-00007B030000}"/>
    <cellStyle name="_Currency_Cingular_FSS" xfId="299" xr:uid="{00000000-0005-0000-0000-00007C030000}"/>
    <cellStyle name="_Currency_Cingular_FSS 2" xfId="3658" xr:uid="{00000000-0005-0000-0000-00007D030000}"/>
    <cellStyle name="_Currency_Cingular_JOYG" xfId="300" xr:uid="{00000000-0005-0000-0000-00007E030000}"/>
    <cellStyle name="_Currency_Cingular_MDO breakdown" xfId="3659" xr:uid="{00000000-0005-0000-0000-00007F030000}"/>
    <cellStyle name="_Currency_Cingular_MDO breakdown 2" xfId="3660" xr:uid="{00000000-0005-0000-0000-000080030000}"/>
    <cellStyle name="_Currency_Cingular_MLM" xfId="301" xr:uid="{00000000-0005-0000-0000-000081030000}"/>
    <cellStyle name="_Currency_Cingular_NAV" xfId="302" xr:uid="{00000000-0005-0000-0000-000082030000}"/>
    <cellStyle name="_Currency_Cingular_New Version" xfId="3661" xr:uid="{00000000-0005-0000-0000-000083030000}"/>
    <cellStyle name="_Currency_Cingular_New Version 2" xfId="3662" xr:uid="{00000000-0005-0000-0000-000084030000}"/>
    <cellStyle name="_Currency_Cingular_OSK" xfId="303" xr:uid="{00000000-0005-0000-0000-000085030000}"/>
    <cellStyle name="_Currency_Cingular_PCAR" xfId="304" xr:uid="{00000000-0005-0000-0000-000086030000}"/>
    <cellStyle name="_Currency_Cingular_PH" xfId="305" xr:uid="{00000000-0005-0000-0000-000087030000}"/>
    <cellStyle name="_Currency_Cingular_Sheet2" xfId="3663" xr:uid="{00000000-0005-0000-0000-000088030000}"/>
    <cellStyle name="_Currency_Cingular_Sheet2 2" xfId="3664" xr:uid="{00000000-0005-0000-0000-000089030000}"/>
    <cellStyle name="_Currency_CMX" xfId="3665" xr:uid="{00000000-0005-0000-0000-00008A030000}"/>
    <cellStyle name="_Currency_CMX 2" xfId="3666" xr:uid="{00000000-0005-0000-0000-00008B030000}"/>
    <cellStyle name="_Currency_CNH" xfId="306" xr:uid="{00000000-0005-0000-0000-00008C030000}"/>
    <cellStyle name="_Currency_CNH 2" xfId="3667" xr:uid="{00000000-0005-0000-0000-00008D030000}"/>
    <cellStyle name="_Currency_CNO" xfId="2709" xr:uid="{00000000-0005-0000-0000-00008E030000}"/>
    <cellStyle name="_Currency_CNO 2" xfId="3668" xr:uid="{00000000-0005-0000-0000-00008F030000}"/>
    <cellStyle name="_Currency_CNO_Origination Market Share-Qtr" xfId="3669" xr:uid="{00000000-0005-0000-0000-000090030000}"/>
    <cellStyle name="_Currency_CNO_Origination Market Share-Qtr 2" xfId="3670" xr:uid="{00000000-0005-0000-0000-000091030000}"/>
    <cellStyle name="_Currency_Commtech" xfId="307" xr:uid="{00000000-0005-0000-0000-000092030000}"/>
    <cellStyle name="_Currency_Commtech 2" xfId="3671" xr:uid="{00000000-0005-0000-0000-000093030000}"/>
    <cellStyle name="_Currency_Commtech_New Version" xfId="3672" xr:uid="{00000000-0005-0000-0000-000094030000}"/>
    <cellStyle name="_Currency_Commtech_New Version 2" xfId="3673" xr:uid="{00000000-0005-0000-0000-000095030000}"/>
    <cellStyle name="_Currency_Commtech_Sheet2" xfId="3674" xr:uid="{00000000-0005-0000-0000-000096030000}"/>
    <cellStyle name="_Currency_Commtech_Sheet2 2" xfId="3675" xr:uid="{00000000-0005-0000-0000-000097030000}"/>
    <cellStyle name="_Currency_Competitors" xfId="3676" xr:uid="{00000000-0005-0000-0000-000098030000}"/>
    <cellStyle name="_Currency_Competitors 2" xfId="3677" xr:uid="{00000000-0005-0000-0000-000099030000}"/>
    <cellStyle name="_Currency_Consolidation" xfId="3678" xr:uid="{00000000-0005-0000-0000-00009A030000}"/>
    <cellStyle name="_Currency_Consolidation 2" xfId="3679" xr:uid="{00000000-0005-0000-0000-00009B030000}"/>
    <cellStyle name="_Currency_CRO 3Q group metrics 12-22-03 for reports" xfId="308" xr:uid="{00000000-0005-0000-0000-00009C030000}"/>
    <cellStyle name="_Currency_CRO 3Q group metrics 12-22-03 for reports 2" xfId="3680" xr:uid="{00000000-0005-0000-0000-00009D030000}"/>
    <cellStyle name="_Currency_CRO 3Q group metrics 12-22-03 for reports_New Version" xfId="3681" xr:uid="{00000000-0005-0000-0000-00009E030000}"/>
    <cellStyle name="_Currency_CRO 3Q group metrics 12-22-03 for reports_New Version 2" xfId="3682" xr:uid="{00000000-0005-0000-0000-00009F030000}"/>
    <cellStyle name="_Currency_CRO 3Q group metrics 12-22-03 for reports_Sheet2" xfId="3683" xr:uid="{00000000-0005-0000-0000-0000A0030000}"/>
    <cellStyle name="_Currency_CRO 3Q group metrics 12-22-03 for reports_Sheet2 2" xfId="3684" xr:uid="{00000000-0005-0000-0000-0000A1030000}"/>
    <cellStyle name="_Currency_CRO comp metrics 4Q03 2-18-04 send out" xfId="309" xr:uid="{00000000-0005-0000-0000-0000A2030000}"/>
    <cellStyle name="_Currency_CRO comp metrics 4Q03 2-18-04 send out 2" xfId="3685" xr:uid="{00000000-0005-0000-0000-0000A3030000}"/>
    <cellStyle name="_Currency_CRO comp metrics 4Q03 2-18-04 send out_New Version" xfId="3686" xr:uid="{00000000-0005-0000-0000-0000A4030000}"/>
    <cellStyle name="_Currency_CRO comp metrics 4Q03 2-18-04 send out_New Version 2" xfId="3687" xr:uid="{00000000-0005-0000-0000-0000A5030000}"/>
    <cellStyle name="_Currency_CRO comp metrics 4Q03 2-18-04 send out_Sheet2" xfId="3688" xr:uid="{00000000-0005-0000-0000-0000A6030000}"/>
    <cellStyle name="_Currency_CRO comp metrics 4Q03 2-18-04 send out_Sheet2 2" xfId="3689" xr:uid="{00000000-0005-0000-0000-0000A7030000}"/>
    <cellStyle name="_Currency_CRO Comp Sheet V.2" xfId="3690" xr:uid="{00000000-0005-0000-0000-0000A8030000}"/>
    <cellStyle name="_Currency_CRO Comp Sheet V.2 2" xfId="3691" xr:uid="{00000000-0005-0000-0000-0000A9030000}"/>
    <cellStyle name="_Currency_CSC_excersize" xfId="3692" xr:uid="{00000000-0005-0000-0000-0000AA030000}"/>
    <cellStyle name="_Currency_CSC_excersize 2" xfId="3693" xr:uid="{00000000-0005-0000-0000-0000AB030000}"/>
    <cellStyle name="_Currency_CSCO_MOD" xfId="3694" xr:uid="{00000000-0005-0000-0000-0000AC030000}"/>
    <cellStyle name="_Currency_CSCO_MOD 2" xfId="3695" xr:uid="{00000000-0005-0000-0000-0000AD030000}"/>
    <cellStyle name="_Currency_CSCOMOD" xfId="3696" xr:uid="{00000000-0005-0000-0000-0000AE030000}"/>
    <cellStyle name="_Currency_CSCOMOD 2" xfId="3697" xr:uid="{00000000-0005-0000-0000-0000AF030000}"/>
    <cellStyle name="_Currency_CVD" xfId="3698" xr:uid="{00000000-0005-0000-0000-0000B0030000}"/>
    <cellStyle name="_Currency_CVD 2" xfId="3699" xr:uid="{00000000-0005-0000-0000-0000B1030000}"/>
    <cellStyle name="_Currency_Data" xfId="310" xr:uid="{00000000-0005-0000-0000-0000B2030000}"/>
    <cellStyle name="_Currency_Data 2" xfId="3700" xr:uid="{00000000-0005-0000-0000-0000B3030000}"/>
    <cellStyle name="_Currency_Data_New Version" xfId="3701" xr:uid="{00000000-0005-0000-0000-0000B4030000}"/>
    <cellStyle name="_Currency_Data_New Version 2" xfId="3702" xr:uid="{00000000-0005-0000-0000-0000B5030000}"/>
    <cellStyle name="_Currency_Data_Sheet2" xfId="3703" xr:uid="{00000000-0005-0000-0000-0000B6030000}"/>
    <cellStyle name="_Currency_Data_Sheet2 2" xfId="3704" xr:uid="{00000000-0005-0000-0000-0000B7030000}"/>
    <cellStyle name="_Currency_DCF Alexander Forbes" xfId="2710" xr:uid="{00000000-0005-0000-0000-0000B8030000}"/>
    <cellStyle name="_Currency_DCF Alexander Forbes 2" xfId="3705" xr:uid="{00000000-0005-0000-0000-0000B9030000}"/>
    <cellStyle name="_Currency_DCF Alexander Forbes_Origination Market Share-Qtr" xfId="3706" xr:uid="{00000000-0005-0000-0000-0000BA030000}"/>
    <cellStyle name="_Currency_DCF Alexander Forbes_Origination Market Share-Qtr 2" xfId="3707" xr:uid="{00000000-0005-0000-0000-0000BB030000}"/>
    <cellStyle name="_Currency_dcf_1" xfId="311" xr:uid="{00000000-0005-0000-0000-0000BC030000}"/>
    <cellStyle name="_Currency_dcf_1 2" xfId="3708" xr:uid="{00000000-0005-0000-0000-0000BD030000}"/>
    <cellStyle name="_Currency_Debt schedule" xfId="3709" xr:uid="{00000000-0005-0000-0000-0000BE030000}"/>
    <cellStyle name="_Currency_Debt schedule 2" xfId="3710" xr:uid="{00000000-0005-0000-0000-0000BF030000}"/>
    <cellStyle name="_Currency_document(1)" xfId="3711" xr:uid="{00000000-0005-0000-0000-0000C0030000}"/>
    <cellStyle name="_Currency_document(1) 2" xfId="3712" xr:uid="{00000000-0005-0000-0000-0000C1030000}"/>
    <cellStyle name="_Currency_DOV" xfId="312" xr:uid="{00000000-0005-0000-0000-0000C2030000}"/>
    <cellStyle name="_Currency_DOV 2" xfId="3713" xr:uid="{00000000-0005-0000-0000-0000C3030000}"/>
    <cellStyle name="_Currency_DRTE" xfId="3714" xr:uid="{00000000-0005-0000-0000-0000C4030000}"/>
    <cellStyle name="_Currency_DRTE 2" xfId="3715" xr:uid="{00000000-0005-0000-0000-0000C5030000}"/>
    <cellStyle name="_Currency_DSO" xfId="3716" xr:uid="{00000000-0005-0000-0000-0000C6030000}"/>
    <cellStyle name="_Currency_DSO 2" xfId="3717" xr:uid="{00000000-0005-0000-0000-0000C7030000}"/>
    <cellStyle name="_Currency_DUK" xfId="313" xr:uid="{00000000-0005-0000-0000-0000C8030000}"/>
    <cellStyle name="_Currency_DUK 2" xfId="3718" xr:uid="{00000000-0005-0000-0000-0000C9030000}"/>
    <cellStyle name="_Currency_ED 2005.08.01" xfId="314" xr:uid="{00000000-0005-0000-0000-0000CA030000}"/>
    <cellStyle name="_Currency_ED 2005.08.01 2" xfId="3719" xr:uid="{00000000-0005-0000-0000-0000CB030000}"/>
    <cellStyle name="_Currency_EEEE" xfId="3720" xr:uid="{00000000-0005-0000-0000-0000CC030000}"/>
    <cellStyle name="_Currency_EEEE 2" xfId="3721" xr:uid="{00000000-0005-0000-0000-0000CD030000}"/>
    <cellStyle name="_Currency_EPS revision" xfId="3722" xr:uid="{00000000-0005-0000-0000-0000CE030000}"/>
    <cellStyle name="_Currency_EPS revision 2" xfId="3723" xr:uid="{00000000-0005-0000-0000-0000CF030000}"/>
    <cellStyle name="_Currency_EPS sensitivity" xfId="3724" xr:uid="{00000000-0005-0000-0000-0000D0030000}"/>
    <cellStyle name="_Currency_EPS sensitivity 2" xfId="3725" xr:uid="{00000000-0005-0000-0000-0000D1030000}"/>
    <cellStyle name="_Currency_ESRX" xfId="3726" xr:uid="{00000000-0005-0000-0000-0000D2030000}"/>
    <cellStyle name="_Currency_ESRX 2" xfId="3727" xr:uid="{00000000-0005-0000-0000-0000D3030000}"/>
    <cellStyle name="_Currency_ETN" xfId="315" xr:uid="{00000000-0005-0000-0000-0000D4030000}"/>
    <cellStyle name="_Currency_ETN 2" xfId="3728" xr:uid="{00000000-0005-0000-0000-0000D5030000}"/>
    <cellStyle name="_Currency_Euston DCF" xfId="3729" xr:uid="{00000000-0005-0000-0000-0000D6030000}"/>
    <cellStyle name="_Currency_EZJ vs go" xfId="3730" xr:uid="{00000000-0005-0000-0000-0000D7030000}"/>
    <cellStyle name="_Currency_FBANDAs" xfId="3731" xr:uid="{00000000-0005-0000-0000-0000D8030000}"/>
    <cellStyle name="_Currency_FBANDAs 2" xfId="3732" xr:uid="{00000000-0005-0000-0000-0000D9030000}"/>
    <cellStyle name="_Currency_Ferrlecit" xfId="3733" xr:uid="{00000000-0005-0000-0000-0000DA030000}"/>
    <cellStyle name="_Currency_Ferrlecit 2" xfId="3734" xr:uid="{00000000-0005-0000-0000-0000DB030000}"/>
    <cellStyle name="_Currency_Financial Performance Benchmarking and Valuation(2)" xfId="3735" xr:uid="{00000000-0005-0000-0000-0000DC030000}"/>
    <cellStyle name="_Currency_Florida consensus estimates" xfId="3736" xr:uid="{00000000-0005-0000-0000-0000DD030000}"/>
    <cellStyle name="_Currency_fmbi counties" xfId="2711" xr:uid="{00000000-0005-0000-0000-0000DE030000}"/>
    <cellStyle name="_Currency_fmbi counties_Origination Market Share-Qtr" xfId="3737" xr:uid="{00000000-0005-0000-0000-0000DF030000}"/>
    <cellStyle name="_Currency_FMBI MBHI Graphs" xfId="2712" xr:uid="{00000000-0005-0000-0000-0000E0030000}"/>
    <cellStyle name="_Currency_FMBI MBHI Graphs 07102001" xfId="2713" xr:uid="{00000000-0005-0000-0000-0000E1030000}"/>
    <cellStyle name="_Currency_FMBI MBHI Graphs 07102001 2" xfId="3738" xr:uid="{00000000-0005-0000-0000-0000E2030000}"/>
    <cellStyle name="_Currency_FMBI MBHI Graphs 07102001_Origination Market Share-Qtr" xfId="3739" xr:uid="{00000000-0005-0000-0000-0000E3030000}"/>
    <cellStyle name="_Currency_FMBI MBHI Graphs 07102001_Origination Market Share-Qtr 2" xfId="3740" xr:uid="{00000000-0005-0000-0000-0000E4030000}"/>
    <cellStyle name="_Currency_FMBI MBHI Graphs 2" xfId="3741" xr:uid="{00000000-0005-0000-0000-0000E5030000}"/>
    <cellStyle name="_Currency_FMBI MBHI Graphs_7601" xfId="2714" xr:uid="{00000000-0005-0000-0000-0000E6030000}"/>
    <cellStyle name="_Currency_FMBI MBHI Graphs_7601 2" xfId="3742" xr:uid="{00000000-0005-0000-0000-0000E7030000}"/>
    <cellStyle name="_Currency_FMBI MBHI Graphs_7601_Origination Market Share-Qtr" xfId="3743" xr:uid="{00000000-0005-0000-0000-0000E8030000}"/>
    <cellStyle name="_Currency_FMBI MBHI Graphs_7601_Origination Market Share-Qtr 2" xfId="3744" xr:uid="{00000000-0005-0000-0000-0000E9030000}"/>
    <cellStyle name="_Currency_FMBI MBHI Graphs_Origination Market Share-Qtr" xfId="3745" xr:uid="{00000000-0005-0000-0000-0000EA030000}"/>
    <cellStyle name="_Currency_FMBI MBHI Graphs_Origination Market Share-Qtr 2" xfId="3746" xr:uid="{00000000-0005-0000-0000-0000EB030000}"/>
    <cellStyle name="_Currency_FON" xfId="316" xr:uid="{00000000-0005-0000-0000-0000EC030000}"/>
    <cellStyle name="_Currency_FON 2" xfId="317" xr:uid="{00000000-0005-0000-0000-0000ED030000}"/>
    <cellStyle name="_Currency_FON 3" xfId="318" xr:uid="{00000000-0005-0000-0000-0000EE030000}"/>
    <cellStyle name="_Currency_FON_AG" xfId="319" xr:uid="{00000000-0005-0000-0000-0000EF030000}"/>
    <cellStyle name="_Currency_FON_CNH" xfId="320" xr:uid="{00000000-0005-0000-0000-0000F0030000}"/>
    <cellStyle name="_Currency_FON_CNH 2" xfId="3747" xr:uid="{00000000-0005-0000-0000-0000F1030000}"/>
    <cellStyle name="_Currency_FON_CNH_BU 15 performance" xfId="3748" xr:uid="{00000000-0005-0000-0000-0000F2030000}"/>
    <cellStyle name="_Currency_FON_CNH_BU 15 performance 2" xfId="3749" xr:uid="{00000000-0005-0000-0000-0000F3030000}"/>
    <cellStyle name="_Currency_FON_CNH_Industrials CL Portfolio_021009" xfId="3750" xr:uid="{00000000-0005-0000-0000-0000F4030000}"/>
    <cellStyle name="_Currency_FON_CNH_Industrials CL Portfolio_021009 2" xfId="3751" xr:uid="{00000000-0005-0000-0000-0000F5030000}"/>
    <cellStyle name="_Currency_FON_CNH_Industrials CL Portfolio_021109" xfId="3752" xr:uid="{00000000-0005-0000-0000-0000F6030000}"/>
    <cellStyle name="_Currency_FON_CNH_Industrials CL Portfolio_021109 2" xfId="3753" xr:uid="{00000000-0005-0000-0000-0000F7030000}"/>
    <cellStyle name="_Currency_FON_CNH_Investment Profile Screen" xfId="3754" xr:uid="{00000000-0005-0000-0000-0000F8030000}"/>
    <cellStyle name="_Currency_FON_CNH_Investment Profile Screen 2" xfId="3755" xr:uid="{00000000-0005-0000-0000-0000F9030000}"/>
    <cellStyle name="_Currency_FON_DOV" xfId="321" xr:uid="{00000000-0005-0000-0000-0000FA030000}"/>
    <cellStyle name="_Currency_FON_DOV 2" xfId="3756" xr:uid="{00000000-0005-0000-0000-0000FB030000}"/>
    <cellStyle name="_Currency_FON_ETN" xfId="322" xr:uid="{00000000-0005-0000-0000-0000FC030000}"/>
    <cellStyle name="_Currency_FON_ETN 2" xfId="3757" xr:uid="{00000000-0005-0000-0000-0000FD030000}"/>
    <cellStyle name="_Currency_FON_FSS" xfId="323" xr:uid="{00000000-0005-0000-0000-0000FE030000}"/>
    <cellStyle name="_Currency_FON_FSS 2" xfId="3758" xr:uid="{00000000-0005-0000-0000-0000FF030000}"/>
    <cellStyle name="_Currency_FON_JOYG" xfId="324" xr:uid="{00000000-0005-0000-0000-000000040000}"/>
    <cellStyle name="_Currency_FON_MDO breakdown" xfId="3759" xr:uid="{00000000-0005-0000-0000-000001040000}"/>
    <cellStyle name="_Currency_FON_MDO breakdown 2" xfId="3760" xr:uid="{00000000-0005-0000-0000-000002040000}"/>
    <cellStyle name="_Currency_FON_MLM" xfId="325" xr:uid="{00000000-0005-0000-0000-000003040000}"/>
    <cellStyle name="_Currency_FON_NAV" xfId="326" xr:uid="{00000000-0005-0000-0000-000004040000}"/>
    <cellStyle name="_Currency_FON_New Version" xfId="3761" xr:uid="{00000000-0005-0000-0000-000005040000}"/>
    <cellStyle name="_Currency_FON_New Version 2" xfId="3762" xr:uid="{00000000-0005-0000-0000-000006040000}"/>
    <cellStyle name="_Currency_FON_OSK" xfId="327" xr:uid="{00000000-0005-0000-0000-000007040000}"/>
    <cellStyle name="_Currency_FON_PCAR" xfId="328" xr:uid="{00000000-0005-0000-0000-000008040000}"/>
    <cellStyle name="_Currency_FON_PH" xfId="329" xr:uid="{00000000-0005-0000-0000-000009040000}"/>
    <cellStyle name="_Currency_FON_Sheet2" xfId="3763" xr:uid="{00000000-0005-0000-0000-00000A040000}"/>
    <cellStyle name="_Currency_FON_Sheet2 2" xfId="3764" xr:uid="{00000000-0005-0000-0000-00000B040000}"/>
    <cellStyle name="_Currency_For charts" xfId="3765" xr:uid="{00000000-0005-0000-0000-00000C040000}"/>
    <cellStyle name="_Currency_For charts 2" xfId="3766" xr:uid="{00000000-0005-0000-0000-00000D040000}"/>
    <cellStyle name="_Currency_Foreclosures_data_Realty Trac Break up" xfId="3767" xr:uid="{00000000-0005-0000-0000-00000E040000}"/>
    <cellStyle name="_Currency_Foreclosures_data_Realty Trac Break up 2" xfId="3768" xr:uid="{00000000-0005-0000-0000-00000F040000}"/>
    <cellStyle name="_Currency_FSS" xfId="330" xr:uid="{00000000-0005-0000-0000-000010040000}"/>
    <cellStyle name="_Currency_FSS 2" xfId="3769" xr:uid="{00000000-0005-0000-0000-000011040000}"/>
    <cellStyle name="_Currency_GCI" xfId="3770" xr:uid="{00000000-0005-0000-0000-000012040000}"/>
    <cellStyle name="_Currency_GCI 2" xfId="3771" xr:uid="{00000000-0005-0000-0000-000013040000}"/>
    <cellStyle name="_Currency_Gen pipe" xfId="3772" xr:uid="{00000000-0005-0000-0000-000014040000}"/>
    <cellStyle name="_Currency_Gen pipe 2" xfId="3773" xr:uid="{00000000-0005-0000-0000-000015040000}"/>
    <cellStyle name="_Currency_Global Autos Database 2005" xfId="3774" xr:uid="{00000000-0005-0000-0000-000016040000}"/>
    <cellStyle name="_Currency_Global ROIC 2007" xfId="3775" xr:uid="{00000000-0005-0000-0000-000017040000}"/>
    <cellStyle name="_Currency_GLWMOD" xfId="3776" xr:uid="{00000000-0005-0000-0000-000018040000}"/>
    <cellStyle name="_Currency_GLWMOD 2" xfId="3777" xr:uid="{00000000-0005-0000-0000-000019040000}"/>
    <cellStyle name="_Currency_GNW" xfId="2715" xr:uid="{00000000-0005-0000-0000-00001A040000}"/>
    <cellStyle name="_Currency_GNW 2" xfId="3778" xr:uid="{00000000-0005-0000-0000-00001B040000}"/>
    <cellStyle name="_Currency_GNW_Origination Market Share-Qtr" xfId="3779" xr:uid="{00000000-0005-0000-0000-00001C040000}"/>
    <cellStyle name="_Currency_GNW_Origination Market Share-Qtr 2" xfId="3780" xr:uid="{00000000-0005-0000-0000-00001D040000}"/>
    <cellStyle name="_Currency_Gross Margin" xfId="3781" xr:uid="{00000000-0005-0000-0000-00001E040000}"/>
    <cellStyle name="_Currency_Gross Margin 2" xfId="3782" xr:uid="{00000000-0005-0000-0000-00001F040000}"/>
    <cellStyle name="_Currency_GS_Brant_CSCO_mod (Working)" xfId="331" xr:uid="{00000000-0005-0000-0000-000020040000}"/>
    <cellStyle name="_Currency_GS_Brant_CSCO_mod (Working) 2" xfId="3783" xr:uid="{00000000-0005-0000-0000-000021040000}"/>
    <cellStyle name="_Currency_GS_Brant_CSCO_mod (Working)_New Version" xfId="3784" xr:uid="{00000000-0005-0000-0000-000022040000}"/>
    <cellStyle name="_Currency_GS_Brant_CSCO_mod (Working)_New Version 2" xfId="3785" xr:uid="{00000000-0005-0000-0000-000023040000}"/>
    <cellStyle name="_Currency_GS_Brant_CSCO_mod (Working)_Sheet2" xfId="3786" xr:uid="{00000000-0005-0000-0000-000024040000}"/>
    <cellStyle name="_Currency_GS_Brant_CSCO_mod (Working)_Sheet2 2" xfId="3787" xr:uid="{00000000-0005-0000-0000-000025040000}"/>
    <cellStyle name="_Currency_GS_BRANT_MOTMOD" xfId="332" xr:uid="{00000000-0005-0000-0000-000026040000}"/>
    <cellStyle name="_Currency_GS_BRANT_MOTMOD 2" xfId="3788" xr:uid="{00000000-0005-0000-0000-000027040000}"/>
    <cellStyle name="_Currency_GS_BRANT_MOTMOD_New Version" xfId="3789" xr:uid="{00000000-0005-0000-0000-000028040000}"/>
    <cellStyle name="_Currency_GS_BRANT_MOTMOD_New Version 2" xfId="3790" xr:uid="{00000000-0005-0000-0000-000029040000}"/>
    <cellStyle name="_Currency_GS_BRANT_MOTMOD_Sheet2" xfId="3791" xr:uid="{00000000-0005-0000-0000-00002A040000}"/>
    <cellStyle name="_Currency_GS_BRANT_MOTMOD_Sheet2 2" xfId="3792" xr:uid="{00000000-0005-0000-0000-00002B040000}"/>
    <cellStyle name="_Currency_GS_McFadden_CMX_9-27" xfId="3793" xr:uid="{00000000-0005-0000-0000-00002C040000}"/>
    <cellStyle name="_Currency_GS_McFadden_CMX_9-27 2" xfId="3794" xr:uid="{00000000-0005-0000-0000-00002D040000}"/>
    <cellStyle name="_Currency_GS_McFadden_CRL_4-1-05 RS" xfId="3795" xr:uid="{00000000-0005-0000-0000-00002E040000}"/>
    <cellStyle name="_Currency_GS_McFadden_CRL_4-1-05 RS 2" xfId="3796" xr:uid="{00000000-0005-0000-0000-00002F040000}"/>
    <cellStyle name="_Currency_GS_McFadden_CVD_9-27" xfId="3797" xr:uid="{00000000-0005-0000-0000-000030040000}"/>
    <cellStyle name="_Currency_GS_McFadden_CVD_9-27 2" xfId="3798" xr:uid="{00000000-0005-0000-0000-000031040000}"/>
    <cellStyle name="_Currency_GS_McFadden_DRTE_9-27" xfId="3799" xr:uid="{00000000-0005-0000-0000-000032040000}"/>
    <cellStyle name="_Currency_GS_McFadden_DRTE_9-27 2" xfId="3800" xr:uid="{00000000-0005-0000-0000-000033040000}"/>
    <cellStyle name="_Currency_GS_McFadden_ESRX_9-27" xfId="3801" xr:uid="{00000000-0005-0000-0000-000034040000}"/>
    <cellStyle name="_Currency_GS_McFadden_ESRX_9-27 2" xfId="3802" xr:uid="{00000000-0005-0000-0000-000035040000}"/>
    <cellStyle name="_Currency_GS_McFadden_HLTH_9-27" xfId="3803" xr:uid="{00000000-0005-0000-0000-000036040000}"/>
    <cellStyle name="_Currency_GS_McFadden_HLTH_9-27 2" xfId="3804" xr:uid="{00000000-0005-0000-0000-000037040000}"/>
    <cellStyle name="_Currency_GS_McFadden_HSIC" xfId="3805" xr:uid="{00000000-0005-0000-0000-000038040000}"/>
    <cellStyle name="_Currency_GS_McFadden_HSIC 2" xfId="3806" xr:uid="{00000000-0005-0000-0000-000039040000}"/>
    <cellStyle name="_Currency_GS_McFadden_ICLR_9-28" xfId="3807" xr:uid="{00000000-0005-0000-0000-00003A040000}"/>
    <cellStyle name="_Currency_GS_McFadden_ICLR_9-28 2" xfId="3808" xr:uid="{00000000-0005-0000-0000-00003B040000}"/>
    <cellStyle name="_Currency_GS_McFadden_MCK" xfId="3809" xr:uid="{00000000-0005-0000-0000-00003C040000}"/>
    <cellStyle name="_Currency_GS_McFadden_MCK 2" xfId="3810" xr:uid="{00000000-0005-0000-0000-00003D040000}"/>
    <cellStyle name="_Currency_GS_McFadden_MHS_9-27" xfId="3811" xr:uid="{00000000-0005-0000-0000-00003E040000}"/>
    <cellStyle name="_Currency_GS_McFadden_MHS_9-27 2" xfId="3812" xr:uid="{00000000-0005-0000-0000-00003F040000}"/>
    <cellStyle name="_Currency_GS_McFadden_NDC_9-28-04" xfId="3813" xr:uid="{00000000-0005-0000-0000-000040040000}"/>
    <cellStyle name="_Currency_GS_McFadden_NDC_9-28-04 2" xfId="3814" xr:uid="{00000000-0005-0000-0000-000041040000}"/>
    <cellStyle name="_Currency_GS_McFadden_PHCC_9-27" xfId="3815" xr:uid="{00000000-0005-0000-0000-000042040000}"/>
    <cellStyle name="_Currency_GS_McFadden_PHCC_9-27 2" xfId="3816" xr:uid="{00000000-0005-0000-0000-000043040000}"/>
    <cellStyle name="_Currency_GS_Mcfadden_PPDI_9-27" xfId="3817" xr:uid="{00000000-0005-0000-0000-000044040000}"/>
    <cellStyle name="_Currency_GS_Mcfadden_PPDI_9-27 2" xfId="3818" xr:uid="{00000000-0005-0000-0000-000045040000}"/>
    <cellStyle name="_Currency_GS_McFadden_PRXL-9-27" xfId="3819" xr:uid="{00000000-0005-0000-0000-000046040000}"/>
    <cellStyle name="_Currency_GS_McFadden_PRXL-9-27 2" xfId="3820" xr:uid="{00000000-0005-0000-0000-000047040000}"/>
    <cellStyle name="_Currency_GS_McFadden_PSSI_9-27" xfId="3821" xr:uid="{00000000-0005-0000-0000-000048040000}"/>
    <cellStyle name="_Currency_GS_McFadden_PSSI_9-27 2" xfId="3822" xr:uid="{00000000-0005-0000-0000-000049040000}"/>
    <cellStyle name="_Currency_GS_MDZ_ MASTER model 4-01-05 RS" xfId="3823" xr:uid="{00000000-0005-0000-0000-00004A040000}"/>
    <cellStyle name="_Currency_GS_MDZ_ MASTER model 4-01-05 RS 2" xfId="3824" xr:uid="{00000000-0005-0000-0000-00004B040000}"/>
    <cellStyle name="_Currency_gs_scur_internal " xfId="333" xr:uid="{00000000-0005-0000-0000-00004C040000}"/>
    <cellStyle name="_Currency_gs_scur_internal  2" xfId="334" xr:uid="{00000000-0005-0000-0000-00004D040000}"/>
    <cellStyle name="_Currency_gs_scur_internal  3" xfId="3825" xr:uid="{00000000-0005-0000-0000-00004E040000}"/>
    <cellStyle name="_Currency_HeidelbergCement" xfId="3826" xr:uid="{00000000-0005-0000-0000-00004F040000}"/>
    <cellStyle name="_Currency_Henry Schein" xfId="3827" xr:uid="{00000000-0005-0000-0000-000050040000}"/>
    <cellStyle name="_Currency_Henry Schein 2" xfId="3828" xr:uid="{00000000-0005-0000-0000-000051040000}"/>
    <cellStyle name="_Currency_Hist Summary" xfId="335" xr:uid="{00000000-0005-0000-0000-000052040000}"/>
    <cellStyle name="_Currency_Hist Summary 2" xfId="3829" xr:uid="{00000000-0005-0000-0000-000053040000}"/>
    <cellStyle name="_Currency_HLTH" xfId="3830" xr:uid="{00000000-0005-0000-0000-000054040000}"/>
    <cellStyle name="_Currency_HLTH 2" xfId="3831" xr:uid="{00000000-0005-0000-0000-000055040000}"/>
    <cellStyle name="_Currency_Holcim" xfId="3832" xr:uid="{00000000-0005-0000-0000-000056040000}"/>
    <cellStyle name="_Currency_Hospital Comp -10-24-05" xfId="3833" xr:uid="{00000000-0005-0000-0000-000057040000}"/>
    <cellStyle name="_Currency_Hospital Comp -10-24-05 2" xfId="3834" xr:uid="{00000000-0005-0000-0000-000058040000}"/>
    <cellStyle name="_Currency_HSIC" xfId="3835" xr:uid="{00000000-0005-0000-0000-000059040000}"/>
    <cellStyle name="_Currency_HSIC 2" xfId="3836" xr:uid="{00000000-0005-0000-0000-00005A040000}"/>
    <cellStyle name="_Currency_Indian companies" xfId="3837" xr:uid="{00000000-0005-0000-0000-00005B040000}"/>
    <cellStyle name="_Currency_Indian companies 2" xfId="3838" xr:uid="{00000000-0005-0000-0000-00005C040000}"/>
    <cellStyle name="_Currency_Insurance Brokerage CSC_1Q2002" xfId="2716" xr:uid="{00000000-0005-0000-0000-00005D040000}"/>
    <cellStyle name="_Currency_Insurance Brokerage CSC_1Q2002 2" xfId="3839" xr:uid="{00000000-0005-0000-0000-00005E040000}"/>
    <cellStyle name="_Currency_Insurance Brokerage CSC_1Q2002_Origination Market Share-Qtr" xfId="3840" xr:uid="{00000000-0005-0000-0000-00005F040000}"/>
    <cellStyle name="_Currency_Insurance Brokerage CSC_1Q2002_Origination Market Share-Qtr 2" xfId="3841" xr:uid="{00000000-0005-0000-0000-000060040000}"/>
    <cellStyle name="_Currency_Insurance Credit Spread" xfId="3842" xr:uid="{00000000-0005-0000-0000-000061040000}"/>
    <cellStyle name="_Currency_integrated_standalone_ba" xfId="3843" xr:uid="{00000000-0005-0000-0000-000062040000}"/>
    <cellStyle name="_Currency_JDSUMOD" xfId="3844" xr:uid="{00000000-0005-0000-0000-000063040000}"/>
    <cellStyle name="_Currency_JDSUMOD 2" xfId="3845" xr:uid="{00000000-0005-0000-0000-000064040000}"/>
    <cellStyle name="_Currency_JOYG" xfId="336" xr:uid="{00000000-0005-0000-0000-000065040000}"/>
    <cellStyle name="_Currency_JP" xfId="2717" xr:uid="{00000000-0005-0000-0000-000066040000}"/>
    <cellStyle name="_Currency_JP 2" xfId="3846" xr:uid="{00000000-0005-0000-0000-000067040000}"/>
    <cellStyle name="_Currency_JP_Origination Market Share-Qtr" xfId="3847" xr:uid="{00000000-0005-0000-0000-000068040000}"/>
    <cellStyle name="_Currency_JP_Origination Market Share-Qtr 2" xfId="3848" xr:uid="{00000000-0005-0000-0000-000069040000}"/>
    <cellStyle name="_Currency_Kent" xfId="337" xr:uid="{00000000-0005-0000-0000-00006A040000}"/>
    <cellStyle name="_Currency_Kent 2" xfId="3849" xr:uid="{00000000-0005-0000-0000-00006B040000}"/>
    <cellStyle name="_Currency_Kent_New Version" xfId="3850" xr:uid="{00000000-0005-0000-0000-00006C040000}"/>
    <cellStyle name="_Currency_Kent_New Version 2" xfId="3851" xr:uid="{00000000-0005-0000-0000-00006D040000}"/>
    <cellStyle name="_Currency_Kent_Sheet2" xfId="3852" xr:uid="{00000000-0005-0000-0000-00006E040000}"/>
    <cellStyle name="_Currency_Kent_Sheet2 2" xfId="3853" xr:uid="{00000000-0005-0000-0000-00006F040000}"/>
    <cellStyle name="_Currency_Key poduct model" xfId="3854" xr:uid="{00000000-0005-0000-0000-000070040000}"/>
    <cellStyle name="_Currency_Key poduct model 2" xfId="3855" xr:uid="{00000000-0005-0000-0000-000071040000}"/>
    <cellStyle name="_Currency_klm1" xfId="3856" xr:uid="{00000000-0005-0000-0000-000072040000}"/>
    <cellStyle name="_Currency_Lafarge" xfId="3857" xr:uid="{00000000-0005-0000-0000-000073040000}"/>
    <cellStyle name="_Currency_lbo_short_form" xfId="3858" xr:uid="{00000000-0005-0000-0000-000074040000}"/>
    <cellStyle name="_Currency_LNC" xfId="2718" xr:uid="{00000000-0005-0000-0000-000075040000}"/>
    <cellStyle name="_Currency_LNC 2" xfId="3859" xr:uid="{00000000-0005-0000-0000-000076040000}"/>
    <cellStyle name="_Currency_LNC_Origination Market Share-Qtr" xfId="3860" xr:uid="{00000000-0005-0000-0000-000077040000}"/>
    <cellStyle name="_Currency_LNC_Origination Market Share-Qtr 2" xfId="3861" xr:uid="{00000000-0005-0000-0000-000078040000}"/>
    <cellStyle name="_Currency_Loestrin 24" xfId="3862" xr:uid="{00000000-0005-0000-0000-000079040000}"/>
    <cellStyle name="_Currency_Loestrin 24 2" xfId="3863" xr:uid="{00000000-0005-0000-0000-00007A040000}"/>
    <cellStyle name="_Currency_lufthansa1" xfId="3864" xr:uid="{00000000-0005-0000-0000-00007B040000}"/>
    <cellStyle name="_Currency_Machinery group valuation" xfId="338" xr:uid="{00000000-0005-0000-0000-00007C040000}"/>
    <cellStyle name="_Currency_Machinery group valuation 2" xfId="3865" xr:uid="{00000000-0005-0000-0000-00007D040000}"/>
    <cellStyle name="_Currency_major holders 5-04" xfId="3866" xr:uid="{00000000-0005-0000-0000-00007E040000}"/>
    <cellStyle name="_Currency_major holders 5-04 2" xfId="3867" xr:uid="{00000000-0005-0000-0000-00007F040000}"/>
    <cellStyle name="_Currency_MCK" xfId="3868" xr:uid="{00000000-0005-0000-0000-000080040000}"/>
    <cellStyle name="_Currency_MCK 2" xfId="3869" xr:uid="{00000000-0005-0000-0000-000081040000}"/>
    <cellStyle name="_Currency_MDO breakdown" xfId="3870" xr:uid="{00000000-0005-0000-0000-000082040000}"/>
    <cellStyle name="_Currency_MDO breakdown 2" xfId="3871" xr:uid="{00000000-0005-0000-0000-000083040000}"/>
    <cellStyle name="_Currency_MDS" xfId="3872" xr:uid="{00000000-0005-0000-0000-000084040000}"/>
    <cellStyle name="_Currency_MDS 2" xfId="3873" xr:uid="{00000000-0005-0000-0000-000085040000}"/>
    <cellStyle name="_Currency_Megace channel data" xfId="3874" xr:uid="{00000000-0005-0000-0000-000086040000}"/>
    <cellStyle name="_Currency_Megace channel data 2" xfId="3875" xr:uid="{00000000-0005-0000-0000-000087040000}"/>
    <cellStyle name="_Currency_Megace ES estimates" xfId="3876" xr:uid="{00000000-0005-0000-0000-000088040000}"/>
    <cellStyle name="_Currency_Megace ES estimates 2" xfId="3877" xr:uid="{00000000-0005-0000-0000-000089040000}"/>
    <cellStyle name="_Currency_Megace ES sales data" xfId="3878" xr:uid="{00000000-0005-0000-0000-00008A040000}"/>
    <cellStyle name="_Currency_Megace ES sales data 2" xfId="3879" xr:uid="{00000000-0005-0000-0000-00008B040000}"/>
    <cellStyle name="_Currency_Megace Market IMS" xfId="3880" xr:uid="{00000000-0005-0000-0000-00008C040000}"/>
    <cellStyle name="_Currency_Megace Market IMS 2" xfId="3881" xr:uid="{00000000-0005-0000-0000-00008D040000}"/>
    <cellStyle name="_Currency_Megace NRx weekly" xfId="3882" xr:uid="{00000000-0005-0000-0000-00008E040000}"/>
    <cellStyle name="_Currency_Megace NRx weekly 2" xfId="3883" xr:uid="{00000000-0005-0000-0000-00008F040000}"/>
    <cellStyle name="_Currency_Megace TRx weekly" xfId="3884" xr:uid="{00000000-0005-0000-0000-000090040000}"/>
    <cellStyle name="_Currency_Megace TRx weekly 2" xfId="3885" xr:uid="{00000000-0005-0000-0000-000091040000}"/>
    <cellStyle name="_Currency_MET" xfId="2719" xr:uid="{00000000-0005-0000-0000-000092040000}"/>
    <cellStyle name="_Currency_MET 2" xfId="3886" xr:uid="{00000000-0005-0000-0000-000093040000}"/>
    <cellStyle name="_Currency_MET_Origination Market Share-Qtr" xfId="3887" xr:uid="{00000000-0005-0000-0000-000094040000}"/>
    <cellStyle name="_Currency_MET_Origination Market Share-Qtr 2" xfId="3888" xr:uid="{00000000-0005-0000-0000-000095040000}"/>
    <cellStyle name="_Currency_MET04" xfId="2720" xr:uid="{00000000-0005-0000-0000-000096040000}"/>
    <cellStyle name="_Currency_MET04_Origination Market Share-Qtr" xfId="3889" xr:uid="{00000000-0005-0000-0000-000097040000}"/>
    <cellStyle name="_Currency_MHS" xfId="339" xr:uid="{00000000-0005-0000-0000-000098040000}"/>
    <cellStyle name="_Currency_MHS 2" xfId="3890" xr:uid="{00000000-0005-0000-0000-000099040000}"/>
    <cellStyle name="_Currency_MHS_New Version" xfId="3891" xr:uid="{00000000-0005-0000-0000-00009A040000}"/>
    <cellStyle name="_Currency_MHS_New Version 2" xfId="3892" xr:uid="{00000000-0005-0000-0000-00009B040000}"/>
    <cellStyle name="_Currency_MHS_Sheet2" xfId="3893" xr:uid="{00000000-0005-0000-0000-00009C040000}"/>
    <cellStyle name="_Currency_MHS_Sheet2 2" xfId="3894" xr:uid="{00000000-0005-0000-0000-00009D040000}"/>
    <cellStyle name="_Currency_MLM" xfId="340" xr:uid="{00000000-0005-0000-0000-00009E040000}"/>
    <cellStyle name="_Currency_MLP Val-Client-10_02_06" xfId="341" xr:uid="{00000000-0005-0000-0000-00009F040000}"/>
    <cellStyle name="_Currency_MLP Val-Client-10_02_06 2" xfId="3895" xr:uid="{00000000-0005-0000-0000-0000A0040000}"/>
    <cellStyle name="_Currency_MNST" xfId="3896" xr:uid="{00000000-0005-0000-0000-0000A1040000}"/>
    <cellStyle name="_Currency_MNST 2" xfId="3897" xr:uid="{00000000-0005-0000-0000-0000A2040000}"/>
    <cellStyle name="_Currency_NAV" xfId="342" xr:uid="{00000000-0005-0000-0000-0000A3040000}"/>
    <cellStyle name="_Currency_New Version" xfId="3898" xr:uid="{00000000-0005-0000-0000-0000A4040000}"/>
    <cellStyle name="_Currency_New Version 2" xfId="3899" xr:uid="{00000000-0005-0000-0000-0000A5040000}"/>
    <cellStyle name="_Currency_NFS" xfId="2721" xr:uid="{00000000-0005-0000-0000-0000A6040000}"/>
    <cellStyle name="_Currency_NFS 2" xfId="3900" xr:uid="{00000000-0005-0000-0000-0000A7040000}"/>
    <cellStyle name="_Currency_NFS_Origination Market Share-Qtr" xfId="3901" xr:uid="{00000000-0005-0000-0000-0000A8040000}"/>
    <cellStyle name="_Currency_NFS_Origination Market Share-Qtr 2" xfId="3902" xr:uid="{00000000-0005-0000-0000-0000A9040000}"/>
    <cellStyle name="_Currency_NRG 2005.07.22" xfId="343" xr:uid="{00000000-0005-0000-0000-0000AA040000}"/>
    <cellStyle name="_Currency_NRG 2005.07.22 2" xfId="3903" xr:uid="{00000000-0005-0000-0000-0000AB040000}"/>
    <cellStyle name="_Currency_NTMOD" xfId="3904" xr:uid="{00000000-0005-0000-0000-0000AC040000}"/>
    <cellStyle name="_Currency_NTMOD 2" xfId="3905" xr:uid="{00000000-0005-0000-0000-0000AD040000}"/>
    <cellStyle name="_Currency_NXTL" xfId="344" xr:uid="{00000000-0005-0000-0000-0000AE040000}"/>
    <cellStyle name="_Currency_NXTL 2" xfId="345" xr:uid="{00000000-0005-0000-0000-0000AF040000}"/>
    <cellStyle name="_Currency_NXTL 3" xfId="346" xr:uid="{00000000-0005-0000-0000-0000B0040000}"/>
    <cellStyle name="_Currency_NXTL_AG" xfId="347" xr:uid="{00000000-0005-0000-0000-0000B1040000}"/>
    <cellStyle name="_Currency_NXTL_CNH" xfId="348" xr:uid="{00000000-0005-0000-0000-0000B2040000}"/>
    <cellStyle name="_Currency_NXTL_CNH 2" xfId="3906" xr:uid="{00000000-0005-0000-0000-0000B3040000}"/>
    <cellStyle name="_Currency_NXTL_DOV" xfId="349" xr:uid="{00000000-0005-0000-0000-0000B4040000}"/>
    <cellStyle name="_Currency_NXTL_DOV 2" xfId="3907" xr:uid="{00000000-0005-0000-0000-0000B5040000}"/>
    <cellStyle name="_Currency_NXTL_ETN" xfId="350" xr:uid="{00000000-0005-0000-0000-0000B6040000}"/>
    <cellStyle name="_Currency_NXTL_ETN 2" xfId="3908" xr:uid="{00000000-0005-0000-0000-0000B7040000}"/>
    <cellStyle name="_Currency_NXTL_FSS" xfId="351" xr:uid="{00000000-0005-0000-0000-0000B8040000}"/>
    <cellStyle name="_Currency_NXTL_FSS 2" xfId="3909" xr:uid="{00000000-0005-0000-0000-0000B9040000}"/>
    <cellStyle name="_Currency_NXTL_JOYG" xfId="352" xr:uid="{00000000-0005-0000-0000-0000BA040000}"/>
    <cellStyle name="_Currency_NXTL_MDO breakdown" xfId="3910" xr:uid="{00000000-0005-0000-0000-0000BB040000}"/>
    <cellStyle name="_Currency_NXTL_MDO breakdown 2" xfId="3911" xr:uid="{00000000-0005-0000-0000-0000BC040000}"/>
    <cellStyle name="_Currency_NXTL_MLM" xfId="353" xr:uid="{00000000-0005-0000-0000-0000BD040000}"/>
    <cellStyle name="_Currency_NXTL_NAV" xfId="354" xr:uid="{00000000-0005-0000-0000-0000BE040000}"/>
    <cellStyle name="_Currency_NXTL_New Version" xfId="3912" xr:uid="{00000000-0005-0000-0000-0000BF040000}"/>
    <cellStyle name="_Currency_NXTL_New Version 2" xfId="3913" xr:uid="{00000000-0005-0000-0000-0000C0040000}"/>
    <cellStyle name="_Currency_NXTL_OSK" xfId="355" xr:uid="{00000000-0005-0000-0000-0000C1040000}"/>
    <cellStyle name="_Currency_NXTL_PCAR" xfId="356" xr:uid="{00000000-0005-0000-0000-0000C2040000}"/>
    <cellStyle name="_Currency_NXTL_PH" xfId="357" xr:uid="{00000000-0005-0000-0000-0000C3040000}"/>
    <cellStyle name="_Currency_NXTL_Sheet2" xfId="3914" xr:uid="{00000000-0005-0000-0000-0000C4040000}"/>
    <cellStyle name="_Currency_NXTL_Sheet2 2" xfId="3915" xr:uid="{00000000-0005-0000-0000-0000C5040000}"/>
    <cellStyle name="_Currency_OpMod" xfId="3916" xr:uid="{00000000-0005-0000-0000-0000C6040000}"/>
    <cellStyle name="_Currency_Origination Market Share-Qtr" xfId="3917" xr:uid="{00000000-0005-0000-0000-0000C7040000}"/>
    <cellStyle name="_Currency_Origination Market Share-Qtr 2" xfId="3918" xr:uid="{00000000-0005-0000-0000-0000C8040000}"/>
    <cellStyle name="_Currency_Origination Market Share-Qtr_1" xfId="3919" xr:uid="{00000000-0005-0000-0000-0000C9040000}"/>
    <cellStyle name="_Currency_Origination Market Share-Qtr_1 2" xfId="3920" xr:uid="{00000000-0005-0000-0000-0000CA040000}"/>
    <cellStyle name="_Currency_OSK" xfId="358" xr:uid="{00000000-0005-0000-0000-0000CB040000}"/>
    <cellStyle name="_Currency_output" xfId="3921" xr:uid="{00000000-0005-0000-0000-0000CC040000}"/>
    <cellStyle name="_Currency_Overview3" xfId="2722" xr:uid="{00000000-0005-0000-0000-0000CD040000}"/>
    <cellStyle name="_Currency_Overview3 2" xfId="3922" xr:uid="{00000000-0005-0000-0000-0000CE040000}"/>
    <cellStyle name="_Currency_Overview3_Origination Market Share-Qtr" xfId="3923" xr:uid="{00000000-0005-0000-0000-0000CF040000}"/>
    <cellStyle name="_Currency_Overview3_Origination Market Share-Qtr 2" xfId="3924" xr:uid="{00000000-0005-0000-0000-0000D0040000}"/>
    <cellStyle name="_Currency_PCAR" xfId="359" xr:uid="{00000000-0005-0000-0000-0000D1040000}"/>
    <cellStyle name="_Currency_PCS" xfId="360" xr:uid="{00000000-0005-0000-0000-0000D2040000}"/>
    <cellStyle name="_Currency_PCS 2" xfId="361" xr:uid="{00000000-0005-0000-0000-0000D3040000}"/>
    <cellStyle name="_Currency_PCS 3" xfId="362" xr:uid="{00000000-0005-0000-0000-0000D4040000}"/>
    <cellStyle name="_Currency_PCS_AG" xfId="363" xr:uid="{00000000-0005-0000-0000-0000D5040000}"/>
    <cellStyle name="_Currency_PCS_CNH" xfId="364" xr:uid="{00000000-0005-0000-0000-0000D6040000}"/>
    <cellStyle name="_Currency_PCS_CNH 2" xfId="3925" xr:uid="{00000000-0005-0000-0000-0000D7040000}"/>
    <cellStyle name="_Currency_PCS_DOV" xfId="365" xr:uid="{00000000-0005-0000-0000-0000D8040000}"/>
    <cellStyle name="_Currency_PCS_DOV 2" xfId="3926" xr:uid="{00000000-0005-0000-0000-0000D9040000}"/>
    <cellStyle name="_Currency_PCS_ETN" xfId="366" xr:uid="{00000000-0005-0000-0000-0000DA040000}"/>
    <cellStyle name="_Currency_PCS_ETN 2" xfId="3927" xr:uid="{00000000-0005-0000-0000-0000DB040000}"/>
    <cellStyle name="_Currency_PCS_FSS" xfId="367" xr:uid="{00000000-0005-0000-0000-0000DC040000}"/>
    <cellStyle name="_Currency_PCS_FSS 2" xfId="3928" xr:uid="{00000000-0005-0000-0000-0000DD040000}"/>
    <cellStyle name="_Currency_PCS_JOYG" xfId="368" xr:uid="{00000000-0005-0000-0000-0000DE040000}"/>
    <cellStyle name="_Currency_PCS_MDO breakdown" xfId="3929" xr:uid="{00000000-0005-0000-0000-0000DF040000}"/>
    <cellStyle name="_Currency_PCS_MDO breakdown 2" xfId="3930" xr:uid="{00000000-0005-0000-0000-0000E0040000}"/>
    <cellStyle name="_Currency_PCS_MLM" xfId="369" xr:uid="{00000000-0005-0000-0000-0000E1040000}"/>
    <cellStyle name="_Currency_PCS_NAV" xfId="370" xr:uid="{00000000-0005-0000-0000-0000E2040000}"/>
    <cellStyle name="_Currency_PCS_New Version" xfId="3931" xr:uid="{00000000-0005-0000-0000-0000E3040000}"/>
    <cellStyle name="_Currency_PCS_New Version 2" xfId="3932" xr:uid="{00000000-0005-0000-0000-0000E4040000}"/>
    <cellStyle name="_Currency_PCS_OSK" xfId="371" xr:uid="{00000000-0005-0000-0000-0000E5040000}"/>
    <cellStyle name="_Currency_PCS_PCAR" xfId="372" xr:uid="{00000000-0005-0000-0000-0000E6040000}"/>
    <cellStyle name="_Currency_PCS_PH" xfId="373" xr:uid="{00000000-0005-0000-0000-0000E7040000}"/>
    <cellStyle name="_Currency_PCS_Sheet2" xfId="3933" xr:uid="{00000000-0005-0000-0000-0000E8040000}"/>
    <cellStyle name="_Currency_PCS_Sheet2 2" xfId="3934" xr:uid="{00000000-0005-0000-0000-0000E9040000}"/>
    <cellStyle name="_Currency_PH" xfId="374" xr:uid="{00000000-0005-0000-0000-0000EA040000}"/>
    <cellStyle name="_Currency_PHCC" xfId="3935" xr:uid="{00000000-0005-0000-0000-0000EB040000}"/>
    <cellStyle name="_Currency_PHCC 2" xfId="3936" xr:uid="{00000000-0005-0000-0000-0000EC040000}"/>
    <cellStyle name="_Currency_phil data" xfId="2723" xr:uid="{00000000-0005-0000-0000-0000ED040000}"/>
    <cellStyle name="_Currency_phil data 2" xfId="3937" xr:uid="{00000000-0005-0000-0000-0000EE040000}"/>
    <cellStyle name="_Currency_phil data_Origination Market Share-Qtr" xfId="3938" xr:uid="{00000000-0005-0000-0000-0000EF040000}"/>
    <cellStyle name="_Currency_phil data_Origination Market Share-Qtr 2" xfId="3939" xr:uid="{00000000-0005-0000-0000-0000F0040000}"/>
    <cellStyle name="_Currency_PRGO TEMPLATE 5-13-06" xfId="3940" xr:uid="{00000000-0005-0000-0000-0000F1040000}"/>
    <cellStyle name="_Currency_PRGO TEMPLATE 5-13-06 2" xfId="3941" xr:uid="{00000000-0005-0000-0000-0000F2040000}"/>
    <cellStyle name="_Currency_Price Performance Charts" xfId="2724" xr:uid="{00000000-0005-0000-0000-0000F3040000}"/>
    <cellStyle name="_Currency_Price Performance Charts_Origination Market Share-Qtr" xfId="3942" xr:uid="{00000000-0005-0000-0000-0000F4040000}"/>
    <cellStyle name="_Currency_PRU" xfId="2725" xr:uid="{00000000-0005-0000-0000-0000F5040000}"/>
    <cellStyle name="_Currency_PRU_Origination Market Share-Qtr" xfId="3943" xr:uid="{00000000-0005-0000-0000-0000F6040000}"/>
    <cellStyle name="_Currency_PRU04" xfId="2726" xr:uid="{00000000-0005-0000-0000-0000F7040000}"/>
    <cellStyle name="_Currency_PRU04_Origination Market Share-Qtr" xfId="3944" xr:uid="{00000000-0005-0000-0000-0000F8040000}"/>
    <cellStyle name="_Currency_PRXL" xfId="3945" xr:uid="{00000000-0005-0000-0000-0000F9040000}"/>
    <cellStyle name="_Currency_PRXL 2" xfId="3946" xr:uid="{00000000-0005-0000-0000-0000FA040000}"/>
    <cellStyle name="_Currency_PSSI" xfId="3947" xr:uid="{00000000-0005-0000-0000-0000FB040000}"/>
    <cellStyle name="_Currency_PSSI 2" xfId="3948" xr:uid="{00000000-0005-0000-0000-0000FC040000}"/>
    <cellStyle name="_Currency_QCOM_MOD" xfId="3949" xr:uid="{00000000-0005-0000-0000-0000FD040000}"/>
    <cellStyle name="_Currency_QCOM_MOD 2" xfId="3950" xr:uid="{00000000-0005-0000-0000-0000FE040000}"/>
    <cellStyle name="_Currency_QCOM_MOD_IN PROGRESS" xfId="3951" xr:uid="{00000000-0005-0000-0000-0000FF040000}"/>
    <cellStyle name="_Currency_QCOM_MOD_IN PROGRESS 2" xfId="3952" xr:uid="{00000000-0005-0000-0000-000000050000}"/>
    <cellStyle name="_Currency_QCOMMOD" xfId="3953" xr:uid="{00000000-0005-0000-0000-000001050000}"/>
    <cellStyle name="_Currency_QCOMMOD 2" xfId="3954" xr:uid="{00000000-0005-0000-0000-000002050000}"/>
    <cellStyle name="_Currency_QP_XXX" xfId="3955" xr:uid="{00000000-0005-0000-0000-000003050000}"/>
    <cellStyle name="_Currency_quarterly preview" xfId="3956" xr:uid="{00000000-0005-0000-0000-000004050000}"/>
    <cellStyle name="_Currency_quarterly preview 2" xfId="3957" xr:uid="{00000000-0005-0000-0000-000005050000}"/>
    <cellStyle name="_Currency_RBOC historicals" xfId="375" xr:uid="{00000000-0005-0000-0000-000006050000}"/>
    <cellStyle name="_Currency_RBOC historicals 2" xfId="376" xr:uid="{00000000-0005-0000-0000-000007050000}"/>
    <cellStyle name="_Currency_RBOC historicals 3" xfId="377" xr:uid="{00000000-0005-0000-0000-000008050000}"/>
    <cellStyle name="_Currency_RBOC historicals_AG" xfId="378" xr:uid="{00000000-0005-0000-0000-000009050000}"/>
    <cellStyle name="_Currency_RBOC historicals_CNH" xfId="379" xr:uid="{00000000-0005-0000-0000-00000A050000}"/>
    <cellStyle name="_Currency_RBOC historicals_CNH 2" xfId="3958" xr:uid="{00000000-0005-0000-0000-00000B050000}"/>
    <cellStyle name="_Currency_RBOC historicals_DOV" xfId="380" xr:uid="{00000000-0005-0000-0000-00000C050000}"/>
    <cellStyle name="_Currency_RBOC historicals_DOV 2" xfId="3959" xr:uid="{00000000-0005-0000-0000-00000D050000}"/>
    <cellStyle name="_Currency_RBOC historicals_ETN" xfId="381" xr:uid="{00000000-0005-0000-0000-00000E050000}"/>
    <cellStyle name="_Currency_RBOC historicals_ETN 2" xfId="3960" xr:uid="{00000000-0005-0000-0000-00000F050000}"/>
    <cellStyle name="_Currency_RBOC historicals_FSS" xfId="382" xr:uid="{00000000-0005-0000-0000-000010050000}"/>
    <cellStyle name="_Currency_RBOC historicals_FSS 2" xfId="3961" xr:uid="{00000000-0005-0000-0000-000011050000}"/>
    <cellStyle name="_Currency_RBOC historicals_JOYG" xfId="383" xr:uid="{00000000-0005-0000-0000-000012050000}"/>
    <cellStyle name="_Currency_RBOC historicals_MDO breakdown" xfId="3962" xr:uid="{00000000-0005-0000-0000-000013050000}"/>
    <cellStyle name="_Currency_RBOC historicals_MDO breakdown 2" xfId="3963" xr:uid="{00000000-0005-0000-0000-000014050000}"/>
    <cellStyle name="_Currency_RBOC historicals_MLM" xfId="384" xr:uid="{00000000-0005-0000-0000-000015050000}"/>
    <cellStyle name="_Currency_RBOC historicals_NAV" xfId="385" xr:uid="{00000000-0005-0000-0000-000016050000}"/>
    <cellStyle name="_Currency_RBOC historicals_New Version" xfId="3964" xr:uid="{00000000-0005-0000-0000-000017050000}"/>
    <cellStyle name="_Currency_RBOC historicals_New Version 2" xfId="3965" xr:uid="{00000000-0005-0000-0000-000018050000}"/>
    <cellStyle name="_Currency_RBOC historicals_OSK" xfId="386" xr:uid="{00000000-0005-0000-0000-000019050000}"/>
    <cellStyle name="_Currency_RBOC historicals_PCAR" xfId="387" xr:uid="{00000000-0005-0000-0000-00001A050000}"/>
    <cellStyle name="_Currency_RBOC historicals_PH" xfId="388" xr:uid="{00000000-0005-0000-0000-00001B050000}"/>
    <cellStyle name="_Currency_RBOC historicals_Sheet2" xfId="3966" xr:uid="{00000000-0005-0000-0000-00001C050000}"/>
    <cellStyle name="_Currency_RBOC historicals_Sheet2 2" xfId="3967" xr:uid="{00000000-0005-0000-0000-00001D050000}"/>
    <cellStyle name="_Currency_Relative Contribution Analysis 04" xfId="3968" xr:uid="{00000000-0005-0000-0000-00001E050000}"/>
    <cellStyle name="_Currency_Rev" xfId="3969" xr:uid="{00000000-0005-0000-0000-00001F050000}"/>
    <cellStyle name="_Currency_Rev 2" xfId="3970" xr:uid="{00000000-0005-0000-0000-000020050000}"/>
    <cellStyle name="_Currency_RIMMMOD" xfId="3971" xr:uid="{00000000-0005-0000-0000-000021050000}"/>
    <cellStyle name="_Currency_RIMMMOD 2" xfId="3972" xr:uid="{00000000-0005-0000-0000-000022050000}"/>
    <cellStyle name="_Currency_RiskReward" xfId="2727" xr:uid="{00000000-0005-0000-0000-000023050000}"/>
    <cellStyle name="_Currency_RiskReward 2" xfId="3973" xr:uid="{00000000-0005-0000-0000-000024050000}"/>
    <cellStyle name="_Currency_RiskReward_Origination Market Share-Qtr" xfId="3974" xr:uid="{00000000-0005-0000-0000-000025050000}"/>
    <cellStyle name="_Currency_RiskReward_Origination Market Share-Qtr 2" xfId="3975" xr:uid="{00000000-0005-0000-0000-000026050000}"/>
    <cellStyle name="_Currency_ROE" xfId="3976" xr:uid="{00000000-0005-0000-0000-000027050000}"/>
    <cellStyle name="_Currency_ROE 2" xfId="3977" xr:uid="{00000000-0005-0000-0000-000028050000}"/>
    <cellStyle name="_Currency_Royal Kansas  DCF2" xfId="3978" xr:uid="{00000000-0005-0000-0000-000029050000}"/>
    <cellStyle name="_Currency_Seasonale" xfId="3979" xr:uid="{00000000-0005-0000-0000-00002A050000}"/>
    <cellStyle name="_Currency_Seasonale 2" xfId="3980" xr:uid="{00000000-0005-0000-0000-00002B050000}"/>
    <cellStyle name="_Currency_Segment breakout" xfId="3981" xr:uid="{00000000-0005-0000-0000-00002C050000}"/>
    <cellStyle name="_Currency_Segment breakout 2" xfId="3982" xr:uid="{00000000-0005-0000-0000-00002D050000}"/>
    <cellStyle name="_Currency_segment graph data" xfId="3983" xr:uid="{00000000-0005-0000-0000-00002E050000}"/>
    <cellStyle name="_Currency_segment graph data 2" xfId="3984" xr:uid="{00000000-0005-0000-0000-00002F050000}"/>
    <cellStyle name="_Currency_Segment Inputs" xfId="3985" xr:uid="{00000000-0005-0000-0000-000030050000}"/>
    <cellStyle name="_Currency_SFG" xfId="2728" xr:uid="{00000000-0005-0000-0000-000031050000}"/>
    <cellStyle name="_Currency_SFG_Origination Market Share-Qtr" xfId="3986" xr:uid="{00000000-0005-0000-0000-000032050000}"/>
    <cellStyle name="_Currency_Sheet1" xfId="389" xr:uid="{00000000-0005-0000-0000-000033050000}"/>
    <cellStyle name="_Currency_Sheet1 2" xfId="3069" xr:uid="{00000000-0005-0000-0000-000034050000}"/>
    <cellStyle name="_Currency_Sheet1 3" xfId="7039" xr:uid="{00000000-0005-0000-0000-000035050000}"/>
    <cellStyle name="_Currency_Sheet1 4" xfId="7040" xr:uid="{00000000-0005-0000-0000-000036050000}"/>
    <cellStyle name="_Currency_Sheet1_1" xfId="3987" xr:uid="{00000000-0005-0000-0000-000037050000}"/>
    <cellStyle name="_Currency_Sheet1_Agis" xfId="3988" xr:uid="{00000000-0005-0000-0000-000038050000}"/>
    <cellStyle name="_Currency_Sheet1_Agis 2" xfId="3989" xr:uid="{00000000-0005-0000-0000-000039050000}"/>
    <cellStyle name="_Currency_Sheet1_CEPH working" xfId="3990" xr:uid="{00000000-0005-0000-0000-00003A050000}"/>
    <cellStyle name="_Currency_Sheet1_CEPH working 2" xfId="3991" xr:uid="{00000000-0005-0000-0000-00003B050000}"/>
    <cellStyle name="_Currency_Sheet1_Disclaimer" xfId="3992" xr:uid="{00000000-0005-0000-0000-00003C050000}"/>
    <cellStyle name="_Currency_Sheet1_Disclaimer 2" xfId="3993" xr:uid="{00000000-0005-0000-0000-00003D050000}"/>
    <cellStyle name="_Currency_Sheet1_document(1)" xfId="3994" xr:uid="{00000000-0005-0000-0000-00003E050000}"/>
    <cellStyle name="_Currency_Sheet1_document(1) 2" xfId="3995" xr:uid="{00000000-0005-0000-0000-00003F050000}"/>
    <cellStyle name="_Currency_Sheet1_GQ" xfId="3996" xr:uid="{00000000-0005-0000-0000-000040050000}"/>
    <cellStyle name="_Currency_Sheet1_GQ 2" xfId="3997" xr:uid="{00000000-0005-0000-0000-000041050000}"/>
    <cellStyle name="_Currency_Sheet1_IS" xfId="3998" xr:uid="{00000000-0005-0000-0000-000042050000}"/>
    <cellStyle name="_Currency_Sheet1_IS 2" xfId="3999" xr:uid="{00000000-0005-0000-0000-000043050000}"/>
    <cellStyle name="_Currency_Sheet1_Key poduct model" xfId="4000" xr:uid="{00000000-0005-0000-0000-000044050000}"/>
    <cellStyle name="_Currency_Sheet1_Key poduct model 2" xfId="4001" xr:uid="{00000000-0005-0000-0000-000045050000}"/>
    <cellStyle name="_Currency_Sheet1_Mainsheet - consolidated" xfId="4002" xr:uid="{00000000-0005-0000-0000-000046050000}"/>
    <cellStyle name="_Currency_Sheet1_Mainsheet - consolidated 2" xfId="4003" xr:uid="{00000000-0005-0000-0000-000047050000}"/>
    <cellStyle name="_Currency_Sheet1_MASTER Stanicky-WC 10-28-06 LAUNCH" xfId="4004" xr:uid="{00000000-0005-0000-0000-000048050000}"/>
    <cellStyle name="_Currency_Sheet1_MASTER Stanicky-WC 10-28-06 LAUNCH 2" xfId="4005" xr:uid="{00000000-0005-0000-0000-000049050000}"/>
    <cellStyle name="_Currency_Sheet1_New Version" xfId="4006" xr:uid="{00000000-0005-0000-0000-00004A050000}"/>
    <cellStyle name="_Currency_Sheet1_New Version 2" xfId="4007" xr:uid="{00000000-0005-0000-0000-00004B050000}"/>
    <cellStyle name="_Currency_Sheet1_Origination Market Share-Qtr" xfId="4008" xr:uid="{00000000-0005-0000-0000-00004C050000}"/>
    <cellStyle name="_Currency_Sheet1_Origination Market Share-Qtr 2" xfId="4009" xr:uid="{00000000-0005-0000-0000-00004D050000}"/>
    <cellStyle name="_Currency_Sheet1_SEPR working" xfId="4010" xr:uid="{00000000-0005-0000-0000-00004E050000}"/>
    <cellStyle name="_Currency_Sheet1_SEPR working 2" xfId="4011" xr:uid="{00000000-0005-0000-0000-00004F050000}"/>
    <cellStyle name="_Currency_Sheet1_Sheet2" xfId="4012" xr:uid="{00000000-0005-0000-0000-000050050000}"/>
    <cellStyle name="_Currency_Sheet1_Sheet2 2" xfId="4013" xr:uid="{00000000-0005-0000-0000-000051050000}"/>
    <cellStyle name="_Currency_Sheet1_Sheet2_1" xfId="4014" xr:uid="{00000000-0005-0000-0000-000052050000}"/>
    <cellStyle name="_Currency_Sheet1_Sheet2_1 2" xfId="4015" xr:uid="{00000000-0005-0000-0000-000053050000}"/>
    <cellStyle name="_Currency_Sheet1_Sheet2_New Version" xfId="4016" xr:uid="{00000000-0005-0000-0000-000054050000}"/>
    <cellStyle name="_Currency_Sheet1_Sheet2_New Version 2" xfId="4017" xr:uid="{00000000-0005-0000-0000-000055050000}"/>
    <cellStyle name="_Currency_Sheet1_Sheet3" xfId="4018" xr:uid="{00000000-0005-0000-0000-000056050000}"/>
    <cellStyle name="_Currency_Sheet1_Sheet3 2" xfId="4019" xr:uid="{00000000-0005-0000-0000-000057050000}"/>
    <cellStyle name="_Currency_Sheet1_Sheet3_WC Ovcon forecast" xfId="4020" xr:uid="{00000000-0005-0000-0000-000058050000}"/>
    <cellStyle name="_Currency_Sheet1_Sheet3_WC Ovcon forecast 2" xfId="4021" xr:uid="{00000000-0005-0000-0000-000059050000}"/>
    <cellStyle name="_Currency_Sheet1_SPEC Rx trend vs est " xfId="4022" xr:uid="{00000000-0005-0000-0000-00005A050000}"/>
    <cellStyle name="_Currency_Sheet1_SPEC Rx trend vs est  2" xfId="4023" xr:uid="{00000000-0005-0000-0000-00005B050000}"/>
    <cellStyle name="_Currency_Sheet1_Stanicky - Biovail 12-7-2006 FINAL" xfId="4024" xr:uid="{00000000-0005-0000-0000-00005C050000}"/>
    <cellStyle name="_Currency_Sheet1_Stanicky - Biovail 12-7-2006 FINAL 2" xfId="4025" xr:uid="{00000000-0005-0000-0000-00005D050000}"/>
    <cellStyle name="_Currency_Sheet1_WC Ovcon forecast" xfId="4026" xr:uid="{00000000-0005-0000-0000-00005E050000}"/>
    <cellStyle name="_Currency_Sheet1_WC Ovcon forecast 2" xfId="4027" xr:uid="{00000000-0005-0000-0000-00005F050000}"/>
    <cellStyle name="_Currency_Sheet1_WCRX working" xfId="4028" xr:uid="{00000000-0005-0000-0000-000060050000}"/>
    <cellStyle name="_Currency_Sheet1_WCRX working 2" xfId="4029" xr:uid="{00000000-0005-0000-0000-000061050000}"/>
    <cellStyle name="_Currency_Sheet13" xfId="4030" xr:uid="{00000000-0005-0000-0000-000062050000}"/>
    <cellStyle name="_Currency_Sheet13 2" xfId="4031" xr:uid="{00000000-0005-0000-0000-000063050000}"/>
    <cellStyle name="_Currency_Sheet2" xfId="4032" xr:uid="{00000000-0005-0000-0000-000064050000}"/>
    <cellStyle name="_Currency_Sheet2 2" xfId="4033" xr:uid="{00000000-0005-0000-0000-000065050000}"/>
    <cellStyle name="_Currency_Sheet3" xfId="4034" xr:uid="{00000000-0005-0000-0000-000066050000}"/>
    <cellStyle name="_Currency_Sheet3 2" xfId="4035" xr:uid="{00000000-0005-0000-0000-000067050000}"/>
    <cellStyle name="_Currency_Sheet6" xfId="4036" xr:uid="{00000000-0005-0000-0000-000068050000}"/>
    <cellStyle name="_Currency_Sheet6 2" xfId="4037" xr:uid="{00000000-0005-0000-0000-000069050000}"/>
    <cellStyle name="_Currency_Sketch5 - Montana Impact" xfId="4038" xr:uid="{00000000-0005-0000-0000-00006A050000}"/>
    <cellStyle name="_Currency_Snapshot" xfId="4039" xr:uid="{00000000-0005-0000-0000-00006B050000}"/>
    <cellStyle name="_Currency_Snapshot 2" xfId="4040" xr:uid="{00000000-0005-0000-0000-00006C050000}"/>
    <cellStyle name="_Currency_SOP" xfId="390" xr:uid="{00000000-0005-0000-0000-00006D050000}"/>
    <cellStyle name="_Currency_SOP 2" xfId="4041" xr:uid="{00000000-0005-0000-0000-00006E050000}"/>
    <cellStyle name="_Currency_Special situation" xfId="4042" xr:uid="{00000000-0005-0000-0000-00006F050000}"/>
    <cellStyle name="_Currency_Special situation 2" xfId="4043" xr:uid="{00000000-0005-0000-0000-000070050000}"/>
    <cellStyle name="_Currency_SRE" xfId="391" xr:uid="{00000000-0005-0000-0000-000071050000}"/>
    <cellStyle name="_Currency_SRE 2" xfId="4044" xr:uid="{00000000-0005-0000-0000-000072050000}"/>
    <cellStyle name="_Currency_SRE Working" xfId="392" xr:uid="{00000000-0005-0000-0000-000073050000}"/>
    <cellStyle name="_Currency_SRE Working 2" xfId="4045" xr:uid="{00000000-0005-0000-0000-000074050000}"/>
    <cellStyle name="_Currency_SSP" xfId="4046" xr:uid="{00000000-0005-0000-0000-000075050000}"/>
    <cellStyle name="_Currency_SSP 2" xfId="4047" xr:uid="{00000000-0005-0000-0000-000076050000}"/>
    <cellStyle name="_Currency_Stock-QTR1 FDS" xfId="2729" xr:uid="{00000000-0005-0000-0000-000077050000}"/>
    <cellStyle name="_Currency_Stock-QTR1 FDS_Origination Market Share-Qtr" xfId="4048" xr:uid="{00000000-0005-0000-0000-000078050000}"/>
    <cellStyle name="_Currency_symcqtis" xfId="393" xr:uid="{00000000-0005-0000-0000-000079050000}"/>
    <cellStyle name="_Currency_symcqtis_New Version" xfId="4049" xr:uid="{00000000-0005-0000-0000-00007A050000}"/>
    <cellStyle name="_Currency_symcqtis_Sheet2" xfId="4050" xr:uid="{00000000-0005-0000-0000-00007B050000}"/>
    <cellStyle name="_Currency_T - new" xfId="394" xr:uid="{00000000-0005-0000-0000-00007C050000}"/>
    <cellStyle name="_Currency_T - new 2" xfId="395" xr:uid="{00000000-0005-0000-0000-00007D050000}"/>
    <cellStyle name="_Currency_T - new 3" xfId="396" xr:uid="{00000000-0005-0000-0000-00007E050000}"/>
    <cellStyle name="_Currency_T - new_AG" xfId="397" xr:uid="{00000000-0005-0000-0000-00007F050000}"/>
    <cellStyle name="_Currency_T - new_CNH" xfId="398" xr:uid="{00000000-0005-0000-0000-000080050000}"/>
    <cellStyle name="_Currency_T - new_CNH 2" xfId="4051" xr:uid="{00000000-0005-0000-0000-000081050000}"/>
    <cellStyle name="_Currency_T - new_DOV" xfId="399" xr:uid="{00000000-0005-0000-0000-000082050000}"/>
    <cellStyle name="_Currency_T - new_DOV 2" xfId="4052" xr:uid="{00000000-0005-0000-0000-000083050000}"/>
    <cellStyle name="_Currency_T - new_ETN" xfId="400" xr:uid="{00000000-0005-0000-0000-000084050000}"/>
    <cellStyle name="_Currency_T - new_ETN 2" xfId="4053" xr:uid="{00000000-0005-0000-0000-000085050000}"/>
    <cellStyle name="_Currency_T - new_FSS" xfId="401" xr:uid="{00000000-0005-0000-0000-000086050000}"/>
    <cellStyle name="_Currency_T - new_FSS 2" xfId="4054" xr:uid="{00000000-0005-0000-0000-000087050000}"/>
    <cellStyle name="_Currency_T - new_JOYG" xfId="402" xr:uid="{00000000-0005-0000-0000-000088050000}"/>
    <cellStyle name="_Currency_T - new_MDO breakdown" xfId="4055" xr:uid="{00000000-0005-0000-0000-000089050000}"/>
    <cellStyle name="_Currency_T - new_MDO breakdown 2" xfId="4056" xr:uid="{00000000-0005-0000-0000-00008A050000}"/>
    <cellStyle name="_Currency_T - new_MLM" xfId="403" xr:uid="{00000000-0005-0000-0000-00008B050000}"/>
    <cellStyle name="_Currency_T - new_NAV" xfId="404" xr:uid="{00000000-0005-0000-0000-00008C050000}"/>
    <cellStyle name="_Currency_T - new_New Version" xfId="4057" xr:uid="{00000000-0005-0000-0000-00008D050000}"/>
    <cellStyle name="_Currency_T - new_New Version 2" xfId="4058" xr:uid="{00000000-0005-0000-0000-00008E050000}"/>
    <cellStyle name="_Currency_T - new_OSK" xfId="405" xr:uid="{00000000-0005-0000-0000-00008F050000}"/>
    <cellStyle name="_Currency_T - new_PCAR" xfId="406" xr:uid="{00000000-0005-0000-0000-000090050000}"/>
    <cellStyle name="_Currency_T - new_PH" xfId="407" xr:uid="{00000000-0005-0000-0000-000091050000}"/>
    <cellStyle name="_Currency_T - new_Sheet2" xfId="4059" xr:uid="{00000000-0005-0000-0000-000092050000}"/>
    <cellStyle name="_Currency_T - new_Sheet2 2" xfId="4060" xr:uid="{00000000-0005-0000-0000-000093050000}"/>
    <cellStyle name="_Currency_Taclonex - dovonex" xfId="4061" xr:uid="{00000000-0005-0000-0000-000094050000}"/>
    <cellStyle name="_Currency_Taclonex - dovonex 2" xfId="4062" xr:uid="{00000000-0005-0000-0000-000095050000}"/>
    <cellStyle name="_Currency_taro DSO 4-29-06" xfId="4063" xr:uid="{00000000-0005-0000-0000-000096050000}"/>
    <cellStyle name="_Currency_taro DSO 4-29-06 2" xfId="4064" xr:uid="{00000000-0005-0000-0000-000097050000}"/>
    <cellStyle name="_Currency_Tearsheet" xfId="4065" xr:uid="{00000000-0005-0000-0000-000098050000}"/>
    <cellStyle name="_Currency_Tearsheet 2" xfId="4066" xr:uid="{00000000-0005-0000-0000-000099050000}"/>
    <cellStyle name="_Currency_Testim" xfId="4067" xr:uid="{00000000-0005-0000-0000-00009A050000}"/>
    <cellStyle name="_Currency_Testim 2" xfId="4068" xr:uid="{00000000-0005-0000-0000-00009B050000}"/>
    <cellStyle name="_Currency_Teva - Qtrly IS" xfId="4069" xr:uid="{00000000-0005-0000-0000-00009C050000}"/>
    <cellStyle name="_Currency_Teva - Qtrly IS 2" xfId="4070" xr:uid="{00000000-0005-0000-0000-00009D050000}"/>
    <cellStyle name="_Currency_Teva main sheet" xfId="4071" xr:uid="{00000000-0005-0000-0000-00009E050000}"/>
    <cellStyle name="_Currency_Teva main sheet 2" xfId="4072" xr:uid="{00000000-0005-0000-0000-00009F050000}"/>
    <cellStyle name="_Currency_THE TELECOM SERVICES CSC (3Q99)_AP2K_SU" xfId="4073" xr:uid="{00000000-0005-0000-0000-0000A0050000}"/>
    <cellStyle name="_Currency_THE TELECOM SERVICES CSC (3Q99)_AP2K_SU 2" xfId="4074" xr:uid="{00000000-0005-0000-0000-0000A1050000}"/>
    <cellStyle name="_Currency_TMK" xfId="2730" xr:uid="{00000000-0005-0000-0000-0000A2050000}"/>
    <cellStyle name="_Currency_TMK 2" xfId="4075" xr:uid="{00000000-0005-0000-0000-0000A3050000}"/>
    <cellStyle name="_Currency_TMK_Origination Market Share-Qtr" xfId="4076" xr:uid="{00000000-0005-0000-0000-0000A4050000}"/>
    <cellStyle name="_Currency_TMK_Origination Market Share-Qtr 2" xfId="4077" xr:uid="{00000000-0005-0000-0000-0000A5050000}"/>
    <cellStyle name="_Currency_Updated Valuation Changes" xfId="2731" xr:uid="{00000000-0005-0000-0000-0000A6050000}"/>
    <cellStyle name="_Currency_Updated Valuation Changes 2" xfId="4078" xr:uid="{00000000-0005-0000-0000-0000A7050000}"/>
    <cellStyle name="_Currency_Updated Valuation Changes_Origination Market Share-Qtr" xfId="4079" xr:uid="{00000000-0005-0000-0000-0000A8050000}"/>
    <cellStyle name="_Currency_Updated Valuation Changes_Origination Market Share-Qtr 2" xfId="4080" xr:uid="{00000000-0005-0000-0000-0000A9050000}"/>
    <cellStyle name="_Currency_Val Sheets" xfId="408" xr:uid="{00000000-0005-0000-0000-0000AA050000}"/>
    <cellStyle name="_Currency_Val Sheets 2" xfId="4081" xr:uid="{00000000-0005-0000-0000-0000AB050000}"/>
    <cellStyle name="_Currency_Val Sheets_Adjustments" xfId="4082" xr:uid="{00000000-0005-0000-0000-0000AC050000}"/>
    <cellStyle name="_Currency_Val Sheets_Adjustments 2" xfId="4083" xr:uid="{00000000-0005-0000-0000-0000AD050000}"/>
    <cellStyle name="_Currency_Valuation and Benchmarking Template" xfId="4084" xr:uid="{00000000-0005-0000-0000-0000AE050000}"/>
    <cellStyle name="_Currency_Valuation Graphs" xfId="2732" xr:uid="{00000000-0005-0000-0000-0000AF050000}"/>
    <cellStyle name="_Currency_Valuation Graphs 2" xfId="4085" xr:uid="{00000000-0005-0000-0000-0000B0050000}"/>
    <cellStyle name="_Currency_Valuation Graphs_Origination Market Share-Qtr" xfId="4086" xr:uid="{00000000-0005-0000-0000-0000B1050000}"/>
    <cellStyle name="_Currency_Valuation Graphs_Origination Market Share-Qtr 2" xfId="4087" xr:uid="{00000000-0005-0000-0000-0000B2050000}"/>
    <cellStyle name="_Currency_VZ" xfId="409" xr:uid="{00000000-0005-0000-0000-0000B3050000}"/>
    <cellStyle name="_Currency_VZ 2" xfId="410" xr:uid="{00000000-0005-0000-0000-0000B4050000}"/>
    <cellStyle name="_Currency_VZ 3" xfId="411" xr:uid="{00000000-0005-0000-0000-0000B5050000}"/>
    <cellStyle name="_Currency_VZ_AG" xfId="412" xr:uid="{00000000-0005-0000-0000-0000B6050000}"/>
    <cellStyle name="_Currency_VZ_CNH" xfId="413" xr:uid="{00000000-0005-0000-0000-0000B7050000}"/>
    <cellStyle name="_Currency_VZ_CNH 2" xfId="4088" xr:uid="{00000000-0005-0000-0000-0000B8050000}"/>
    <cellStyle name="_Currency_VZ_CNH_BU 15 performance" xfId="4089" xr:uid="{00000000-0005-0000-0000-0000B9050000}"/>
    <cellStyle name="_Currency_VZ_CNH_BU 15 performance 2" xfId="4090" xr:uid="{00000000-0005-0000-0000-0000BA050000}"/>
    <cellStyle name="_Currency_VZ_CNH_Industrials CL Portfolio_021009" xfId="4091" xr:uid="{00000000-0005-0000-0000-0000BB050000}"/>
    <cellStyle name="_Currency_VZ_CNH_Industrials CL Portfolio_021009 2" xfId="4092" xr:uid="{00000000-0005-0000-0000-0000BC050000}"/>
    <cellStyle name="_Currency_VZ_CNH_Industrials CL Portfolio_021109" xfId="4093" xr:uid="{00000000-0005-0000-0000-0000BD050000}"/>
    <cellStyle name="_Currency_VZ_CNH_Industrials CL Portfolio_021109 2" xfId="4094" xr:uid="{00000000-0005-0000-0000-0000BE050000}"/>
    <cellStyle name="_Currency_VZ_CNH_Investment Profile Screen" xfId="4095" xr:uid="{00000000-0005-0000-0000-0000BF050000}"/>
    <cellStyle name="_Currency_VZ_CNH_Investment Profile Screen 2" xfId="4096" xr:uid="{00000000-0005-0000-0000-0000C0050000}"/>
    <cellStyle name="_Currency_VZ_DOV" xfId="414" xr:uid="{00000000-0005-0000-0000-0000C1050000}"/>
    <cellStyle name="_Currency_VZ_DOV 2" xfId="4097" xr:uid="{00000000-0005-0000-0000-0000C2050000}"/>
    <cellStyle name="_Currency_VZ_ETN" xfId="415" xr:uid="{00000000-0005-0000-0000-0000C3050000}"/>
    <cellStyle name="_Currency_VZ_ETN 2" xfId="4098" xr:uid="{00000000-0005-0000-0000-0000C4050000}"/>
    <cellStyle name="_Currency_VZ_FSS" xfId="416" xr:uid="{00000000-0005-0000-0000-0000C5050000}"/>
    <cellStyle name="_Currency_VZ_FSS 2" xfId="4099" xr:uid="{00000000-0005-0000-0000-0000C6050000}"/>
    <cellStyle name="_Currency_VZ_JOYG" xfId="417" xr:uid="{00000000-0005-0000-0000-0000C7050000}"/>
    <cellStyle name="_Currency_VZ_MDO breakdown" xfId="4100" xr:uid="{00000000-0005-0000-0000-0000C8050000}"/>
    <cellStyle name="_Currency_VZ_MDO breakdown 2" xfId="4101" xr:uid="{00000000-0005-0000-0000-0000C9050000}"/>
    <cellStyle name="_Currency_VZ_MLM" xfId="418" xr:uid="{00000000-0005-0000-0000-0000CA050000}"/>
    <cellStyle name="_Currency_VZ_NAV" xfId="419" xr:uid="{00000000-0005-0000-0000-0000CB050000}"/>
    <cellStyle name="_Currency_VZ_New Version" xfId="4102" xr:uid="{00000000-0005-0000-0000-0000CC050000}"/>
    <cellStyle name="_Currency_VZ_New Version 2" xfId="4103" xr:uid="{00000000-0005-0000-0000-0000CD050000}"/>
    <cellStyle name="_Currency_VZ_OSK" xfId="420" xr:uid="{00000000-0005-0000-0000-0000CE050000}"/>
    <cellStyle name="_Currency_VZ_PCAR" xfId="421" xr:uid="{00000000-0005-0000-0000-0000CF050000}"/>
    <cellStyle name="_Currency_VZ_PH" xfId="422" xr:uid="{00000000-0005-0000-0000-0000D0050000}"/>
    <cellStyle name="_Currency_VZ_Sheet2" xfId="4104" xr:uid="{00000000-0005-0000-0000-0000D1050000}"/>
    <cellStyle name="_Currency_VZ_Sheet2 2" xfId="4105" xr:uid="{00000000-0005-0000-0000-0000D2050000}"/>
    <cellStyle name="_Currency_VZW" xfId="423" xr:uid="{00000000-0005-0000-0000-0000D3050000}"/>
    <cellStyle name="_Currency_VZW 2" xfId="424" xr:uid="{00000000-0005-0000-0000-0000D4050000}"/>
    <cellStyle name="_Currency_VZW 3" xfId="425" xr:uid="{00000000-0005-0000-0000-0000D5050000}"/>
    <cellStyle name="_Currency_VZW_AG" xfId="426" xr:uid="{00000000-0005-0000-0000-0000D6050000}"/>
    <cellStyle name="_Currency_VZW_CNH" xfId="427" xr:uid="{00000000-0005-0000-0000-0000D7050000}"/>
    <cellStyle name="_Currency_VZW_CNH 2" xfId="4106" xr:uid="{00000000-0005-0000-0000-0000D8050000}"/>
    <cellStyle name="_Currency_VZW_DOV" xfId="428" xr:uid="{00000000-0005-0000-0000-0000D9050000}"/>
    <cellStyle name="_Currency_VZW_DOV 2" xfId="4107" xr:uid="{00000000-0005-0000-0000-0000DA050000}"/>
    <cellStyle name="_Currency_VZW_ETN" xfId="429" xr:uid="{00000000-0005-0000-0000-0000DB050000}"/>
    <cellStyle name="_Currency_VZW_ETN 2" xfId="4108" xr:uid="{00000000-0005-0000-0000-0000DC050000}"/>
    <cellStyle name="_Currency_VZW_FSS" xfId="430" xr:uid="{00000000-0005-0000-0000-0000DD050000}"/>
    <cellStyle name="_Currency_VZW_FSS 2" xfId="4109" xr:uid="{00000000-0005-0000-0000-0000DE050000}"/>
    <cellStyle name="_Currency_VZW_JOYG" xfId="431" xr:uid="{00000000-0005-0000-0000-0000DF050000}"/>
    <cellStyle name="_Currency_VZW_MDO breakdown" xfId="4110" xr:uid="{00000000-0005-0000-0000-0000E0050000}"/>
    <cellStyle name="_Currency_VZW_MDO breakdown 2" xfId="4111" xr:uid="{00000000-0005-0000-0000-0000E1050000}"/>
    <cellStyle name="_Currency_VZW_MLM" xfId="432" xr:uid="{00000000-0005-0000-0000-0000E2050000}"/>
    <cellStyle name="_Currency_VZW_NAV" xfId="433" xr:uid="{00000000-0005-0000-0000-0000E3050000}"/>
    <cellStyle name="_Currency_VZW_New Version" xfId="4112" xr:uid="{00000000-0005-0000-0000-0000E4050000}"/>
    <cellStyle name="_Currency_VZW_New Version 2" xfId="4113" xr:uid="{00000000-0005-0000-0000-0000E5050000}"/>
    <cellStyle name="_Currency_VZW_OSK" xfId="434" xr:uid="{00000000-0005-0000-0000-0000E6050000}"/>
    <cellStyle name="_Currency_VZW_PCAR" xfId="435" xr:uid="{00000000-0005-0000-0000-0000E7050000}"/>
    <cellStyle name="_Currency_VZW_PH" xfId="436" xr:uid="{00000000-0005-0000-0000-0000E8050000}"/>
    <cellStyle name="_Currency_VZW_Sheet2" xfId="4114" xr:uid="{00000000-0005-0000-0000-0000E9050000}"/>
    <cellStyle name="_Currency_VZW_Sheet2 2" xfId="4115" xr:uid="{00000000-0005-0000-0000-0000EA050000}"/>
    <cellStyle name="_Currency_WC Ovcon forecast" xfId="4116" xr:uid="{00000000-0005-0000-0000-0000EB050000}"/>
    <cellStyle name="_Currency_WC Ovcon forecast 2" xfId="4117" xr:uid="{00000000-0005-0000-0000-0000EC050000}"/>
    <cellStyle name="_Currency_WFT published 1-30-07 Client version (2)" xfId="437" xr:uid="{00000000-0005-0000-0000-0000ED050000}"/>
    <cellStyle name="_Currency_WFT published 1-30-07 Client version (2) 2" xfId="438" xr:uid="{00000000-0005-0000-0000-0000EE050000}"/>
    <cellStyle name="_Currency_Wireless data tables" xfId="4118" xr:uid="{00000000-0005-0000-0000-0000EF050000}"/>
    <cellStyle name="_Currency_Wireless data tables 2" xfId="4119" xr:uid="{00000000-0005-0000-0000-0000F0050000}"/>
    <cellStyle name="_Currency_xratio - historical mkt val" xfId="2733" xr:uid="{00000000-0005-0000-0000-0000F1050000}"/>
    <cellStyle name="_Currency_xratio - historical mkt val 2" xfId="4120" xr:uid="{00000000-0005-0000-0000-0000F2050000}"/>
    <cellStyle name="_Currency_xratio - historical mkt val_Origination Market Share-Qtr" xfId="4121" xr:uid="{00000000-0005-0000-0000-0000F3050000}"/>
    <cellStyle name="_Currency_xratio - historical mkt val_Origination Market Share-Qtr 2" xfId="4122" xr:uid="{00000000-0005-0000-0000-0000F4050000}"/>
    <cellStyle name="_CurrencySpace" xfId="439" xr:uid="{00000000-0005-0000-0000-0000F5050000}"/>
    <cellStyle name="_CurrencySpace 2" xfId="440" xr:uid="{00000000-0005-0000-0000-0000F6050000}"/>
    <cellStyle name="_CurrencySpace 2 2" xfId="2910" xr:uid="{00000000-0005-0000-0000-0000F7050000}"/>
    <cellStyle name="_CurrencySpace 2 3" xfId="7041" xr:uid="{00000000-0005-0000-0000-0000F8050000}"/>
    <cellStyle name="_CurrencySpace 3" xfId="2911" xr:uid="{00000000-0005-0000-0000-0000F9050000}"/>
    <cellStyle name="_CurrencySpace 4" xfId="2912" xr:uid="{00000000-0005-0000-0000-0000FA050000}"/>
    <cellStyle name="_CurrencySpace 5" xfId="2909" xr:uid="{00000000-0005-0000-0000-0000FB050000}"/>
    <cellStyle name="_CurrencySpace 6" xfId="7042" xr:uid="{00000000-0005-0000-0000-0000FC050000}"/>
    <cellStyle name="_CurrencySpace 7" xfId="7043" xr:uid="{00000000-0005-0000-0000-0000FD050000}"/>
    <cellStyle name="_CurrencySpace_01 adj for merger plan" xfId="2734" xr:uid="{00000000-0005-0000-0000-0000FE050000}"/>
    <cellStyle name="_CurrencySpace_01 adj for merger plan 2" xfId="4123" xr:uid="{00000000-0005-0000-0000-0000FF050000}"/>
    <cellStyle name="_CurrencySpace_01 adj for merger plan_Origination Market Share-Qtr" xfId="4124" xr:uid="{00000000-0005-0000-0000-000000060000}"/>
    <cellStyle name="_CurrencySpace_01 adj for merger plan_Origination Market Share-Qtr 2" xfId="4125" xr:uid="{00000000-0005-0000-0000-000001060000}"/>
    <cellStyle name="_CurrencySpace_Ability to Pay Analysis" xfId="2735" xr:uid="{00000000-0005-0000-0000-000002060000}"/>
    <cellStyle name="_CurrencySpace_Ability to Pay Analysis 2" xfId="4126" xr:uid="{00000000-0005-0000-0000-000003060000}"/>
    <cellStyle name="_CurrencySpace_Ability to Pay Analysis_Origination Market Share-Qtr" xfId="4127" xr:uid="{00000000-0005-0000-0000-000004060000}"/>
    <cellStyle name="_CurrencySpace_Ability to Pay Analysis_Origination Market Share-Qtr 2" xfId="4128" xr:uid="{00000000-0005-0000-0000-000005060000}"/>
    <cellStyle name="_CurrencySpace_AFL" xfId="2736" xr:uid="{00000000-0005-0000-0000-000006060000}"/>
    <cellStyle name="_CurrencySpace_AFL 2" xfId="4129" xr:uid="{00000000-0005-0000-0000-000007060000}"/>
    <cellStyle name="_CurrencySpace_AIZ" xfId="2737" xr:uid="{00000000-0005-0000-0000-000008060000}"/>
    <cellStyle name="_CurrencySpace_AIZ 2" xfId="4130" xr:uid="{00000000-0005-0000-0000-000009060000}"/>
    <cellStyle name="_CurrencySpace_AMP" xfId="2738" xr:uid="{00000000-0005-0000-0000-00000A060000}"/>
    <cellStyle name="_CurrencySpace_AMP_Origination Market Share-Qtr" xfId="4131" xr:uid="{00000000-0005-0000-0000-00000B060000}"/>
    <cellStyle name="_CurrencySpace_AutoPrice2000" xfId="4132" xr:uid="{00000000-0005-0000-0000-00000C060000}"/>
    <cellStyle name="_CurrencySpace_Balance Sheet" xfId="2739" xr:uid="{00000000-0005-0000-0000-00000D060000}"/>
    <cellStyle name="_CurrencySpace_Balance Sheet 2" xfId="4133" xr:uid="{00000000-0005-0000-0000-00000E060000}"/>
    <cellStyle name="_CurrencySpace_BHI" xfId="441" xr:uid="{00000000-0005-0000-0000-00000F060000}"/>
    <cellStyle name="_CurrencySpace_BHI 2" xfId="442" xr:uid="{00000000-0005-0000-0000-000010060000}"/>
    <cellStyle name="_CurrencySpace_BHI 3" xfId="443" xr:uid="{00000000-0005-0000-0000-000011060000}"/>
    <cellStyle name="_CurrencySpace_BHI_AG" xfId="444" xr:uid="{00000000-0005-0000-0000-000012060000}"/>
    <cellStyle name="_CurrencySpace_BHI_CNH" xfId="445" xr:uid="{00000000-0005-0000-0000-000013060000}"/>
    <cellStyle name="_CurrencySpace_BHI_CNH 2" xfId="4134" xr:uid="{00000000-0005-0000-0000-000014060000}"/>
    <cellStyle name="_CurrencySpace_BHI_DOV" xfId="446" xr:uid="{00000000-0005-0000-0000-000015060000}"/>
    <cellStyle name="_CurrencySpace_BHI_DOV 2" xfId="4135" xr:uid="{00000000-0005-0000-0000-000016060000}"/>
    <cellStyle name="_CurrencySpace_BHI_ETN" xfId="447" xr:uid="{00000000-0005-0000-0000-000017060000}"/>
    <cellStyle name="_CurrencySpace_BHI_ETN 2" xfId="4136" xr:uid="{00000000-0005-0000-0000-000018060000}"/>
    <cellStyle name="_CurrencySpace_BHI_FSS" xfId="448" xr:uid="{00000000-0005-0000-0000-000019060000}"/>
    <cellStyle name="_CurrencySpace_BHI_FSS 2" xfId="4137" xr:uid="{00000000-0005-0000-0000-00001A060000}"/>
    <cellStyle name="_CurrencySpace_BHI_JOYG" xfId="449" xr:uid="{00000000-0005-0000-0000-00001B060000}"/>
    <cellStyle name="_CurrencySpace_BHI_MLM" xfId="450" xr:uid="{00000000-0005-0000-0000-00001C060000}"/>
    <cellStyle name="_CurrencySpace_BHI_NAV" xfId="451" xr:uid="{00000000-0005-0000-0000-00001D060000}"/>
    <cellStyle name="_CurrencySpace_BHI_OSK" xfId="452" xr:uid="{00000000-0005-0000-0000-00001E060000}"/>
    <cellStyle name="_CurrencySpace_BHI_PCAR" xfId="453" xr:uid="{00000000-0005-0000-0000-00001F060000}"/>
    <cellStyle name="_CurrencySpace_BHI_PH" xfId="454" xr:uid="{00000000-0005-0000-0000-000020060000}"/>
    <cellStyle name="_CurrencySpace_bls roic" xfId="455" xr:uid="{00000000-0005-0000-0000-000021060000}"/>
    <cellStyle name="_CurrencySpace_bls roic 2" xfId="456" xr:uid="{00000000-0005-0000-0000-000022060000}"/>
    <cellStyle name="_CurrencySpace_bls roic 3" xfId="457" xr:uid="{00000000-0005-0000-0000-000023060000}"/>
    <cellStyle name="_CurrencySpace_bls roic_AG" xfId="458" xr:uid="{00000000-0005-0000-0000-000024060000}"/>
    <cellStyle name="_CurrencySpace_bls roic_CNH" xfId="459" xr:uid="{00000000-0005-0000-0000-000025060000}"/>
    <cellStyle name="_CurrencySpace_bls roic_CNH 2" xfId="4138" xr:uid="{00000000-0005-0000-0000-000026060000}"/>
    <cellStyle name="_CurrencySpace_bls roic_DOV" xfId="460" xr:uid="{00000000-0005-0000-0000-000027060000}"/>
    <cellStyle name="_CurrencySpace_bls roic_DOV 2" xfId="4139" xr:uid="{00000000-0005-0000-0000-000028060000}"/>
    <cellStyle name="_CurrencySpace_bls roic_ETN" xfId="461" xr:uid="{00000000-0005-0000-0000-000029060000}"/>
    <cellStyle name="_CurrencySpace_bls roic_ETN 2" xfId="4140" xr:uid="{00000000-0005-0000-0000-00002A060000}"/>
    <cellStyle name="_CurrencySpace_bls roic_FSS" xfId="462" xr:uid="{00000000-0005-0000-0000-00002B060000}"/>
    <cellStyle name="_CurrencySpace_bls roic_FSS 2" xfId="4141" xr:uid="{00000000-0005-0000-0000-00002C060000}"/>
    <cellStyle name="_CurrencySpace_bls roic_JOYG" xfId="463" xr:uid="{00000000-0005-0000-0000-00002D060000}"/>
    <cellStyle name="_CurrencySpace_bls roic_MDO breakdown" xfId="4142" xr:uid="{00000000-0005-0000-0000-00002E060000}"/>
    <cellStyle name="_CurrencySpace_bls roic_MDO breakdown 2" xfId="4143" xr:uid="{00000000-0005-0000-0000-00002F060000}"/>
    <cellStyle name="_CurrencySpace_bls roic_MLM" xfId="464" xr:uid="{00000000-0005-0000-0000-000030060000}"/>
    <cellStyle name="_CurrencySpace_bls roic_NAV" xfId="465" xr:uid="{00000000-0005-0000-0000-000031060000}"/>
    <cellStyle name="_CurrencySpace_bls roic_New Version" xfId="4144" xr:uid="{00000000-0005-0000-0000-000032060000}"/>
    <cellStyle name="_CurrencySpace_bls roic_New Version 2" xfId="4145" xr:uid="{00000000-0005-0000-0000-000033060000}"/>
    <cellStyle name="_CurrencySpace_bls roic_OSK" xfId="466" xr:uid="{00000000-0005-0000-0000-000034060000}"/>
    <cellStyle name="_CurrencySpace_bls roic_PCAR" xfId="467" xr:uid="{00000000-0005-0000-0000-000035060000}"/>
    <cellStyle name="_CurrencySpace_bls roic_PH" xfId="468" xr:uid="{00000000-0005-0000-0000-000036060000}"/>
    <cellStyle name="_CurrencySpace_bls roic_Sheet2" xfId="4146" xr:uid="{00000000-0005-0000-0000-000037060000}"/>
    <cellStyle name="_CurrencySpace_bls roic_Sheet2 2" xfId="4147" xr:uid="{00000000-0005-0000-0000-000038060000}"/>
    <cellStyle name="_CurrencySpace_Book1" xfId="2740" xr:uid="{00000000-0005-0000-0000-000039060000}"/>
    <cellStyle name="_CurrencySpace_Book1 2" xfId="4148" xr:uid="{00000000-0005-0000-0000-00003A060000}"/>
    <cellStyle name="_CurrencySpace_Book1_Origination Market Share-Qtr" xfId="4149" xr:uid="{00000000-0005-0000-0000-00003B060000}"/>
    <cellStyle name="_CurrencySpace_Book1_Origination Market Share-Qtr 2" xfId="4150" xr:uid="{00000000-0005-0000-0000-00003C060000}"/>
    <cellStyle name="_CurrencySpace_Book29" xfId="2741" xr:uid="{00000000-0005-0000-0000-00003D060000}"/>
    <cellStyle name="_CurrencySpace_Book29 2" xfId="4151" xr:uid="{00000000-0005-0000-0000-00003E060000}"/>
    <cellStyle name="_CurrencySpace_Book3" xfId="469" xr:uid="{00000000-0005-0000-0000-00003F060000}"/>
    <cellStyle name="_CurrencySpace_Book3 2" xfId="3070" xr:uid="{00000000-0005-0000-0000-000040060000}"/>
    <cellStyle name="_CurrencySpace_Book3 3" xfId="7044" xr:uid="{00000000-0005-0000-0000-000041060000}"/>
    <cellStyle name="_CurrencySpace_Book3 4" xfId="7045" xr:uid="{00000000-0005-0000-0000-000042060000}"/>
    <cellStyle name="_CurrencySpace_Book3_1" xfId="2742" xr:uid="{00000000-0005-0000-0000-000043060000}"/>
    <cellStyle name="_CurrencySpace_Book3_1 2" xfId="4152" xr:uid="{00000000-0005-0000-0000-000044060000}"/>
    <cellStyle name="_CurrencySpace_Book3_Adjustments" xfId="4153" xr:uid="{00000000-0005-0000-0000-000045060000}"/>
    <cellStyle name="_CurrencySpace_Book3_Adjustments 2" xfId="4154" xr:uid="{00000000-0005-0000-0000-000046060000}"/>
    <cellStyle name="_CurrencySpace_Book3_Origination Market Share-Qtr" xfId="4155" xr:uid="{00000000-0005-0000-0000-000047060000}"/>
    <cellStyle name="_CurrencySpace_Book3_Origination Market Share-Qtr 2" xfId="4156" xr:uid="{00000000-0005-0000-0000-000048060000}"/>
    <cellStyle name="_CurrencySpace_Broadcasting" xfId="470" xr:uid="{00000000-0005-0000-0000-000049060000}"/>
    <cellStyle name="_CurrencySpace_Broadcasting 2" xfId="4157" xr:uid="{00000000-0005-0000-0000-00004A060000}"/>
    <cellStyle name="_CurrencySpace_capital expenditures 6-18-02" xfId="471" xr:uid="{00000000-0005-0000-0000-00004B060000}"/>
    <cellStyle name="_CurrencySpace_capital expenditures 6-18-02 2" xfId="472" xr:uid="{00000000-0005-0000-0000-00004C060000}"/>
    <cellStyle name="_CurrencySpace_capital expenditures 6-18-02 3" xfId="473" xr:uid="{00000000-0005-0000-0000-00004D060000}"/>
    <cellStyle name="_CurrencySpace_capital expenditures 6-18-02_AG" xfId="474" xr:uid="{00000000-0005-0000-0000-00004E060000}"/>
    <cellStyle name="_CurrencySpace_capital expenditures 6-18-02_CNH" xfId="475" xr:uid="{00000000-0005-0000-0000-00004F060000}"/>
    <cellStyle name="_CurrencySpace_capital expenditures 6-18-02_CNH 2" xfId="4158" xr:uid="{00000000-0005-0000-0000-000050060000}"/>
    <cellStyle name="_CurrencySpace_capital expenditures 6-18-02_DOV" xfId="476" xr:uid="{00000000-0005-0000-0000-000051060000}"/>
    <cellStyle name="_CurrencySpace_capital expenditures 6-18-02_DOV 2" xfId="4159" xr:uid="{00000000-0005-0000-0000-000052060000}"/>
    <cellStyle name="_CurrencySpace_capital expenditures 6-18-02_ETN" xfId="477" xr:uid="{00000000-0005-0000-0000-000053060000}"/>
    <cellStyle name="_CurrencySpace_capital expenditures 6-18-02_ETN 2" xfId="4160" xr:uid="{00000000-0005-0000-0000-000054060000}"/>
    <cellStyle name="_CurrencySpace_capital expenditures 6-18-02_FSS" xfId="478" xr:uid="{00000000-0005-0000-0000-000055060000}"/>
    <cellStyle name="_CurrencySpace_capital expenditures 6-18-02_FSS 2" xfId="4161" xr:uid="{00000000-0005-0000-0000-000056060000}"/>
    <cellStyle name="_CurrencySpace_capital expenditures 6-18-02_JOYG" xfId="479" xr:uid="{00000000-0005-0000-0000-000057060000}"/>
    <cellStyle name="_CurrencySpace_capital expenditures 6-18-02_MDO breakdown" xfId="4162" xr:uid="{00000000-0005-0000-0000-000058060000}"/>
    <cellStyle name="_CurrencySpace_capital expenditures 6-18-02_MDO breakdown 2" xfId="4163" xr:uid="{00000000-0005-0000-0000-000059060000}"/>
    <cellStyle name="_CurrencySpace_capital expenditures 6-18-02_MLM" xfId="480" xr:uid="{00000000-0005-0000-0000-00005A060000}"/>
    <cellStyle name="_CurrencySpace_capital expenditures 6-18-02_NAV" xfId="481" xr:uid="{00000000-0005-0000-0000-00005B060000}"/>
    <cellStyle name="_CurrencySpace_capital expenditures 6-18-02_New Version" xfId="4164" xr:uid="{00000000-0005-0000-0000-00005C060000}"/>
    <cellStyle name="_CurrencySpace_capital expenditures 6-18-02_New Version 2" xfId="4165" xr:uid="{00000000-0005-0000-0000-00005D060000}"/>
    <cellStyle name="_CurrencySpace_capital expenditures 6-18-02_OSK" xfId="482" xr:uid="{00000000-0005-0000-0000-00005E060000}"/>
    <cellStyle name="_CurrencySpace_capital expenditures 6-18-02_PCAR" xfId="483" xr:uid="{00000000-0005-0000-0000-00005F060000}"/>
    <cellStyle name="_CurrencySpace_capital expenditures 6-18-02_PH" xfId="484" xr:uid="{00000000-0005-0000-0000-000060060000}"/>
    <cellStyle name="_CurrencySpace_capital expenditures 6-18-02_Sheet2" xfId="4166" xr:uid="{00000000-0005-0000-0000-000061060000}"/>
    <cellStyle name="_CurrencySpace_capital expenditures 6-18-02_Sheet2 2" xfId="4167" xr:uid="{00000000-0005-0000-0000-000062060000}"/>
    <cellStyle name="_CurrencySpace_CMX" xfId="4168" xr:uid="{00000000-0005-0000-0000-000063060000}"/>
    <cellStyle name="_CurrencySpace_CMX 2" xfId="4169" xr:uid="{00000000-0005-0000-0000-000064060000}"/>
    <cellStyle name="_CurrencySpace_CNO" xfId="2743" xr:uid="{00000000-0005-0000-0000-000065060000}"/>
    <cellStyle name="_CurrencySpace_CNO 2" xfId="4170" xr:uid="{00000000-0005-0000-0000-000066060000}"/>
    <cellStyle name="_CurrencySpace_Commtech" xfId="485" xr:uid="{00000000-0005-0000-0000-000067060000}"/>
    <cellStyle name="_CurrencySpace_Commtech 2" xfId="4171" xr:uid="{00000000-0005-0000-0000-000068060000}"/>
    <cellStyle name="_CurrencySpace_Commtech_New Version" xfId="4172" xr:uid="{00000000-0005-0000-0000-000069060000}"/>
    <cellStyle name="_CurrencySpace_Commtech_New Version 2" xfId="4173" xr:uid="{00000000-0005-0000-0000-00006A060000}"/>
    <cellStyle name="_CurrencySpace_Commtech_Sheet2" xfId="4174" xr:uid="{00000000-0005-0000-0000-00006B060000}"/>
    <cellStyle name="_CurrencySpace_Commtech_Sheet2 2" xfId="4175" xr:uid="{00000000-0005-0000-0000-00006C060000}"/>
    <cellStyle name="_CurrencySpace_Competitors" xfId="4176" xr:uid="{00000000-0005-0000-0000-00006D060000}"/>
    <cellStyle name="_CurrencySpace_Competitors 2" xfId="4177" xr:uid="{00000000-0005-0000-0000-00006E060000}"/>
    <cellStyle name="_CurrencySpace_CRO 3Q group metrics 12-22-03 for reports" xfId="486" xr:uid="{00000000-0005-0000-0000-00006F060000}"/>
    <cellStyle name="_CurrencySpace_CRO 3Q group metrics 12-22-03 for reports 2" xfId="4178" xr:uid="{00000000-0005-0000-0000-000070060000}"/>
    <cellStyle name="_CurrencySpace_CRO comp metrics 4Q03 2-18-04 send out" xfId="487" xr:uid="{00000000-0005-0000-0000-000071060000}"/>
    <cellStyle name="_CurrencySpace_CRO comp metrics 4Q03 2-18-04 send out 2" xfId="4179" xr:uid="{00000000-0005-0000-0000-000072060000}"/>
    <cellStyle name="_CurrencySpace_CRO Comp Sheet V.2" xfId="4180" xr:uid="{00000000-0005-0000-0000-000073060000}"/>
    <cellStyle name="_CurrencySpace_CRO Comp Sheet V.2 2" xfId="4181" xr:uid="{00000000-0005-0000-0000-000074060000}"/>
    <cellStyle name="_CurrencySpace_CSCO_MOD" xfId="4182" xr:uid="{00000000-0005-0000-0000-000075060000}"/>
    <cellStyle name="_CurrencySpace_CSCO_MOD 2" xfId="4183" xr:uid="{00000000-0005-0000-0000-000076060000}"/>
    <cellStyle name="_CurrencySpace_CSCOMOD" xfId="4184" xr:uid="{00000000-0005-0000-0000-000077060000}"/>
    <cellStyle name="_CurrencySpace_CSCOMOD 2" xfId="4185" xr:uid="{00000000-0005-0000-0000-000078060000}"/>
    <cellStyle name="_CurrencySpace_CVD" xfId="4186" xr:uid="{00000000-0005-0000-0000-000079060000}"/>
    <cellStyle name="_CurrencySpace_CVD 2" xfId="4187" xr:uid="{00000000-0005-0000-0000-00007A060000}"/>
    <cellStyle name="_CurrencySpace_Data" xfId="488" xr:uid="{00000000-0005-0000-0000-00007B060000}"/>
    <cellStyle name="_CurrencySpace_Data 2" xfId="4188" xr:uid="{00000000-0005-0000-0000-00007C060000}"/>
    <cellStyle name="_CurrencySpace_DCF Alexander Forbes" xfId="2744" xr:uid="{00000000-0005-0000-0000-00007D060000}"/>
    <cellStyle name="_CurrencySpace_DCF Alexander Forbes 2" xfId="4189" xr:uid="{00000000-0005-0000-0000-00007E060000}"/>
    <cellStyle name="_CurrencySpace_DCF Alexander Forbes_Origination Market Share-Qtr" xfId="4190" xr:uid="{00000000-0005-0000-0000-00007F060000}"/>
    <cellStyle name="_CurrencySpace_DCF Alexander Forbes_Origination Market Share-Qtr 2" xfId="4191" xr:uid="{00000000-0005-0000-0000-000080060000}"/>
    <cellStyle name="_CurrencySpace_dcf_1" xfId="489" xr:uid="{00000000-0005-0000-0000-000081060000}"/>
    <cellStyle name="_CurrencySpace_dcf_1 2" xfId="4192" xr:uid="{00000000-0005-0000-0000-000082060000}"/>
    <cellStyle name="_CurrencySpace_DRTE" xfId="4193" xr:uid="{00000000-0005-0000-0000-000083060000}"/>
    <cellStyle name="_CurrencySpace_DRTE 2" xfId="4194" xr:uid="{00000000-0005-0000-0000-000084060000}"/>
    <cellStyle name="_CurrencySpace_DUK" xfId="490" xr:uid="{00000000-0005-0000-0000-000085060000}"/>
    <cellStyle name="_CurrencySpace_DUK 2" xfId="4195" xr:uid="{00000000-0005-0000-0000-000086060000}"/>
    <cellStyle name="_CurrencySpace_ED 2005.08.01" xfId="491" xr:uid="{00000000-0005-0000-0000-000087060000}"/>
    <cellStyle name="_CurrencySpace_ED 2005.08.01 2" xfId="4196" xr:uid="{00000000-0005-0000-0000-000088060000}"/>
    <cellStyle name="_CurrencySpace_EEEE" xfId="4197" xr:uid="{00000000-0005-0000-0000-000089060000}"/>
    <cellStyle name="_CurrencySpace_EEEE 2" xfId="4198" xr:uid="{00000000-0005-0000-0000-00008A060000}"/>
    <cellStyle name="_CurrencySpace_ESRX" xfId="4199" xr:uid="{00000000-0005-0000-0000-00008B060000}"/>
    <cellStyle name="_CurrencySpace_ESRX 2" xfId="4200" xr:uid="{00000000-0005-0000-0000-00008C060000}"/>
    <cellStyle name="_CurrencySpace_EZJ vs go" xfId="4201" xr:uid="{00000000-0005-0000-0000-00008D060000}"/>
    <cellStyle name="_CurrencySpace_Financial Performance Benchmarking and Valuation(2)" xfId="4202" xr:uid="{00000000-0005-0000-0000-00008E060000}"/>
    <cellStyle name="_CurrencySpace_fmbi counties" xfId="2745" xr:uid="{00000000-0005-0000-0000-00008F060000}"/>
    <cellStyle name="_CurrencySpace_fmbi counties_Origination Market Share-Qtr" xfId="4203" xr:uid="{00000000-0005-0000-0000-000090060000}"/>
    <cellStyle name="_CurrencySpace_FMBI MBHI Graphs" xfId="2746" xr:uid="{00000000-0005-0000-0000-000091060000}"/>
    <cellStyle name="_CurrencySpace_FMBI MBHI Graphs 07102001" xfId="2747" xr:uid="{00000000-0005-0000-0000-000092060000}"/>
    <cellStyle name="_CurrencySpace_FMBI MBHI Graphs 07102001 2" xfId="4204" xr:uid="{00000000-0005-0000-0000-000093060000}"/>
    <cellStyle name="_CurrencySpace_FMBI MBHI Graphs 07102001_Origination Market Share-Qtr" xfId="4205" xr:uid="{00000000-0005-0000-0000-000094060000}"/>
    <cellStyle name="_CurrencySpace_FMBI MBHI Graphs 07102001_Origination Market Share-Qtr 2" xfId="4206" xr:uid="{00000000-0005-0000-0000-000095060000}"/>
    <cellStyle name="_CurrencySpace_FMBI MBHI Graphs 2" xfId="4207" xr:uid="{00000000-0005-0000-0000-000096060000}"/>
    <cellStyle name="_CurrencySpace_FMBI MBHI Graphs_7601" xfId="2748" xr:uid="{00000000-0005-0000-0000-000097060000}"/>
    <cellStyle name="_CurrencySpace_FMBI MBHI Graphs_7601 2" xfId="4208" xr:uid="{00000000-0005-0000-0000-000098060000}"/>
    <cellStyle name="_CurrencySpace_FMBI MBHI Graphs_7601_Origination Market Share-Qtr" xfId="4209" xr:uid="{00000000-0005-0000-0000-000099060000}"/>
    <cellStyle name="_CurrencySpace_FMBI MBHI Graphs_7601_Origination Market Share-Qtr 2" xfId="4210" xr:uid="{00000000-0005-0000-0000-00009A060000}"/>
    <cellStyle name="_CurrencySpace_FMBI MBHI Graphs_Origination Market Share-Qtr" xfId="4211" xr:uid="{00000000-0005-0000-0000-00009B060000}"/>
    <cellStyle name="_CurrencySpace_FMBI MBHI Graphs_Origination Market Share-Qtr 2" xfId="4212" xr:uid="{00000000-0005-0000-0000-00009C060000}"/>
    <cellStyle name="_CurrencySpace_Foreclosures_data_Realty Trac Break up" xfId="4213" xr:uid="{00000000-0005-0000-0000-00009D060000}"/>
    <cellStyle name="_CurrencySpace_Foreclosures_data_Realty Trac Break up 2" xfId="4214" xr:uid="{00000000-0005-0000-0000-00009E060000}"/>
    <cellStyle name="_CurrencySpace_GCI" xfId="4215" xr:uid="{00000000-0005-0000-0000-00009F060000}"/>
    <cellStyle name="_CurrencySpace_GCI 2" xfId="4216" xr:uid="{00000000-0005-0000-0000-0000A0060000}"/>
    <cellStyle name="_CurrencySpace_Global Autos Database 2005" xfId="4217" xr:uid="{00000000-0005-0000-0000-0000A1060000}"/>
    <cellStyle name="_CurrencySpace_GLWMOD" xfId="4218" xr:uid="{00000000-0005-0000-0000-0000A2060000}"/>
    <cellStyle name="_CurrencySpace_GLWMOD 2" xfId="4219" xr:uid="{00000000-0005-0000-0000-0000A3060000}"/>
    <cellStyle name="_CurrencySpace_GNW" xfId="2749" xr:uid="{00000000-0005-0000-0000-0000A4060000}"/>
    <cellStyle name="_CurrencySpace_GNW 2" xfId="4220" xr:uid="{00000000-0005-0000-0000-0000A5060000}"/>
    <cellStyle name="_CurrencySpace_GS_McFadden_CMX_9-27" xfId="4221" xr:uid="{00000000-0005-0000-0000-0000A6060000}"/>
    <cellStyle name="_CurrencySpace_GS_McFadden_CMX_9-27 2" xfId="4222" xr:uid="{00000000-0005-0000-0000-0000A7060000}"/>
    <cellStyle name="_CurrencySpace_GS_McFadden_CVD_9-27" xfId="4223" xr:uid="{00000000-0005-0000-0000-0000A8060000}"/>
    <cellStyle name="_CurrencySpace_GS_McFadden_CVD_9-27 2" xfId="4224" xr:uid="{00000000-0005-0000-0000-0000A9060000}"/>
    <cellStyle name="_CurrencySpace_GS_McFadden_DRTE_9-27" xfId="4225" xr:uid="{00000000-0005-0000-0000-0000AA060000}"/>
    <cellStyle name="_CurrencySpace_GS_McFadden_DRTE_9-27 2" xfId="4226" xr:uid="{00000000-0005-0000-0000-0000AB060000}"/>
    <cellStyle name="_CurrencySpace_GS_McFadden_ESRX_9-27" xfId="4227" xr:uid="{00000000-0005-0000-0000-0000AC060000}"/>
    <cellStyle name="_CurrencySpace_GS_McFadden_ESRX_9-27 2" xfId="4228" xr:uid="{00000000-0005-0000-0000-0000AD060000}"/>
    <cellStyle name="_CurrencySpace_GS_McFadden_HLTH_9-27" xfId="4229" xr:uid="{00000000-0005-0000-0000-0000AE060000}"/>
    <cellStyle name="_CurrencySpace_GS_McFadden_HLTH_9-27 2" xfId="4230" xr:uid="{00000000-0005-0000-0000-0000AF060000}"/>
    <cellStyle name="_CurrencySpace_GS_McFadden_HSIC" xfId="4231" xr:uid="{00000000-0005-0000-0000-0000B0060000}"/>
    <cellStyle name="_CurrencySpace_GS_McFadden_HSIC 2" xfId="4232" xr:uid="{00000000-0005-0000-0000-0000B1060000}"/>
    <cellStyle name="_CurrencySpace_GS_McFadden_ICLR_9-28" xfId="4233" xr:uid="{00000000-0005-0000-0000-0000B2060000}"/>
    <cellStyle name="_CurrencySpace_GS_McFadden_ICLR_9-28 2" xfId="4234" xr:uid="{00000000-0005-0000-0000-0000B3060000}"/>
    <cellStyle name="_CurrencySpace_GS_McFadden_MCK" xfId="4235" xr:uid="{00000000-0005-0000-0000-0000B4060000}"/>
    <cellStyle name="_CurrencySpace_GS_McFadden_MCK 2" xfId="4236" xr:uid="{00000000-0005-0000-0000-0000B5060000}"/>
    <cellStyle name="_CurrencySpace_GS_McFadden_MHS_9-27" xfId="4237" xr:uid="{00000000-0005-0000-0000-0000B6060000}"/>
    <cellStyle name="_CurrencySpace_GS_McFadden_MHS_9-27 2" xfId="4238" xr:uid="{00000000-0005-0000-0000-0000B7060000}"/>
    <cellStyle name="_CurrencySpace_GS_McFadden_NDC_9-28-04" xfId="4239" xr:uid="{00000000-0005-0000-0000-0000B8060000}"/>
    <cellStyle name="_CurrencySpace_GS_McFadden_NDC_9-28-04 2" xfId="4240" xr:uid="{00000000-0005-0000-0000-0000B9060000}"/>
    <cellStyle name="_CurrencySpace_GS_McFadden_PHCC_9-27" xfId="4241" xr:uid="{00000000-0005-0000-0000-0000BA060000}"/>
    <cellStyle name="_CurrencySpace_GS_McFadden_PHCC_9-27 2" xfId="4242" xr:uid="{00000000-0005-0000-0000-0000BB060000}"/>
    <cellStyle name="_CurrencySpace_GS_Mcfadden_PPDI_9-27" xfId="4243" xr:uid="{00000000-0005-0000-0000-0000BC060000}"/>
    <cellStyle name="_CurrencySpace_GS_Mcfadden_PPDI_9-27 2" xfId="4244" xr:uid="{00000000-0005-0000-0000-0000BD060000}"/>
    <cellStyle name="_CurrencySpace_GS_McFadden_PRXL-9-27" xfId="4245" xr:uid="{00000000-0005-0000-0000-0000BE060000}"/>
    <cellStyle name="_CurrencySpace_GS_McFadden_PRXL-9-27 2" xfId="4246" xr:uid="{00000000-0005-0000-0000-0000BF060000}"/>
    <cellStyle name="_CurrencySpace_GS_McFadden_PSSI_9-27" xfId="4247" xr:uid="{00000000-0005-0000-0000-0000C0060000}"/>
    <cellStyle name="_CurrencySpace_GS_McFadden_PSSI_9-27 2" xfId="4248" xr:uid="{00000000-0005-0000-0000-0000C1060000}"/>
    <cellStyle name="_CurrencySpace_Henry Schein" xfId="4249" xr:uid="{00000000-0005-0000-0000-0000C2060000}"/>
    <cellStyle name="_CurrencySpace_Henry Schein 2" xfId="4250" xr:uid="{00000000-0005-0000-0000-0000C3060000}"/>
    <cellStyle name="_CurrencySpace_HLTH" xfId="4251" xr:uid="{00000000-0005-0000-0000-0000C4060000}"/>
    <cellStyle name="_CurrencySpace_HLTH 2" xfId="4252" xr:uid="{00000000-0005-0000-0000-0000C5060000}"/>
    <cellStyle name="_CurrencySpace_Hospital Comp -10-24-05" xfId="4253" xr:uid="{00000000-0005-0000-0000-0000C6060000}"/>
    <cellStyle name="_CurrencySpace_Hospital Comp -10-24-05 2" xfId="4254" xr:uid="{00000000-0005-0000-0000-0000C7060000}"/>
    <cellStyle name="_CurrencySpace_HSIC" xfId="4255" xr:uid="{00000000-0005-0000-0000-0000C8060000}"/>
    <cellStyle name="_CurrencySpace_HSIC 2" xfId="4256" xr:uid="{00000000-0005-0000-0000-0000C9060000}"/>
    <cellStyle name="_CurrencySpace_Insurance Brokerage CSC_1Q2002" xfId="2750" xr:uid="{00000000-0005-0000-0000-0000CA060000}"/>
    <cellStyle name="_CurrencySpace_Insurance Brokerage CSC_1Q2002 2" xfId="4257" xr:uid="{00000000-0005-0000-0000-0000CB060000}"/>
    <cellStyle name="_CurrencySpace_integrated_standalone_ba" xfId="4258" xr:uid="{00000000-0005-0000-0000-0000CC060000}"/>
    <cellStyle name="_CurrencySpace_JDSUMOD" xfId="4259" xr:uid="{00000000-0005-0000-0000-0000CD060000}"/>
    <cellStyle name="_CurrencySpace_JDSUMOD 2" xfId="4260" xr:uid="{00000000-0005-0000-0000-0000CE060000}"/>
    <cellStyle name="_CurrencySpace_JP" xfId="2751" xr:uid="{00000000-0005-0000-0000-0000CF060000}"/>
    <cellStyle name="_CurrencySpace_JP 2" xfId="4261" xr:uid="{00000000-0005-0000-0000-0000D0060000}"/>
    <cellStyle name="_CurrencySpace_Kent" xfId="492" xr:uid="{00000000-0005-0000-0000-0000D1060000}"/>
    <cellStyle name="_CurrencySpace_Kent 2" xfId="4262" xr:uid="{00000000-0005-0000-0000-0000D2060000}"/>
    <cellStyle name="_CurrencySpace_Kent_New Version" xfId="4263" xr:uid="{00000000-0005-0000-0000-0000D3060000}"/>
    <cellStyle name="_CurrencySpace_Kent_New Version 2" xfId="4264" xr:uid="{00000000-0005-0000-0000-0000D4060000}"/>
    <cellStyle name="_CurrencySpace_Kent_Sheet2" xfId="4265" xr:uid="{00000000-0005-0000-0000-0000D5060000}"/>
    <cellStyle name="_CurrencySpace_Kent_Sheet2 2" xfId="4266" xr:uid="{00000000-0005-0000-0000-0000D6060000}"/>
    <cellStyle name="_CurrencySpace_LNC" xfId="2752" xr:uid="{00000000-0005-0000-0000-0000D7060000}"/>
    <cellStyle name="_CurrencySpace_LNC 2" xfId="4267" xr:uid="{00000000-0005-0000-0000-0000D8060000}"/>
    <cellStyle name="_CurrencySpace_MCK" xfId="4268" xr:uid="{00000000-0005-0000-0000-0000D9060000}"/>
    <cellStyle name="_CurrencySpace_MCK 2" xfId="4269" xr:uid="{00000000-0005-0000-0000-0000DA060000}"/>
    <cellStyle name="_CurrencySpace_MDO breakdown" xfId="4270" xr:uid="{00000000-0005-0000-0000-0000DB060000}"/>
    <cellStyle name="_CurrencySpace_MDO breakdown 2" xfId="4271" xr:uid="{00000000-0005-0000-0000-0000DC060000}"/>
    <cellStyle name="_CurrencySpace_MDS" xfId="4272" xr:uid="{00000000-0005-0000-0000-0000DD060000}"/>
    <cellStyle name="_CurrencySpace_MDS 2" xfId="4273" xr:uid="{00000000-0005-0000-0000-0000DE060000}"/>
    <cellStyle name="_CurrencySpace_MET" xfId="2753" xr:uid="{00000000-0005-0000-0000-0000DF060000}"/>
    <cellStyle name="_CurrencySpace_MET 2" xfId="4274" xr:uid="{00000000-0005-0000-0000-0000E0060000}"/>
    <cellStyle name="_CurrencySpace_MET04" xfId="2754" xr:uid="{00000000-0005-0000-0000-0000E1060000}"/>
    <cellStyle name="_CurrencySpace_MET04_Origination Market Share-Qtr" xfId="4275" xr:uid="{00000000-0005-0000-0000-0000E2060000}"/>
    <cellStyle name="_CurrencySpace_MHS" xfId="493" xr:uid="{00000000-0005-0000-0000-0000E3060000}"/>
    <cellStyle name="_CurrencySpace_MHS 2" xfId="4276" xr:uid="{00000000-0005-0000-0000-0000E4060000}"/>
    <cellStyle name="_CurrencySpace_MLP Val-Client-10_02_06" xfId="494" xr:uid="{00000000-0005-0000-0000-0000E5060000}"/>
    <cellStyle name="_CurrencySpace_MLP Val-Client-10_02_06 2" xfId="4277" xr:uid="{00000000-0005-0000-0000-0000E6060000}"/>
    <cellStyle name="_CurrencySpace_MNST" xfId="4278" xr:uid="{00000000-0005-0000-0000-0000E7060000}"/>
    <cellStyle name="_CurrencySpace_MNST 2" xfId="4279" xr:uid="{00000000-0005-0000-0000-0000E8060000}"/>
    <cellStyle name="_CurrencySpace_New Version" xfId="4280" xr:uid="{00000000-0005-0000-0000-0000E9060000}"/>
    <cellStyle name="_CurrencySpace_New Version 2" xfId="4281" xr:uid="{00000000-0005-0000-0000-0000EA060000}"/>
    <cellStyle name="_CurrencySpace_NFS" xfId="2755" xr:uid="{00000000-0005-0000-0000-0000EB060000}"/>
    <cellStyle name="_CurrencySpace_NFS 2" xfId="4282" xr:uid="{00000000-0005-0000-0000-0000EC060000}"/>
    <cellStyle name="_CurrencySpace_NRG 2005.07.22" xfId="495" xr:uid="{00000000-0005-0000-0000-0000ED060000}"/>
    <cellStyle name="_CurrencySpace_NRG 2005.07.22 2" xfId="4283" xr:uid="{00000000-0005-0000-0000-0000EE060000}"/>
    <cellStyle name="_CurrencySpace_NTMOD" xfId="4284" xr:uid="{00000000-0005-0000-0000-0000EF060000}"/>
    <cellStyle name="_CurrencySpace_NTMOD 2" xfId="4285" xr:uid="{00000000-0005-0000-0000-0000F0060000}"/>
    <cellStyle name="_CurrencySpace_Origination Market Share-Qtr" xfId="4286" xr:uid="{00000000-0005-0000-0000-0000F1060000}"/>
    <cellStyle name="_CurrencySpace_Origination Market Share-Qtr 2" xfId="4287" xr:uid="{00000000-0005-0000-0000-0000F2060000}"/>
    <cellStyle name="_CurrencySpace_output" xfId="4288" xr:uid="{00000000-0005-0000-0000-0000F3060000}"/>
    <cellStyle name="_CurrencySpace_Overview3" xfId="2756" xr:uid="{00000000-0005-0000-0000-0000F4060000}"/>
    <cellStyle name="_CurrencySpace_Overview3 2" xfId="4289" xr:uid="{00000000-0005-0000-0000-0000F5060000}"/>
    <cellStyle name="_CurrencySpace_Overview3_Origination Market Share-Qtr" xfId="4290" xr:uid="{00000000-0005-0000-0000-0000F6060000}"/>
    <cellStyle name="_CurrencySpace_Overview3_Origination Market Share-Qtr 2" xfId="4291" xr:uid="{00000000-0005-0000-0000-0000F7060000}"/>
    <cellStyle name="_CurrencySpace_PHCC" xfId="4292" xr:uid="{00000000-0005-0000-0000-0000F8060000}"/>
    <cellStyle name="_CurrencySpace_PHCC 2" xfId="4293" xr:uid="{00000000-0005-0000-0000-0000F9060000}"/>
    <cellStyle name="_CurrencySpace_phil data" xfId="2757" xr:uid="{00000000-0005-0000-0000-0000FA060000}"/>
    <cellStyle name="_CurrencySpace_phil data 2" xfId="4294" xr:uid="{00000000-0005-0000-0000-0000FB060000}"/>
    <cellStyle name="_CurrencySpace_phil data_Origination Market Share-Qtr" xfId="4295" xr:uid="{00000000-0005-0000-0000-0000FC060000}"/>
    <cellStyle name="_CurrencySpace_phil data_Origination Market Share-Qtr 2" xfId="4296" xr:uid="{00000000-0005-0000-0000-0000FD060000}"/>
    <cellStyle name="_CurrencySpace_Price Performance Charts" xfId="2758" xr:uid="{00000000-0005-0000-0000-0000FE060000}"/>
    <cellStyle name="_CurrencySpace_Price Performance Charts_Origination Market Share-Qtr" xfId="4297" xr:uid="{00000000-0005-0000-0000-0000FF060000}"/>
    <cellStyle name="_CurrencySpace_PRU" xfId="2759" xr:uid="{00000000-0005-0000-0000-000000070000}"/>
    <cellStyle name="_CurrencySpace_PRU_Origination Market Share-Qtr" xfId="4298" xr:uid="{00000000-0005-0000-0000-000001070000}"/>
    <cellStyle name="_CurrencySpace_PRU04" xfId="2760" xr:uid="{00000000-0005-0000-0000-000002070000}"/>
    <cellStyle name="_CurrencySpace_PRU04_Origination Market Share-Qtr" xfId="4299" xr:uid="{00000000-0005-0000-0000-000003070000}"/>
    <cellStyle name="_CurrencySpace_PRXL" xfId="4300" xr:uid="{00000000-0005-0000-0000-000004070000}"/>
    <cellStyle name="_CurrencySpace_PRXL 2" xfId="4301" xr:uid="{00000000-0005-0000-0000-000005070000}"/>
    <cellStyle name="_CurrencySpace_PSSI" xfId="4302" xr:uid="{00000000-0005-0000-0000-000006070000}"/>
    <cellStyle name="_CurrencySpace_PSSI 2" xfId="4303" xr:uid="{00000000-0005-0000-0000-000007070000}"/>
    <cellStyle name="_CurrencySpace_QCOM_MOD" xfId="4304" xr:uid="{00000000-0005-0000-0000-000008070000}"/>
    <cellStyle name="_CurrencySpace_QCOM_MOD_IN PROGRESS" xfId="4305" xr:uid="{00000000-0005-0000-0000-000009070000}"/>
    <cellStyle name="_CurrencySpace_QCOMMOD" xfId="4306" xr:uid="{00000000-0005-0000-0000-00000A070000}"/>
    <cellStyle name="_CurrencySpace_RATLqtis" xfId="496" xr:uid="{00000000-0005-0000-0000-00000B070000}"/>
    <cellStyle name="_CurrencySpace_RATLqtis 2" xfId="4307" xr:uid="{00000000-0005-0000-0000-00000C070000}"/>
    <cellStyle name="_CurrencySpace_RBOC historicals" xfId="497" xr:uid="{00000000-0005-0000-0000-00000D070000}"/>
    <cellStyle name="_CurrencySpace_RBOC historicals 2" xfId="498" xr:uid="{00000000-0005-0000-0000-00000E070000}"/>
    <cellStyle name="_CurrencySpace_RBOC historicals 3" xfId="499" xr:uid="{00000000-0005-0000-0000-00000F070000}"/>
    <cellStyle name="_CurrencySpace_RBOC historicals_AG" xfId="500" xr:uid="{00000000-0005-0000-0000-000010070000}"/>
    <cellStyle name="_CurrencySpace_RBOC historicals_CNH" xfId="501" xr:uid="{00000000-0005-0000-0000-000011070000}"/>
    <cellStyle name="_CurrencySpace_RBOC historicals_CNH 2" xfId="4308" xr:uid="{00000000-0005-0000-0000-000012070000}"/>
    <cellStyle name="_CurrencySpace_RBOC historicals_DOV" xfId="502" xr:uid="{00000000-0005-0000-0000-000013070000}"/>
    <cellStyle name="_CurrencySpace_RBOC historicals_DOV 2" xfId="4309" xr:uid="{00000000-0005-0000-0000-000014070000}"/>
    <cellStyle name="_CurrencySpace_RBOC historicals_ETN" xfId="503" xr:uid="{00000000-0005-0000-0000-000015070000}"/>
    <cellStyle name="_CurrencySpace_RBOC historicals_ETN 2" xfId="4310" xr:uid="{00000000-0005-0000-0000-000016070000}"/>
    <cellStyle name="_CurrencySpace_RBOC historicals_FSS" xfId="504" xr:uid="{00000000-0005-0000-0000-000017070000}"/>
    <cellStyle name="_CurrencySpace_RBOC historicals_FSS 2" xfId="4311" xr:uid="{00000000-0005-0000-0000-000018070000}"/>
    <cellStyle name="_CurrencySpace_RBOC historicals_JOYG" xfId="505" xr:uid="{00000000-0005-0000-0000-000019070000}"/>
    <cellStyle name="_CurrencySpace_RBOC historicals_MDO breakdown" xfId="4312" xr:uid="{00000000-0005-0000-0000-00001A070000}"/>
    <cellStyle name="_CurrencySpace_RBOC historicals_MDO breakdown 2" xfId="4313" xr:uid="{00000000-0005-0000-0000-00001B070000}"/>
    <cellStyle name="_CurrencySpace_RBOC historicals_MLM" xfId="506" xr:uid="{00000000-0005-0000-0000-00001C070000}"/>
    <cellStyle name="_CurrencySpace_RBOC historicals_NAV" xfId="507" xr:uid="{00000000-0005-0000-0000-00001D070000}"/>
    <cellStyle name="_CurrencySpace_RBOC historicals_New Version" xfId="4314" xr:uid="{00000000-0005-0000-0000-00001E070000}"/>
    <cellStyle name="_CurrencySpace_RBOC historicals_New Version 2" xfId="4315" xr:uid="{00000000-0005-0000-0000-00001F070000}"/>
    <cellStyle name="_CurrencySpace_RBOC historicals_OSK" xfId="508" xr:uid="{00000000-0005-0000-0000-000020070000}"/>
    <cellStyle name="_CurrencySpace_RBOC historicals_PCAR" xfId="509" xr:uid="{00000000-0005-0000-0000-000021070000}"/>
    <cellStyle name="_CurrencySpace_RBOC historicals_PH" xfId="510" xr:uid="{00000000-0005-0000-0000-000022070000}"/>
    <cellStyle name="_CurrencySpace_RBOC historicals_Sheet2" xfId="4316" xr:uid="{00000000-0005-0000-0000-000023070000}"/>
    <cellStyle name="_CurrencySpace_RBOC historicals_Sheet2 2" xfId="4317" xr:uid="{00000000-0005-0000-0000-000024070000}"/>
    <cellStyle name="_CurrencySpace_RIMMMOD" xfId="4318" xr:uid="{00000000-0005-0000-0000-000025070000}"/>
    <cellStyle name="_CurrencySpace_RIMMMOD 2" xfId="4319" xr:uid="{00000000-0005-0000-0000-000026070000}"/>
    <cellStyle name="_CurrencySpace_RiskReward" xfId="2761" xr:uid="{00000000-0005-0000-0000-000027070000}"/>
    <cellStyle name="_CurrencySpace_RiskReward 2" xfId="4320" xr:uid="{00000000-0005-0000-0000-000028070000}"/>
    <cellStyle name="_CurrencySpace_SFG" xfId="2762" xr:uid="{00000000-0005-0000-0000-000029070000}"/>
    <cellStyle name="_CurrencySpace_SFG_Origination Market Share-Qtr" xfId="4321" xr:uid="{00000000-0005-0000-0000-00002A070000}"/>
    <cellStyle name="_CurrencySpace_Sheet1" xfId="511" xr:uid="{00000000-0005-0000-0000-00002B070000}"/>
    <cellStyle name="_CurrencySpace_Sheet1 2" xfId="3071" xr:uid="{00000000-0005-0000-0000-00002C070000}"/>
    <cellStyle name="_CurrencySpace_Sheet1 3" xfId="7046" xr:uid="{00000000-0005-0000-0000-00002D070000}"/>
    <cellStyle name="_CurrencySpace_Sheet1 4" xfId="7047" xr:uid="{00000000-0005-0000-0000-00002E070000}"/>
    <cellStyle name="_CurrencySpace_Sheet1_Disclaimer" xfId="4322" xr:uid="{00000000-0005-0000-0000-00002F070000}"/>
    <cellStyle name="_CurrencySpace_Sheet1_Disclaimer 2" xfId="4323" xr:uid="{00000000-0005-0000-0000-000030070000}"/>
    <cellStyle name="_CurrencySpace_Sheet1_New Version" xfId="4324" xr:uid="{00000000-0005-0000-0000-000031070000}"/>
    <cellStyle name="_CurrencySpace_Sheet1_New Version 2" xfId="4325" xr:uid="{00000000-0005-0000-0000-000032070000}"/>
    <cellStyle name="_CurrencySpace_Sheet1_Sheet2" xfId="4326" xr:uid="{00000000-0005-0000-0000-000033070000}"/>
    <cellStyle name="_CurrencySpace_Sheet1_Sheet2 2" xfId="4327" xr:uid="{00000000-0005-0000-0000-000034070000}"/>
    <cellStyle name="_CurrencySpace_Sheet1_Sheet2_1" xfId="4328" xr:uid="{00000000-0005-0000-0000-000035070000}"/>
    <cellStyle name="_CurrencySpace_Sheet1_Sheet2_1 2" xfId="4329" xr:uid="{00000000-0005-0000-0000-000036070000}"/>
    <cellStyle name="_CurrencySpace_Sheet1_Sheet2_New Version" xfId="4330" xr:uid="{00000000-0005-0000-0000-000037070000}"/>
    <cellStyle name="_CurrencySpace_Sheet1_Sheet2_New Version 2" xfId="4331" xr:uid="{00000000-0005-0000-0000-000038070000}"/>
    <cellStyle name="_CurrencySpace_Sheet2" xfId="4332" xr:uid="{00000000-0005-0000-0000-000039070000}"/>
    <cellStyle name="_CurrencySpace_Sheet2 2" xfId="4333" xr:uid="{00000000-0005-0000-0000-00003A070000}"/>
    <cellStyle name="_CurrencySpace_SOP" xfId="512" xr:uid="{00000000-0005-0000-0000-00003B070000}"/>
    <cellStyle name="_CurrencySpace_SOP 2" xfId="4334" xr:uid="{00000000-0005-0000-0000-00003C070000}"/>
    <cellStyle name="_CurrencySpace_SRE" xfId="513" xr:uid="{00000000-0005-0000-0000-00003D070000}"/>
    <cellStyle name="_CurrencySpace_SRE 2" xfId="4335" xr:uid="{00000000-0005-0000-0000-00003E070000}"/>
    <cellStyle name="_CurrencySpace_SRE Working" xfId="514" xr:uid="{00000000-0005-0000-0000-00003F070000}"/>
    <cellStyle name="_CurrencySpace_SRE Working 2" xfId="4336" xr:uid="{00000000-0005-0000-0000-000040070000}"/>
    <cellStyle name="_CurrencySpace_SSP" xfId="4337" xr:uid="{00000000-0005-0000-0000-000041070000}"/>
    <cellStyle name="_CurrencySpace_SSP 2" xfId="4338" xr:uid="{00000000-0005-0000-0000-000042070000}"/>
    <cellStyle name="_CurrencySpace_Stock-QTR1 FDS" xfId="2763" xr:uid="{00000000-0005-0000-0000-000043070000}"/>
    <cellStyle name="_CurrencySpace_Stock-QTR1 FDS_Origination Market Share-Qtr" xfId="4339" xr:uid="{00000000-0005-0000-0000-000044070000}"/>
    <cellStyle name="_CurrencySpace_T - new" xfId="515" xr:uid="{00000000-0005-0000-0000-000045070000}"/>
    <cellStyle name="_CurrencySpace_T - new 2" xfId="516" xr:uid="{00000000-0005-0000-0000-000046070000}"/>
    <cellStyle name="_CurrencySpace_T - new 3" xfId="517" xr:uid="{00000000-0005-0000-0000-000047070000}"/>
    <cellStyle name="_CurrencySpace_T - new_AG" xfId="518" xr:uid="{00000000-0005-0000-0000-000048070000}"/>
    <cellStyle name="_CurrencySpace_T - new_CNH" xfId="519" xr:uid="{00000000-0005-0000-0000-000049070000}"/>
    <cellStyle name="_CurrencySpace_T - new_CNH 2" xfId="4340" xr:uid="{00000000-0005-0000-0000-00004A070000}"/>
    <cellStyle name="_CurrencySpace_T - new_DOV" xfId="520" xr:uid="{00000000-0005-0000-0000-00004B070000}"/>
    <cellStyle name="_CurrencySpace_T - new_DOV 2" xfId="4341" xr:uid="{00000000-0005-0000-0000-00004C070000}"/>
    <cellStyle name="_CurrencySpace_T - new_ETN" xfId="521" xr:uid="{00000000-0005-0000-0000-00004D070000}"/>
    <cellStyle name="_CurrencySpace_T - new_ETN 2" xfId="4342" xr:uid="{00000000-0005-0000-0000-00004E070000}"/>
    <cellStyle name="_CurrencySpace_T - new_FSS" xfId="522" xr:uid="{00000000-0005-0000-0000-00004F070000}"/>
    <cellStyle name="_CurrencySpace_T - new_FSS 2" xfId="4343" xr:uid="{00000000-0005-0000-0000-000050070000}"/>
    <cellStyle name="_CurrencySpace_T - new_JOYG" xfId="523" xr:uid="{00000000-0005-0000-0000-000051070000}"/>
    <cellStyle name="_CurrencySpace_T - new_MDO breakdown" xfId="4344" xr:uid="{00000000-0005-0000-0000-000052070000}"/>
    <cellStyle name="_CurrencySpace_T - new_MDO breakdown 2" xfId="4345" xr:uid="{00000000-0005-0000-0000-000053070000}"/>
    <cellStyle name="_CurrencySpace_T - new_MLM" xfId="524" xr:uid="{00000000-0005-0000-0000-000054070000}"/>
    <cellStyle name="_CurrencySpace_T - new_NAV" xfId="525" xr:uid="{00000000-0005-0000-0000-000055070000}"/>
    <cellStyle name="_CurrencySpace_T - new_New Version" xfId="4346" xr:uid="{00000000-0005-0000-0000-000056070000}"/>
    <cellStyle name="_CurrencySpace_T - new_New Version 2" xfId="4347" xr:uid="{00000000-0005-0000-0000-000057070000}"/>
    <cellStyle name="_CurrencySpace_T - new_OSK" xfId="526" xr:uid="{00000000-0005-0000-0000-000058070000}"/>
    <cellStyle name="_CurrencySpace_T - new_PCAR" xfId="527" xr:uid="{00000000-0005-0000-0000-000059070000}"/>
    <cellStyle name="_CurrencySpace_T - new_PH" xfId="528" xr:uid="{00000000-0005-0000-0000-00005A070000}"/>
    <cellStyle name="_CurrencySpace_T - new_Sheet2" xfId="4348" xr:uid="{00000000-0005-0000-0000-00005B070000}"/>
    <cellStyle name="_CurrencySpace_T - new_Sheet2 2" xfId="4349" xr:uid="{00000000-0005-0000-0000-00005C070000}"/>
    <cellStyle name="_CurrencySpace_TMK" xfId="2764" xr:uid="{00000000-0005-0000-0000-00005D070000}"/>
    <cellStyle name="_CurrencySpace_TMK 2" xfId="4350" xr:uid="{00000000-0005-0000-0000-00005E070000}"/>
    <cellStyle name="_CurrencySpace_Updated Valuation Changes" xfId="2765" xr:uid="{00000000-0005-0000-0000-00005F070000}"/>
    <cellStyle name="_CurrencySpace_Updated Valuation Changes 2" xfId="4351" xr:uid="{00000000-0005-0000-0000-000060070000}"/>
    <cellStyle name="_CurrencySpace_Updated Valuation Changes_Origination Market Share-Qtr" xfId="4352" xr:uid="{00000000-0005-0000-0000-000061070000}"/>
    <cellStyle name="_CurrencySpace_Updated Valuation Changes_Origination Market Share-Qtr 2" xfId="4353" xr:uid="{00000000-0005-0000-0000-000062070000}"/>
    <cellStyle name="_CurrencySpace_Val Sheets" xfId="529" xr:uid="{00000000-0005-0000-0000-000063070000}"/>
    <cellStyle name="_CurrencySpace_Val Sheets 2" xfId="4354" xr:uid="{00000000-0005-0000-0000-000064070000}"/>
    <cellStyle name="_CurrencySpace_Val Sheets_Adjustments" xfId="4355" xr:uid="{00000000-0005-0000-0000-000065070000}"/>
    <cellStyle name="_CurrencySpace_Val Sheets_Adjustments 2" xfId="4356" xr:uid="{00000000-0005-0000-0000-000066070000}"/>
    <cellStyle name="_CurrencySpace_Valuation and Benchmarking Template" xfId="4357" xr:uid="{00000000-0005-0000-0000-000067070000}"/>
    <cellStyle name="_CurrencySpace_Valuation Graphs" xfId="2766" xr:uid="{00000000-0005-0000-0000-000068070000}"/>
    <cellStyle name="_CurrencySpace_Valuation Graphs 2" xfId="4358" xr:uid="{00000000-0005-0000-0000-000069070000}"/>
    <cellStyle name="_CurrencySpace_Valuation Graphs_Origination Market Share-Qtr" xfId="4359" xr:uid="{00000000-0005-0000-0000-00006A070000}"/>
    <cellStyle name="_CurrencySpace_Valuation Graphs_Origination Market Share-Qtr 2" xfId="4360" xr:uid="{00000000-0005-0000-0000-00006B070000}"/>
    <cellStyle name="_CurrencySpace_WFT published 1-30-07 Client version (2)" xfId="530" xr:uid="{00000000-0005-0000-0000-00006C070000}"/>
    <cellStyle name="_CurrencySpace_WFT published 1-30-07 Client version (2) 2" xfId="531" xr:uid="{00000000-0005-0000-0000-00006D070000}"/>
    <cellStyle name="_CurrencySpace_Wireless data tables" xfId="4361" xr:uid="{00000000-0005-0000-0000-00006E070000}"/>
    <cellStyle name="_CurrencySpace_Wireless data tables 2" xfId="4362" xr:uid="{00000000-0005-0000-0000-00006F070000}"/>
    <cellStyle name="_CurrencySpace_xratio - historical mkt val" xfId="2767" xr:uid="{00000000-0005-0000-0000-000070070000}"/>
    <cellStyle name="_CurrencySpace_xratio - historical mkt val 2" xfId="4363" xr:uid="{00000000-0005-0000-0000-000071070000}"/>
    <cellStyle name="_CurrencySpace_xratio - historical mkt val_Origination Market Share-Qtr" xfId="4364" xr:uid="{00000000-0005-0000-0000-000072070000}"/>
    <cellStyle name="_CurrencySpace_xratio - historical mkt val_Origination Market Share-Qtr 2" xfId="4365" xr:uid="{00000000-0005-0000-0000-000073070000}"/>
    <cellStyle name="_DAIMLER" xfId="4366" xr:uid="{00000000-0005-0000-0000-000074070000}"/>
    <cellStyle name="_DAIMLER 2" xfId="4367" xr:uid="{00000000-0005-0000-0000-000075070000}"/>
    <cellStyle name="_DCF" xfId="532" xr:uid="{00000000-0005-0000-0000-000076070000}"/>
    <cellStyle name="_DCF 2" xfId="4368" xr:uid="{00000000-0005-0000-0000-000077070000}"/>
    <cellStyle name="_DCF_ITW Working 69" xfId="4369" xr:uid="{00000000-0005-0000-0000-000078070000}"/>
    <cellStyle name="_Dollar" xfId="2768" xr:uid="{00000000-0005-0000-0000-000079070000}"/>
    <cellStyle name="_Dollar 2" xfId="4370" xr:uid="{00000000-0005-0000-0000-00007A070000}"/>
    <cellStyle name="_Dollar_Origination Market Share-Qtr" xfId="4371" xr:uid="{00000000-0005-0000-0000-00007B070000}"/>
    <cellStyle name="_Dollar_Origination Market Share-Qtr 2" xfId="4372" xr:uid="{00000000-0005-0000-0000-00007C070000}"/>
    <cellStyle name="_EEEE" xfId="4373" xr:uid="{00000000-0005-0000-0000-00007D070000}"/>
    <cellStyle name="—_EM-HTI" xfId="533" xr:uid="{00000000-0005-0000-0000-00007E070000}"/>
    <cellStyle name="—_EM-HTI_AIS_EROCE" xfId="534" xr:uid="{00000000-0005-0000-0000-00007F070000}"/>
    <cellStyle name="—_EM-HTI_New Version" xfId="4374" xr:uid="{00000000-0005-0000-0000-000080070000}"/>
    <cellStyle name="—_EM-HTI_PCCW_EROCE" xfId="535" xr:uid="{00000000-0005-0000-0000-000081070000}"/>
    <cellStyle name="—_EM-HTI_Sheet2" xfId="4375" xr:uid="{00000000-0005-0000-0000-000082070000}"/>
    <cellStyle name="—_EM-KT" xfId="536" xr:uid="{00000000-0005-0000-0000-000083070000}"/>
    <cellStyle name="—_EM-SKTelecom_old" xfId="537" xr:uid="{00000000-0005-0000-0000-000084070000}"/>
    <cellStyle name="—_EM-SKTelecom_old 2" xfId="4376" xr:uid="{00000000-0005-0000-0000-000085070000}"/>
    <cellStyle name="—_EM-SKTelecom_old_EM-HTI" xfId="538" xr:uid="{00000000-0005-0000-0000-000086070000}"/>
    <cellStyle name="—_EM-SKTelecom_old_EM-HTI_AIS_EROCE" xfId="539" xr:uid="{00000000-0005-0000-0000-000087070000}"/>
    <cellStyle name="—_EM-SKTelecom_old_EM-HTI_New Version" xfId="4377" xr:uid="{00000000-0005-0000-0000-000088070000}"/>
    <cellStyle name="—_EM-SKTelecom_old_EM-HTI_PCCW_EROCE" xfId="540" xr:uid="{00000000-0005-0000-0000-000089070000}"/>
    <cellStyle name="—_EM-SKTelecom_old_EM-HTI_Sheet2" xfId="4378" xr:uid="{00000000-0005-0000-0000-00008A070000}"/>
    <cellStyle name="—_EM-SKTelecom_old_Nath_Korean Monthly_Oct9" xfId="4379" xr:uid="{00000000-0005-0000-0000-00008B070000}"/>
    <cellStyle name="—_EM-SKTelecom_old_Nath_Korean Monthly_Oct9 2" xfId="4380" xr:uid="{00000000-0005-0000-0000-00008C070000}"/>
    <cellStyle name="—_EM-SKTelecom_old_qrtly" xfId="4381" xr:uid="{00000000-0005-0000-0000-00008D070000}"/>
    <cellStyle name="—_EM-SKTelecom_old_qrtly 2" xfId="4382" xr:uid="{00000000-0005-0000-0000-00008E070000}"/>
    <cellStyle name="_e-plus debt - Machado1" xfId="4383" xr:uid="{00000000-0005-0000-0000-00008F070000}"/>
    <cellStyle name="_ET_STYLE_NoName_00_" xfId="4384" xr:uid="{00000000-0005-0000-0000-000090070000}"/>
    <cellStyle name="_Euro" xfId="541" xr:uid="{00000000-0005-0000-0000-000091070000}"/>
    <cellStyle name="_Euro 2" xfId="542" xr:uid="{00000000-0005-0000-0000-000092070000}"/>
    <cellStyle name="_Euro 2 2" xfId="2913" xr:uid="{00000000-0005-0000-0000-000093070000}"/>
    <cellStyle name="_Euro 2 3" xfId="7048" xr:uid="{00000000-0005-0000-0000-000094070000}"/>
    <cellStyle name="_Euro 3" xfId="543" xr:uid="{00000000-0005-0000-0000-000095070000}"/>
    <cellStyle name="_Euro 4" xfId="2914" xr:uid="{00000000-0005-0000-0000-000096070000}"/>
    <cellStyle name="_Euro 5" xfId="3072" xr:uid="{00000000-0005-0000-0000-000097070000}"/>
    <cellStyle name="_Euro 6" xfId="7049" xr:uid="{00000000-0005-0000-0000-000098070000}"/>
    <cellStyle name="_Euro 7" xfId="7050" xr:uid="{00000000-0005-0000-0000-000099070000}"/>
    <cellStyle name="_Euro_Adjustments" xfId="4385" xr:uid="{00000000-0005-0000-0000-00009A070000}"/>
    <cellStyle name="_Euro_Adjustments 2" xfId="4386" xr:uid="{00000000-0005-0000-0000-00009B070000}"/>
    <cellStyle name="_Euro_AG" xfId="544" xr:uid="{00000000-0005-0000-0000-00009C070000}"/>
    <cellStyle name="_Euro_CNH" xfId="545" xr:uid="{00000000-0005-0000-0000-00009D070000}"/>
    <cellStyle name="_Euro_CNH 2" xfId="4387" xr:uid="{00000000-0005-0000-0000-00009E070000}"/>
    <cellStyle name="_Euro_Commtech" xfId="546" xr:uid="{00000000-0005-0000-0000-00009F070000}"/>
    <cellStyle name="_Euro_Commtech 2" xfId="4388" xr:uid="{00000000-0005-0000-0000-0000A0070000}"/>
    <cellStyle name="_Euro_document(1)" xfId="4389" xr:uid="{00000000-0005-0000-0000-0000A1070000}"/>
    <cellStyle name="_Euro_document(1) 2" xfId="4390" xr:uid="{00000000-0005-0000-0000-0000A2070000}"/>
    <cellStyle name="_Euro_DOV" xfId="547" xr:uid="{00000000-0005-0000-0000-0000A3070000}"/>
    <cellStyle name="_Euro_DOV 2" xfId="4391" xr:uid="{00000000-0005-0000-0000-0000A4070000}"/>
    <cellStyle name="_Euro_ETN" xfId="548" xr:uid="{00000000-0005-0000-0000-0000A5070000}"/>
    <cellStyle name="_Euro_ETN 2" xfId="4392" xr:uid="{00000000-0005-0000-0000-0000A6070000}"/>
    <cellStyle name="_Euro_FSS" xfId="549" xr:uid="{00000000-0005-0000-0000-0000A7070000}"/>
    <cellStyle name="_Euro_FSS 2" xfId="4393" xr:uid="{00000000-0005-0000-0000-0000A8070000}"/>
    <cellStyle name="_Euro_JOYG" xfId="550" xr:uid="{00000000-0005-0000-0000-0000A9070000}"/>
    <cellStyle name="_Euro_MDO breakdown" xfId="4394" xr:uid="{00000000-0005-0000-0000-0000AA070000}"/>
    <cellStyle name="_Euro_MDO breakdown 2" xfId="4395" xr:uid="{00000000-0005-0000-0000-0000AB070000}"/>
    <cellStyle name="_Euro_MLM" xfId="551" xr:uid="{00000000-0005-0000-0000-0000AC070000}"/>
    <cellStyle name="_Euro_NAV" xfId="552" xr:uid="{00000000-0005-0000-0000-0000AD070000}"/>
    <cellStyle name="_Euro_New Version" xfId="4396" xr:uid="{00000000-0005-0000-0000-0000AE070000}"/>
    <cellStyle name="_Euro_New Version 2" xfId="4397" xr:uid="{00000000-0005-0000-0000-0000AF070000}"/>
    <cellStyle name="_Euro_Origination Market Share-Qtr" xfId="4398" xr:uid="{00000000-0005-0000-0000-0000B0070000}"/>
    <cellStyle name="_Euro_OSK" xfId="553" xr:uid="{00000000-0005-0000-0000-0000B1070000}"/>
    <cellStyle name="_Euro_PCAR" xfId="554" xr:uid="{00000000-0005-0000-0000-0000B2070000}"/>
    <cellStyle name="_Euro_PH" xfId="555" xr:uid="{00000000-0005-0000-0000-0000B3070000}"/>
    <cellStyle name="_Euro_Request Template" xfId="556" xr:uid="{00000000-0005-0000-0000-0000B4070000}"/>
    <cellStyle name="_Euro_Request Template 2" xfId="557" xr:uid="{00000000-0005-0000-0000-0000B5070000}"/>
    <cellStyle name="_Euro_Sheet2" xfId="4399" xr:uid="{00000000-0005-0000-0000-0000B6070000}"/>
    <cellStyle name="_Euro_Sheet2 2" xfId="4400" xr:uid="{00000000-0005-0000-0000-0000B7070000}"/>
    <cellStyle name="_Euro_Telecom Valuation Tables - 5-24-04" xfId="4401" xr:uid="{00000000-0005-0000-0000-0000B8070000}"/>
    <cellStyle name="_FIAT" xfId="4402" xr:uid="{00000000-0005-0000-0000-0000B9070000}"/>
    <cellStyle name="_FIAT 2" xfId="4403" xr:uid="{00000000-0005-0000-0000-0000BA070000}"/>
    <cellStyle name="_Fidelity Project Q405 Numbers_Brant Thompson's Team" xfId="4404" xr:uid="{00000000-0005-0000-0000-0000BB070000}"/>
    <cellStyle name="_Foreclosures_data_Realty Trac Break up" xfId="4405" xr:uid="{00000000-0005-0000-0000-0000BC070000}"/>
    <cellStyle name="_Foreclosures_data_Realty Trac Break up 2" xfId="4406" xr:uid="{00000000-0005-0000-0000-0000BD070000}"/>
    <cellStyle name="_GCI" xfId="4407" xr:uid="{00000000-0005-0000-0000-0000BE070000}"/>
    <cellStyle name="_GCI 2" xfId="4408" xr:uid="{00000000-0005-0000-0000-0000BF070000}"/>
    <cellStyle name="_Global Mobile Subscriber Model" xfId="4409" xr:uid="{00000000-0005-0000-0000-0000C0070000}"/>
    <cellStyle name="_GLWMOD" xfId="4410" xr:uid="{00000000-0005-0000-0000-0000C1070000}"/>
    <cellStyle name="—_GS Assumptions-F" xfId="558" xr:uid="{00000000-0005-0000-0000-0000C2070000}"/>
    <cellStyle name="—_GS_Balance" xfId="559" xr:uid="{00000000-0005-0000-0000-0000C3070000}"/>
    <cellStyle name="—_GS_Cash " xfId="560" xr:uid="{00000000-0005-0000-0000-0000C4070000}"/>
    <cellStyle name="—_GS_Cash  (2)" xfId="561" xr:uid="{00000000-0005-0000-0000-0000C5070000}"/>
    <cellStyle name="—_GS_Cash _MMM nxp 33" xfId="562" xr:uid="{00000000-0005-0000-0000-0000C6070000}"/>
    <cellStyle name="—_GS_Cash _Sheet1" xfId="4411" xr:uid="{00000000-0005-0000-0000-0000C7070000}"/>
    <cellStyle name="—_GS_DCF" xfId="563" xr:uid="{00000000-0005-0000-0000-0000C8070000}"/>
    <cellStyle name="_gs_nscn_internal" xfId="564" xr:uid="{00000000-0005-0000-0000-0000C9070000}"/>
    <cellStyle name="_gs_nscn_internal 2" xfId="4412" xr:uid="{00000000-0005-0000-0000-0000CA070000}"/>
    <cellStyle name="—_GS_PNL" xfId="565" xr:uid="{00000000-0005-0000-0000-0000CB070000}"/>
    <cellStyle name="_Heading" xfId="566" xr:uid="{00000000-0005-0000-0000-0000CC070000}"/>
    <cellStyle name="_Heading 2" xfId="567" xr:uid="{00000000-0005-0000-0000-0000CD070000}"/>
    <cellStyle name="_Heading 3" xfId="568" xr:uid="{00000000-0005-0000-0000-0000CE070000}"/>
    <cellStyle name="_Heading 4" xfId="7051" xr:uid="{00000000-0005-0000-0000-0000CF070000}"/>
    <cellStyle name="_Heading_AG" xfId="569" xr:uid="{00000000-0005-0000-0000-0000D0070000}"/>
    <cellStyle name="_Heading_ASF interim sheet" xfId="4413" xr:uid="{00000000-0005-0000-0000-0000D1070000}"/>
    <cellStyle name="_Heading_ASF1" xfId="4414" xr:uid="{00000000-0005-0000-0000-0000D2070000}"/>
    <cellStyle name="_Heading_BLS" xfId="570" xr:uid="{00000000-0005-0000-0000-0000D3070000}"/>
    <cellStyle name="_Heading_BLS 2" xfId="571" xr:uid="{00000000-0005-0000-0000-0000D4070000}"/>
    <cellStyle name="_Heading_bls roic" xfId="572" xr:uid="{00000000-0005-0000-0000-0000D5070000}"/>
    <cellStyle name="_Heading_BLS_ITW Working 69" xfId="4415" xr:uid="{00000000-0005-0000-0000-0000D6070000}"/>
    <cellStyle name="_Heading_BLS_MLP Val-Client-10_02_06" xfId="573" xr:uid="{00000000-0005-0000-0000-0000D7070000}"/>
    <cellStyle name="_Heading_BLS_MLP Val-Client-10_02_06 2" xfId="4416" xr:uid="{00000000-0005-0000-0000-0000D8070000}"/>
    <cellStyle name="_Heading_BLS_New Version" xfId="4417" xr:uid="{00000000-0005-0000-0000-0000D9070000}"/>
    <cellStyle name="_Heading_BLS_New Version 2" xfId="4418" xr:uid="{00000000-0005-0000-0000-0000DA070000}"/>
    <cellStyle name="_Heading_BLS_Sheet1" xfId="4419" xr:uid="{00000000-0005-0000-0000-0000DB070000}"/>
    <cellStyle name="_Heading_BLS_Sheet2" xfId="4420" xr:uid="{00000000-0005-0000-0000-0000DC070000}"/>
    <cellStyle name="_Heading_BLS_Sheet2 2" xfId="4421" xr:uid="{00000000-0005-0000-0000-0000DD070000}"/>
    <cellStyle name="_Heading_Book9" xfId="574" xr:uid="{00000000-0005-0000-0000-0000DE070000}"/>
    <cellStyle name="_Heading_Book9 2" xfId="575" xr:uid="{00000000-0005-0000-0000-0000DF070000}"/>
    <cellStyle name="_Heading_Book9_ITW Working 69" xfId="4422" xr:uid="{00000000-0005-0000-0000-0000E0070000}"/>
    <cellStyle name="_Heading_Book9_MLP Val-Client-10_02_06" xfId="576" xr:uid="{00000000-0005-0000-0000-0000E1070000}"/>
    <cellStyle name="_Heading_Book9_MLP Val-Client-10_02_06 2" xfId="4423" xr:uid="{00000000-0005-0000-0000-0000E2070000}"/>
    <cellStyle name="_Heading_Book9_New Version" xfId="4424" xr:uid="{00000000-0005-0000-0000-0000E3070000}"/>
    <cellStyle name="_Heading_Book9_New Version 2" xfId="4425" xr:uid="{00000000-0005-0000-0000-0000E4070000}"/>
    <cellStyle name="_Heading_Book9_Sheet1" xfId="4426" xr:uid="{00000000-0005-0000-0000-0000E5070000}"/>
    <cellStyle name="_Heading_Book9_Sheet2" xfId="4427" xr:uid="{00000000-0005-0000-0000-0000E6070000}"/>
    <cellStyle name="_Heading_Book9_Sheet2 2" xfId="4428" xr:uid="{00000000-0005-0000-0000-0000E7070000}"/>
    <cellStyle name="_Heading_Broadband Comps" xfId="577" xr:uid="{00000000-0005-0000-0000-0000E8070000}"/>
    <cellStyle name="_Heading_Broadband Comps 2" xfId="578" xr:uid="{00000000-0005-0000-0000-0000E9070000}"/>
    <cellStyle name="_Heading_Broadband Comps_ITW Working 69" xfId="4429" xr:uid="{00000000-0005-0000-0000-0000EA070000}"/>
    <cellStyle name="_Heading_Broadband Comps_MLP Val-Client-10_02_06" xfId="579" xr:uid="{00000000-0005-0000-0000-0000EB070000}"/>
    <cellStyle name="_Heading_Broadband Comps_MLP Val-Client-10_02_06 2" xfId="4430" xr:uid="{00000000-0005-0000-0000-0000EC070000}"/>
    <cellStyle name="_Heading_Broadband Comps_New Version" xfId="4431" xr:uid="{00000000-0005-0000-0000-0000ED070000}"/>
    <cellStyle name="_Heading_Broadband Comps_New Version 2" xfId="4432" xr:uid="{00000000-0005-0000-0000-0000EE070000}"/>
    <cellStyle name="_Heading_Broadband Comps_Sheet1" xfId="4433" xr:uid="{00000000-0005-0000-0000-0000EF070000}"/>
    <cellStyle name="_Heading_Broadband Comps_Sheet2" xfId="4434" xr:uid="{00000000-0005-0000-0000-0000F0070000}"/>
    <cellStyle name="_Heading_Broadband Comps_Sheet2 2" xfId="4435" xr:uid="{00000000-0005-0000-0000-0000F1070000}"/>
    <cellStyle name="_Heading_capital expenditures 6-18-02" xfId="580" xr:uid="{00000000-0005-0000-0000-0000F2070000}"/>
    <cellStyle name="_Heading_CAT" xfId="581" xr:uid="{00000000-0005-0000-0000-0000F3070000}"/>
    <cellStyle name="_Heading_CAT 2" xfId="4436" xr:uid="{00000000-0005-0000-0000-0000F4070000}"/>
    <cellStyle name="_Heading_CNH" xfId="582" xr:uid="{00000000-0005-0000-0000-0000F5070000}"/>
    <cellStyle name="_Heading_CNH 2" xfId="4437" xr:uid="{00000000-0005-0000-0000-0000F6070000}"/>
    <cellStyle name="_Heading_Commtech" xfId="583" xr:uid="{00000000-0005-0000-0000-0000F7070000}"/>
    <cellStyle name="_Heading_Commtech 2" xfId="4438" xr:uid="{00000000-0005-0000-0000-0000F8070000}"/>
    <cellStyle name="_Heading_Competitors" xfId="4439" xr:uid="{00000000-0005-0000-0000-0000F9070000}"/>
    <cellStyle name="_Heading_CTCO" xfId="584" xr:uid="{00000000-0005-0000-0000-0000FA070000}"/>
    <cellStyle name="_Heading_CTCO 2" xfId="585" xr:uid="{00000000-0005-0000-0000-0000FB070000}"/>
    <cellStyle name="_Heading_CTCO_ITW Working 69" xfId="4440" xr:uid="{00000000-0005-0000-0000-0000FC070000}"/>
    <cellStyle name="_Heading_CTCO_MLP Val-Client-10_02_06" xfId="586" xr:uid="{00000000-0005-0000-0000-0000FD070000}"/>
    <cellStyle name="_Heading_CTCO_MLP Val-Client-10_02_06 2" xfId="4441" xr:uid="{00000000-0005-0000-0000-0000FE070000}"/>
    <cellStyle name="_Heading_CTCO_New Version" xfId="4442" xr:uid="{00000000-0005-0000-0000-0000FF070000}"/>
    <cellStyle name="_Heading_CTCO_New Version 2" xfId="4443" xr:uid="{00000000-0005-0000-0000-000000080000}"/>
    <cellStyle name="_Heading_CTCO_Sheet1" xfId="4444" xr:uid="{00000000-0005-0000-0000-000001080000}"/>
    <cellStyle name="_Heading_CTCO_Sheet2" xfId="4445" xr:uid="{00000000-0005-0000-0000-000002080000}"/>
    <cellStyle name="_Heading_CTCO_Sheet2 2" xfId="4446" xr:uid="{00000000-0005-0000-0000-000003080000}"/>
    <cellStyle name="_Heading_DE-working" xfId="587" xr:uid="{00000000-0005-0000-0000-000004080000}"/>
    <cellStyle name="_Heading_DE-working 2" xfId="4447" xr:uid="{00000000-0005-0000-0000-000005080000}"/>
    <cellStyle name="_Heading_document(1)" xfId="4448" xr:uid="{00000000-0005-0000-0000-000006080000}"/>
    <cellStyle name="_Heading_DOV" xfId="588" xr:uid="{00000000-0005-0000-0000-000007080000}"/>
    <cellStyle name="_Heading_DOV 2" xfId="4449" xr:uid="{00000000-0005-0000-0000-000008080000}"/>
    <cellStyle name="_Heading_ETN" xfId="589" xr:uid="{00000000-0005-0000-0000-000009080000}"/>
    <cellStyle name="_Heading_ETN 2" xfId="4450" xr:uid="{00000000-0005-0000-0000-00000A080000}"/>
    <cellStyle name="_Heading_Foreclosures_data_Realty Trac Break up" xfId="4451" xr:uid="{00000000-0005-0000-0000-00000B080000}"/>
    <cellStyle name="_Heading_Foreclosures_data_Realty Trac Break up 2" xfId="4452" xr:uid="{00000000-0005-0000-0000-00000C080000}"/>
    <cellStyle name="_Heading_FSS" xfId="590" xr:uid="{00000000-0005-0000-0000-00000D080000}"/>
    <cellStyle name="_Heading_FSS 2" xfId="4453" xr:uid="{00000000-0005-0000-0000-00000E080000}"/>
    <cellStyle name="_Heading_Global Autos Database 2005" xfId="4454" xr:uid="{00000000-0005-0000-0000-00000F080000}"/>
    <cellStyle name="_Heading_Home page" xfId="4455" xr:uid="{00000000-0005-0000-0000-000010080000}"/>
    <cellStyle name="_Heading_ITW Working 69" xfId="4456" xr:uid="{00000000-0005-0000-0000-000011080000}"/>
    <cellStyle name="_Heading_JOYG" xfId="591" xr:uid="{00000000-0005-0000-0000-000012080000}"/>
    <cellStyle name="_Heading_Kent" xfId="592" xr:uid="{00000000-0005-0000-0000-000013080000}"/>
    <cellStyle name="_Heading_Kent 2" xfId="4457" xr:uid="{00000000-0005-0000-0000-000014080000}"/>
    <cellStyle name="_Heading_MLM" xfId="593" xr:uid="{00000000-0005-0000-0000-000015080000}"/>
    <cellStyle name="_Heading_NAV" xfId="594" xr:uid="{00000000-0005-0000-0000-000016080000}"/>
    <cellStyle name="_Heading_OpMod" xfId="4458" xr:uid="{00000000-0005-0000-0000-000017080000}"/>
    <cellStyle name="_Heading_OpMod 2" xfId="4459" xr:uid="{00000000-0005-0000-0000-000018080000}"/>
    <cellStyle name="_Heading_Origination Market Share-Qtr" xfId="4460" xr:uid="{00000000-0005-0000-0000-000019080000}"/>
    <cellStyle name="_Heading_OSK" xfId="595" xr:uid="{00000000-0005-0000-0000-00001A080000}"/>
    <cellStyle name="_Heading_PCAR" xfId="596" xr:uid="{00000000-0005-0000-0000-00001B080000}"/>
    <cellStyle name="_Heading_PH" xfId="597" xr:uid="{00000000-0005-0000-0000-00001C080000}"/>
    <cellStyle name="_Heading_prestemp" xfId="2769" xr:uid="{00000000-0005-0000-0000-00001D080000}"/>
    <cellStyle name="_Heading_prestemp 2" xfId="4461" xr:uid="{00000000-0005-0000-0000-00001E080000}"/>
    <cellStyle name="_Heading_Q" xfId="598" xr:uid="{00000000-0005-0000-0000-00001F080000}"/>
    <cellStyle name="_Heading_q - new guidance" xfId="599" xr:uid="{00000000-0005-0000-0000-000020080000}"/>
    <cellStyle name="_Heading_q - new guidance 2" xfId="600" xr:uid="{00000000-0005-0000-0000-000021080000}"/>
    <cellStyle name="_Heading_q - new guidance_ITW Working 69" xfId="4462" xr:uid="{00000000-0005-0000-0000-000022080000}"/>
    <cellStyle name="_Heading_q - new guidance_MLP Val-Client-10_02_06" xfId="601" xr:uid="{00000000-0005-0000-0000-000023080000}"/>
    <cellStyle name="_Heading_q - new guidance_MLP Val-Client-10_02_06 2" xfId="4463" xr:uid="{00000000-0005-0000-0000-000024080000}"/>
    <cellStyle name="_Heading_q - new guidance_New Version" xfId="4464" xr:uid="{00000000-0005-0000-0000-000025080000}"/>
    <cellStyle name="_Heading_q - new guidance_New Version 2" xfId="4465" xr:uid="{00000000-0005-0000-0000-000026080000}"/>
    <cellStyle name="_Heading_q - new guidance_Sheet1" xfId="4466" xr:uid="{00000000-0005-0000-0000-000027080000}"/>
    <cellStyle name="_Heading_q - new guidance_Sheet2" xfId="4467" xr:uid="{00000000-0005-0000-0000-000028080000}"/>
    <cellStyle name="_Heading_q - new guidance_Sheet2 2" xfId="4468" xr:uid="{00000000-0005-0000-0000-000029080000}"/>
    <cellStyle name="_Heading_q - valuation" xfId="602" xr:uid="{00000000-0005-0000-0000-00002A080000}"/>
    <cellStyle name="_Heading_q - valuation 2" xfId="603" xr:uid="{00000000-0005-0000-0000-00002B080000}"/>
    <cellStyle name="_Heading_q - valuation_ITW Working 69" xfId="4469" xr:uid="{00000000-0005-0000-0000-00002C080000}"/>
    <cellStyle name="_Heading_q - valuation_MLP Val-Client-10_02_06" xfId="604" xr:uid="{00000000-0005-0000-0000-00002D080000}"/>
    <cellStyle name="_Heading_q - valuation_MLP Val-Client-10_02_06 2" xfId="4470" xr:uid="{00000000-0005-0000-0000-00002E080000}"/>
    <cellStyle name="_Heading_q - valuation_New Version" xfId="4471" xr:uid="{00000000-0005-0000-0000-00002F080000}"/>
    <cellStyle name="_Heading_q - valuation_New Version 2" xfId="4472" xr:uid="{00000000-0005-0000-0000-000030080000}"/>
    <cellStyle name="_Heading_q - valuation_Sheet1" xfId="4473" xr:uid="{00000000-0005-0000-0000-000031080000}"/>
    <cellStyle name="_Heading_q - valuation_Sheet2" xfId="4474" xr:uid="{00000000-0005-0000-0000-000032080000}"/>
    <cellStyle name="_Heading_q - valuation_Sheet2 2" xfId="4475" xr:uid="{00000000-0005-0000-0000-000033080000}"/>
    <cellStyle name="_Heading_Q 2" xfId="605" xr:uid="{00000000-0005-0000-0000-000034080000}"/>
    <cellStyle name="_Heading_Q 3" xfId="4476" xr:uid="{00000000-0005-0000-0000-000035080000}"/>
    <cellStyle name="_Heading_Q 4" xfId="4477" xr:uid="{00000000-0005-0000-0000-000036080000}"/>
    <cellStyle name="_Heading_Q 5" xfId="4478" xr:uid="{00000000-0005-0000-0000-000037080000}"/>
    <cellStyle name="_Heading_Q 6" xfId="4479" xr:uid="{00000000-0005-0000-0000-000038080000}"/>
    <cellStyle name="_Heading_Q model_041802" xfId="606" xr:uid="{00000000-0005-0000-0000-000039080000}"/>
    <cellStyle name="_Heading_Q model_041802 2" xfId="607" xr:uid="{00000000-0005-0000-0000-00003A080000}"/>
    <cellStyle name="_Heading_Q model_041802_ITW Working 69" xfId="4480" xr:uid="{00000000-0005-0000-0000-00003B080000}"/>
    <cellStyle name="_Heading_Q model_041802_MLP Val-Client-10_02_06" xfId="608" xr:uid="{00000000-0005-0000-0000-00003C080000}"/>
    <cellStyle name="_Heading_Q model_041802_MLP Val-Client-10_02_06 2" xfId="4481" xr:uid="{00000000-0005-0000-0000-00003D080000}"/>
    <cellStyle name="_Heading_Q model_041802_New Version" xfId="4482" xr:uid="{00000000-0005-0000-0000-00003E080000}"/>
    <cellStyle name="_Heading_Q model_041802_New Version 2" xfId="4483" xr:uid="{00000000-0005-0000-0000-00003F080000}"/>
    <cellStyle name="_Heading_Q model_041802_Sheet1" xfId="4484" xr:uid="{00000000-0005-0000-0000-000040080000}"/>
    <cellStyle name="_Heading_Q model_041802_Sheet2" xfId="4485" xr:uid="{00000000-0005-0000-0000-000041080000}"/>
    <cellStyle name="_Heading_Q model_041802_Sheet2 2" xfId="4486" xr:uid="{00000000-0005-0000-0000-000042080000}"/>
    <cellStyle name="_Heading_Q_ITW Working 69" xfId="4487" xr:uid="{00000000-0005-0000-0000-000043080000}"/>
    <cellStyle name="_Heading_Q_MLP Val-Client-10_02_06" xfId="609" xr:uid="{00000000-0005-0000-0000-000044080000}"/>
    <cellStyle name="_Heading_Q_MLP Val-Client-10_02_06 2" xfId="4488" xr:uid="{00000000-0005-0000-0000-000045080000}"/>
    <cellStyle name="_Heading_Q_New Version" xfId="4489" xr:uid="{00000000-0005-0000-0000-000046080000}"/>
    <cellStyle name="_Heading_Q_New Version 2" xfId="4490" xr:uid="{00000000-0005-0000-0000-000047080000}"/>
    <cellStyle name="_Heading_Q_Sheet1" xfId="4491" xr:uid="{00000000-0005-0000-0000-000048080000}"/>
    <cellStyle name="_Heading_Q_Sheet2" xfId="4492" xr:uid="{00000000-0005-0000-0000-000049080000}"/>
    <cellStyle name="_Heading_Q_Sheet2 2" xfId="4493" xr:uid="{00000000-0005-0000-0000-00004A080000}"/>
    <cellStyle name="_Heading_Q_update" xfId="610" xr:uid="{00000000-0005-0000-0000-00004B080000}"/>
    <cellStyle name="_Heading_Q_update 2" xfId="611" xr:uid="{00000000-0005-0000-0000-00004C080000}"/>
    <cellStyle name="_Heading_Q_update_ITW Working 69" xfId="4494" xr:uid="{00000000-0005-0000-0000-00004D080000}"/>
    <cellStyle name="_Heading_Q_update_MLP Val-Client-10_02_06" xfId="612" xr:uid="{00000000-0005-0000-0000-00004E080000}"/>
    <cellStyle name="_Heading_Q_update_MLP Val-Client-10_02_06 2" xfId="4495" xr:uid="{00000000-0005-0000-0000-00004F080000}"/>
    <cellStyle name="_Heading_Q_update_New Version" xfId="4496" xr:uid="{00000000-0005-0000-0000-000050080000}"/>
    <cellStyle name="_Heading_Q_update_New Version 2" xfId="4497" xr:uid="{00000000-0005-0000-0000-000051080000}"/>
    <cellStyle name="_Heading_Q_update_Sheet1" xfId="4498" xr:uid="{00000000-0005-0000-0000-000052080000}"/>
    <cellStyle name="_Heading_Q_update_Sheet2" xfId="4499" xr:uid="{00000000-0005-0000-0000-000053080000}"/>
    <cellStyle name="_Heading_Q_update_Sheet2 2" xfId="4500" xr:uid="{00000000-0005-0000-0000-000054080000}"/>
    <cellStyle name="_Heading_Qwest Analysis" xfId="613" xr:uid="{00000000-0005-0000-0000-000055080000}"/>
    <cellStyle name="_Heading_Qwest Analysis 2" xfId="614" xr:uid="{00000000-0005-0000-0000-000056080000}"/>
    <cellStyle name="_Heading_Qwest Analysis_ITW Working 69" xfId="4501" xr:uid="{00000000-0005-0000-0000-000057080000}"/>
    <cellStyle name="_Heading_Qwest Analysis_MLP Val-Client-10_02_06" xfId="615" xr:uid="{00000000-0005-0000-0000-000058080000}"/>
    <cellStyle name="_Heading_Qwest Analysis_MLP Val-Client-10_02_06 2" xfId="4502" xr:uid="{00000000-0005-0000-0000-000059080000}"/>
    <cellStyle name="_Heading_Qwest Analysis_New Version" xfId="4503" xr:uid="{00000000-0005-0000-0000-00005A080000}"/>
    <cellStyle name="_Heading_Qwest Analysis_New Version 2" xfId="4504" xr:uid="{00000000-0005-0000-0000-00005B080000}"/>
    <cellStyle name="_Heading_Qwest Analysis_Sheet1" xfId="4505" xr:uid="{00000000-0005-0000-0000-00005C080000}"/>
    <cellStyle name="_Heading_Qwest Analysis_Sheet2" xfId="4506" xr:uid="{00000000-0005-0000-0000-00005D080000}"/>
    <cellStyle name="_Heading_Qwest Analysis_Sheet2 2" xfId="4507" xr:uid="{00000000-0005-0000-0000-00005E080000}"/>
    <cellStyle name="_Heading_RBOC historicals" xfId="616" xr:uid="{00000000-0005-0000-0000-00005F080000}"/>
    <cellStyle name="_Heading_Sheet1" xfId="617" xr:uid="{00000000-0005-0000-0000-000060080000}"/>
    <cellStyle name="_Heading_Sheet1 2" xfId="4508" xr:uid="{00000000-0005-0000-0000-000061080000}"/>
    <cellStyle name="_Heading_T - new" xfId="618" xr:uid="{00000000-0005-0000-0000-000062080000}"/>
    <cellStyle name="_Heading_Valuation vals" xfId="619" xr:uid="{00000000-0005-0000-0000-000063080000}"/>
    <cellStyle name="_Heading_Valuation vals 2" xfId="4509" xr:uid="{00000000-0005-0000-0000-000064080000}"/>
    <cellStyle name="_Heading_VZ" xfId="620" xr:uid="{00000000-0005-0000-0000-000065080000}"/>
    <cellStyle name="_Heading_VZ 2" xfId="621" xr:uid="{00000000-0005-0000-0000-000066080000}"/>
    <cellStyle name="_Heading_VZ_ITW Working 69" xfId="4510" xr:uid="{00000000-0005-0000-0000-000067080000}"/>
    <cellStyle name="_Heading_VZ_MLP Val-Client-10_02_06" xfId="622" xr:uid="{00000000-0005-0000-0000-000068080000}"/>
    <cellStyle name="_Heading_VZ_MLP Val-Client-10_02_06 2" xfId="4511" xr:uid="{00000000-0005-0000-0000-000069080000}"/>
    <cellStyle name="_Heading_VZ_New Version" xfId="4512" xr:uid="{00000000-0005-0000-0000-00006A080000}"/>
    <cellStyle name="_Heading_VZ_New Version 2" xfId="4513" xr:uid="{00000000-0005-0000-0000-00006B080000}"/>
    <cellStyle name="_Heading_VZ_Sheet1" xfId="4514" xr:uid="{00000000-0005-0000-0000-00006C080000}"/>
    <cellStyle name="_Heading_VZ_Sheet2" xfId="4515" xr:uid="{00000000-0005-0000-0000-00006D080000}"/>
    <cellStyle name="_Heading_VZ_Sheet2 2" xfId="4516" xr:uid="{00000000-0005-0000-0000-00006E080000}"/>
    <cellStyle name="_Headline" xfId="623" xr:uid="{00000000-0005-0000-0000-00006F080000}"/>
    <cellStyle name="_Highlight" xfId="624" xr:uid="{00000000-0005-0000-0000-000070080000}"/>
    <cellStyle name="_Highlight 2" xfId="625" xr:uid="{00000000-0005-0000-0000-000071080000}"/>
    <cellStyle name="_Highlight 3" xfId="2915" xr:uid="{00000000-0005-0000-0000-000072080000}"/>
    <cellStyle name="_Highlight 4" xfId="2916" xr:uid="{00000000-0005-0000-0000-000073080000}"/>
    <cellStyle name="_Highlight 5" xfId="3073" xr:uid="{00000000-0005-0000-0000-000074080000}"/>
    <cellStyle name="_Highlight 6" xfId="7052" xr:uid="{00000000-0005-0000-0000-000075080000}"/>
    <cellStyle name="_Highlight 7" xfId="7053" xr:uid="{00000000-0005-0000-0000-000076080000}"/>
    <cellStyle name="_Highlight_aggregated LBO" xfId="4517" xr:uid="{00000000-0005-0000-0000-000077080000}"/>
    <cellStyle name="_Highlight_aggregated LBO 2" xfId="4518" xr:uid="{00000000-0005-0000-0000-000078080000}"/>
    <cellStyle name="_Infonetics-1st-2007-Delivery-Mobile-and-WiFi-Phones-and-Subscribers-Market-Fcst-Updated-01-24-07(1)" xfId="4519" xr:uid="{00000000-0005-0000-0000-000079080000}"/>
    <cellStyle name="_Input Europe" xfId="4520" xr:uid="{00000000-0005-0000-0000-00007A080000}"/>
    <cellStyle name="_Interims" xfId="4521" xr:uid="{00000000-0005-0000-0000-00007B080000}"/>
    <cellStyle name="_Interims 2" xfId="4522" xr:uid="{00000000-0005-0000-0000-00007C080000}"/>
    <cellStyle name="_JDSUMOD" xfId="4523" xr:uid="{00000000-0005-0000-0000-00007D080000}"/>
    <cellStyle name="_KPN Fixed" xfId="4524" xr:uid="{00000000-0005-0000-0000-00007E080000}"/>
    <cellStyle name="_LCD MODEL" xfId="4525" xr:uid="{00000000-0005-0000-0000-00007F080000}"/>
    <cellStyle name="_MET" xfId="4526" xr:uid="{00000000-0005-0000-0000-000080080000}"/>
    <cellStyle name="_MET 2" xfId="4527" xr:uid="{00000000-0005-0000-0000-000081080000}"/>
    <cellStyle name="_MNST" xfId="4528" xr:uid="{00000000-0005-0000-0000-000082080000}"/>
    <cellStyle name="_MOTMOD" xfId="4529" xr:uid="{00000000-0005-0000-0000-000083080000}"/>
    <cellStyle name="_msft-dcf" xfId="626" xr:uid="{00000000-0005-0000-0000-000084080000}"/>
    <cellStyle name="_msft-dcf 2" xfId="4530" xr:uid="{00000000-0005-0000-0000-000085080000}"/>
    <cellStyle name="_msft-dcf_ITW Working 69" xfId="4531" xr:uid="{00000000-0005-0000-0000-000086080000}"/>
    <cellStyle name="_Multiple" xfId="627" xr:uid="{00000000-0005-0000-0000-000087080000}"/>
    <cellStyle name="_Multiple 2" xfId="628" xr:uid="{00000000-0005-0000-0000-000088080000}"/>
    <cellStyle name="_Multiple 2 2" xfId="2918" xr:uid="{00000000-0005-0000-0000-000089080000}"/>
    <cellStyle name="_Multiple 2 3" xfId="7054" xr:uid="{00000000-0005-0000-0000-00008A080000}"/>
    <cellStyle name="_Multiple 3" xfId="629" xr:uid="{00000000-0005-0000-0000-00008B080000}"/>
    <cellStyle name="_Multiple 3 2" xfId="2919" xr:uid="{00000000-0005-0000-0000-00008C080000}"/>
    <cellStyle name="_Multiple 3 3" xfId="7055" xr:uid="{00000000-0005-0000-0000-00008D080000}"/>
    <cellStyle name="_Multiple 4" xfId="2920" xr:uid="{00000000-0005-0000-0000-00008E080000}"/>
    <cellStyle name="_Multiple 5" xfId="2917" xr:uid="{00000000-0005-0000-0000-00008F080000}"/>
    <cellStyle name="_Multiple 6" xfId="7056" xr:uid="{00000000-0005-0000-0000-000090080000}"/>
    <cellStyle name="_Multiple 7" xfId="7057" xr:uid="{00000000-0005-0000-0000-000091080000}"/>
    <cellStyle name="_Multiple_01 adj for merger plan" xfId="2770" xr:uid="{00000000-0005-0000-0000-000092080000}"/>
    <cellStyle name="_Multiple_01 adj for merger plan 2" xfId="4532" xr:uid="{00000000-0005-0000-0000-000093080000}"/>
    <cellStyle name="_Multiple_01 adj for merger plan_Origination Market Share-Qtr" xfId="4533" xr:uid="{00000000-0005-0000-0000-000094080000}"/>
    <cellStyle name="_Multiple_01 adj for merger plan_Origination Market Share-Qtr 2" xfId="4534" xr:uid="{00000000-0005-0000-0000-000095080000}"/>
    <cellStyle name="_Multiple_1 Loestrin 24" xfId="4535" xr:uid="{00000000-0005-0000-0000-000096080000}"/>
    <cellStyle name="_Multiple_1 Loestrin 24 2" xfId="4536" xr:uid="{00000000-0005-0000-0000-000097080000}"/>
    <cellStyle name="_Multiple_1 Ovcon" xfId="4537" xr:uid="{00000000-0005-0000-0000-000098080000}"/>
    <cellStyle name="_Multiple_1 Ovcon 2" xfId="4538" xr:uid="{00000000-0005-0000-0000-000099080000}"/>
    <cellStyle name="_Multiple_1 Taclonex" xfId="4539" xr:uid="{00000000-0005-0000-0000-00009A080000}"/>
    <cellStyle name="_Multiple_1 Taclonex 2" xfId="4540" xr:uid="{00000000-0005-0000-0000-00009B080000}"/>
    <cellStyle name="_Multiple_4VAL DCF2" xfId="4541" xr:uid="{00000000-0005-0000-0000-00009C080000}"/>
    <cellStyle name="_Multiple_4VAL DCF2 2" xfId="4542" xr:uid="{00000000-0005-0000-0000-00009D080000}"/>
    <cellStyle name="_Multiple_Ability to Pay Analysis" xfId="2771" xr:uid="{00000000-0005-0000-0000-00009E080000}"/>
    <cellStyle name="_Multiple_Ability to Pay Analysis 2" xfId="4543" xr:uid="{00000000-0005-0000-0000-00009F080000}"/>
    <cellStyle name="_Multiple_Ability to Pay Analysis_Origination Market Share-Qtr" xfId="4544" xr:uid="{00000000-0005-0000-0000-0000A0080000}"/>
    <cellStyle name="_Multiple_Ability to Pay Analysis_Origination Market Share-Qtr 2" xfId="4545" xr:uid="{00000000-0005-0000-0000-0000A1080000}"/>
    <cellStyle name="_Multiple_ACS LBO" xfId="4546" xr:uid="{00000000-0005-0000-0000-0000A2080000}"/>
    <cellStyle name="_Multiple_ACS LBO 2" xfId="4547" xr:uid="{00000000-0005-0000-0000-0000A3080000}"/>
    <cellStyle name="_Multiple_Actiq" xfId="4548" xr:uid="{00000000-0005-0000-0000-0000A4080000}"/>
    <cellStyle name="_Multiple_Actiq 2" xfId="4549" xr:uid="{00000000-0005-0000-0000-0000A5080000}"/>
    <cellStyle name="_Multiple_Adjustments" xfId="4550" xr:uid="{00000000-0005-0000-0000-0000A6080000}"/>
    <cellStyle name="_Multiple_Adjustments 2" xfId="4551" xr:uid="{00000000-0005-0000-0000-0000A7080000}"/>
    <cellStyle name="_Multiple_AFL" xfId="2772" xr:uid="{00000000-0005-0000-0000-0000A8080000}"/>
    <cellStyle name="_Multiple_AFL 2" xfId="4552" xr:uid="{00000000-0005-0000-0000-0000A9080000}"/>
    <cellStyle name="_Multiple_AG" xfId="630" xr:uid="{00000000-0005-0000-0000-0000AA080000}"/>
    <cellStyle name="_Multiple_Agis" xfId="4553" xr:uid="{00000000-0005-0000-0000-0000AB080000}"/>
    <cellStyle name="_Multiple_Agis 2" xfId="4554" xr:uid="{00000000-0005-0000-0000-0000AC080000}"/>
    <cellStyle name="_Multiple_AIZ" xfId="2773" xr:uid="{00000000-0005-0000-0000-0000AD080000}"/>
    <cellStyle name="_Multiple_AIZ 2" xfId="4555" xr:uid="{00000000-0005-0000-0000-0000AE080000}"/>
    <cellStyle name="_Multiple_AIZ_Origination Market Share-Qtr" xfId="4556" xr:uid="{00000000-0005-0000-0000-0000AF080000}"/>
    <cellStyle name="_Multiple_AIZ_Origination Market Share-Qtr 2" xfId="4557" xr:uid="{00000000-0005-0000-0000-0000B0080000}"/>
    <cellStyle name="_Multiple_AMP" xfId="2774" xr:uid="{00000000-0005-0000-0000-0000B1080000}"/>
    <cellStyle name="_Multiple_AMP_Origination Market Share-Qtr" xfId="4558" xr:uid="{00000000-0005-0000-0000-0000B2080000}"/>
    <cellStyle name="_Multiple_AMX1" xfId="631" xr:uid="{00000000-0005-0000-0000-0000B3080000}"/>
    <cellStyle name="_Multiple_AMX1 2" xfId="4559" xr:uid="{00000000-0005-0000-0000-0000B4080000}"/>
    <cellStyle name="_Multiple_AMX1_New Version" xfId="4560" xr:uid="{00000000-0005-0000-0000-0000B5080000}"/>
    <cellStyle name="_Multiple_AMX1_New Version 2" xfId="4561" xr:uid="{00000000-0005-0000-0000-0000B6080000}"/>
    <cellStyle name="_Multiple_AMX1_Sheet2" xfId="4562" xr:uid="{00000000-0005-0000-0000-0000B7080000}"/>
    <cellStyle name="_Multiple_AMX1_Sheet2 2" xfId="4563" xr:uid="{00000000-0005-0000-0000-0000B8080000}"/>
    <cellStyle name="_Multiple_ANDAs" xfId="4564" xr:uid="{00000000-0005-0000-0000-0000B9080000}"/>
    <cellStyle name="_Multiple_ANDAs 2" xfId="4565" xr:uid="{00000000-0005-0000-0000-0000BA080000}"/>
    <cellStyle name="_Multiple_ANDAs summary sheet" xfId="4566" xr:uid="{00000000-0005-0000-0000-0000BB080000}"/>
    <cellStyle name="_Multiple_ANDAs summary sheet 2" xfId="4567" xr:uid="{00000000-0005-0000-0000-0000BC080000}"/>
    <cellStyle name="_Multiple_ANDRX DDT" xfId="4568" xr:uid="{00000000-0005-0000-0000-0000BD080000}"/>
    <cellStyle name="_Multiple_ANDRX DDT 2" xfId="4569" xr:uid="{00000000-0005-0000-0000-0000BE080000}"/>
    <cellStyle name="_Multiple_AutoPrice2000" xfId="4570" xr:uid="{00000000-0005-0000-0000-0000BF080000}"/>
    <cellStyle name="_Multiple_Balance Sheet" xfId="2775" xr:uid="{00000000-0005-0000-0000-0000C0080000}"/>
    <cellStyle name="_Multiple_Balance Sheet 2" xfId="4571" xr:uid="{00000000-0005-0000-0000-0000C1080000}"/>
    <cellStyle name="_Multiple_Balance Sheet_Origination Market Share-Qtr" xfId="4572" xr:uid="{00000000-0005-0000-0000-0000C2080000}"/>
    <cellStyle name="_Multiple_Balance Sheet_Origination Market Share-Qtr 2" xfId="4573" xr:uid="{00000000-0005-0000-0000-0000C3080000}"/>
    <cellStyle name="_Multiple_BHI" xfId="632" xr:uid="{00000000-0005-0000-0000-0000C4080000}"/>
    <cellStyle name="_Multiple_BHI 2" xfId="633" xr:uid="{00000000-0005-0000-0000-0000C5080000}"/>
    <cellStyle name="_Multiple_BHI 3" xfId="634" xr:uid="{00000000-0005-0000-0000-0000C6080000}"/>
    <cellStyle name="_Multiple_BHI_AG" xfId="635" xr:uid="{00000000-0005-0000-0000-0000C7080000}"/>
    <cellStyle name="_Multiple_BHI_CNH" xfId="636" xr:uid="{00000000-0005-0000-0000-0000C8080000}"/>
    <cellStyle name="_Multiple_BHI_CNH 2" xfId="4574" xr:uid="{00000000-0005-0000-0000-0000C9080000}"/>
    <cellStyle name="_Multiple_BHI_DOV" xfId="637" xr:uid="{00000000-0005-0000-0000-0000CA080000}"/>
    <cellStyle name="_Multiple_BHI_DOV 2" xfId="4575" xr:uid="{00000000-0005-0000-0000-0000CB080000}"/>
    <cellStyle name="_Multiple_BHI_ETN" xfId="638" xr:uid="{00000000-0005-0000-0000-0000CC080000}"/>
    <cellStyle name="_Multiple_BHI_ETN 2" xfId="4576" xr:uid="{00000000-0005-0000-0000-0000CD080000}"/>
    <cellStyle name="_Multiple_BHI_FSS" xfId="639" xr:uid="{00000000-0005-0000-0000-0000CE080000}"/>
    <cellStyle name="_Multiple_BHI_FSS 2" xfId="4577" xr:uid="{00000000-0005-0000-0000-0000CF080000}"/>
    <cellStyle name="_Multiple_BHI_JOYG" xfId="640" xr:uid="{00000000-0005-0000-0000-0000D0080000}"/>
    <cellStyle name="_Multiple_BHI_MLM" xfId="641" xr:uid="{00000000-0005-0000-0000-0000D1080000}"/>
    <cellStyle name="_Multiple_BHI_NAV" xfId="642" xr:uid="{00000000-0005-0000-0000-0000D2080000}"/>
    <cellStyle name="_Multiple_BHI_OSK" xfId="643" xr:uid="{00000000-0005-0000-0000-0000D3080000}"/>
    <cellStyle name="_Multiple_BHI_PCAR" xfId="644" xr:uid="{00000000-0005-0000-0000-0000D4080000}"/>
    <cellStyle name="_Multiple_BHI_PH" xfId="645" xr:uid="{00000000-0005-0000-0000-0000D5080000}"/>
    <cellStyle name="_Multiple_bls roic" xfId="646" xr:uid="{00000000-0005-0000-0000-0000D6080000}"/>
    <cellStyle name="_Multiple_bls roic 2" xfId="647" xr:uid="{00000000-0005-0000-0000-0000D7080000}"/>
    <cellStyle name="_Multiple_bls roic 3" xfId="648" xr:uid="{00000000-0005-0000-0000-0000D8080000}"/>
    <cellStyle name="_Multiple_bls roic_AG" xfId="649" xr:uid="{00000000-0005-0000-0000-0000D9080000}"/>
    <cellStyle name="_Multiple_bls roic_CNH" xfId="650" xr:uid="{00000000-0005-0000-0000-0000DA080000}"/>
    <cellStyle name="_Multiple_bls roic_CNH 2" xfId="4578" xr:uid="{00000000-0005-0000-0000-0000DB080000}"/>
    <cellStyle name="_Multiple_bls roic_DOV" xfId="651" xr:uid="{00000000-0005-0000-0000-0000DC080000}"/>
    <cellStyle name="_Multiple_bls roic_DOV 2" xfId="4579" xr:uid="{00000000-0005-0000-0000-0000DD080000}"/>
    <cellStyle name="_Multiple_bls roic_ETN" xfId="652" xr:uid="{00000000-0005-0000-0000-0000DE080000}"/>
    <cellStyle name="_Multiple_bls roic_ETN 2" xfId="4580" xr:uid="{00000000-0005-0000-0000-0000DF080000}"/>
    <cellStyle name="_Multiple_bls roic_FSS" xfId="653" xr:uid="{00000000-0005-0000-0000-0000E0080000}"/>
    <cellStyle name="_Multiple_bls roic_FSS 2" xfId="4581" xr:uid="{00000000-0005-0000-0000-0000E1080000}"/>
    <cellStyle name="_Multiple_bls roic_JOYG" xfId="654" xr:uid="{00000000-0005-0000-0000-0000E2080000}"/>
    <cellStyle name="_Multiple_bls roic_MDO breakdown" xfId="4582" xr:uid="{00000000-0005-0000-0000-0000E3080000}"/>
    <cellStyle name="_Multiple_bls roic_MDO breakdown 2" xfId="4583" xr:uid="{00000000-0005-0000-0000-0000E4080000}"/>
    <cellStyle name="_Multiple_bls roic_MLM" xfId="655" xr:uid="{00000000-0005-0000-0000-0000E5080000}"/>
    <cellStyle name="_Multiple_bls roic_NAV" xfId="656" xr:uid="{00000000-0005-0000-0000-0000E6080000}"/>
    <cellStyle name="_Multiple_bls roic_New Version" xfId="4584" xr:uid="{00000000-0005-0000-0000-0000E7080000}"/>
    <cellStyle name="_Multiple_bls roic_New Version 2" xfId="4585" xr:uid="{00000000-0005-0000-0000-0000E8080000}"/>
    <cellStyle name="_Multiple_bls roic_OSK" xfId="657" xr:uid="{00000000-0005-0000-0000-0000E9080000}"/>
    <cellStyle name="_Multiple_bls roic_PCAR" xfId="658" xr:uid="{00000000-0005-0000-0000-0000EA080000}"/>
    <cellStyle name="_Multiple_bls roic_PH" xfId="659" xr:uid="{00000000-0005-0000-0000-0000EB080000}"/>
    <cellStyle name="_Multiple_bls roic_Sheet2" xfId="4586" xr:uid="{00000000-0005-0000-0000-0000EC080000}"/>
    <cellStyle name="_Multiple_bls roic_Sheet2 2" xfId="4587" xr:uid="{00000000-0005-0000-0000-0000ED080000}"/>
    <cellStyle name="_Multiple_Book1" xfId="2776" xr:uid="{00000000-0005-0000-0000-0000EE080000}"/>
    <cellStyle name="_Multiple_Book1 2" xfId="4588" xr:uid="{00000000-0005-0000-0000-0000EF080000}"/>
    <cellStyle name="_Multiple_Book1_Origination Market Share-Qtr" xfId="4589" xr:uid="{00000000-0005-0000-0000-0000F0080000}"/>
    <cellStyle name="_Multiple_Book1_Origination Market Share-Qtr 2" xfId="4590" xr:uid="{00000000-0005-0000-0000-0000F1080000}"/>
    <cellStyle name="_Multiple_Book29" xfId="2777" xr:uid="{00000000-0005-0000-0000-0000F2080000}"/>
    <cellStyle name="_Multiple_Book29 2" xfId="4591" xr:uid="{00000000-0005-0000-0000-0000F3080000}"/>
    <cellStyle name="_Multiple_Book29_Origination Market Share-Qtr" xfId="4592" xr:uid="{00000000-0005-0000-0000-0000F4080000}"/>
    <cellStyle name="_Multiple_Book29_Origination Market Share-Qtr 2" xfId="4593" xr:uid="{00000000-0005-0000-0000-0000F5080000}"/>
    <cellStyle name="_Multiple_Book3" xfId="660" xr:uid="{00000000-0005-0000-0000-0000F6080000}"/>
    <cellStyle name="_Multiple_Book3 2" xfId="3074" xr:uid="{00000000-0005-0000-0000-0000F7080000}"/>
    <cellStyle name="_Multiple_Book3 3" xfId="7058" xr:uid="{00000000-0005-0000-0000-0000F8080000}"/>
    <cellStyle name="_Multiple_Book3 4" xfId="7059" xr:uid="{00000000-0005-0000-0000-0000F9080000}"/>
    <cellStyle name="_Multiple_Book3_1" xfId="2778" xr:uid="{00000000-0005-0000-0000-0000FA080000}"/>
    <cellStyle name="_Multiple_Book3_1 2" xfId="4594" xr:uid="{00000000-0005-0000-0000-0000FB080000}"/>
    <cellStyle name="_Multiple_Book3_1_Origination Market Share-Qtr" xfId="4595" xr:uid="{00000000-0005-0000-0000-0000FC080000}"/>
    <cellStyle name="_Multiple_Book3_1_Origination Market Share-Qtr 2" xfId="4596" xr:uid="{00000000-0005-0000-0000-0000FD080000}"/>
    <cellStyle name="_Multiple_Book3_Adjustments" xfId="4597" xr:uid="{00000000-0005-0000-0000-0000FE080000}"/>
    <cellStyle name="_Multiple_Book3_Adjustments 2" xfId="4598" xr:uid="{00000000-0005-0000-0000-0000FF080000}"/>
    <cellStyle name="_Multiple_Book3_Origination Market Share-Qtr" xfId="4599" xr:uid="{00000000-0005-0000-0000-000000090000}"/>
    <cellStyle name="_Multiple_Book3_Origination Market Share-Qtr 2" xfId="4600" xr:uid="{00000000-0005-0000-0000-000001090000}"/>
    <cellStyle name="_Multiple_Broadcasting" xfId="661" xr:uid="{00000000-0005-0000-0000-000002090000}"/>
    <cellStyle name="_Multiple_Broadcasting 2" xfId="4601" xr:uid="{00000000-0005-0000-0000-000003090000}"/>
    <cellStyle name="_Multiple_Broadcasting_New Version" xfId="4602" xr:uid="{00000000-0005-0000-0000-000004090000}"/>
    <cellStyle name="_Multiple_Broadcasting_New Version 2" xfId="4603" xr:uid="{00000000-0005-0000-0000-000005090000}"/>
    <cellStyle name="_Multiple_Broadcasting_Sheet2" xfId="4604" xr:uid="{00000000-0005-0000-0000-000006090000}"/>
    <cellStyle name="_Multiple_Broadcasting_Sheet2 2" xfId="4605" xr:uid="{00000000-0005-0000-0000-000007090000}"/>
    <cellStyle name="_Multiple_CAPEX spend" xfId="4606" xr:uid="{00000000-0005-0000-0000-000008090000}"/>
    <cellStyle name="_Multiple_CAPEX spend 2" xfId="4607" xr:uid="{00000000-0005-0000-0000-000009090000}"/>
    <cellStyle name="_Multiple_capital expenditures 6-18-02" xfId="662" xr:uid="{00000000-0005-0000-0000-00000A090000}"/>
    <cellStyle name="_Multiple_capital expenditures 6-18-02 2" xfId="663" xr:uid="{00000000-0005-0000-0000-00000B090000}"/>
    <cellStyle name="_Multiple_capital expenditures 6-18-02 3" xfId="664" xr:uid="{00000000-0005-0000-0000-00000C090000}"/>
    <cellStyle name="_Multiple_capital expenditures 6-18-02_AG" xfId="665" xr:uid="{00000000-0005-0000-0000-00000D090000}"/>
    <cellStyle name="_Multiple_capital expenditures 6-18-02_CNH" xfId="666" xr:uid="{00000000-0005-0000-0000-00000E090000}"/>
    <cellStyle name="_Multiple_capital expenditures 6-18-02_CNH 2" xfId="4608" xr:uid="{00000000-0005-0000-0000-00000F090000}"/>
    <cellStyle name="_Multiple_capital expenditures 6-18-02_DOV" xfId="667" xr:uid="{00000000-0005-0000-0000-000010090000}"/>
    <cellStyle name="_Multiple_capital expenditures 6-18-02_DOV 2" xfId="4609" xr:uid="{00000000-0005-0000-0000-000011090000}"/>
    <cellStyle name="_Multiple_capital expenditures 6-18-02_ETN" xfId="668" xr:uid="{00000000-0005-0000-0000-000012090000}"/>
    <cellStyle name="_Multiple_capital expenditures 6-18-02_ETN 2" xfId="4610" xr:uid="{00000000-0005-0000-0000-000013090000}"/>
    <cellStyle name="_Multiple_capital expenditures 6-18-02_FSS" xfId="669" xr:uid="{00000000-0005-0000-0000-000014090000}"/>
    <cellStyle name="_Multiple_capital expenditures 6-18-02_FSS 2" xfId="4611" xr:uid="{00000000-0005-0000-0000-000015090000}"/>
    <cellStyle name="_Multiple_capital expenditures 6-18-02_JOYG" xfId="670" xr:uid="{00000000-0005-0000-0000-000016090000}"/>
    <cellStyle name="_Multiple_capital expenditures 6-18-02_MDO breakdown" xfId="4612" xr:uid="{00000000-0005-0000-0000-000017090000}"/>
    <cellStyle name="_Multiple_capital expenditures 6-18-02_MDO breakdown 2" xfId="4613" xr:uid="{00000000-0005-0000-0000-000018090000}"/>
    <cellStyle name="_Multiple_capital expenditures 6-18-02_MLM" xfId="671" xr:uid="{00000000-0005-0000-0000-000019090000}"/>
    <cellStyle name="_Multiple_capital expenditures 6-18-02_NAV" xfId="672" xr:uid="{00000000-0005-0000-0000-00001A090000}"/>
    <cellStyle name="_Multiple_capital expenditures 6-18-02_New Version" xfId="4614" xr:uid="{00000000-0005-0000-0000-00001B090000}"/>
    <cellStyle name="_Multiple_capital expenditures 6-18-02_New Version 2" xfId="4615" xr:uid="{00000000-0005-0000-0000-00001C090000}"/>
    <cellStyle name="_Multiple_capital expenditures 6-18-02_OSK" xfId="673" xr:uid="{00000000-0005-0000-0000-00001D090000}"/>
    <cellStyle name="_Multiple_capital expenditures 6-18-02_PCAR" xfId="674" xr:uid="{00000000-0005-0000-0000-00001E090000}"/>
    <cellStyle name="_Multiple_capital expenditures 6-18-02_PH" xfId="675" xr:uid="{00000000-0005-0000-0000-00001F090000}"/>
    <cellStyle name="_Multiple_capital expenditures 6-18-02_Sheet2" xfId="4616" xr:uid="{00000000-0005-0000-0000-000020090000}"/>
    <cellStyle name="_Multiple_capital expenditures 6-18-02_Sheet2 2" xfId="4617" xr:uid="{00000000-0005-0000-0000-000021090000}"/>
    <cellStyle name="_Multiple_CMX" xfId="4618" xr:uid="{00000000-0005-0000-0000-000022090000}"/>
    <cellStyle name="_Multiple_CMX 2" xfId="4619" xr:uid="{00000000-0005-0000-0000-000023090000}"/>
    <cellStyle name="_Multiple_CNH" xfId="676" xr:uid="{00000000-0005-0000-0000-000024090000}"/>
    <cellStyle name="_Multiple_CNH 2" xfId="4620" xr:uid="{00000000-0005-0000-0000-000025090000}"/>
    <cellStyle name="_Multiple_CNO" xfId="2779" xr:uid="{00000000-0005-0000-0000-000026090000}"/>
    <cellStyle name="_Multiple_CNO 2" xfId="4621" xr:uid="{00000000-0005-0000-0000-000027090000}"/>
    <cellStyle name="_Multiple_CNO_Origination Market Share-Qtr" xfId="4622" xr:uid="{00000000-0005-0000-0000-000028090000}"/>
    <cellStyle name="_Multiple_CNO_Origination Market Share-Qtr 2" xfId="4623" xr:uid="{00000000-0005-0000-0000-000029090000}"/>
    <cellStyle name="_Multiple_Commtech" xfId="677" xr:uid="{00000000-0005-0000-0000-00002A090000}"/>
    <cellStyle name="_Multiple_Commtech 2" xfId="4624" xr:uid="{00000000-0005-0000-0000-00002B090000}"/>
    <cellStyle name="_Multiple_Commtech_New Version" xfId="4625" xr:uid="{00000000-0005-0000-0000-00002C090000}"/>
    <cellStyle name="_Multiple_Commtech_New Version 2" xfId="4626" xr:uid="{00000000-0005-0000-0000-00002D090000}"/>
    <cellStyle name="_Multiple_Commtech_Sheet2" xfId="4627" xr:uid="{00000000-0005-0000-0000-00002E090000}"/>
    <cellStyle name="_Multiple_Commtech_Sheet2 2" xfId="4628" xr:uid="{00000000-0005-0000-0000-00002F090000}"/>
    <cellStyle name="_Multiple_Competitors" xfId="4629" xr:uid="{00000000-0005-0000-0000-000030090000}"/>
    <cellStyle name="_Multiple_Competitors 2" xfId="4630" xr:uid="{00000000-0005-0000-0000-000031090000}"/>
    <cellStyle name="_Multiple_Consolidation" xfId="4631" xr:uid="{00000000-0005-0000-0000-000032090000}"/>
    <cellStyle name="_Multiple_Consolidation 2" xfId="4632" xr:uid="{00000000-0005-0000-0000-000033090000}"/>
    <cellStyle name="_Multiple_CRO 3Q group metrics 12-22-03 for reports" xfId="678" xr:uid="{00000000-0005-0000-0000-000034090000}"/>
    <cellStyle name="_Multiple_CRO 3Q group metrics 12-22-03 for reports 2" xfId="4633" xr:uid="{00000000-0005-0000-0000-000035090000}"/>
    <cellStyle name="_Multiple_CRO 3Q group metrics 12-22-03 for reports_New Version" xfId="4634" xr:uid="{00000000-0005-0000-0000-000036090000}"/>
    <cellStyle name="_Multiple_CRO 3Q group metrics 12-22-03 for reports_New Version 2" xfId="4635" xr:uid="{00000000-0005-0000-0000-000037090000}"/>
    <cellStyle name="_Multiple_CRO 3Q group metrics 12-22-03 for reports_Sheet2" xfId="4636" xr:uid="{00000000-0005-0000-0000-000038090000}"/>
    <cellStyle name="_Multiple_CRO 3Q group metrics 12-22-03 for reports_Sheet2 2" xfId="4637" xr:uid="{00000000-0005-0000-0000-000039090000}"/>
    <cellStyle name="_Multiple_CRO comp metrics 4Q03 2-18-04 send out" xfId="679" xr:uid="{00000000-0005-0000-0000-00003A090000}"/>
    <cellStyle name="_Multiple_CRO comp metrics 4Q03 2-18-04 send out 2" xfId="4638" xr:uid="{00000000-0005-0000-0000-00003B090000}"/>
    <cellStyle name="_Multiple_CRO comp metrics 4Q03 2-18-04 send out_New Version" xfId="4639" xr:uid="{00000000-0005-0000-0000-00003C090000}"/>
    <cellStyle name="_Multiple_CRO comp metrics 4Q03 2-18-04 send out_New Version 2" xfId="4640" xr:uid="{00000000-0005-0000-0000-00003D090000}"/>
    <cellStyle name="_Multiple_CRO comp metrics 4Q03 2-18-04 send out_Sheet2" xfId="4641" xr:uid="{00000000-0005-0000-0000-00003E090000}"/>
    <cellStyle name="_Multiple_CRO comp metrics 4Q03 2-18-04 send out_Sheet2 2" xfId="4642" xr:uid="{00000000-0005-0000-0000-00003F090000}"/>
    <cellStyle name="_Multiple_CRO Comp Sheet V.2" xfId="4643" xr:uid="{00000000-0005-0000-0000-000040090000}"/>
    <cellStyle name="_Multiple_CRO Comp Sheet V.2 2" xfId="4644" xr:uid="{00000000-0005-0000-0000-000041090000}"/>
    <cellStyle name="_Multiple_csc" xfId="680" xr:uid="{00000000-0005-0000-0000-000042090000}"/>
    <cellStyle name="_Multiple_csc 2" xfId="4645" xr:uid="{00000000-0005-0000-0000-000043090000}"/>
    <cellStyle name="_Multiple_csc_Adjustments" xfId="4646" xr:uid="{00000000-0005-0000-0000-000044090000}"/>
    <cellStyle name="_Multiple_csc_Adjustments 2" xfId="4647" xr:uid="{00000000-0005-0000-0000-000045090000}"/>
    <cellStyle name="_Multiple_csc_New Version" xfId="4648" xr:uid="{00000000-0005-0000-0000-000046090000}"/>
    <cellStyle name="_Multiple_csc_New Version 2" xfId="4649" xr:uid="{00000000-0005-0000-0000-000047090000}"/>
    <cellStyle name="_Multiple_csc_Sheet2" xfId="4650" xr:uid="{00000000-0005-0000-0000-000048090000}"/>
    <cellStyle name="_Multiple_csc_Sheet2 2" xfId="4651" xr:uid="{00000000-0005-0000-0000-000049090000}"/>
    <cellStyle name="_Multiple_CSCO_MOD" xfId="4652" xr:uid="{00000000-0005-0000-0000-00004A090000}"/>
    <cellStyle name="_Multiple_CSCO_MOD 2" xfId="4653" xr:uid="{00000000-0005-0000-0000-00004B090000}"/>
    <cellStyle name="_Multiple_CSCOMOD" xfId="4654" xr:uid="{00000000-0005-0000-0000-00004C090000}"/>
    <cellStyle name="_Multiple_CSCOMOD 2" xfId="4655" xr:uid="{00000000-0005-0000-0000-00004D090000}"/>
    <cellStyle name="_Multiple_CVD" xfId="4656" xr:uid="{00000000-0005-0000-0000-00004E090000}"/>
    <cellStyle name="_Multiple_CVD 2" xfId="4657" xr:uid="{00000000-0005-0000-0000-00004F090000}"/>
    <cellStyle name="_Multiple_Data" xfId="681" xr:uid="{00000000-0005-0000-0000-000050090000}"/>
    <cellStyle name="_Multiple_Data 2" xfId="4658" xr:uid="{00000000-0005-0000-0000-000051090000}"/>
    <cellStyle name="_Multiple_Data_New Version" xfId="4659" xr:uid="{00000000-0005-0000-0000-000052090000}"/>
    <cellStyle name="_Multiple_Data_New Version 2" xfId="4660" xr:uid="{00000000-0005-0000-0000-000053090000}"/>
    <cellStyle name="_Multiple_Data_Sheet2" xfId="4661" xr:uid="{00000000-0005-0000-0000-000054090000}"/>
    <cellStyle name="_Multiple_Data_Sheet2 2" xfId="4662" xr:uid="{00000000-0005-0000-0000-000055090000}"/>
    <cellStyle name="_Multiple_DCF Alexander Forbes" xfId="2780" xr:uid="{00000000-0005-0000-0000-000056090000}"/>
    <cellStyle name="_Multiple_DCF Alexander Forbes 2" xfId="4663" xr:uid="{00000000-0005-0000-0000-000057090000}"/>
    <cellStyle name="_Multiple_DCF Alexander Forbes_Origination Market Share-Qtr" xfId="4664" xr:uid="{00000000-0005-0000-0000-000058090000}"/>
    <cellStyle name="_Multiple_DCF Alexander Forbes_Origination Market Share-Qtr 2" xfId="4665" xr:uid="{00000000-0005-0000-0000-000059090000}"/>
    <cellStyle name="_Multiple_dcf_1" xfId="682" xr:uid="{00000000-0005-0000-0000-00005A090000}"/>
    <cellStyle name="_Multiple_dcf_1 2" xfId="4666" xr:uid="{00000000-0005-0000-0000-00005B090000}"/>
    <cellStyle name="_Multiple_Debt schedule" xfId="4667" xr:uid="{00000000-0005-0000-0000-00005C090000}"/>
    <cellStyle name="_Multiple_Debt schedule 2" xfId="4668" xr:uid="{00000000-0005-0000-0000-00005D090000}"/>
    <cellStyle name="_Multiple_document(1)" xfId="4669" xr:uid="{00000000-0005-0000-0000-00005E090000}"/>
    <cellStyle name="_Multiple_document(1) 2" xfId="4670" xr:uid="{00000000-0005-0000-0000-00005F090000}"/>
    <cellStyle name="_Multiple_DOV" xfId="683" xr:uid="{00000000-0005-0000-0000-000060090000}"/>
    <cellStyle name="_Multiple_DOV 2" xfId="4671" xr:uid="{00000000-0005-0000-0000-000061090000}"/>
    <cellStyle name="_Multiple_DRTE" xfId="4672" xr:uid="{00000000-0005-0000-0000-000062090000}"/>
    <cellStyle name="_Multiple_DRTE 2" xfId="4673" xr:uid="{00000000-0005-0000-0000-000063090000}"/>
    <cellStyle name="_Multiple_DSO" xfId="4674" xr:uid="{00000000-0005-0000-0000-000064090000}"/>
    <cellStyle name="_Multiple_DSO 2" xfId="4675" xr:uid="{00000000-0005-0000-0000-000065090000}"/>
    <cellStyle name="_Multiple_DUK" xfId="684" xr:uid="{00000000-0005-0000-0000-000066090000}"/>
    <cellStyle name="_Multiple_DUK 2" xfId="4676" xr:uid="{00000000-0005-0000-0000-000067090000}"/>
    <cellStyle name="_Multiple_ED 2005.08.01" xfId="685" xr:uid="{00000000-0005-0000-0000-000068090000}"/>
    <cellStyle name="_Multiple_ED 2005.08.01 2" xfId="4677" xr:uid="{00000000-0005-0000-0000-000069090000}"/>
    <cellStyle name="_Multiple_EEEE" xfId="4678" xr:uid="{00000000-0005-0000-0000-00006A090000}"/>
    <cellStyle name="_Multiple_EEEE 2" xfId="4679" xr:uid="{00000000-0005-0000-0000-00006B090000}"/>
    <cellStyle name="_Multiple_EPS revision" xfId="4680" xr:uid="{00000000-0005-0000-0000-00006C090000}"/>
    <cellStyle name="_Multiple_EPS revision 2" xfId="4681" xr:uid="{00000000-0005-0000-0000-00006D090000}"/>
    <cellStyle name="_Multiple_EPS sensitivity" xfId="4682" xr:uid="{00000000-0005-0000-0000-00006E090000}"/>
    <cellStyle name="_Multiple_EPS sensitivity 2" xfId="4683" xr:uid="{00000000-0005-0000-0000-00006F090000}"/>
    <cellStyle name="_Multiple_ESRX" xfId="4684" xr:uid="{00000000-0005-0000-0000-000070090000}"/>
    <cellStyle name="_Multiple_ESRX 2" xfId="4685" xr:uid="{00000000-0005-0000-0000-000071090000}"/>
    <cellStyle name="_Multiple_ETN" xfId="686" xr:uid="{00000000-0005-0000-0000-000072090000}"/>
    <cellStyle name="_Multiple_ETN 2" xfId="4686" xr:uid="{00000000-0005-0000-0000-000073090000}"/>
    <cellStyle name="_Multiple_EZJ vs go" xfId="4687" xr:uid="{00000000-0005-0000-0000-000074090000}"/>
    <cellStyle name="_Multiple_FBANDAs" xfId="4688" xr:uid="{00000000-0005-0000-0000-000075090000}"/>
    <cellStyle name="_Multiple_FBANDAs 2" xfId="4689" xr:uid="{00000000-0005-0000-0000-000076090000}"/>
    <cellStyle name="_Multiple_Ferrlecit" xfId="4690" xr:uid="{00000000-0005-0000-0000-000077090000}"/>
    <cellStyle name="_Multiple_Ferrlecit 2" xfId="4691" xr:uid="{00000000-0005-0000-0000-000078090000}"/>
    <cellStyle name="_Multiple_Financial Performance Benchmarking and Valuation(2)" xfId="4692" xr:uid="{00000000-0005-0000-0000-000079090000}"/>
    <cellStyle name="_Multiple_fmbi counties" xfId="2781" xr:uid="{00000000-0005-0000-0000-00007A090000}"/>
    <cellStyle name="_Multiple_fmbi counties_Origination Market Share-Qtr" xfId="4693" xr:uid="{00000000-0005-0000-0000-00007B090000}"/>
    <cellStyle name="_Multiple_FMBI MBHI Graphs" xfId="2782" xr:uid="{00000000-0005-0000-0000-00007C090000}"/>
    <cellStyle name="_Multiple_FMBI MBHI Graphs 07102001" xfId="2783" xr:uid="{00000000-0005-0000-0000-00007D090000}"/>
    <cellStyle name="_Multiple_FMBI MBHI Graphs 07102001 2" xfId="4694" xr:uid="{00000000-0005-0000-0000-00007E090000}"/>
    <cellStyle name="_Multiple_FMBI MBHI Graphs 07102001_Origination Market Share-Qtr" xfId="4695" xr:uid="{00000000-0005-0000-0000-00007F090000}"/>
    <cellStyle name="_Multiple_FMBI MBHI Graphs 07102001_Origination Market Share-Qtr 2" xfId="4696" xr:uid="{00000000-0005-0000-0000-000080090000}"/>
    <cellStyle name="_Multiple_FMBI MBHI Graphs 2" xfId="4697" xr:uid="{00000000-0005-0000-0000-000081090000}"/>
    <cellStyle name="_Multiple_FMBI MBHI Graphs_7601" xfId="2784" xr:uid="{00000000-0005-0000-0000-000082090000}"/>
    <cellStyle name="_Multiple_FMBI MBHI Graphs_7601 2" xfId="4698" xr:uid="{00000000-0005-0000-0000-000083090000}"/>
    <cellStyle name="_Multiple_FMBI MBHI Graphs_7601_Origination Market Share-Qtr" xfId="4699" xr:uid="{00000000-0005-0000-0000-000084090000}"/>
    <cellStyle name="_Multiple_FMBI MBHI Graphs_7601_Origination Market Share-Qtr 2" xfId="4700" xr:uid="{00000000-0005-0000-0000-000085090000}"/>
    <cellStyle name="_Multiple_FMBI MBHI Graphs_Origination Market Share-Qtr" xfId="4701" xr:uid="{00000000-0005-0000-0000-000086090000}"/>
    <cellStyle name="_Multiple_FMBI MBHI Graphs_Origination Market Share-Qtr 2" xfId="4702" xr:uid="{00000000-0005-0000-0000-000087090000}"/>
    <cellStyle name="_Multiple_For charts" xfId="4703" xr:uid="{00000000-0005-0000-0000-000088090000}"/>
    <cellStyle name="_Multiple_For charts 2" xfId="4704" xr:uid="{00000000-0005-0000-0000-000089090000}"/>
    <cellStyle name="_Multiple_Foreclosures_data_Realty Trac Break up" xfId="4705" xr:uid="{00000000-0005-0000-0000-00008A090000}"/>
    <cellStyle name="_Multiple_Foreclosures_data_Realty Trac Break up 2" xfId="4706" xr:uid="{00000000-0005-0000-0000-00008B090000}"/>
    <cellStyle name="_Multiple_FSS" xfId="687" xr:uid="{00000000-0005-0000-0000-00008C090000}"/>
    <cellStyle name="_Multiple_FSS 2" xfId="4707" xr:uid="{00000000-0005-0000-0000-00008D090000}"/>
    <cellStyle name="_Multiple_GCI" xfId="4708" xr:uid="{00000000-0005-0000-0000-00008E090000}"/>
    <cellStyle name="_Multiple_GCI 2" xfId="4709" xr:uid="{00000000-0005-0000-0000-00008F090000}"/>
    <cellStyle name="_Multiple_Gen pipe" xfId="4710" xr:uid="{00000000-0005-0000-0000-000090090000}"/>
    <cellStyle name="_Multiple_Gen pipe 2" xfId="4711" xr:uid="{00000000-0005-0000-0000-000091090000}"/>
    <cellStyle name="_Multiple_Global Autos Database 2005" xfId="4712" xr:uid="{00000000-0005-0000-0000-000092090000}"/>
    <cellStyle name="_Multiple_Global ROIC 2007" xfId="4713" xr:uid="{00000000-0005-0000-0000-000093090000}"/>
    <cellStyle name="_Multiple_GLWMOD" xfId="4714" xr:uid="{00000000-0005-0000-0000-000094090000}"/>
    <cellStyle name="_Multiple_GLWMOD 2" xfId="4715" xr:uid="{00000000-0005-0000-0000-000095090000}"/>
    <cellStyle name="_Multiple_GNW" xfId="2785" xr:uid="{00000000-0005-0000-0000-000096090000}"/>
    <cellStyle name="_Multiple_GNW 2" xfId="4716" xr:uid="{00000000-0005-0000-0000-000097090000}"/>
    <cellStyle name="_Multiple_GNW_Origination Market Share-Qtr" xfId="4717" xr:uid="{00000000-0005-0000-0000-000098090000}"/>
    <cellStyle name="_Multiple_GNW_Origination Market Share-Qtr 2" xfId="4718" xr:uid="{00000000-0005-0000-0000-000099090000}"/>
    <cellStyle name="_Multiple_Gross Margin" xfId="4719" xr:uid="{00000000-0005-0000-0000-00009A090000}"/>
    <cellStyle name="_Multiple_Gross Margin 2" xfId="4720" xr:uid="{00000000-0005-0000-0000-00009B090000}"/>
    <cellStyle name="_Multiple_GS_McFadden_CMX_9-27" xfId="4721" xr:uid="{00000000-0005-0000-0000-00009C090000}"/>
    <cellStyle name="_Multiple_GS_McFadden_CMX_9-27 2" xfId="4722" xr:uid="{00000000-0005-0000-0000-00009D090000}"/>
    <cellStyle name="_Multiple_GS_McFadden_CRL_4-1-05 RS" xfId="4723" xr:uid="{00000000-0005-0000-0000-00009E090000}"/>
    <cellStyle name="_Multiple_GS_McFadden_CRL_4-1-05 RS 2" xfId="4724" xr:uid="{00000000-0005-0000-0000-00009F090000}"/>
    <cellStyle name="_Multiple_GS_McFadden_CVD_9-27" xfId="4725" xr:uid="{00000000-0005-0000-0000-0000A0090000}"/>
    <cellStyle name="_Multiple_GS_McFadden_CVD_9-27 2" xfId="4726" xr:uid="{00000000-0005-0000-0000-0000A1090000}"/>
    <cellStyle name="_Multiple_GS_McFadden_DRTE_9-27" xfId="4727" xr:uid="{00000000-0005-0000-0000-0000A2090000}"/>
    <cellStyle name="_Multiple_GS_McFadden_DRTE_9-27 2" xfId="4728" xr:uid="{00000000-0005-0000-0000-0000A3090000}"/>
    <cellStyle name="_Multiple_GS_McFadden_ESRX_9-27" xfId="4729" xr:uid="{00000000-0005-0000-0000-0000A4090000}"/>
    <cellStyle name="_Multiple_GS_McFadden_ESRX_9-27 2" xfId="4730" xr:uid="{00000000-0005-0000-0000-0000A5090000}"/>
    <cellStyle name="_Multiple_GS_McFadden_HLTH_9-27" xfId="4731" xr:uid="{00000000-0005-0000-0000-0000A6090000}"/>
    <cellStyle name="_Multiple_GS_McFadden_HLTH_9-27 2" xfId="4732" xr:uid="{00000000-0005-0000-0000-0000A7090000}"/>
    <cellStyle name="_Multiple_GS_McFadden_HSIC" xfId="4733" xr:uid="{00000000-0005-0000-0000-0000A8090000}"/>
    <cellStyle name="_Multiple_GS_McFadden_HSIC 2" xfId="4734" xr:uid="{00000000-0005-0000-0000-0000A9090000}"/>
    <cellStyle name="_Multiple_GS_McFadden_ICLR_9-28" xfId="4735" xr:uid="{00000000-0005-0000-0000-0000AA090000}"/>
    <cellStyle name="_Multiple_GS_McFadden_ICLR_9-28 2" xfId="4736" xr:uid="{00000000-0005-0000-0000-0000AB090000}"/>
    <cellStyle name="_Multiple_GS_McFadden_MCK" xfId="4737" xr:uid="{00000000-0005-0000-0000-0000AC090000}"/>
    <cellStyle name="_Multiple_GS_McFadden_MCK 2" xfId="4738" xr:uid="{00000000-0005-0000-0000-0000AD090000}"/>
    <cellStyle name="_Multiple_GS_McFadden_MHS_9-27" xfId="4739" xr:uid="{00000000-0005-0000-0000-0000AE090000}"/>
    <cellStyle name="_Multiple_GS_McFadden_MHS_9-27 2" xfId="4740" xr:uid="{00000000-0005-0000-0000-0000AF090000}"/>
    <cellStyle name="_Multiple_GS_McFadden_NDC_9-28-04" xfId="4741" xr:uid="{00000000-0005-0000-0000-0000B0090000}"/>
    <cellStyle name="_Multiple_GS_McFadden_NDC_9-28-04 2" xfId="4742" xr:uid="{00000000-0005-0000-0000-0000B1090000}"/>
    <cellStyle name="_Multiple_GS_McFadden_PHCC_9-27" xfId="4743" xr:uid="{00000000-0005-0000-0000-0000B2090000}"/>
    <cellStyle name="_Multiple_GS_McFadden_PHCC_9-27 2" xfId="4744" xr:uid="{00000000-0005-0000-0000-0000B3090000}"/>
    <cellStyle name="_Multiple_GS_Mcfadden_PPDI_9-27" xfId="4745" xr:uid="{00000000-0005-0000-0000-0000B4090000}"/>
    <cellStyle name="_Multiple_GS_Mcfadden_PPDI_9-27 2" xfId="4746" xr:uid="{00000000-0005-0000-0000-0000B5090000}"/>
    <cellStyle name="_Multiple_GS_McFadden_PRXL-9-27" xfId="4747" xr:uid="{00000000-0005-0000-0000-0000B6090000}"/>
    <cellStyle name="_Multiple_GS_McFadden_PRXL-9-27 2" xfId="4748" xr:uid="{00000000-0005-0000-0000-0000B7090000}"/>
    <cellStyle name="_Multiple_GS_McFadden_PSSI_9-27" xfId="4749" xr:uid="{00000000-0005-0000-0000-0000B8090000}"/>
    <cellStyle name="_Multiple_GS_McFadden_PSSI_9-27 2" xfId="4750" xr:uid="{00000000-0005-0000-0000-0000B9090000}"/>
    <cellStyle name="_Multiple_GS_MDZ_ MASTER model 4-01-05 RS" xfId="4751" xr:uid="{00000000-0005-0000-0000-0000BA090000}"/>
    <cellStyle name="_Multiple_GS_MDZ_ MASTER model 4-01-05 RS 2" xfId="4752" xr:uid="{00000000-0005-0000-0000-0000BB090000}"/>
    <cellStyle name="_Multiple_gs_scur_internal " xfId="688" xr:uid="{00000000-0005-0000-0000-0000BC090000}"/>
    <cellStyle name="_Multiple_gs_scur_internal  2" xfId="689" xr:uid="{00000000-0005-0000-0000-0000BD090000}"/>
    <cellStyle name="_Multiple_gs_scur_internal  3" xfId="4753" xr:uid="{00000000-0005-0000-0000-0000BE090000}"/>
    <cellStyle name="_Multiple_Henry Schein" xfId="4754" xr:uid="{00000000-0005-0000-0000-0000BF090000}"/>
    <cellStyle name="_Multiple_Henry Schein 2" xfId="4755" xr:uid="{00000000-0005-0000-0000-0000C0090000}"/>
    <cellStyle name="_Multiple_Hist Summary" xfId="690" xr:uid="{00000000-0005-0000-0000-0000C1090000}"/>
    <cellStyle name="_Multiple_Hist Summary 2" xfId="4756" xr:uid="{00000000-0005-0000-0000-0000C2090000}"/>
    <cellStyle name="_Multiple_HLTH" xfId="4757" xr:uid="{00000000-0005-0000-0000-0000C3090000}"/>
    <cellStyle name="_Multiple_HLTH 2" xfId="4758" xr:uid="{00000000-0005-0000-0000-0000C4090000}"/>
    <cellStyle name="_Multiple_Hospital Comp -10-24-05" xfId="4759" xr:uid="{00000000-0005-0000-0000-0000C5090000}"/>
    <cellStyle name="_Multiple_Hospital Comp -10-24-05 2" xfId="4760" xr:uid="{00000000-0005-0000-0000-0000C6090000}"/>
    <cellStyle name="_Multiple_HSIC" xfId="4761" xr:uid="{00000000-0005-0000-0000-0000C7090000}"/>
    <cellStyle name="_Multiple_HSIC 2" xfId="4762" xr:uid="{00000000-0005-0000-0000-0000C8090000}"/>
    <cellStyle name="_Multiple_Indian companies" xfId="4763" xr:uid="{00000000-0005-0000-0000-0000C9090000}"/>
    <cellStyle name="_Multiple_Indian companies 2" xfId="4764" xr:uid="{00000000-0005-0000-0000-0000CA090000}"/>
    <cellStyle name="_Multiple_Insurance Brokerage CSC_1Q2002" xfId="2786" xr:uid="{00000000-0005-0000-0000-0000CB090000}"/>
    <cellStyle name="_Multiple_Insurance Brokerage CSC_1Q2002 2" xfId="4765" xr:uid="{00000000-0005-0000-0000-0000CC090000}"/>
    <cellStyle name="_Multiple_Insurance Brokerage CSC_1Q2002_Origination Market Share-Qtr" xfId="4766" xr:uid="{00000000-0005-0000-0000-0000CD090000}"/>
    <cellStyle name="_Multiple_Insurance Brokerage CSC_1Q2002_Origination Market Share-Qtr 2" xfId="4767" xr:uid="{00000000-0005-0000-0000-0000CE090000}"/>
    <cellStyle name="_Multiple_integrated_standalone_ba" xfId="4768" xr:uid="{00000000-0005-0000-0000-0000CF090000}"/>
    <cellStyle name="_Multiple_JDSUMOD" xfId="4769" xr:uid="{00000000-0005-0000-0000-0000D0090000}"/>
    <cellStyle name="_Multiple_JDSUMOD 2" xfId="4770" xr:uid="{00000000-0005-0000-0000-0000D1090000}"/>
    <cellStyle name="_Multiple_JOYG" xfId="691" xr:uid="{00000000-0005-0000-0000-0000D2090000}"/>
    <cellStyle name="_Multiple_JP" xfId="2787" xr:uid="{00000000-0005-0000-0000-0000D3090000}"/>
    <cellStyle name="_Multiple_JP 2" xfId="4771" xr:uid="{00000000-0005-0000-0000-0000D4090000}"/>
    <cellStyle name="_Multiple_JP_Origination Market Share-Qtr" xfId="4772" xr:uid="{00000000-0005-0000-0000-0000D5090000}"/>
    <cellStyle name="_Multiple_JP_Origination Market Share-Qtr 2" xfId="4773" xr:uid="{00000000-0005-0000-0000-0000D6090000}"/>
    <cellStyle name="_Multiple_Kent" xfId="692" xr:uid="{00000000-0005-0000-0000-0000D7090000}"/>
    <cellStyle name="_Multiple_Kent 2" xfId="4774" xr:uid="{00000000-0005-0000-0000-0000D8090000}"/>
    <cellStyle name="_Multiple_Kent_New Version" xfId="4775" xr:uid="{00000000-0005-0000-0000-0000D9090000}"/>
    <cellStyle name="_Multiple_Kent_New Version 2" xfId="4776" xr:uid="{00000000-0005-0000-0000-0000DA090000}"/>
    <cellStyle name="_Multiple_Kent_Sheet2" xfId="4777" xr:uid="{00000000-0005-0000-0000-0000DB090000}"/>
    <cellStyle name="_Multiple_Kent_Sheet2 2" xfId="4778" xr:uid="{00000000-0005-0000-0000-0000DC090000}"/>
    <cellStyle name="_Multiple_Key poduct model" xfId="4779" xr:uid="{00000000-0005-0000-0000-0000DD090000}"/>
    <cellStyle name="_Multiple_Key poduct model 2" xfId="4780" xr:uid="{00000000-0005-0000-0000-0000DE090000}"/>
    <cellStyle name="_Multiple_LNC" xfId="2788" xr:uid="{00000000-0005-0000-0000-0000DF090000}"/>
    <cellStyle name="_Multiple_LNC 2" xfId="4781" xr:uid="{00000000-0005-0000-0000-0000E0090000}"/>
    <cellStyle name="_Multiple_LNC_Origination Market Share-Qtr" xfId="4782" xr:uid="{00000000-0005-0000-0000-0000E1090000}"/>
    <cellStyle name="_Multiple_LNC_Origination Market Share-Qtr 2" xfId="4783" xr:uid="{00000000-0005-0000-0000-0000E2090000}"/>
    <cellStyle name="_Multiple_Loestrin 24" xfId="4784" xr:uid="{00000000-0005-0000-0000-0000E3090000}"/>
    <cellStyle name="_Multiple_Loestrin 24 2" xfId="4785" xr:uid="{00000000-0005-0000-0000-0000E4090000}"/>
    <cellStyle name="_Multiple_Machinery group valuation" xfId="693" xr:uid="{00000000-0005-0000-0000-0000E5090000}"/>
    <cellStyle name="_Multiple_Machinery group valuation 2" xfId="4786" xr:uid="{00000000-0005-0000-0000-0000E6090000}"/>
    <cellStyle name="_Multiple_major holders 5-04" xfId="4787" xr:uid="{00000000-0005-0000-0000-0000E7090000}"/>
    <cellStyle name="_Multiple_major holders 5-04 2" xfId="4788" xr:uid="{00000000-0005-0000-0000-0000E8090000}"/>
    <cellStyle name="_Multiple_MCK" xfId="4789" xr:uid="{00000000-0005-0000-0000-0000E9090000}"/>
    <cellStyle name="_Multiple_MCK 2" xfId="4790" xr:uid="{00000000-0005-0000-0000-0000EA090000}"/>
    <cellStyle name="_Multiple_MDO breakdown" xfId="4791" xr:uid="{00000000-0005-0000-0000-0000EB090000}"/>
    <cellStyle name="_Multiple_MDO breakdown 2" xfId="4792" xr:uid="{00000000-0005-0000-0000-0000EC090000}"/>
    <cellStyle name="_Multiple_MDS" xfId="4793" xr:uid="{00000000-0005-0000-0000-0000ED090000}"/>
    <cellStyle name="_Multiple_MDS 2" xfId="4794" xr:uid="{00000000-0005-0000-0000-0000EE090000}"/>
    <cellStyle name="_Multiple_Megace channel data" xfId="4795" xr:uid="{00000000-0005-0000-0000-0000EF090000}"/>
    <cellStyle name="_Multiple_Megace channel data 2" xfId="4796" xr:uid="{00000000-0005-0000-0000-0000F0090000}"/>
    <cellStyle name="_Multiple_Megace ES estimates" xfId="4797" xr:uid="{00000000-0005-0000-0000-0000F1090000}"/>
    <cellStyle name="_Multiple_Megace ES estimates 2" xfId="4798" xr:uid="{00000000-0005-0000-0000-0000F2090000}"/>
    <cellStyle name="_Multiple_Megace ES sales data" xfId="4799" xr:uid="{00000000-0005-0000-0000-0000F3090000}"/>
    <cellStyle name="_Multiple_Megace ES sales data 2" xfId="4800" xr:uid="{00000000-0005-0000-0000-0000F4090000}"/>
    <cellStyle name="_Multiple_Megace Market IMS" xfId="4801" xr:uid="{00000000-0005-0000-0000-0000F5090000}"/>
    <cellStyle name="_Multiple_Megace Market IMS 2" xfId="4802" xr:uid="{00000000-0005-0000-0000-0000F6090000}"/>
    <cellStyle name="_Multiple_Megace NRx weekly" xfId="4803" xr:uid="{00000000-0005-0000-0000-0000F7090000}"/>
    <cellStyle name="_Multiple_Megace NRx weekly 2" xfId="4804" xr:uid="{00000000-0005-0000-0000-0000F8090000}"/>
    <cellStyle name="_Multiple_Megace TRx weekly" xfId="4805" xr:uid="{00000000-0005-0000-0000-0000F9090000}"/>
    <cellStyle name="_Multiple_Megace TRx weekly 2" xfId="4806" xr:uid="{00000000-0005-0000-0000-0000FA090000}"/>
    <cellStyle name="_Multiple_MET" xfId="2789" xr:uid="{00000000-0005-0000-0000-0000FB090000}"/>
    <cellStyle name="_Multiple_MET 2" xfId="4807" xr:uid="{00000000-0005-0000-0000-0000FC090000}"/>
    <cellStyle name="_Multiple_MET_Origination Market Share-Qtr" xfId="4808" xr:uid="{00000000-0005-0000-0000-0000FD090000}"/>
    <cellStyle name="_Multiple_MET_Origination Market Share-Qtr 2" xfId="4809" xr:uid="{00000000-0005-0000-0000-0000FE090000}"/>
    <cellStyle name="_Multiple_MET04" xfId="2790" xr:uid="{00000000-0005-0000-0000-0000FF090000}"/>
    <cellStyle name="_Multiple_MET04_Origination Market Share-Qtr" xfId="4810" xr:uid="{00000000-0005-0000-0000-0000000A0000}"/>
    <cellStyle name="_Multiple_MHS" xfId="694" xr:uid="{00000000-0005-0000-0000-0000010A0000}"/>
    <cellStyle name="_Multiple_MHS 2" xfId="4811" xr:uid="{00000000-0005-0000-0000-0000020A0000}"/>
    <cellStyle name="_Multiple_MHS_New Version" xfId="4812" xr:uid="{00000000-0005-0000-0000-0000030A0000}"/>
    <cellStyle name="_Multiple_MHS_New Version 2" xfId="4813" xr:uid="{00000000-0005-0000-0000-0000040A0000}"/>
    <cellStyle name="_Multiple_MHS_Sheet2" xfId="4814" xr:uid="{00000000-0005-0000-0000-0000050A0000}"/>
    <cellStyle name="_Multiple_MHS_Sheet2 2" xfId="4815" xr:uid="{00000000-0005-0000-0000-0000060A0000}"/>
    <cellStyle name="_Multiple_MLM" xfId="695" xr:uid="{00000000-0005-0000-0000-0000070A0000}"/>
    <cellStyle name="_Multiple_MLP Val-Client-10_02_06" xfId="696" xr:uid="{00000000-0005-0000-0000-0000080A0000}"/>
    <cellStyle name="_Multiple_MLP Val-Client-10_02_06 2" xfId="4816" xr:uid="{00000000-0005-0000-0000-0000090A0000}"/>
    <cellStyle name="_Multiple_MNST" xfId="4817" xr:uid="{00000000-0005-0000-0000-00000A0A0000}"/>
    <cellStyle name="_Multiple_MNST 2" xfId="4818" xr:uid="{00000000-0005-0000-0000-00000B0A0000}"/>
    <cellStyle name="_Multiple_MOTMOD" xfId="4819" xr:uid="{00000000-0005-0000-0000-00000C0A0000}"/>
    <cellStyle name="_Multiple_MOTMOD 2" xfId="4820" xr:uid="{00000000-0005-0000-0000-00000D0A0000}"/>
    <cellStyle name="_Multiple_NAV" xfId="697" xr:uid="{00000000-0005-0000-0000-00000E0A0000}"/>
    <cellStyle name="_Multiple_New Version" xfId="4821" xr:uid="{00000000-0005-0000-0000-00000F0A0000}"/>
    <cellStyle name="_Multiple_New Version 2" xfId="4822" xr:uid="{00000000-0005-0000-0000-0000100A0000}"/>
    <cellStyle name="_Multiple_NFS" xfId="2791" xr:uid="{00000000-0005-0000-0000-0000110A0000}"/>
    <cellStyle name="_Multiple_NFS 2" xfId="4823" xr:uid="{00000000-0005-0000-0000-0000120A0000}"/>
    <cellStyle name="_Multiple_NFS_Origination Market Share-Qtr" xfId="4824" xr:uid="{00000000-0005-0000-0000-0000130A0000}"/>
    <cellStyle name="_Multiple_NFS_Origination Market Share-Qtr 2" xfId="4825" xr:uid="{00000000-0005-0000-0000-0000140A0000}"/>
    <cellStyle name="_Multiple_NRG 2005.07.22" xfId="698" xr:uid="{00000000-0005-0000-0000-0000150A0000}"/>
    <cellStyle name="_Multiple_NRG 2005.07.22 2" xfId="4826" xr:uid="{00000000-0005-0000-0000-0000160A0000}"/>
    <cellStyle name="_Multiple_NTMOD" xfId="4827" xr:uid="{00000000-0005-0000-0000-0000170A0000}"/>
    <cellStyle name="_Multiple_NTMOD 2" xfId="4828" xr:uid="{00000000-0005-0000-0000-0000180A0000}"/>
    <cellStyle name="_Multiple_OpMod" xfId="4829" xr:uid="{00000000-0005-0000-0000-0000190A0000}"/>
    <cellStyle name="_Multiple_Origination Market Share-Qtr" xfId="4830" xr:uid="{00000000-0005-0000-0000-00001A0A0000}"/>
    <cellStyle name="_Multiple_Origination Market Share-Qtr 2" xfId="4831" xr:uid="{00000000-0005-0000-0000-00001B0A0000}"/>
    <cellStyle name="_Multiple_Origination Market Share-Qtr_1" xfId="4832" xr:uid="{00000000-0005-0000-0000-00001C0A0000}"/>
    <cellStyle name="_Multiple_Origination Market Share-Qtr_1 2" xfId="4833" xr:uid="{00000000-0005-0000-0000-00001D0A0000}"/>
    <cellStyle name="_Multiple_OSK" xfId="699" xr:uid="{00000000-0005-0000-0000-00001E0A0000}"/>
    <cellStyle name="_Multiple_output" xfId="4834" xr:uid="{00000000-0005-0000-0000-00001F0A0000}"/>
    <cellStyle name="_Multiple_Overview3" xfId="2792" xr:uid="{00000000-0005-0000-0000-0000200A0000}"/>
    <cellStyle name="_Multiple_Overview3 2" xfId="4835" xr:uid="{00000000-0005-0000-0000-0000210A0000}"/>
    <cellStyle name="_Multiple_Overview3_Origination Market Share-Qtr" xfId="4836" xr:uid="{00000000-0005-0000-0000-0000220A0000}"/>
    <cellStyle name="_Multiple_Overview3_Origination Market Share-Qtr 2" xfId="4837" xr:uid="{00000000-0005-0000-0000-0000230A0000}"/>
    <cellStyle name="_Multiple_PCAR" xfId="700" xr:uid="{00000000-0005-0000-0000-0000240A0000}"/>
    <cellStyle name="_Multiple_PH" xfId="701" xr:uid="{00000000-0005-0000-0000-0000250A0000}"/>
    <cellStyle name="_Multiple_PHCC" xfId="4838" xr:uid="{00000000-0005-0000-0000-0000260A0000}"/>
    <cellStyle name="_Multiple_PHCC 2" xfId="4839" xr:uid="{00000000-0005-0000-0000-0000270A0000}"/>
    <cellStyle name="_Multiple_phil data" xfId="2793" xr:uid="{00000000-0005-0000-0000-0000280A0000}"/>
    <cellStyle name="_Multiple_phil data 2" xfId="4840" xr:uid="{00000000-0005-0000-0000-0000290A0000}"/>
    <cellStyle name="_Multiple_phil data_Origination Market Share-Qtr" xfId="4841" xr:uid="{00000000-0005-0000-0000-00002A0A0000}"/>
    <cellStyle name="_Multiple_phil data_Origination Market Share-Qtr 2" xfId="4842" xr:uid="{00000000-0005-0000-0000-00002B0A0000}"/>
    <cellStyle name="_Multiple_PRGO TEMPLATE 5-13-06" xfId="4843" xr:uid="{00000000-0005-0000-0000-00002C0A0000}"/>
    <cellStyle name="_Multiple_PRGO TEMPLATE 5-13-06 2" xfId="4844" xr:uid="{00000000-0005-0000-0000-00002D0A0000}"/>
    <cellStyle name="_Multiple_Price Performance Charts" xfId="2794" xr:uid="{00000000-0005-0000-0000-00002E0A0000}"/>
    <cellStyle name="_Multiple_Price Performance Charts_Origination Market Share-Qtr" xfId="4845" xr:uid="{00000000-0005-0000-0000-00002F0A0000}"/>
    <cellStyle name="_Multiple_PRU" xfId="2795" xr:uid="{00000000-0005-0000-0000-0000300A0000}"/>
    <cellStyle name="_Multiple_PRU_Origination Market Share-Qtr" xfId="4846" xr:uid="{00000000-0005-0000-0000-0000310A0000}"/>
    <cellStyle name="_Multiple_PRU04" xfId="2796" xr:uid="{00000000-0005-0000-0000-0000320A0000}"/>
    <cellStyle name="_Multiple_PRU04_Origination Market Share-Qtr" xfId="4847" xr:uid="{00000000-0005-0000-0000-0000330A0000}"/>
    <cellStyle name="_Multiple_PRXL" xfId="4848" xr:uid="{00000000-0005-0000-0000-0000340A0000}"/>
    <cellStyle name="_Multiple_PRXL 2" xfId="4849" xr:uid="{00000000-0005-0000-0000-0000350A0000}"/>
    <cellStyle name="_Multiple_PSSI" xfId="4850" xr:uid="{00000000-0005-0000-0000-0000360A0000}"/>
    <cellStyle name="_Multiple_PSSI 2" xfId="4851" xr:uid="{00000000-0005-0000-0000-0000370A0000}"/>
    <cellStyle name="_Multiple_QCOM_MOD" xfId="4852" xr:uid="{00000000-0005-0000-0000-0000380A0000}"/>
    <cellStyle name="_Multiple_QCOM_MOD 2" xfId="4853" xr:uid="{00000000-0005-0000-0000-0000390A0000}"/>
    <cellStyle name="_Multiple_QCOM_MOD_IN PROGRESS" xfId="4854" xr:uid="{00000000-0005-0000-0000-00003A0A0000}"/>
    <cellStyle name="_Multiple_QCOM_MOD_IN PROGRESS 2" xfId="4855" xr:uid="{00000000-0005-0000-0000-00003B0A0000}"/>
    <cellStyle name="_Multiple_QCOMMOD" xfId="4856" xr:uid="{00000000-0005-0000-0000-00003C0A0000}"/>
    <cellStyle name="_Multiple_QCOMMOD 2" xfId="4857" xr:uid="{00000000-0005-0000-0000-00003D0A0000}"/>
    <cellStyle name="_Multiple_QP_XXX" xfId="4858" xr:uid="{00000000-0005-0000-0000-00003E0A0000}"/>
    <cellStyle name="_Multiple_quarterly preview" xfId="4859" xr:uid="{00000000-0005-0000-0000-00003F0A0000}"/>
    <cellStyle name="_Multiple_quarterly preview 2" xfId="4860" xr:uid="{00000000-0005-0000-0000-0000400A0000}"/>
    <cellStyle name="_Multiple_RBOC historicals" xfId="702" xr:uid="{00000000-0005-0000-0000-0000410A0000}"/>
    <cellStyle name="_Multiple_RBOC historicals 2" xfId="703" xr:uid="{00000000-0005-0000-0000-0000420A0000}"/>
    <cellStyle name="_Multiple_RBOC historicals 3" xfId="704" xr:uid="{00000000-0005-0000-0000-0000430A0000}"/>
    <cellStyle name="_Multiple_RBOC historicals_AG" xfId="705" xr:uid="{00000000-0005-0000-0000-0000440A0000}"/>
    <cellStyle name="_Multiple_RBOC historicals_CNH" xfId="706" xr:uid="{00000000-0005-0000-0000-0000450A0000}"/>
    <cellStyle name="_Multiple_RBOC historicals_CNH 2" xfId="4861" xr:uid="{00000000-0005-0000-0000-0000460A0000}"/>
    <cellStyle name="_Multiple_RBOC historicals_DOV" xfId="707" xr:uid="{00000000-0005-0000-0000-0000470A0000}"/>
    <cellStyle name="_Multiple_RBOC historicals_DOV 2" xfId="4862" xr:uid="{00000000-0005-0000-0000-0000480A0000}"/>
    <cellStyle name="_Multiple_RBOC historicals_ETN" xfId="708" xr:uid="{00000000-0005-0000-0000-0000490A0000}"/>
    <cellStyle name="_Multiple_RBOC historicals_ETN 2" xfId="4863" xr:uid="{00000000-0005-0000-0000-00004A0A0000}"/>
    <cellStyle name="_Multiple_RBOC historicals_FSS" xfId="709" xr:uid="{00000000-0005-0000-0000-00004B0A0000}"/>
    <cellStyle name="_Multiple_RBOC historicals_FSS 2" xfId="4864" xr:uid="{00000000-0005-0000-0000-00004C0A0000}"/>
    <cellStyle name="_Multiple_RBOC historicals_JOYG" xfId="710" xr:uid="{00000000-0005-0000-0000-00004D0A0000}"/>
    <cellStyle name="_Multiple_RBOC historicals_MDO breakdown" xfId="4865" xr:uid="{00000000-0005-0000-0000-00004E0A0000}"/>
    <cellStyle name="_Multiple_RBOC historicals_MDO breakdown 2" xfId="4866" xr:uid="{00000000-0005-0000-0000-00004F0A0000}"/>
    <cellStyle name="_Multiple_RBOC historicals_MLM" xfId="711" xr:uid="{00000000-0005-0000-0000-0000500A0000}"/>
    <cellStyle name="_Multiple_RBOC historicals_NAV" xfId="712" xr:uid="{00000000-0005-0000-0000-0000510A0000}"/>
    <cellStyle name="_Multiple_RBOC historicals_New Version" xfId="4867" xr:uid="{00000000-0005-0000-0000-0000520A0000}"/>
    <cellStyle name="_Multiple_RBOC historicals_New Version 2" xfId="4868" xr:uid="{00000000-0005-0000-0000-0000530A0000}"/>
    <cellStyle name="_Multiple_RBOC historicals_OSK" xfId="713" xr:uid="{00000000-0005-0000-0000-0000540A0000}"/>
    <cellStyle name="_Multiple_RBOC historicals_PCAR" xfId="714" xr:uid="{00000000-0005-0000-0000-0000550A0000}"/>
    <cellStyle name="_Multiple_RBOC historicals_PH" xfId="715" xr:uid="{00000000-0005-0000-0000-0000560A0000}"/>
    <cellStyle name="_Multiple_RBOC historicals_Sheet2" xfId="4869" xr:uid="{00000000-0005-0000-0000-0000570A0000}"/>
    <cellStyle name="_Multiple_RBOC historicals_Sheet2 2" xfId="4870" xr:uid="{00000000-0005-0000-0000-0000580A0000}"/>
    <cellStyle name="_Multiple_Rev" xfId="4871" xr:uid="{00000000-0005-0000-0000-0000590A0000}"/>
    <cellStyle name="_Multiple_Rev 2" xfId="4872" xr:uid="{00000000-0005-0000-0000-00005A0A0000}"/>
    <cellStyle name="_Multiple_RIMMMOD" xfId="4873" xr:uid="{00000000-0005-0000-0000-00005B0A0000}"/>
    <cellStyle name="_Multiple_RIMMMOD 2" xfId="4874" xr:uid="{00000000-0005-0000-0000-00005C0A0000}"/>
    <cellStyle name="_Multiple_RiskReward" xfId="2797" xr:uid="{00000000-0005-0000-0000-00005D0A0000}"/>
    <cellStyle name="_Multiple_RiskReward 2" xfId="4875" xr:uid="{00000000-0005-0000-0000-00005E0A0000}"/>
    <cellStyle name="_Multiple_RiskReward_Origination Market Share-Qtr" xfId="4876" xr:uid="{00000000-0005-0000-0000-00005F0A0000}"/>
    <cellStyle name="_Multiple_RiskReward_Origination Market Share-Qtr 2" xfId="4877" xr:uid="{00000000-0005-0000-0000-0000600A0000}"/>
    <cellStyle name="_Multiple_ROE" xfId="4878" xr:uid="{00000000-0005-0000-0000-0000610A0000}"/>
    <cellStyle name="_Multiple_ROE 2" xfId="4879" xr:uid="{00000000-0005-0000-0000-0000620A0000}"/>
    <cellStyle name="_Multiple_Seasonale" xfId="4880" xr:uid="{00000000-0005-0000-0000-0000630A0000}"/>
    <cellStyle name="_Multiple_Seasonale 2" xfId="4881" xr:uid="{00000000-0005-0000-0000-0000640A0000}"/>
    <cellStyle name="_Multiple_Segment breakout" xfId="4882" xr:uid="{00000000-0005-0000-0000-0000650A0000}"/>
    <cellStyle name="_Multiple_Segment breakout 2" xfId="4883" xr:uid="{00000000-0005-0000-0000-0000660A0000}"/>
    <cellStyle name="_Multiple_segment graph data" xfId="4884" xr:uid="{00000000-0005-0000-0000-0000670A0000}"/>
    <cellStyle name="_Multiple_segment graph data 2" xfId="4885" xr:uid="{00000000-0005-0000-0000-0000680A0000}"/>
    <cellStyle name="_Multiple_SFG" xfId="2798" xr:uid="{00000000-0005-0000-0000-0000690A0000}"/>
    <cellStyle name="_Multiple_SFG_Origination Market Share-Qtr" xfId="4886" xr:uid="{00000000-0005-0000-0000-00006A0A0000}"/>
    <cellStyle name="_Multiple_Sheet1" xfId="716" xr:uid="{00000000-0005-0000-0000-00006B0A0000}"/>
    <cellStyle name="_Multiple_Sheet1 2" xfId="3075" xr:uid="{00000000-0005-0000-0000-00006C0A0000}"/>
    <cellStyle name="_Multiple_Sheet1 3" xfId="7060" xr:uid="{00000000-0005-0000-0000-00006D0A0000}"/>
    <cellStyle name="_Multiple_Sheet1 4" xfId="7061" xr:uid="{00000000-0005-0000-0000-00006E0A0000}"/>
    <cellStyle name="_Multiple_Sheet1_Agis" xfId="4887" xr:uid="{00000000-0005-0000-0000-00006F0A0000}"/>
    <cellStyle name="_Multiple_Sheet1_Agis 2" xfId="4888" xr:uid="{00000000-0005-0000-0000-0000700A0000}"/>
    <cellStyle name="_Multiple_Sheet1_CEPH working" xfId="4889" xr:uid="{00000000-0005-0000-0000-0000710A0000}"/>
    <cellStyle name="_Multiple_Sheet1_CEPH working 2" xfId="4890" xr:uid="{00000000-0005-0000-0000-0000720A0000}"/>
    <cellStyle name="_Multiple_Sheet1_Disclaimer" xfId="4891" xr:uid="{00000000-0005-0000-0000-0000730A0000}"/>
    <cellStyle name="_Multiple_Sheet1_Disclaimer 2" xfId="4892" xr:uid="{00000000-0005-0000-0000-0000740A0000}"/>
    <cellStyle name="_Multiple_Sheet1_document(1)" xfId="4893" xr:uid="{00000000-0005-0000-0000-0000750A0000}"/>
    <cellStyle name="_Multiple_Sheet1_document(1) 2" xfId="4894" xr:uid="{00000000-0005-0000-0000-0000760A0000}"/>
    <cellStyle name="_Multiple_Sheet1_GQ" xfId="4895" xr:uid="{00000000-0005-0000-0000-0000770A0000}"/>
    <cellStyle name="_Multiple_Sheet1_GQ 2" xfId="4896" xr:uid="{00000000-0005-0000-0000-0000780A0000}"/>
    <cellStyle name="_Multiple_Sheet1_IS" xfId="4897" xr:uid="{00000000-0005-0000-0000-0000790A0000}"/>
    <cellStyle name="_Multiple_Sheet1_IS 2" xfId="4898" xr:uid="{00000000-0005-0000-0000-00007A0A0000}"/>
    <cellStyle name="_Multiple_Sheet1_Key poduct model" xfId="4899" xr:uid="{00000000-0005-0000-0000-00007B0A0000}"/>
    <cellStyle name="_Multiple_Sheet1_Key poduct model 2" xfId="4900" xr:uid="{00000000-0005-0000-0000-00007C0A0000}"/>
    <cellStyle name="_Multiple_Sheet1_Mainsheet - consolidated" xfId="4901" xr:uid="{00000000-0005-0000-0000-00007D0A0000}"/>
    <cellStyle name="_Multiple_Sheet1_Mainsheet - consolidated 2" xfId="4902" xr:uid="{00000000-0005-0000-0000-00007E0A0000}"/>
    <cellStyle name="_Multiple_Sheet1_MASTER Stanicky-WC 10-28-06 LAUNCH" xfId="4903" xr:uid="{00000000-0005-0000-0000-00007F0A0000}"/>
    <cellStyle name="_Multiple_Sheet1_MASTER Stanicky-WC 10-28-06 LAUNCH 2" xfId="4904" xr:uid="{00000000-0005-0000-0000-0000800A0000}"/>
    <cellStyle name="_Multiple_Sheet1_New Version" xfId="4905" xr:uid="{00000000-0005-0000-0000-0000810A0000}"/>
    <cellStyle name="_Multiple_Sheet1_New Version 2" xfId="4906" xr:uid="{00000000-0005-0000-0000-0000820A0000}"/>
    <cellStyle name="_Multiple_Sheet1_Origination Market Share-Qtr" xfId="4907" xr:uid="{00000000-0005-0000-0000-0000830A0000}"/>
    <cellStyle name="_Multiple_Sheet1_Origination Market Share-Qtr 2" xfId="4908" xr:uid="{00000000-0005-0000-0000-0000840A0000}"/>
    <cellStyle name="_Multiple_Sheet1_SEPR working" xfId="4909" xr:uid="{00000000-0005-0000-0000-0000850A0000}"/>
    <cellStyle name="_Multiple_Sheet1_SEPR working 2" xfId="4910" xr:uid="{00000000-0005-0000-0000-0000860A0000}"/>
    <cellStyle name="_Multiple_Sheet1_Sheet2" xfId="4911" xr:uid="{00000000-0005-0000-0000-0000870A0000}"/>
    <cellStyle name="_Multiple_Sheet1_Sheet2 2" xfId="4912" xr:uid="{00000000-0005-0000-0000-0000880A0000}"/>
    <cellStyle name="_Multiple_Sheet1_Sheet2_1" xfId="4913" xr:uid="{00000000-0005-0000-0000-0000890A0000}"/>
    <cellStyle name="_Multiple_Sheet1_Sheet2_1 2" xfId="4914" xr:uid="{00000000-0005-0000-0000-00008A0A0000}"/>
    <cellStyle name="_Multiple_Sheet1_Sheet2_New Version" xfId="4915" xr:uid="{00000000-0005-0000-0000-00008B0A0000}"/>
    <cellStyle name="_Multiple_Sheet1_Sheet2_New Version 2" xfId="4916" xr:uid="{00000000-0005-0000-0000-00008C0A0000}"/>
    <cellStyle name="_Multiple_Sheet1_Sheet3" xfId="4917" xr:uid="{00000000-0005-0000-0000-00008D0A0000}"/>
    <cellStyle name="_Multiple_Sheet1_Sheet3 2" xfId="4918" xr:uid="{00000000-0005-0000-0000-00008E0A0000}"/>
    <cellStyle name="_Multiple_Sheet1_Sheet3_WC Ovcon forecast" xfId="4919" xr:uid="{00000000-0005-0000-0000-00008F0A0000}"/>
    <cellStyle name="_Multiple_Sheet1_Sheet3_WC Ovcon forecast 2" xfId="4920" xr:uid="{00000000-0005-0000-0000-0000900A0000}"/>
    <cellStyle name="_Multiple_Sheet1_SPEC Rx trend vs est " xfId="4921" xr:uid="{00000000-0005-0000-0000-0000910A0000}"/>
    <cellStyle name="_Multiple_Sheet1_SPEC Rx trend vs est  2" xfId="4922" xr:uid="{00000000-0005-0000-0000-0000920A0000}"/>
    <cellStyle name="_Multiple_Sheet1_Stanicky - Biovail 12-7-2006 FINAL" xfId="4923" xr:uid="{00000000-0005-0000-0000-0000930A0000}"/>
    <cellStyle name="_Multiple_Sheet1_Stanicky - Biovail 12-7-2006 FINAL 2" xfId="4924" xr:uid="{00000000-0005-0000-0000-0000940A0000}"/>
    <cellStyle name="_Multiple_Sheet1_WC Ovcon forecast" xfId="4925" xr:uid="{00000000-0005-0000-0000-0000950A0000}"/>
    <cellStyle name="_Multiple_Sheet1_WC Ovcon forecast 2" xfId="4926" xr:uid="{00000000-0005-0000-0000-0000960A0000}"/>
    <cellStyle name="_Multiple_Sheet1_WCRX working" xfId="4927" xr:uid="{00000000-0005-0000-0000-0000970A0000}"/>
    <cellStyle name="_Multiple_Sheet1_WCRX working 2" xfId="4928" xr:uid="{00000000-0005-0000-0000-0000980A0000}"/>
    <cellStyle name="_Multiple_Sheet13" xfId="4929" xr:uid="{00000000-0005-0000-0000-0000990A0000}"/>
    <cellStyle name="_Multiple_Sheet13 2" xfId="4930" xr:uid="{00000000-0005-0000-0000-00009A0A0000}"/>
    <cellStyle name="_Multiple_Sheet2" xfId="4931" xr:uid="{00000000-0005-0000-0000-00009B0A0000}"/>
    <cellStyle name="_Multiple_Sheet2 2" xfId="4932" xr:uid="{00000000-0005-0000-0000-00009C0A0000}"/>
    <cellStyle name="_Multiple_Sheet3" xfId="4933" xr:uid="{00000000-0005-0000-0000-00009D0A0000}"/>
    <cellStyle name="_Multiple_Sheet3 2" xfId="4934" xr:uid="{00000000-0005-0000-0000-00009E0A0000}"/>
    <cellStyle name="_Multiple_Sheet6" xfId="4935" xr:uid="{00000000-0005-0000-0000-00009F0A0000}"/>
    <cellStyle name="_Multiple_Sheet6 2" xfId="4936" xr:uid="{00000000-0005-0000-0000-0000A00A0000}"/>
    <cellStyle name="_Multiple_Snapshot" xfId="4937" xr:uid="{00000000-0005-0000-0000-0000A10A0000}"/>
    <cellStyle name="_Multiple_Snapshot 2" xfId="4938" xr:uid="{00000000-0005-0000-0000-0000A20A0000}"/>
    <cellStyle name="_Multiple_SOP" xfId="717" xr:uid="{00000000-0005-0000-0000-0000A30A0000}"/>
    <cellStyle name="_Multiple_SOP 2" xfId="4939" xr:uid="{00000000-0005-0000-0000-0000A40A0000}"/>
    <cellStyle name="_Multiple_Special situation" xfId="4940" xr:uid="{00000000-0005-0000-0000-0000A50A0000}"/>
    <cellStyle name="_Multiple_Special situation 2" xfId="4941" xr:uid="{00000000-0005-0000-0000-0000A60A0000}"/>
    <cellStyle name="_Multiple_SRE" xfId="718" xr:uid="{00000000-0005-0000-0000-0000A70A0000}"/>
    <cellStyle name="_Multiple_SRE 2" xfId="4942" xr:uid="{00000000-0005-0000-0000-0000A80A0000}"/>
    <cellStyle name="_Multiple_SRE Working" xfId="719" xr:uid="{00000000-0005-0000-0000-0000A90A0000}"/>
    <cellStyle name="_Multiple_SRE Working 2" xfId="4943" xr:uid="{00000000-0005-0000-0000-0000AA0A0000}"/>
    <cellStyle name="_Multiple_SSP" xfId="4944" xr:uid="{00000000-0005-0000-0000-0000AB0A0000}"/>
    <cellStyle name="_Multiple_SSP 2" xfId="4945" xr:uid="{00000000-0005-0000-0000-0000AC0A0000}"/>
    <cellStyle name="_Multiple_Stock-QTR1 FDS" xfId="2799" xr:uid="{00000000-0005-0000-0000-0000AD0A0000}"/>
    <cellStyle name="_Multiple_Stock-QTR1 FDS_Origination Market Share-Qtr" xfId="4946" xr:uid="{00000000-0005-0000-0000-0000AE0A0000}"/>
    <cellStyle name="_Multiple_symcqtis" xfId="720" xr:uid="{00000000-0005-0000-0000-0000AF0A0000}"/>
    <cellStyle name="_Multiple_symcqtis_New Version" xfId="4947" xr:uid="{00000000-0005-0000-0000-0000B00A0000}"/>
    <cellStyle name="_Multiple_symcqtis_Sheet2" xfId="4948" xr:uid="{00000000-0005-0000-0000-0000B10A0000}"/>
    <cellStyle name="_Multiple_T - new" xfId="721" xr:uid="{00000000-0005-0000-0000-0000B20A0000}"/>
    <cellStyle name="_Multiple_T - new 2" xfId="722" xr:uid="{00000000-0005-0000-0000-0000B30A0000}"/>
    <cellStyle name="_Multiple_T - new 3" xfId="723" xr:uid="{00000000-0005-0000-0000-0000B40A0000}"/>
    <cellStyle name="_Multiple_T - new_AG" xfId="724" xr:uid="{00000000-0005-0000-0000-0000B50A0000}"/>
    <cellStyle name="_Multiple_T - new_CNH" xfId="725" xr:uid="{00000000-0005-0000-0000-0000B60A0000}"/>
    <cellStyle name="_Multiple_T - new_CNH 2" xfId="4949" xr:uid="{00000000-0005-0000-0000-0000B70A0000}"/>
    <cellStyle name="_Multiple_T - new_DOV" xfId="726" xr:uid="{00000000-0005-0000-0000-0000B80A0000}"/>
    <cellStyle name="_Multiple_T - new_DOV 2" xfId="4950" xr:uid="{00000000-0005-0000-0000-0000B90A0000}"/>
    <cellStyle name="_Multiple_T - new_ETN" xfId="727" xr:uid="{00000000-0005-0000-0000-0000BA0A0000}"/>
    <cellStyle name="_Multiple_T - new_ETN 2" xfId="4951" xr:uid="{00000000-0005-0000-0000-0000BB0A0000}"/>
    <cellStyle name="_Multiple_T - new_FSS" xfId="728" xr:uid="{00000000-0005-0000-0000-0000BC0A0000}"/>
    <cellStyle name="_Multiple_T - new_FSS 2" xfId="4952" xr:uid="{00000000-0005-0000-0000-0000BD0A0000}"/>
    <cellStyle name="_Multiple_T - new_JOYG" xfId="729" xr:uid="{00000000-0005-0000-0000-0000BE0A0000}"/>
    <cellStyle name="_Multiple_T - new_MDO breakdown" xfId="4953" xr:uid="{00000000-0005-0000-0000-0000BF0A0000}"/>
    <cellStyle name="_Multiple_T - new_MDO breakdown 2" xfId="4954" xr:uid="{00000000-0005-0000-0000-0000C00A0000}"/>
    <cellStyle name="_Multiple_T - new_MLM" xfId="730" xr:uid="{00000000-0005-0000-0000-0000C10A0000}"/>
    <cellStyle name="_Multiple_T - new_NAV" xfId="731" xr:uid="{00000000-0005-0000-0000-0000C20A0000}"/>
    <cellStyle name="_Multiple_T - new_New Version" xfId="4955" xr:uid="{00000000-0005-0000-0000-0000C30A0000}"/>
    <cellStyle name="_Multiple_T - new_New Version 2" xfId="4956" xr:uid="{00000000-0005-0000-0000-0000C40A0000}"/>
    <cellStyle name="_Multiple_T - new_OSK" xfId="732" xr:uid="{00000000-0005-0000-0000-0000C50A0000}"/>
    <cellStyle name="_Multiple_T - new_PCAR" xfId="733" xr:uid="{00000000-0005-0000-0000-0000C60A0000}"/>
    <cellStyle name="_Multiple_T - new_PH" xfId="734" xr:uid="{00000000-0005-0000-0000-0000C70A0000}"/>
    <cellStyle name="_Multiple_T - new_Sheet2" xfId="4957" xr:uid="{00000000-0005-0000-0000-0000C80A0000}"/>
    <cellStyle name="_Multiple_T - new_Sheet2 2" xfId="4958" xr:uid="{00000000-0005-0000-0000-0000C90A0000}"/>
    <cellStyle name="_Multiple_Taclonex - dovonex" xfId="4959" xr:uid="{00000000-0005-0000-0000-0000CA0A0000}"/>
    <cellStyle name="_Multiple_Taclonex - dovonex 2" xfId="4960" xr:uid="{00000000-0005-0000-0000-0000CB0A0000}"/>
    <cellStyle name="_Multiple_taro DSO 4-29-06" xfId="4961" xr:uid="{00000000-0005-0000-0000-0000CC0A0000}"/>
    <cellStyle name="_Multiple_taro DSO 4-29-06 2" xfId="4962" xr:uid="{00000000-0005-0000-0000-0000CD0A0000}"/>
    <cellStyle name="_Multiple_Tearsheet" xfId="4963" xr:uid="{00000000-0005-0000-0000-0000CE0A0000}"/>
    <cellStyle name="_Multiple_Tearsheet 2" xfId="4964" xr:uid="{00000000-0005-0000-0000-0000CF0A0000}"/>
    <cellStyle name="_Multiple_Testim" xfId="4965" xr:uid="{00000000-0005-0000-0000-0000D00A0000}"/>
    <cellStyle name="_Multiple_Testim 2" xfId="4966" xr:uid="{00000000-0005-0000-0000-0000D10A0000}"/>
    <cellStyle name="_Multiple_Teva - Qtrly IS" xfId="4967" xr:uid="{00000000-0005-0000-0000-0000D20A0000}"/>
    <cellStyle name="_Multiple_Teva - Qtrly IS 2" xfId="4968" xr:uid="{00000000-0005-0000-0000-0000D30A0000}"/>
    <cellStyle name="_Multiple_Teva main sheet" xfId="4969" xr:uid="{00000000-0005-0000-0000-0000D40A0000}"/>
    <cellStyle name="_Multiple_Teva main sheet 2" xfId="4970" xr:uid="{00000000-0005-0000-0000-0000D50A0000}"/>
    <cellStyle name="_Multiple_TMK" xfId="2800" xr:uid="{00000000-0005-0000-0000-0000D60A0000}"/>
    <cellStyle name="_Multiple_TMK 2" xfId="4971" xr:uid="{00000000-0005-0000-0000-0000D70A0000}"/>
    <cellStyle name="_Multiple_TMK_Origination Market Share-Qtr" xfId="4972" xr:uid="{00000000-0005-0000-0000-0000D80A0000}"/>
    <cellStyle name="_Multiple_TMK_Origination Market Share-Qtr 2" xfId="4973" xr:uid="{00000000-0005-0000-0000-0000D90A0000}"/>
    <cellStyle name="_Multiple_Updated Valuation Changes" xfId="2801" xr:uid="{00000000-0005-0000-0000-0000DA0A0000}"/>
    <cellStyle name="_Multiple_Updated Valuation Changes 2" xfId="4974" xr:uid="{00000000-0005-0000-0000-0000DB0A0000}"/>
    <cellStyle name="_Multiple_Updated Valuation Changes_Origination Market Share-Qtr" xfId="4975" xr:uid="{00000000-0005-0000-0000-0000DC0A0000}"/>
    <cellStyle name="_Multiple_Updated Valuation Changes_Origination Market Share-Qtr 2" xfId="4976" xr:uid="{00000000-0005-0000-0000-0000DD0A0000}"/>
    <cellStyle name="_Multiple_Val Sheets" xfId="735" xr:uid="{00000000-0005-0000-0000-0000DE0A0000}"/>
    <cellStyle name="_Multiple_Val Sheets 2" xfId="4977" xr:uid="{00000000-0005-0000-0000-0000DF0A0000}"/>
    <cellStyle name="_Multiple_Val Sheets_Adjustments" xfId="4978" xr:uid="{00000000-0005-0000-0000-0000E00A0000}"/>
    <cellStyle name="_Multiple_Val Sheets_Adjustments 2" xfId="4979" xr:uid="{00000000-0005-0000-0000-0000E10A0000}"/>
    <cellStyle name="_Multiple_Valuation and Benchmarking Template" xfId="4980" xr:uid="{00000000-0005-0000-0000-0000E20A0000}"/>
    <cellStyle name="_Multiple_Valuation Graphs" xfId="2802" xr:uid="{00000000-0005-0000-0000-0000E30A0000}"/>
    <cellStyle name="_Multiple_Valuation Graphs 2" xfId="4981" xr:uid="{00000000-0005-0000-0000-0000E40A0000}"/>
    <cellStyle name="_Multiple_Valuation Graphs_Origination Market Share-Qtr" xfId="4982" xr:uid="{00000000-0005-0000-0000-0000E50A0000}"/>
    <cellStyle name="_Multiple_Valuation Graphs_Origination Market Share-Qtr 2" xfId="4983" xr:uid="{00000000-0005-0000-0000-0000E60A0000}"/>
    <cellStyle name="_Multiple_WC Ovcon forecast" xfId="4984" xr:uid="{00000000-0005-0000-0000-0000E70A0000}"/>
    <cellStyle name="_Multiple_WC Ovcon forecast 2" xfId="4985" xr:uid="{00000000-0005-0000-0000-0000E80A0000}"/>
    <cellStyle name="_Multiple_WFT published 1-30-07 Client version (2)" xfId="736" xr:uid="{00000000-0005-0000-0000-0000E90A0000}"/>
    <cellStyle name="_Multiple_WFT published 1-30-07 Client version (2) 2" xfId="737" xr:uid="{00000000-0005-0000-0000-0000EA0A0000}"/>
    <cellStyle name="_Multiple_Wireless data tables" xfId="4986" xr:uid="{00000000-0005-0000-0000-0000EB0A0000}"/>
    <cellStyle name="_Multiple_Wireless data tables 2" xfId="4987" xr:uid="{00000000-0005-0000-0000-0000EC0A0000}"/>
    <cellStyle name="_Multiple_xratio - historical mkt val" xfId="2803" xr:uid="{00000000-0005-0000-0000-0000ED0A0000}"/>
    <cellStyle name="_Multiple_xratio - historical mkt val 2" xfId="4988" xr:uid="{00000000-0005-0000-0000-0000EE0A0000}"/>
    <cellStyle name="_Multiple_xratio - historical mkt val_Origination Market Share-Qtr" xfId="4989" xr:uid="{00000000-0005-0000-0000-0000EF0A0000}"/>
    <cellStyle name="_Multiple_xratio - historical mkt val_Origination Market Share-Qtr 2" xfId="4990" xr:uid="{00000000-0005-0000-0000-0000F00A0000}"/>
    <cellStyle name="_MultipleSpace" xfId="738" xr:uid="{00000000-0005-0000-0000-0000F10A0000}"/>
    <cellStyle name="_MultipleSpace 2" xfId="739" xr:uid="{00000000-0005-0000-0000-0000F20A0000}"/>
    <cellStyle name="_MultipleSpace 2 2" xfId="2922" xr:uid="{00000000-0005-0000-0000-0000F30A0000}"/>
    <cellStyle name="_MultipleSpace 2 3" xfId="7062" xr:uid="{00000000-0005-0000-0000-0000F40A0000}"/>
    <cellStyle name="_MultipleSpace 3" xfId="740" xr:uid="{00000000-0005-0000-0000-0000F50A0000}"/>
    <cellStyle name="_MultipleSpace 3 2" xfId="2923" xr:uid="{00000000-0005-0000-0000-0000F60A0000}"/>
    <cellStyle name="_MultipleSpace 3 3" xfId="7063" xr:uid="{00000000-0005-0000-0000-0000F70A0000}"/>
    <cellStyle name="_MultipleSpace 4" xfId="2924" xr:uid="{00000000-0005-0000-0000-0000F80A0000}"/>
    <cellStyle name="_MultipleSpace 5" xfId="2921" xr:uid="{00000000-0005-0000-0000-0000F90A0000}"/>
    <cellStyle name="_MultipleSpace 6" xfId="7064" xr:uid="{00000000-0005-0000-0000-0000FA0A0000}"/>
    <cellStyle name="_MultipleSpace 7" xfId="7065" xr:uid="{00000000-0005-0000-0000-0000FB0A0000}"/>
    <cellStyle name="_MultipleSpace_01 adj for merger plan" xfId="2804" xr:uid="{00000000-0005-0000-0000-0000FC0A0000}"/>
    <cellStyle name="_MultipleSpace_01 adj for merger plan 2" xfId="4991" xr:uid="{00000000-0005-0000-0000-0000FD0A0000}"/>
    <cellStyle name="_MultipleSpace_01 adj for merger plan_Origination Market Share-Qtr" xfId="4992" xr:uid="{00000000-0005-0000-0000-0000FE0A0000}"/>
    <cellStyle name="_MultipleSpace_01 adj for merger plan_Origination Market Share-Qtr 2" xfId="4993" xr:uid="{00000000-0005-0000-0000-0000FF0A0000}"/>
    <cellStyle name="_MultipleSpace_1 Loestrin 24" xfId="4994" xr:uid="{00000000-0005-0000-0000-0000000B0000}"/>
    <cellStyle name="_MultipleSpace_1 Loestrin 24 2" xfId="4995" xr:uid="{00000000-0005-0000-0000-0000010B0000}"/>
    <cellStyle name="_MultipleSpace_1 Ovcon" xfId="4996" xr:uid="{00000000-0005-0000-0000-0000020B0000}"/>
    <cellStyle name="_MultipleSpace_1 Ovcon 2" xfId="4997" xr:uid="{00000000-0005-0000-0000-0000030B0000}"/>
    <cellStyle name="_MultipleSpace_1 Taclonex" xfId="4998" xr:uid="{00000000-0005-0000-0000-0000040B0000}"/>
    <cellStyle name="_MultipleSpace_1 Taclonex 2" xfId="4999" xr:uid="{00000000-0005-0000-0000-0000050B0000}"/>
    <cellStyle name="_MultipleSpace_4VAL DCF2" xfId="5000" xr:uid="{00000000-0005-0000-0000-0000060B0000}"/>
    <cellStyle name="_MultipleSpace_4VAL DCF2 2" xfId="5001" xr:uid="{00000000-0005-0000-0000-0000070B0000}"/>
    <cellStyle name="_MultipleSpace_Ability to Pay Analysis" xfId="2805" xr:uid="{00000000-0005-0000-0000-0000080B0000}"/>
    <cellStyle name="_MultipleSpace_Ability to Pay Analysis 2" xfId="5002" xr:uid="{00000000-0005-0000-0000-0000090B0000}"/>
    <cellStyle name="_MultipleSpace_Ability to Pay Analysis_Origination Market Share-Qtr" xfId="5003" xr:uid="{00000000-0005-0000-0000-00000A0B0000}"/>
    <cellStyle name="_MultipleSpace_Ability to Pay Analysis_Origination Market Share-Qtr 2" xfId="5004" xr:uid="{00000000-0005-0000-0000-00000B0B0000}"/>
    <cellStyle name="_MultipleSpace_Actiq" xfId="5005" xr:uid="{00000000-0005-0000-0000-00000C0B0000}"/>
    <cellStyle name="_MultipleSpace_Actiq 2" xfId="5006" xr:uid="{00000000-0005-0000-0000-00000D0B0000}"/>
    <cellStyle name="_MultipleSpace_Adjustments" xfId="5007" xr:uid="{00000000-0005-0000-0000-00000E0B0000}"/>
    <cellStyle name="_MultipleSpace_Adjustments 2" xfId="5008" xr:uid="{00000000-0005-0000-0000-00000F0B0000}"/>
    <cellStyle name="_MultipleSpace_AFL" xfId="2806" xr:uid="{00000000-0005-0000-0000-0000100B0000}"/>
    <cellStyle name="_MultipleSpace_AFL 2" xfId="5009" xr:uid="{00000000-0005-0000-0000-0000110B0000}"/>
    <cellStyle name="_MultipleSpace_AG" xfId="741" xr:uid="{00000000-0005-0000-0000-0000120B0000}"/>
    <cellStyle name="_MultipleSpace_Agis" xfId="5010" xr:uid="{00000000-0005-0000-0000-0000130B0000}"/>
    <cellStyle name="_MultipleSpace_Agis 2" xfId="5011" xr:uid="{00000000-0005-0000-0000-0000140B0000}"/>
    <cellStyle name="_MultipleSpace_AIZ" xfId="2807" xr:uid="{00000000-0005-0000-0000-0000150B0000}"/>
    <cellStyle name="_MultipleSpace_AIZ 2" xfId="5012" xr:uid="{00000000-0005-0000-0000-0000160B0000}"/>
    <cellStyle name="_MultipleSpace_AIZ_Origination Market Share-Qtr" xfId="5013" xr:uid="{00000000-0005-0000-0000-0000170B0000}"/>
    <cellStyle name="_MultipleSpace_AIZ_Origination Market Share-Qtr 2" xfId="5014" xr:uid="{00000000-0005-0000-0000-0000180B0000}"/>
    <cellStyle name="_MultipleSpace_AMP" xfId="2808" xr:uid="{00000000-0005-0000-0000-0000190B0000}"/>
    <cellStyle name="_MultipleSpace_AMP_Origination Market Share-Qtr" xfId="5015" xr:uid="{00000000-0005-0000-0000-00001A0B0000}"/>
    <cellStyle name="_MultipleSpace_ANDAs" xfId="5016" xr:uid="{00000000-0005-0000-0000-00001B0B0000}"/>
    <cellStyle name="_MultipleSpace_ANDAs 2" xfId="5017" xr:uid="{00000000-0005-0000-0000-00001C0B0000}"/>
    <cellStyle name="_MultipleSpace_ANDAs summary sheet" xfId="5018" xr:uid="{00000000-0005-0000-0000-00001D0B0000}"/>
    <cellStyle name="_MultipleSpace_ANDAs summary sheet 2" xfId="5019" xr:uid="{00000000-0005-0000-0000-00001E0B0000}"/>
    <cellStyle name="_MultipleSpace_ANDRX DDT" xfId="5020" xr:uid="{00000000-0005-0000-0000-00001F0B0000}"/>
    <cellStyle name="_MultipleSpace_ANDRX DDT 2" xfId="5021" xr:uid="{00000000-0005-0000-0000-0000200B0000}"/>
    <cellStyle name="_MultipleSpace_AutoPrice2000" xfId="5022" xr:uid="{00000000-0005-0000-0000-0000210B0000}"/>
    <cellStyle name="_MultipleSpace_Balance Sheet" xfId="2809" xr:uid="{00000000-0005-0000-0000-0000220B0000}"/>
    <cellStyle name="_MultipleSpace_Balance Sheet 2" xfId="5023" xr:uid="{00000000-0005-0000-0000-0000230B0000}"/>
    <cellStyle name="_MultipleSpace_Balance Sheet_Origination Market Share-Qtr" xfId="5024" xr:uid="{00000000-0005-0000-0000-0000240B0000}"/>
    <cellStyle name="_MultipleSpace_Balance Sheet_Origination Market Share-Qtr 2" xfId="5025" xr:uid="{00000000-0005-0000-0000-0000250B0000}"/>
    <cellStyle name="_MultipleSpace_BHI" xfId="742" xr:uid="{00000000-0005-0000-0000-0000260B0000}"/>
    <cellStyle name="_MultipleSpace_BHI 2" xfId="743" xr:uid="{00000000-0005-0000-0000-0000270B0000}"/>
    <cellStyle name="_MultipleSpace_BHI 3" xfId="744" xr:uid="{00000000-0005-0000-0000-0000280B0000}"/>
    <cellStyle name="_MultipleSpace_BHI_AG" xfId="745" xr:uid="{00000000-0005-0000-0000-0000290B0000}"/>
    <cellStyle name="_MultipleSpace_BHI_CNH" xfId="746" xr:uid="{00000000-0005-0000-0000-00002A0B0000}"/>
    <cellStyle name="_MultipleSpace_BHI_CNH 2" xfId="5026" xr:uid="{00000000-0005-0000-0000-00002B0B0000}"/>
    <cellStyle name="_MultipleSpace_BHI_DOV" xfId="747" xr:uid="{00000000-0005-0000-0000-00002C0B0000}"/>
    <cellStyle name="_MultipleSpace_BHI_DOV 2" xfId="5027" xr:uid="{00000000-0005-0000-0000-00002D0B0000}"/>
    <cellStyle name="_MultipleSpace_BHI_ETN" xfId="748" xr:uid="{00000000-0005-0000-0000-00002E0B0000}"/>
    <cellStyle name="_MultipleSpace_BHI_ETN 2" xfId="5028" xr:uid="{00000000-0005-0000-0000-00002F0B0000}"/>
    <cellStyle name="_MultipleSpace_BHI_FSS" xfId="749" xr:uid="{00000000-0005-0000-0000-0000300B0000}"/>
    <cellStyle name="_MultipleSpace_BHI_FSS 2" xfId="5029" xr:uid="{00000000-0005-0000-0000-0000310B0000}"/>
    <cellStyle name="_MultipleSpace_BHI_JOYG" xfId="750" xr:uid="{00000000-0005-0000-0000-0000320B0000}"/>
    <cellStyle name="_MultipleSpace_BHI_MLM" xfId="751" xr:uid="{00000000-0005-0000-0000-0000330B0000}"/>
    <cellStyle name="_MultipleSpace_BHI_NAV" xfId="752" xr:uid="{00000000-0005-0000-0000-0000340B0000}"/>
    <cellStyle name="_MultipleSpace_BHI_OSK" xfId="753" xr:uid="{00000000-0005-0000-0000-0000350B0000}"/>
    <cellStyle name="_MultipleSpace_BHI_PCAR" xfId="754" xr:uid="{00000000-0005-0000-0000-0000360B0000}"/>
    <cellStyle name="_MultipleSpace_BHI_PH" xfId="755" xr:uid="{00000000-0005-0000-0000-0000370B0000}"/>
    <cellStyle name="_MultipleSpace_bls roic" xfId="756" xr:uid="{00000000-0005-0000-0000-0000380B0000}"/>
    <cellStyle name="_MultipleSpace_bls roic 2" xfId="757" xr:uid="{00000000-0005-0000-0000-0000390B0000}"/>
    <cellStyle name="_MultipleSpace_bls roic 3" xfId="758" xr:uid="{00000000-0005-0000-0000-00003A0B0000}"/>
    <cellStyle name="_MultipleSpace_bls roic_AG" xfId="759" xr:uid="{00000000-0005-0000-0000-00003B0B0000}"/>
    <cellStyle name="_MultipleSpace_bls roic_CNH" xfId="760" xr:uid="{00000000-0005-0000-0000-00003C0B0000}"/>
    <cellStyle name="_MultipleSpace_bls roic_CNH 2" xfId="5030" xr:uid="{00000000-0005-0000-0000-00003D0B0000}"/>
    <cellStyle name="_MultipleSpace_bls roic_DOV" xfId="761" xr:uid="{00000000-0005-0000-0000-00003E0B0000}"/>
    <cellStyle name="_MultipleSpace_bls roic_DOV 2" xfId="5031" xr:uid="{00000000-0005-0000-0000-00003F0B0000}"/>
    <cellStyle name="_MultipleSpace_bls roic_ETN" xfId="762" xr:uid="{00000000-0005-0000-0000-0000400B0000}"/>
    <cellStyle name="_MultipleSpace_bls roic_ETN 2" xfId="5032" xr:uid="{00000000-0005-0000-0000-0000410B0000}"/>
    <cellStyle name="_MultipleSpace_bls roic_FSS" xfId="763" xr:uid="{00000000-0005-0000-0000-0000420B0000}"/>
    <cellStyle name="_MultipleSpace_bls roic_FSS 2" xfId="5033" xr:uid="{00000000-0005-0000-0000-0000430B0000}"/>
    <cellStyle name="_MultipleSpace_bls roic_JOYG" xfId="764" xr:uid="{00000000-0005-0000-0000-0000440B0000}"/>
    <cellStyle name="_MultipleSpace_bls roic_MDO breakdown" xfId="5034" xr:uid="{00000000-0005-0000-0000-0000450B0000}"/>
    <cellStyle name="_MultipleSpace_bls roic_MDO breakdown 2" xfId="5035" xr:uid="{00000000-0005-0000-0000-0000460B0000}"/>
    <cellStyle name="_MultipleSpace_bls roic_MLM" xfId="765" xr:uid="{00000000-0005-0000-0000-0000470B0000}"/>
    <cellStyle name="_MultipleSpace_bls roic_NAV" xfId="766" xr:uid="{00000000-0005-0000-0000-0000480B0000}"/>
    <cellStyle name="_MultipleSpace_bls roic_New Version" xfId="5036" xr:uid="{00000000-0005-0000-0000-0000490B0000}"/>
    <cellStyle name="_MultipleSpace_bls roic_New Version 2" xfId="5037" xr:uid="{00000000-0005-0000-0000-00004A0B0000}"/>
    <cellStyle name="_MultipleSpace_bls roic_OSK" xfId="767" xr:uid="{00000000-0005-0000-0000-00004B0B0000}"/>
    <cellStyle name="_MultipleSpace_bls roic_PCAR" xfId="768" xr:uid="{00000000-0005-0000-0000-00004C0B0000}"/>
    <cellStyle name="_MultipleSpace_bls roic_PH" xfId="769" xr:uid="{00000000-0005-0000-0000-00004D0B0000}"/>
    <cellStyle name="_MultipleSpace_bls roic_Sheet2" xfId="5038" xr:uid="{00000000-0005-0000-0000-00004E0B0000}"/>
    <cellStyle name="_MultipleSpace_bls roic_Sheet2 2" xfId="5039" xr:uid="{00000000-0005-0000-0000-00004F0B0000}"/>
    <cellStyle name="_MultipleSpace_Book1" xfId="2810" xr:uid="{00000000-0005-0000-0000-0000500B0000}"/>
    <cellStyle name="_MultipleSpace_Book1 2" xfId="5040" xr:uid="{00000000-0005-0000-0000-0000510B0000}"/>
    <cellStyle name="_MultipleSpace_Book1_Origination Market Share-Qtr" xfId="5041" xr:uid="{00000000-0005-0000-0000-0000520B0000}"/>
    <cellStyle name="_MultipleSpace_Book1_Origination Market Share-Qtr 2" xfId="5042" xr:uid="{00000000-0005-0000-0000-0000530B0000}"/>
    <cellStyle name="_MultipleSpace_Book29" xfId="2811" xr:uid="{00000000-0005-0000-0000-0000540B0000}"/>
    <cellStyle name="_MultipleSpace_Book29 2" xfId="5043" xr:uid="{00000000-0005-0000-0000-0000550B0000}"/>
    <cellStyle name="_MultipleSpace_Book29_Origination Market Share-Qtr" xfId="5044" xr:uid="{00000000-0005-0000-0000-0000560B0000}"/>
    <cellStyle name="_MultipleSpace_Book29_Origination Market Share-Qtr 2" xfId="5045" xr:uid="{00000000-0005-0000-0000-0000570B0000}"/>
    <cellStyle name="_MultipleSpace_Book3" xfId="770" xr:uid="{00000000-0005-0000-0000-0000580B0000}"/>
    <cellStyle name="_MultipleSpace_Book3 2" xfId="3076" xr:uid="{00000000-0005-0000-0000-0000590B0000}"/>
    <cellStyle name="_MultipleSpace_Book3 3" xfId="7066" xr:uid="{00000000-0005-0000-0000-00005A0B0000}"/>
    <cellStyle name="_MultipleSpace_Book3 4" xfId="7067" xr:uid="{00000000-0005-0000-0000-00005B0B0000}"/>
    <cellStyle name="_MultipleSpace_Book3_1" xfId="2812" xr:uid="{00000000-0005-0000-0000-00005C0B0000}"/>
    <cellStyle name="_MultipleSpace_Book3_1 2" xfId="5046" xr:uid="{00000000-0005-0000-0000-00005D0B0000}"/>
    <cellStyle name="_MultipleSpace_Book3_1_Origination Market Share-Qtr" xfId="5047" xr:uid="{00000000-0005-0000-0000-00005E0B0000}"/>
    <cellStyle name="_MultipleSpace_Book3_1_Origination Market Share-Qtr 2" xfId="5048" xr:uid="{00000000-0005-0000-0000-00005F0B0000}"/>
    <cellStyle name="_MultipleSpace_Book3_Adjustments" xfId="5049" xr:uid="{00000000-0005-0000-0000-0000600B0000}"/>
    <cellStyle name="_MultipleSpace_Book3_Adjustments 2" xfId="5050" xr:uid="{00000000-0005-0000-0000-0000610B0000}"/>
    <cellStyle name="_MultipleSpace_Book3_Origination Market Share-Qtr" xfId="5051" xr:uid="{00000000-0005-0000-0000-0000620B0000}"/>
    <cellStyle name="_MultipleSpace_Book3_Origination Market Share-Qtr 2" xfId="5052" xr:uid="{00000000-0005-0000-0000-0000630B0000}"/>
    <cellStyle name="_MultipleSpace_Broadcasting" xfId="771" xr:uid="{00000000-0005-0000-0000-0000640B0000}"/>
    <cellStyle name="_MultipleSpace_Broadcasting 2" xfId="5053" xr:uid="{00000000-0005-0000-0000-0000650B0000}"/>
    <cellStyle name="_MultipleSpace_Broadcasting_New Version" xfId="5054" xr:uid="{00000000-0005-0000-0000-0000660B0000}"/>
    <cellStyle name="_MultipleSpace_Broadcasting_New Version 2" xfId="5055" xr:uid="{00000000-0005-0000-0000-0000670B0000}"/>
    <cellStyle name="_MultipleSpace_Broadcasting_Sheet2" xfId="5056" xr:uid="{00000000-0005-0000-0000-0000680B0000}"/>
    <cellStyle name="_MultipleSpace_Broadcasting_Sheet2 2" xfId="5057" xr:uid="{00000000-0005-0000-0000-0000690B0000}"/>
    <cellStyle name="_MultipleSpace_CAPEX spend" xfId="5058" xr:uid="{00000000-0005-0000-0000-00006A0B0000}"/>
    <cellStyle name="_MultipleSpace_CAPEX spend 2" xfId="5059" xr:uid="{00000000-0005-0000-0000-00006B0B0000}"/>
    <cellStyle name="_MultipleSpace_capital expenditures 6-18-02" xfId="772" xr:uid="{00000000-0005-0000-0000-00006C0B0000}"/>
    <cellStyle name="_MultipleSpace_capital expenditures 6-18-02 2" xfId="773" xr:uid="{00000000-0005-0000-0000-00006D0B0000}"/>
    <cellStyle name="_MultipleSpace_capital expenditures 6-18-02 3" xfId="774" xr:uid="{00000000-0005-0000-0000-00006E0B0000}"/>
    <cellStyle name="_MultipleSpace_capital expenditures 6-18-02_AG" xfId="775" xr:uid="{00000000-0005-0000-0000-00006F0B0000}"/>
    <cellStyle name="_MultipleSpace_capital expenditures 6-18-02_CNH" xfId="776" xr:uid="{00000000-0005-0000-0000-0000700B0000}"/>
    <cellStyle name="_MultipleSpace_capital expenditures 6-18-02_CNH 2" xfId="5060" xr:uid="{00000000-0005-0000-0000-0000710B0000}"/>
    <cellStyle name="_MultipleSpace_capital expenditures 6-18-02_DOV" xfId="777" xr:uid="{00000000-0005-0000-0000-0000720B0000}"/>
    <cellStyle name="_MultipleSpace_capital expenditures 6-18-02_DOV 2" xfId="5061" xr:uid="{00000000-0005-0000-0000-0000730B0000}"/>
    <cellStyle name="_MultipleSpace_capital expenditures 6-18-02_ETN" xfId="778" xr:uid="{00000000-0005-0000-0000-0000740B0000}"/>
    <cellStyle name="_MultipleSpace_capital expenditures 6-18-02_ETN 2" xfId="5062" xr:uid="{00000000-0005-0000-0000-0000750B0000}"/>
    <cellStyle name="_MultipleSpace_capital expenditures 6-18-02_FSS" xfId="779" xr:uid="{00000000-0005-0000-0000-0000760B0000}"/>
    <cellStyle name="_MultipleSpace_capital expenditures 6-18-02_FSS 2" xfId="5063" xr:uid="{00000000-0005-0000-0000-0000770B0000}"/>
    <cellStyle name="_MultipleSpace_capital expenditures 6-18-02_JOYG" xfId="780" xr:uid="{00000000-0005-0000-0000-0000780B0000}"/>
    <cellStyle name="_MultipleSpace_capital expenditures 6-18-02_MDO breakdown" xfId="5064" xr:uid="{00000000-0005-0000-0000-0000790B0000}"/>
    <cellStyle name="_MultipleSpace_capital expenditures 6-18-02_MDO breakdown 2" xfId="5065" xr:uid="{00000000-0005-0000-0000-00007A0B0000}"/>
    <cellStyle name="_MultipleSpace_capital expenditures 6-18-02_MLM" xfId="781" xr:uid="{00000000-0005-0000-0000-00007B0B0000}"/>
    <cellStyle name="_MultipleSpace_capital expenditures 6-18-02_NAV" xfId="782" xr:uid="{00000000-0005-0000-0000-00007C0B0000}"/>
    <cellStyle name="_MultipleSpace_capital expenditures 6-18-02_New Version" xfId="5066" xr:uid="{00000000-0005-0000-0000-00007D0B0000}"/>
    <cellStyle name="_MultipleSpace_capital expenditures 6-18-02_New Version 2" xfId="5067" xr:uid="{00000000-0005-0000-0000-00007E0B0000}"/>
    <cellStyle name="_MultipleSpace_capital expenditures 6-18-02_OSK" xfId="783" xr:uid="{00000000-0005-0000-0000-00007F0B0000}"/>
    <cellStyle name="_MultipleSpace_capital expenditures 6-18-02_PCAR" xfId="784" xr:uid="{00000000-0005-0000-0000-0000800B0000}"/>
    <cellStyle name="_MultipleSpace_capital expenditures 6-18-02_PH" xfId="785" xr:uid="{00000000-0005-0000-0000-0000810B0000}"/>
    <cellStyle name="_MultipleSpace_capital expenditures 6-18-02_Sheet2" xfId="5068" xr:uid="{00000000-0005-0000-0000-0000820B0000}"/>
    <cellStyle name="_MultipleSpace_capital expenditures 6-18-02_Sheet2 2" xfId="5069" xr:uid="{00000000-0005-0000-0000-0000830B0000}"/>
    <cellStyle name="_MultipleSpace_CMX" xfId="5070" xr:uid="{00000000-0005-0000-0000-0000840B0000}"/>
    <cellStyle name="_MultipleSpace_CMX 2" xfId="5071" xr:uid="{00000000-0005-0000-0000-0000850B0000}"/>
    <cellStyle name="_MultipleSpace_CNH" xfId="786" xr:uid="{00000000-0005-0000-0000-0000860B0000}"/>
    <cellStyle name="_MultipleSpace_CNH 2" xfId="5072" xr:uid="{00000000-0005-0000-0000-0000870B0000}"/>
    <cellStyle name="_MultipleSpace_CNO" xfId="2813" xr:uid="{00000000-0005-0000-0000-0000880B0000}"/>
    <cellStyle name="_MultipleSpace_CNO 2" xfId="5073" xr:uid="{00000000-0005-0000-0000-0000890B0000}"/>
    <cellStyle name="_MultipleSpace_CNO_Origination Market Share-Qtr" xfId="5074" xr:uid="{00000000-0005-0000-0000-00008A0B0000}"/>
    <cellStyle name="_MultipleSpace_CNO_Origination Market Share-Qtr 2" xfId="5075" xr:uid="{00000000-0005-0000-0000-00008B0B0000}"/>
    <cellStyle name="_MultipleSpace_Commtech" xfId="787" xr:uid="{00000000-0005-0000-0000-00008C0B0000}"/>
    <cellStyle name="_MultipleSpace_Commtech 2" xfId="5076" xr:uid="{00000000-0005-0000-0000-00008D0B0000}"/>
    <cellStyle name="_MultipleSpace_Commtech_New Version" xfId="5077" xr:uid="{00000000-0005-0000-0000-00008E0B0000}"/>
    <cellStyle name="_MultipleSpace_Commtech_New Version 2" xfId="5078" xr:uid="{00000000-0005-0000-0000-00008F0B0000}"/>
    <cellStyle name="_MultipleSpace_Commtech_Sheet2" xfId="5079" xr:uid="{00000000-0005-0000-0000-0000900B0000}"/>
    <cellStyle name="_MultipleSpace_Commtech_Sheet2 2" xfId="5080" xr:uid="{00000000-0005-0000-0000-0000910B0000}"/>
    <cellStyle name="_MultipleSpace_Competitors" xfId="5081" xr:uid="{00000000-0005-0000-0000-0000920B0000}"/>
    <cellStyle name="_MultipleSpace_Competitors 2" xfId="5082" xr:uid="{00000000-0005-0000-0000-0000930B0000}"/>
    <cellStyle name="_MultipleSpace_Consolidation" xfId="5083" xr:uid="{00000000-0005-0000-0000-0000940B0000}"/>
    <cellStyle name="_MultipleSpace_Consolidation 2" xfId="5084" xr:uid="{00000000-0005-0000-0000-0000950B0000}"/>
    <cellStyle name="_MultipleSpace_CRO 3Q group metrics 12-22-03 for reports" xfId="788" xr:uid="{00000000-0005-0000-0000-0000960B0000}"/>
    <cellStyle name="_MultipleSpace_CRO 3Q group metrics 12-22-03 for reports 2" xfId="5085" xr:uid="{00000000-0005-0000-0000-0000970B0000}"/>
    <cellStyle name="_MultipleSpace_CRO 3Q group metrics 12-22-03 for reports_New Version" xfId="5086" xr:uid="{00000000-0005-0000-0000-0000980B0000}"/>
    <cellStyle name="_MultipleSpace_CRO 3Q group metrics 12-22-03 for reports_New Version 2" xfId="5087" xr:uid="{00000000-0005-0000-0000-0000990B0000}"/>
    <cellStyle name="_MultipleSpace_CRO 3Q group metrics 12-22-03 for reports_Sheet2" xfId="5088" xr:uid="{00000000-0005-0000-0000-00009A0B0000}"/>
    <cellStyle name="_MultipleSpace_CRO 3Q group metrics 12-22-03 for reports_Sheet2 2" xfId="5089" xr:uid="{00000000-0005-0000-0000-00009B0B0000}"/>
    <cellStyle name="_MultipleSpace_CRO comp metrics 4Q03 2-18-04 send out" xfId="789" xr:uid="{00000000-0005-0000-0000-00009C0B0000}"/>
    <cellStyle name="_MultipleSpace_CRO comp metrics 4Q03 2-18-04 send out 2" xfId="5090" xr:uid="{00000000-0005-0000-0000-00009D0B0000}"/>
    <cellStyle name="_MultipleSpace_CRO comp metrics 4Q03 2-18-04 send out_New Version" xfId="5091" xr:uid="{00000000-0005-0000-0000-00009E0B0000}"/>
    <cellStyle name="_MultipleSpace_CRO comp metrics 4Q03 2-18-04 send out_New Version 2" xfId="5092" xr:uid="{00000000-0005-0000-0000-00009F0B0000}"/>
    <cellStyle name="_MultipleSpace_CRO comp metrics 4Q03 2-18-04 send out_Sheet2" xfId="5093" xr:uid="{00000000-0005-0000-0000-0000A00B0000}"/>
    <cellStyle name="_MultipleSpace_CRO comp metrics 4Q03 2-18-04 send out_Sheet2 2" xfId="5094" xr:uid="{00000000-0005-0000-0000-0000A10B0000}"/>
    <cellStyle name="_MultipleSpace_CRO Comp Sheet V.2" xfId="5095" xr:uid="{00000000-0005-0000-0000-0000A20B0000}"/>
    <cellStyle name="_MultipleSpace_CRO Comp Sheet V.2 2" xfId="5096" xr:uid="{00000000-0005-0000-0000-0000A30B0000}"/>
    <cellStyle name="_MultipleSpace_csc" xfId="790" xr:uid="{00000000-0005-0000-0000-0000A40B0000}"/>
    <cellStyle name="_MultipleSpace_csc 2" xfId="5097" xr:uid="{00000000-0005-0000-0000-0000A50B0000}"/>
    <cellStyle name="_MultipleSpace_csc_Adjustments" xfId="5098" xr:uid="{00000000-0005-0000-0000-0000A60B0000}"/>
    <cellStyle name="_MultipleSpace_csc_Adjustments 2" xfId="5099" xr:uid="{00000000-0005-0000-0000-0000A70B0000}"/>
    <cellStyle name="_MultipleSpace_csc_New Version" xfId="5100" xr:uid="{00000000-0005-0000-0000-0000A80B0000}"/>
    <cellStyle name="_MultipleSpace_csc_New Version 2" xfId="5101" xr:uid="{00000000-0005-0000-0000-0000A90B0000}"/>
    <cellStyle name="_MultipleSpace_csc_Sheet2" xfId="5102" xr:uid="{00000000-0005-0000-0000-0000AA0B0000}"/>
    <cellStyle name="_MultipleSpace_csc_Sheet2 2" xfId="5103" xr:uid="{00000000-0005-0000-0000-0000AB0B0000}"/>
    <cellStyle name="_MultipleSpace_CSCO_MOD" xfId="5104" xr:uid="{00000000-0005-0000-0000-0000AC0B0000}"/>
    <cellStyle name="_MultipleSpace_CSCO_MOD 2" xfId="5105" xr:uid="{00000000-0005-0000-0000-0000AD0B0000}"/>
    <cellStyle name="_MultipleSpace_CSCOMOD" xfId="5106" xr:uid="{00000000-0005-0000-0000-0000AE0B0000}"/>
    <cellStyle name="_MultipleSpace_CSCOMOD 2" xfId="5107" xr:uid="{00000000-0005-0000-0000-0000AF0B0000}"/>
    <cellStyle name="_MultipleSpace_CVD" xfId="5108" xr:uid="{00000000-0005-0000-0000-0000B00B0000}"/>
    <cellStyle name="_MultipleSpace_CVD 2" xfId="5109" xr:uid="{00000000-0005-0000-0000-0000B10B0000}"/>
    <cellStyle name="_MultipleSpace_Data" xfId="791" xr:uid="{00000000-0005-0000-0000-0000B20B0000}"/>
    <cellStyle name="_MultipleSpace_Data 2" xfId="5110" xr:uid="{00000000-0005-0000-0000-0000B30B0000}"/>
    <cellStyle name="_MultipleSpace_Data_New Version" xfId="5111" xr:uid="{00000000-0005-0000-0000-0000B40B0000}"/>
    <cellStyle name="_MultipleSpace_Data_New Version 2" xfId="5112" xr:uid="{00000000-0005-0000-0000-0000B50B0000}"/>
    <cellStyle name="_MultipleSpace_Data_Sheet2" xfId="5113" xr:uid="{00000000-0005-0000-0000-0000B60B0000}"/>
    <cellStyle name="_MultipleSpace_Data_Sheet2 2" xfId="5114" xr:uid="{00000000-0005-0000-0000-0000B70B0000}"/>
    <cellStyle name="_MultipleSpace_DCF Alexander Forbes" xfId="2814" xr:uid="{00000000-0005-0000-0000-0000B80B0000}"/>
    <cellStyle name="_MultipleSpace_DCF Alexander Forbes 2" xfId="5115" xr:uid="{00000000-0005-0000-0000-0000B90B0000}"/>
    <cellStyle name="_MultipleSpace_DCF Alexander Forbes_Origination Market Share-Qtr" xfId="5116" xr:uid="{00000000-0005-0000-0000-0000BA0B0000}"/>
    <cellStyle name="_MultipleSpace_DCF Alexander Forbes_Origination Market Share-Qtr 2" xfId="5117" xr:uid="{00000000-0005-0000-0000-0000BB0B0000}"/>
    <cellStyle name="_MultipleSpace_Debt schedule" xfId="5118" xr:uid="{00000000-0005-0000-0000-0000BC0B0000}"/>
    <cellStyle name="_MultipleSpace_Debt schedule 2" xfId="5119" xr:uid="{00000000-0005-0000-0000-0000BD0B0000}"/>
    <cellStyle name="_MultipleSpace_document(1)" xfId="5120" xr:uid="{00000000-0005-0000-0000-0000BE0B0000}"/>
    <cellStyle name="_MultipleSpace_document(1) 2" xfId="5121" xr:uid="{00000000-0005-0000-0000-0000BF0B0000}"/>
    <cellStyle name="_MultipleSpace_DOV" xfId="792" xr:uid="{00000000-0005-0000-0000-0000C00B0000}"/>
    <cellStyle name="_MultipleSpace_DOV 2" xfId="5122" xr:uid="{00000000-0005-0000-0000-0000C10B0000}"/>
    <cellStyle name="_MultipleSpace_DRTE" xfId="5123" xr:uid="{00000000-0005-0000-0000-0000C20B0000}"/>
    <cellStyle name="_MultipleSpace_DRTE 2" xfId="5124" xr:uid="{00000000-0005-0000-0000-0000C30B0000}"/>
    <cellStyle name="_MultipleSpace_DSO" xfId="5125" xr:uid="{00000000-0005-0000-0000-0000C40B0000}"/>
    <cellStyle name="_MultipleSpace_DSO 2" xfId="5126" xr:uid="{00000000-0005-0000-0000-0000C50B0000}"/>
    <cellStyle name="_MultipleSpace_DUK" xfId="793" xr:uid="{00000000-0005-0000-0000-0000C60B0000}"/>
    <cellStyle name="_MultipleSpace_DUK 2" xfId="5127" xr:uid="{00000000-0005-0000-0000-0000C70B0000}"/>
    <cellStyle name="_MultipleSpace_ED 2005.08.01" xfId="794" xr:uid="{00000000-0005-0000-0000-0000C80B0000}"/>
    <cellStyle name="_MultipleSpace_ED 2005.08.01 2" xfId="5128" xr:uid="{00000000-0005-0000-0000-0000C90B0000}"/>
    <cellStyle name="_MultipleSpace_EEEE" xfId="5129" xr:uid="{00000000-0005-0000-0000-0000CA0B0000}"/>
    <cellStyle name="_MultipleSpace_EEEE 2" xfId="5130" xr:uid="{00000000-0005-0000-0000-0000CB0B0000}"/>
    <cellStyle name="_MultipleSpace_EPS revision" xfId="5131" xr:uid="{00000000-0005-0000-0000-0000CC0B0000}"/>
    <cellStyle name="_MultipleSpace_EPS revision 2" xfId="5132" xr:uid="{00000000-0005-0000-0000-0000CD0B0000}"/>
    <cellStyle name="_MultipleSpace_EPS sensitivity" xfId="5133" xr:uid="{00000000-0005-0000-0000-0000CE0B0000}"/>
    <cellStyle name="_MultipleSpace_EPS sensitivity 2" xfId="5134" xr:uid="{00000000-0005-0000-0000-0000CF0B0000}"/>
    <cellStyle name="_MultipleSpace_ESRX" xfId="5135" xr:uid="{00000000-0005-0000-0000-0000D00B0000}"/>
    <cellStyle name="_MultipleSpace_ESRX 2" xfId="5136" xr:uid="{00000000-0005-0000-0000-0000D10B0000}"/>
    <cellStyle name="_MultipleSpace_ETN" xfId="795" xr:uid="{00000000-0005-0000-0000-0000D20B0000}"/>
    <cellStyle name="_MultipleSpace_ETN 2" xfId="5137" xr:uid="{00000000-0005-0000-0000-0000D30B0000}"/>
    <cellStyle name="_MultipleSpace_EZJ vs go" xfId="5138" xr:uid="{00000000-0005-0000-0000-0000D40B0000}"/>
    <cellStyle name="_MultipleSpace_FBANDAs" xfId="5139" xr:uid="{00000000-0005-0000-0000-0000D50B0000}"/>
    <cellStyle name="_MultipleSpace_FBANDAs 2" xfId="5140" xr:uid="{00000000-0005-0000-0000-0000D60B0000}"/>
    <cellStyle name="_MultipleSpace_Ferrlecit" xfId="5141" xr:uid="{00000000-0005-0000-0000-0000D70B0000}"/>
    <cellStyle name="_MultipleSpace_Ferrlecit 2" xfId="5142" xr:uid="{00000000-0005-0000-0000-0000D80B0000}"/>
    <cellStyle name="_MultipleSpace_Financial Performance Benchmarking and Valuation(2)" xfId="5143" xr:uid="{00000000-0005-0000-0000-0000D90B0000}"/>
    <cellStyle name="_MultipleSpace_fmbi counties" xfId="2815" xr:uid="{00000000-0005-0000-0000-0000DA0B0000}"/>
    <cellStyle name="_MultipleSpace_fmbi counties_Origination Market Share-Qtr" xfId="5144" xr:uid="{00000000-0005-0000-0000-0000DB0B0000}"/>
    <cellStyle name="_MultipleSpace_FMBI MBHI Graphs" xfId="2816" xr:uid="{00000000-0005-0000-0000-0000DC0B0000}"/>
    <cellStyle name="_MultipleSpace_FMBI MBHI Graphs 07102001" xfId="2817" xr:uid="{00000000-0005-0000-0000-0000DD0B0000}"/>
    <cellStyle name="_MultipleSpace_FMBI MBHI Graphs 07102001 2" xfId="5145" xr:uid="{00000000-0005-0000-0000-0000DE0B0000}"/>
    <cellStyle name="_MultipleSpace_FMBI MBHI Graphs 07102001_Origination Market Share-Qtr" xfId="5146" xr:uid="{00000000-0005-0000-0000-0000DF0B0000}"/>
    <cellStyle name="_MultipleSpace_FMBI MBHI Graphs 07102001_Origination Market Share-Qtr 2" xfId="5147" xr:uid="{00000000-0005-0000-0000-0000E00B0000}"/>
    <cellStyle name="_MultipleSpace_FMBI MBHI Graphs 2" xfId="5148" xr:uid="{00000000-0005-0000-0000-0000E10B0000}"/>
    <cellStyle name="_MultipleSpace_FMBI MBHI Graphs_7601" xfId="2818" xr:uid="{00000000-0005-0000-0000-0000E20B0000}"/>
    <cellStyle name="_MultipleSpace_FMBI MBHI Graphs_7601 2" xfId="5149" xr:uid="{00000000-0005-0000-0000-0000E30B0000}"/>
    <cellStyle name="_MultipleSpace_FMBI MBHI Graphs_7601_Origination Market Share-Qtr" xfId="5150" xr:uid="{00000000-0005-0000-0000-0000E40B0000}"/>
    <cellStyle name="_MultipleSpace_FMBI MBHI Graphs_7601_Origination Market Share-Qtr 2" xfId="5151" xr:uid="{00000000-0005-0000-0000-0000E50B0000}"/>
    <cellStyle name="_MultipleSpace_FMBI MBHI Graphs_Origination Market Share-Qtr" xfId="5152" xr:uid="{00000000-0005-0000-0000-0000E60B0000}"/>
    <cellStyle name="_MultipleSpace_FMBI MBHI Graphs_Origination Market Share-Qtr 2" xfId="5153" xr:uid="{00000000-0005-0000-0000-0000E70B0000}"/>
    <cellStyle name="_MultipleSpace_For charts" xfId="5154" xr:uid="{00000000-0005-0000-0000-0000E80B0000}"/>
    <cellStyle name="_MultipleSpace_For charts 2" xfId="5155" xr:uid="{00000000-0005-0000-0000-0000E90B0000}"/>
    <cellStyle name="_MultipleSpace_Foreclosures_data_Realty Trac Break up" xfId="5156" xr:uid="{00000000-0005-0000-0000-0000EA0B0000}"/>
    <cellStyle name="_MultipleSpace_Foreclosures_data_Realty Trac Break up 2" xfId="5157" xr:uid="{00000000-0005-0000-0000-0000EB0B0000}"/>
    <cellStyle name="_MultipleSpace_FSS" xfId="796" xr:uid="{00000000-0005-0000-0000-0000EC0B0000}"/>
    <cellStyle name="_MultipleSpace_FSS 2" xfId="5158" xr:uid="{00000000-0005-0000-0000-0000ED0B0000}"/>
    <cellStyle name="_MultipleSpace_GCI" xfId="5159" xr:uid="{00000000-0005-0000-0000-0000EE0B0000}"/>
    <cellStyle name="_MultipleSpace_GCI 2" xfId="5160" xr:uid="{00000000-0005-0000-0000-0000EF0B0000}"/>
    <cellStyle name="_MultipleSpace_Gen pipe" xfId="5161" xr:uid="{00000000-0005-0000-0000-0000F00B0000}"/>
    <cellStyle name="_MultipleSpace_Gen pipe 2" xfId="5162" xr:uid="{00000000-0005-0000-0000-0000F10B0000}"/>
    <cellStyle name="_MultipleSpace_Global Autos Database 2005" xfId="5163" xr:uid="{00000000-0005-0000-0000-0000F20B0000}"/>
    <cellStyle name="_MultipleSpace_Global ROIC 2007" xfId="5164" xr:uid="{00000000-0005-0000-0000-0000F30B0000}"/>
    <cellStyle name="_MultipleSpace_GLWMOD" xfId="5165" xr:uid="{00000000-0005-0000-0000-0000F40B0000}"/>
    <cellStyle name="_MultipleSpace_GLWMOD 2" xfId="5166" xr:uid="{00000000-0005-0000-0000-0000F50B0000}"/>
    <cellStyle name="_MultipleSpace_GNW" xfId="2819" xr:uid="{00000000-0005-0000-0000-0000F60B0000}"/>
    <cellStyle name="_MultipleSpace_GNW 2" xfId="5167" xr:uid="{00000000-0005-0000-0000-0000F70B0000}"/>
    <cellStyle name="_MultipleSpace_GNW_Origination Market Share-Qtr" xfId="5168" xr:uid="{00000000-0005-0000-0000-0000F80B0000}"/>
    <cellStyle name="_MultipleSpace_GNW_Origination Market Share-Qtr 2" xfId="5169" xr:uid="{00000000-0005-0000-0000-0000F90B0000}"/>
    <cellStyle name="_MultipleSpace_Gross Margin" xfId="5170" xr:uid="{00000000-0005-0000-0000-0000FA0B0000}"/>
    <cellStyle name="_MultipleSpace_Gross Margin 2" xfId="5171" xr:uid="{00000000-0005-0000-0000-0000FB0B0000}"/>
    <cellStyle name="_MultipleSpace_GS_Brant_CSCO_mod (Working)" xfId="797" xr:uid="{00000000-0005-0000-0000-0000FC0B0000}"/>
    <cellStyle name="_MultipleSpace_GS_Brant_CSCO_mod (Working) 2" xfId="5172" xr:uid="{00000000-0005-0000-0000-0000FD0B0000}"/>
    <cellStyle name="_MultipleSpace_GS_Brant_CSCO_mod (Working)_New Version" xfId="5173" xr:uid="{00000000-0005-0000-0000-0000FE0B0000}"/>
    <cellStyle name="_MultipleSpace_GS_Brant_CSCO_mod (Working)_New Version 2" xfId="5174" xr:uid="{00000000-0005-0000-0000-0000FF0B0000}"/>
    <cellStyle name="_MultipleSpace_GS_Brant_CSCO_mod (Working)_Sheet2" xfId="5175" xr:uid="{00000000-0005-0000-0000-0000000C0000}"/>
    <cellStyle name="_MultipleSpace_GS_Brant_CSCO_mod (Working)_Sheet2 2" xfId="5176" xr:uid="{00000000-0005-0000-0000-0000010C0000}"/>
    <cellStyle name="_MultipleSpace_GS_BRANT_MOTMOD" xfId="798" xr:uid="{00000000-0005-0000-0000-0000020C0000}"/>
    <cellStyle name="_MultipleSpace_GS_BRANT_MOTMOD 2" xfId="5177" xr:uid="{00000000-0005-0000-0000-0000030C0000}"/>
    <cellStyle name="_MultipleSpace_GS_BRANT_MOTMOD_New Version" xfId="5178" xr:uid="{00000000-0005-0000-0000-0000040C0000}"/>
    <cellStyle name="_MultipleSpace_GS_BRANT_MOTMOD_New Version 2" xfId="5179" xr:uid="{00000000-0005-0000-0000-0000050C0000}"/>
    <cellStyle name="_MultipleSpace_GS_BRANT_MOTMOD_Sheet2" xfId="5180" xr:uid="{00000000-0005-0000-0000-0000060C0000}"/>
    <cellStyle name="_MultipleSpace_GS_BRANT_MOTMOD_Sheet2 2" xfId="5181" xr:uid="{00000000-0005-0000-0000-0000070C0000}"/>
    <cellStyle name="_MultipleSpace_GS_McFadden_CMX_9-27" xfId="5182" xr:uid="{00000000-0005-0000-0000-0000080C0000}"/>
    <cellStyle name="_MultipleSpace_GS_McFadden_CMX_9-27 2" xfId="5183" xr:uid="{00000000-0005-0000-0000-0000090C0000}"/>
    <cellStyle name="_MultipleSpace_GS_McFadden_CRL_4-1-05 RS" xfId="5184" xr:uid="{00000000-0005-0000-0000-00000A0C0000}"/>
    <cellStyle name="_MultipleSpace_GS_McFadden_CRL_4-1-05 RS 2" xfId="5185" xr:uid="{00000000-0005-0000-0000-00000B0C0000}"/>
    <cellStyle name="_MultipleSpace_GS_McFadden_CVD_9-27" xfId="5186" xr:uid="{00000000-0005-0000-0000-00000C0C0000}"/>
    <cellStyle name="_MultipleSpace_GS_McFadden_CVD_9-27 2" xfId="5187" xr:uid="{00000000-0005-0000-0000-00000D0C0000}"/>
    <cellStyle name="_MultipleSpace_GS_McFadden_DRTE_9-27" xfId="5188" xr:uid="{00000000-0005-0000-0000-00000E0C0000}"/>
    <cellStyle name="_MultipleSpace_GS_McFadden_DRTE_9-27 2" xfId="5189" xr:uid="{00000000-0005-0000-0000-00000F0C0000}"/>
    <cellStyle name="_MultipleSpace_GS_McFadden_ESRX_9-27" xfId="5190" xr:uid="{00000000-0005-0000-0000-0000100C0000}"/>
    <cellStyle name="_MultipleSpace_GS_McFadden_ESRX_9-27 2" xfId="5191" xr:uid="{00000000-0005-0000-0000-0000110C0000}"/>
    <cellStyle name="_MultipleSpace_GS_McFadden_HLTH_9-27" xfId="5192" xr:uid="{00000000-0005-0000-0000-0000120C0000}"/>
    <cellStyle name="_MultipleSpace_GS_McFadden_HLTH_9-27 2" xfId="5193" xr:uid="{00000000-0005-0000-0000-0000130C0000}"/>
    <cellStyle name="_MultipleSpace_GS_McFadden_HSIC" xfId="5194" xr:uid="{00000000-0005-0000-0000-0000140C0000}"/>
    <cellStyle name="_MultipleSpace_GS_McFadden_HSIC 2" xfId="5195" xr:uid="{00000000-0005-0000-0000-0000150C0000}"/>
    <cellStyle name="_MultipleSpace_GS_McFadden_ICLR_9-28" xfId="5196" xr:uid="{00000000-0005-0000-0000-0000160C0000}"/>
    <cellStyle name="_MultipleSpace_GS_McFadden_ICLR_9-28 2" xfId="5197" xr:uid="{00000000-0005-0000-0000-0000170C0000}"/>
    <cellStyle name="_MultipleSpace_GS_McFadden_MCK" xfId="5198" xr:uid="{00000000-0005-0000-0000-0000180C0000}"/>
    <cellStyle name="_MultipleSpace_GS_McFadden_MCK 2" xfId="5199" xr:uid="{00000000-0005-0000-0000-0000190C0000}"/>
    <cellStyle name="_MultipleSpace_GS_McFadden_MHS_9-27" xfId="5200" xr:uid="{00000000-0005-0000-0000-00001A0C0000}"/>
    <cellStyle name="_MultipleSpace_GS_McFadden_MHS_9-27 2" xfId="5201" xr:uid="{00000000-0005-0000-0000-00001B0C0000}"/>
    <cellStyle name="_MultipleSpace_GS_McFadden_NDC_9-28-04" xfId="5202" xr:uid="{00000000-0005-0000-0000-00001C0C0000}"/>
    <cellStyle name="_MultipleSpace_GS_McFadden_NDC_9-28-04 2" xfId="5203" xr:uid="{00000000-0005-0000-0000-00001D0C0000}"/>
    <cellStyle name="_MultipleSpace_GS_McFadden_PHCC_9-27" xfId="5204" xr:uid="{00000000-0005-0000-0000-00001E0C0000}"/>
    <cellStyle name="_MultipleSpace_GS_McFadden_PHCC_9-27 2" xfId="5205" xr:uid="{00000000-0005-0000-0000-00001F0C0000}"/>
    <cellStyle name="_MultipleSpace_GS_Mcfadden_PPDI_9-27" xfId="5206" xr:uid="{00000000-0005-0000-0000-0000200C0000}"/>
    <cellStyle name="_MultipleSpace_GS_Mcfadden_PPDI_9-27 2" xfId="5207" xr:uid="{00000000-0005-0000-0000-0000210C0000}"/>
    <cellStyle name="_MultipleSpace_GS_McFadden_PRXL-9-27" xfId="5208" xr:uid="{00000000-0005-0000-0000-0000220C0000}"/>
    <cellStyle name="_MultipleSpace_GS_McFadden_PRXL-9-27 2" xfId="5209" xr:uid="{00000000-0005-0000-0000-0000230C0000}"/>
    <cellStyle name="_MultipleSpace_GS_McFadden_PSSI_9-27" xfId="5210" xr:uid="{00000000-0005-0000-0000-0000240C0000}"/>
    <cellStyle name="_MultipleSpace_GS_McFadden_PSSI_9-27 2" xfId="5211" xr:uid="{00000000-0005-0000-0000-0000250C0000}"/>
    <cellStyle name="_MultipleSpace_GS_MDZ_ MASTER model 4-01-05 RS" xfId="5212" xr:uid="{00000000-0005-0000-0000-0000260C0000}"/>
    <cellStyle name="_MultipleSpace_GS_MDZ_ MASTER model 4-01-05 RS 2" xfId="5213" xr:uid="{00000000-0005-0000-0000-0000270C0000}"/>
    <cellStyle name="_MultipleSpace_gs_scur_internal " xfId="799" xr:uid="{00000000-0005-0000-0000-0000280C0000}"/>
    <cellStyle name="_MultipleSpace_gs_scur_internal  2" xfId="800" xr:uid="{00000000-0005-0000-0000-0000290C0000}"/>
    <cellStyle name="_MultipleSpace_gs_scur_internal  3" xfId="5214" xr:uid="{00000000-0005-0000-0000-00002A0C0000}"/>
    <cellStyle name="_MultipleSpace_Henry Schein" xfId="5215" xr:uid="{00000000-0005-0000-0000-00002B0C0000}"/>
    <cellStyle name="_MultipleSpace_Henry Schein 2" xfId="5216" xr:uid="{00000000-0005-0000-0000-00002C0C0000}"/>
    <cellStyle name="_MultipleSpace_Hist Summary" xfId="801" xr:uid="{00000000-0005-0000-0000-00002D0C0000}"/>
    <cellStyle name="_MultipleSpace_Hist Summary 2" xfId="5217" xr:uid="{00000000-0005-0000-0000-00002E0C0000}"/>
    <cellStyle name="_MultipleSpace_HLTH" xfId="5218" xr:uid="{00000000-0005-0000-0000-00002F0C0000}"/>
    <cellStyle name="_MultipleSpace_HLTH 2" xfId="5219" xr:uid="{00000000-0005-0000-0000-0000300C0000}"/>
    <cellStyle name="_MultipleSpace_Hospital Comp -10-24-05" xfId="5220" xr:uid="{00000000-0005-0000-0000-0000310C0000}"/>
    <cellStyle name="_MultipleSpace_Hospital Comp -10-24-05 2" xfId="5221" xr:uid="{00000000-0005-0000-0000-0000320C0000}"/>
    <cellStyle name="_MultipleSpace_HSIC" xfId="5222" xr:uid="{00000000-0005-0000-0000-0000330C0000}"/>
    <cellStyle name="_MultipleSpace_HSIC 2" xfId="5223" xr:uid="{00000000-0005-0000-0000-0000340C0000}"/>
    <cellStyle name="_MultipleSpace_Indian companies" xfId="5224" xr:uid="{00000000-0005-0000-0000-0000350C0000}"/>
    <cellStyle name="_MultipleSpace_Indian companies 2" xfId="5225" xr:uid="{00000000-0005-0000-0000-0000360C0000}"/>
    <cellStyle name="_MultipleSpace_Insurance Brokerage CSC_1Q2002" xfId="2820" xr:uid="{00000000-0005-0000-0000-0000370C0000}"/>
    <cellStyle name="_MultipleSpace_Insurance Brokerage CSC_1Q2002 2" xfId="5226" xr:uid="{00000000-0005-0000-0000-0000380C0000}"/>
    <cellStyle name="_MultipleSpace_Insurance Brokerage CSC_1Q2002_Origination Market Share-Qtr" xfId="5227" xr:uid="{00000000-0005-0000-0000-0000390C0000}"/>
    <cellStyle name="_MultipleSpace_Insurance Brokerage CSC_1Q2002_Origination Market Share-Qtr 2" xfId="5228" xr:uid="{00000000-0005-0000-0000-00003A0C0000}"/>
    <cellStyle name="_MultipleSpace_integrated_standalone_ba" xfId="5229" xr:uid="{00000000-0005-0000-0000-00003B0C0000}"/>
    <cellStyle name="_MultipleSpace_JDSUMOD" xfId="5230" xr:uid="{00000000-0005-0000-0000-00003C0C0000}"/>
    <cellStyle name="_MultipleSpace_JDSUMOD 2" xfId="5231" xr:uid="{00000000-0005-0000-0000-00003D0C0000}"/>
    <cellStyle name="_MultipleSpace_JOYG" xfId="802" xr:uid="{00000000-0005-0000-0000-00003E0C0000}"/>
    <cellStyle name="_MultipleSpace_JP" xfId="2821" xr:uid="{00000000-0005-0000-0000-00003F0C0000}"/>
    <cellStyle name="_MultipleSpace_JP 2" xfId="5232" xr:uid="{00000000-0005-0000-0000-0000400C0000}"/>
    <cellStyle name="_MultipleSpace_JP_Origination Market Share-Qtr" xfId="5233" xr:uid="{00000000-0005-0000-0000-0000410C0000}"/>
    <cellStyle name="_MultipleSpace_JP_Origination Market Share-Qtr 2" xfId="5234" xr:uid="{00000000-0005-0000-0000-0000420C0000}"/>
    <cellStyle name="_MultipleSpace_Kent" xfId="803" xr:uid="{00000000-0005-0000-0000-0000430C0000}"/>
    <cellStyle name="_MultipleSpace_Kent 2" xfId="5235" xr:uid="{00000000-0005-0000-0000-0000440C0000}"/>
    <cellStyle name="_MultipleSpace_Kent_New Version" xfId="5236" xr:uid="{00000000-0005-0000-0000-0000450C0000}"/>
    <cellStyle name="_MultipleSpace_Kent_New Version 2" xfId="5237" xr:uid="{00000000-0005-0000-0000-0000460C0000}"/>
    <cellStyle name="_MultipleSpace_Kent_Sheet2" xfId="5238" xr:uid="{00000000-0005-0000-0000-0000470C0000}"/>
    <cellStyle name="_MultipleSpace_Kent_Sheet2 2" xfId="5239" xr:uid="{00000000-0005-0000-0000-0000480C0000}"/>
    <cellStyle name="_MultipleSpace_Key poduct model" xfId="5240" xr:uid="{00000000-0005-0000-0000-0000490C0000}"/>
    <cellStyle name="_MultipleSpace_Key poduct model 2" xfId="5241" xr:uid="{00000000-0005-0000-0000-00004A0C0000}"/>
    <cellStyle name="_MultipleSpace_LNC" xfId="2822" xr:uid="{00000000-0005-0000-0000-00004B0C0000}"/>
    <cellStyle name="_MultipleSpace_LNC 2" xfId="5242" xr:uid="{00000000-0005-0000-0000-00004C0C0000}"/>
    <cellStyle name="_MultipleSpace_LNC_Origination Market Share-Qtr" xfId="5243" xr:uid="{00000000-0005-0000-0000-00004D0C0000}"/>
    <cellStyle name="_MultipleSpace_LNC_Origination Market Share-Qtr 2" xfId="5244" xr:uid="{00000000-0005-0000-0000-00004E0C0000}"/>
    <cellStyle name="_MultipleSpace_Loestrin 24" xfId="5245" xr:uid="{00000000-0005-0000-0000-00004F0C0000}"/>
    <cellStyle name="_MultipleSpace_Loestrin 24 2" xfId="5246" xr:uid="{00000000-0005-0000-0000-0000500C0000}"/>
    <cellStyle name="_MultipleSpace_Machinery group valuation" xfId="804" xr:uid="{00000000-0005-0000-0000-0000510C0000}"/>
    <cellStyle name="_MultipleSpace_Machinery group valuation 2" xfId="5247" xr:uid="{00000000-0005-0000-0000-0000520C0000}"/>
    <cellStyle name="_MultipleSpace_major holders 5-04" xfId="5248" xr:uid="{00000000-0005-0000-0000-0000530C0000}"/>
    <cellStyle name="_MultipleSpace_major holders 5-04 2" xfId="5249" xr:uid="{00000000-0005-0000-0000-0000540C0000}"/>
    <cellStyle name="_MultipleSpace_MCK" xfId="5250" xr:uid="{00000000-0005-0000-0000-0000550C0000}"/>
    <cellStyle name="_MultipleSpace_MCK 2" xfId="5251" xr:uid="{00000000-0005-0000-0000-0000560C0000}"/>
    <cellStyle name="_MultipleSpace_MDO breakdown" xfId="5252" xr:uid="{00000000-0005-0000-0000-0000570C0000}"/>
    <cellStyle name="_MultipleSpace_MDO breakdown 2" xfId="5253" xr:uid="{00000000-0005-0000-0000-0000580C0000}"/>
    <cellStyle name="_MultipleSpace_MDS" xfId="5254" xr:uid="{00000000-0005-0000-0000-0000590C0000}"/>
    <cellStyle name="_MultipleSpace_MDS 2" xfId="5255" xr:uid="{00000000-0005-0000-0000-00005A0C0000}"/>
    <cellStyle name="_MultipleSpace_Megace channel data" xfId="5256" xr:uid="{00000000-0005-0000-0000-00005B0C0000}"/>
    <cellStyle name="_MultipleSpace_Megace channel data 2" xfId="5257" xr:uid="{00000000-0005-0000-0000-00005C0C0000}"/>
    <cellStyle name="_MultipleSpace_Megace ES estimates" xfId="5258" xr:uid="{00000000-0005-0000-0000-00005D0C0000}"/>
    <cellStyle name="_MultipleSpace_Megace ES estimates 2" xfId="5259" xr:uid="{00000000-0005-0000-0000-00005E0C0000}"/>
    <cellStyle name="_MultipleSpace_Megace ES sales data" xfId="5260" xr:uid="{00000000-0005-0000-0000-00005F0C0000}"/>
    <cellStyle name="_MultipleSpace_Megace ES sales data 2" xfId="5261" xr:uid="{00000000-0005-0000-0000-0000600C0000}"/>
    <cellStyle name="_MultipleSpace_Megace Market IMS" xfId="5262" xr:uid="{00000000-0005-0000-0000-0000610C0000}"/>
    <cellStyle name="_MultipleSpace_Megace Market IMS 2" xfId="5263" xr:uid="{00000000-0005-0000-0000-0000620C0000}"/>
    <cellStyle name="_MultipleSpace_Megace NRx weekly" xfId="5264" xr:uid="{00000000-0005-0000-0000-0000630C0000}"/>
    <cellStyle name="_MultipleSpace_Megace NRx weekly 2" xfId="5265" xr:uid="{00000000-0005-0000-0000-0000640C0000}"/>
    <cellStyle name="_MultipleSpace_Megace TRx weekly" xfId="5266" xr:uid="{00000000-0005-0000-0000-0000650C0000}"/>
    <cellStyle name="_MultipleSpace_Megace TRx weekly 2" xfId="5267" xr:uid="{00000000-0005-0000-0000-0000660C0000}"/>
    <cellStyle name="_MultipleSpace_MET" xfId="2823" xr:uid="{00000000-0005-0000-0000-0000670C0000}"/>
    <cellStyle name="_MultipleSpace_MET 2" xfId="5268" xr:uid="{00000000-0005-0000-0000-0000680C0000}"/>
    <cellStyle name="_MultipleSpace_MET_Origination Market Share-Qtr" xfId="5269" xr:uid="{00000000-0005-0000-0000-0000690C0000}"/>
    <cellStyle name="_MultipleSpace_MET_Origination Market Share-Qtr 2" xfId="5270" xr:uid="{00000000-0005-0000-0000-00006A0C0000}"/>
    <cellStyle name="_MultipleSpace_MET04" xfId="2824" xr:uid="{00000000-0005-0000-0000-00006B0C0000}"/>
    <cellStyle name="_MultipleSpace_MET04_Origination Market Share-Qtr" xfId="5271" xr:uid="{00000000-0005-0000-0000-00006C0C0000}"/>
    <cellStyle name="_MultipleSpace_MHS" xfId="805" xr:uid="{00000000-0005-0000-0000-00006D0C0000}"/>
    <cellStyle name="_MultipleSpace_MHS 2" xfId="5272" xr:uid="{00000000-0005-0000-0000-00006E0C0000}"/>
    <cellStyle name="_MultipleSpace_MHS_New Version" xfId="5273" xr:uid="{00000000-0005-0000-0000-00006F0C0000}"/>
    <cellStyle name="_MultipleSpace_MHS_New Version 2" xfId="5274" xr:uid="{00000000-0005-0000-0000-0000700C0000}"/>
    <cellStyle name="_MultipleSpace_MHS_Sheet2" xfId="5275" xr:uid="{00000000-0005-0000-0000-0000710C0000}"/>
    <cellStyle name="_MultipleSpace_MHS_Sheet2 2" xfId="5276" xr:uid="{00000000-0005-0000-0000-0000720C0000}"/>
    <cellStyle name="_MultipleSpace_MLM" xfId="806" xr:uid="{00000000-0005-0000-0000-0000730C0000}"/>
    <cellStyle name="_MultipleSpace_MLP Val-Client-10_02_06" xfId="807" xr:uid="{00000000-0005-0000-0000-0000740C0000}"/>
    <cellStyle name="_MultipleSpace_MLP Val-Client-10_02_06 2" xfId="5277" xr:uid="{00000000-0005-0000-0000-0000750C0000}"/>
    <cellStyle name="_MultipleSpace_MNST" xfId="5278" xr:uid="{00000000-0005-0000-0000-0000760C0000}"/>
    <cellStyle name="_MultipleSpace_MNST 2" xfId="5279" xr:uid="{00000000-0005-0000-0000-0000770C0000}"/>
    <cellStyle name="_MultipleSpace_NAV" xfId="808" xr:uid="{00000000-0005-0000-0000-0000780C0000}"/>
    <cellStyle name="_MultipleSpace_New Version" xfId="5280" xr:uid="{00000000-0005-0000-0000-0000790C0000}"/>
    <cellStyle name="_MultipleSpace_New Version 2" xfId="5281" xr:uid="{00000000-0005-0000-0000-00007A0C0000}"/>
    <cellStyle name="_MultipleSpace_NFS" xfId="2825" xr:uid="{00000000-0005-0000-0000-00007B0C0000}"/>
    <cellStyle name="_MultipleSpace_NFS 2" xfId="5282" xr:uid="{00000000-0005-0000-0000-00007C0C0000}"/>
    <cellStyle name="_MultipleSpace_NFS_Origination Market Share-Qtr" xfId="5283" xr:uid="{00000000-0005-0000-0000-00007D0C0000}"/>
    <cellStyle name="_MultipleSpace_NFS_Origination Market Share-Qtr 2" xfId="5284" xr:uid="{00000000-0005-0000-0000-00007E0C0000}"/>
    <cellStyle name="_MultipleSpace_NRG 2005.07.22" xfId="809" xr:uid="{00000000-0005-0000-0000-00007F0C0000}"/>
    <cellStyle name="_MultipleSpace_NRG 2005.07.22 2" xfId="5285" xr:uid="{00000000-0005-0000-0000-0000800C0000}"/>
    <cellStyle name="_MultipleSpace_NTMOD" xfId="5286" xr:uid="{00000000-0005-0000-0000-0000810C0000}"/>
    <cellStyle name="_MultipleSpace_NTMOD 2" xfId="5287" xr:uid="{00000000-0005-0000-0000-0000820C0000}"/>
    <cellStyle name="_MultipleSpace_OpMod" xfId="5288" xr:uid="{00000000-0005-0000-0000-0000830C0000}"/>
    <cellStyle name="_MultipleSpace_Origination Market Share-Qtr" xfId="5289" xr:uid="{00000000-0005-0000-0000-0000840C0000}"/>
    <cellStyle name="_MultipleSpace_Origination Market Share-Qtr 2" xfId="5290" xr:uid="{00000000-0005-0000-0000-0000850C0000}"/>
    <cellStyle name="_MultipleSpace_Origination Market Share-Qtr_1" xfId="5291" xr:uid="{00000000-0005-0000-0000-0000860C0000}"/>
    <cellStyle name="_MultipleSpace_Origination Market Share-Qtr_1 2" xfId="5292" xr:uid="{00000000-0005-0000-0000-0000870C0000}"/>
    <cellStyle name="_MultipleSpace_OSK" xfId="810" xr:uid="{00000000-0005-0000-0000-0000880C0000}"/>
    <cellStyle name="_MultipleSpace_output" xfId="5293" xr:uid="{00000000-0005-0000-0000-0000890C0000}"/>
    <cellStyle name="_MultipleSpace_Overview3" xfId="2826" xr:uid="{00000000-0005-0000-0000-00008A0C0000}"/>
    <cellStyle name="_MultipleSpace_Overview3 2" xfId="5294" xr:uid="{00000000-0005-0000-0000-00008B0C0000}"/>
    <cellStyle name="_MultipleSpace_Overview3_Origination Market Share-Qtr" xfId="5295" xr:uid="{00000000-0005-0000-0000-00008C0C0000}"/>
    <cellStyle name="_MultipleSpace_Overview3_Origination Market Share-Qtr 2" xfId="5296" xr:uid="{00000000-0005-0000-0000-00008D0C0000}"/>
    <cellStyle name="_MultipleSpace_PCAR" xfId="811" xr:uid="{00000000-0005-0000-0000-00008E0C0000}"/>
    <cellStyle name="_MultipleSpace_PH" xfId="812" xr:uid="{00000000-0005-0000-0000-00008F0C0000}"/>
    <cellStyle name="_MultipleSpace_PHCC" xfId="5297" xr:uid="{00000000-0005-0000-0000-0000900C0000}"/>
    <cellStyle name="_MultipleSpace_PHCC 2" xfId="5298" xr:uid="{00000000-0005-0000-0000-0000910C0000}"/>
    <cellStyle name="_MultipleSpace_phil data" xfId="2827" xr:uid="{00000000-0005-0000-0000-0000920C0000}"/>
    <cellStyle name="_MultipleSpace_phil data 2" xfId="5299" xr:uid="{00000000-0005-0000-0000-0000930C0000}"/>
    <cellStyle name="_MultipleSpace_phil data_Origination Market Share-Qtr" xfId="5300" xr:uid="{00000000-0005-0000-0000-0000940C0000}"/>
    <cellStyle name="_MultipleSpace_phil data_Origination Market Share-Qtr 2" xfId="5301" xr:uid="{00000000-0005-0000-0000-0000950C0000}"/>
    <cellStyle name="_MultipleSpace_PRGO TEMPLATE 5-13-06" xfId="5302" xr:uid="{00000000-0005-0000-0000-0000960C0000}"/>
    <cellStyle name="_MultipleSpace_PRGO TEMPLATE 5-13-06 2" xfId="5303" xr:uid="{00000000-0005-0000-0000-0000970C0000}"/>
    <cellStyle name="_MultipleSpace_Price Performance Charts" xfId="2828" xr:uid="{00000000-0005-0000-0000-0000980C0000}"/>
    <cellStyle name="_MultipleSpace_Price Performance Charts_Origination Market Share-Qtr" xfId="5304" xr:uid="{00000000-0005-0000-0000-0000990C0000}"/>
    <cellStyle name="_MultipleSpace_PRU" xfId="2829" xr:uid="{00000000-0005-0000-0000-00009A0C0000}"/>
    <cellStyle name="_MultipleSpace_PRU_Origination Market Share-Qtr" xfId="5305" xr:uid="{00000000-0005-0000-0000-00009B0C0000}"/>
    <cellStyle name="_MultipleSpace_PRU04" xfId="2830" xr:uid="{00000000-0005-0000-0000-00009C0C0000}"/>
    <cellStyle name="_MultipleSpace_PRU04_Origination Market Share-Qtr" xfId="5306" xr:uid="{00000000-0005-0000-0000-00009D0C0000}"/>
    <cellStyle name="_MultipleSpace_PRXL" xfId="5307" xr:uid="{00000000-0005-0000-0000-00009E0C0000}"/>
    <cellStyle name="_MultipleSpace_PRXL 2" xfId="5308" xr:uid="{00000000-0005-0000-0000-00009F0C0000}"/>
    <cellStyle name="_MultipleSpace_PSSI" xfId="5309" xr:uid="{00000000-0005-0000-0000-0000A00C0000}"/>
    <cellStyle name="_MultipleSpace_PSSI 2" xfId="5310" xr:uid="{00000000-0005-0000-0000-0000A10C0000}"/>
    <cellStyle name="_MultipleSpace_QCOM_MOD" xfId="5311" xr:uid="{00000000-0005-0000-0000-0000A20C0000}"/>
    <cellStyle name="_MultipleSpace_QCOM_MOD 2" xfId="5312" xr:uid="{00000000-0005-0000-0000-0000A30C0000}"/>
    <cellStyle name="_MultipleSpace_QCOM_MOD_IN PROGRESS" xfId="5313" xr:uid="{00000000-0005-0000-0000-0000A40C0000}"/>
    <cellStyle name="_MultipleSpace_QCOM_MOD_IN PROGRESS 2" xfId="5314" xr:uid="{00000000-0005-0000-0000-0000A50C0000}"/>
    <cellStyle name="_MultipleSpace_QCOMMOD" xfId="5315" xr:uid="{00000000-0005-0000-0000-0000A60C0000}"/>
    <cellStyle name="_MultipleSpace_QCOMMOD 2" xfId="5316" xr:uid="{00000000-0005-0000-0000-0000A70C0000}"/>
    <cellStyle name="_MultipleSpace_QP_XXX" xfId="5317" xr:uid="{00000000-0005-0000-0000-0000A80C0000}"/>
    <cellStyle name="_MultipleSpace_quarterly preview" xfId="5318" xr:uid="{00000000-0005-0000-0000-0000A90C0000}"/>
    <cellStyle name="_MultipleSpace_quarterly preview 2" xfId="5319" xr:uid="{00000000-0005-0000-0000-0000AA0C0000}"/>
    <cellStyle name="_MultipleSpace_RBOC historicals" xfId="813" xr:uid="{00000000-0005-0000-0000-0000AB0C0000}"/>
    <cellStyle name="_MultipleSpace_RBOC historicals 2" xfId="814" xr:uid="{00000000-0005-0000-0000-0000AC0C0000}"/>
    <cellStyle name="_MultipleSpace_RBOC historicals 3" xfId="815" xr:uid="{00000000-0005-0000-0000-0000AD0C0000}"/>
    <cellStyle name="_MultipleSpace_RBOC historicals_AG" xfId="816" xr:uid="{00000000-0005-0000-0000-0000AE0C0000}"/>
    <cellStyle name="_MultipleSpace_RBOC historicals_CNH" xfId="817" xr:uid="{00000000-0005-0000-0000-0000AF0C0000}"/>
    <cellStyle name="_MultipleSpace_RBOC historicals_CNH 2" xfId="5320" xr:uid="{00000000-0005-0000-0000-0000B00C0000}"/>
    <cellStyle name="_MultipleSpace_RBOC historicals_DOV" xfId="818" xr:uid="{00000000-0005-0000-0000-0000B10C0000}"/>
    <cellStyle name="_MultipleSpace_RBOC historicals_DOV 2" xfId="5321" xr:uid="{00000000-0005-0000-0000-0000B20C0000}"/>
    <cellStyle name="_MultipleSpace_RBOC historicals_ETN" xfId="819" xr:uid="{00000000-0005-0000-0000-0000B30C0000}"/>
    <cellStyle name="_MultipleSpace_RBOC historicals_ETN 2" xfId="5322" xr:uid="{00000000-0005-0000-0000-0000B40C0000}"/>
    <cellStyle name="_MultipleSpace_RBOC historicals_FSS" xfId="820" xr:uid="{00000000-0005-0000-0000-0000B50C0000}"/>
    <cellStyle name="_MultipleSpace_RBOC historicals_FSS 2" xfId="5323" xr:uid="{00000000-0005-0000-0000-0000B60C0000}"/>
    <cellStyle name="_MultipleSpace_RBOC historicals_JOYG" xfId="821" xr:uid="{00000000-0005-0000-0000-0000B70C0000}"/>
    <cellStyle name="_MultipleSpace_RBOC historicals_MDO breakdown" xfId="5324" xr:uid="{00000000-0005-0000-0000-0000B80C0000}"/>
    <cellStyle name="_MultipleSpace_RBOC historicals_MDO breakdown 2" xfId="5325" xr:uid="{00000000-0005-0000-0000-0000B90C0000}"/>
    <cellStyle name="_MultipleSpace_RBOC historicals_MLM" xfId="822" xr:uid="{00000000-0005-0000-0000-0000BA0C0000}"/>
    <cellStyle name="_MultipleSpace_RBOC historicals_NAV" xfId="823" xr:uid="{00000000-0005-0000-0000-0000BB0C0000}"/>
    <cellStyle name="_MultipleSpace_RBOC historicals_New Version" xfId="5326" xr:uid="{00000000-0005-0000-0000-0000BC0C0000}"/>
    <cellStyle name="_MultipleSpace_RBOC historicals_New Version 2" xfId="5327" xr:uid="{00000000-0005-0000-0000-0000BD0C0000}"/>
    <cellStyle name="_MultipleSpace_RBOC historicals_OSK" xfId="824" xr:uid="{00000000-0005-0000-0000-0000BE0C0000}"/>
    <cellStyle name="_MultipleSpace_RBOC historicals_PCAR" xfId="825" xr:uid="{00000000-0005-0000-0000-0000BF0C0000}"/>
    <cellStyle name="_MultipleSpace_RBOC historicals_PH" xfId="826" xr:uid="{00000000-0005-0000-0000-0000C00C0000}"/>
    <cellStyle name="_MultipleSpace_RBOC historicals_Sheet2" xfId="5328" xr:uid="{00000000-0005-0000-0000-0000C10C0000}"/>
    <cellStyle name="_MultipleSpace_RBOC historicals_Sheet2 2" xfId="5329" xr:uid="{00000000-0005-0000-0000-0000C20C0000}"/>
    <cellStyle name="_MultipleSpace_Rev" xfId="5330" xr:uid="{00000000-0005-0000-0000-0000C30C0000}"/>
    <cellStyle name="_MultipleSpace_Rev 2" xfId="5331" xr:uid="{00000000-0005-0000-0000-0000C40C0000}"/>
    <cellStyle name="_MultipleSpace_RIMMMOD" xfId="5332" xr:uid="{00000000-0005-0000-0000-0000C50C0000}"/>
    <cellStyle name="_MultipleSpace_RIMMMOD 2" xfId="5333" xr:uid="{00000000-0005-0000-0000-0000C60C0000}"/>
    <cellStyle name="_MultipleSpace_RiskReward" xfId="2831" xr:uid="{00000000-0005-0000-0000-0000C70C0000}"/>
    <cellStyle name="_MultipleSpace_RiskReward 2" xfId="5334" xr:uid="{00000000-0005-0000-0000-0000C80C0000}"/>
    <cellStyle name="_MultipleSpace_RiskReward_Origination Market Share-Qtr" xfId="5335" xr:uid="{00000000-0005-0000-0000-0000C90C0000}"/>
    <cellStyle name="_MultipleSpace_RiskReward_Origination Market Share-Qtr 2" xfId="5336" xr:uid="{00000000-0005-0000-0000-0000CA0C0000}"/>
    <cellStyle name="_MultipleSpace_ROE" xfId="5337" xr:uid="{00000000-0005-0000-0000-0000CB0C0000}"/>
    <cellStyle name="_MultipleSpace_ROE 2" xfId="5338" xr:uid="{00000000-0005-0000-0000-0000CC0C0000}"/>
    <cellStyle name="_MultipleSpace_Seasonale" xfId="5339" xr:uid="{00000000-0005-0000-0000-0000CD0C0000}"/>
    <cellStyle name="_MultipleSpace_Seasonale 2" xfId="5340" xr:uid="{00000000-0005-0000-0000-0000CE0C0000}"/>
    <cellStyle name="_MultipleSpace_Segment breakout" xfId="5341" xr:uid="{00000000-0005-0000-0000-0000CF0C0000}"/>
    <cellStyle name="_MultipleSpace_Segment breakout 2" xfId="5342" xr:uid="{00000000-0005-0000-0000-0000D00C0000}"/>
    <cellStyle name="_MultipleSpace_segment graph data" xfId="5343" xr:uid="{00000000-0005-0000-0000-0000D10C0000}"/>
    <cellStyle name="_MultipleSpace_segment graph data 2" xfId="5344" xr:uid="{00000000-0005-0000-0000-0000D20C0000}"/>
    <cellStyle name="_MultipleSpace_SFG" xfId="2832" xr:uid="{00000000-0005-0000-0000-0000D30C0000}"/>
    <cellStyle name="_MultipleSpace_SFG_Origination Market Share-Qtr" xfId="5345" xr:uid="{00000000-0005-0000-0000-0000D40C0000}"/>
    <cellStyle name="_MultipleSpace_Sheet1" xfId="827" xr:uid="{00000000-0005-0000-0000-0000D50C0000}"/>
    <cellStyle name="_MultipleSpace_Sheet1 2" xfId="3077" xr:uid="{00000000-0005-0000-0000-0000D60C0000}"/>
    <cellStyle name="_MultipleSpace_Sheet1 3" xfId="7068" xr:uid="{00000000-0005-0000-0000-0000D70C0000}"/>
    <cellStyle name="_MultipleSpace_Sheet1 4" xfId="7069" xr:uid="{00000000-0005-0000-0000-0000D80C0000}"/>
    <cellStyle name="_MultipleSpace_Sheet1_Agis" xfId="5346" xr:uid="{00000000-0005-0000-0000-0000D90C0000}"/>
    <cellStyle name="_MultipleSpace_Sheet1_Agis 2" xfId="5347" xr:uid="{00000000-0005-0000-0000-0000DA0C0000}"/>
    <cellStyle name="_MultipleSpace_Sheet1_CEPH working" xfId="5348" xr:uid="{00000000-0005-0000-0000-0000DB0C0000}"/>
    <cellStyle name="_MultipleSpace_Sheet1_CEPH working 2" xfId="5349" xr:uid="{00000000-0005-0000-0000-0000DC0C0000}"/>
    <cellStyle name="_MultipleSpace_Sheet1_Disclaimer" xfId="5350" xr:uid="{00000000-0005-0000-0000-0000DD0C0000}"/>
    <cellStyle name="_MultipleSpace_Sheet1_Disclaimer 2" xfId="5351" xr:uid="{00000000-0005-0000-0000-0000DE0C0000}"/>
    <cellStyle name="_MultipleSpace_Sheet1_document(1)" xfId="5352" xr:uid="{00000000-0005-0000-0000-0000DF0C0000}"/>
    <cellStyle name="_MultipleSpace_Sheet1_document(1) 2" xfId="5353" xr:uid="{00000000-0005-0000-0000-0000E00C0000}"/>
    <cellStyle name="_MultipleSpace_Sheet1_GQ" xfId="5354" xr:uid="{00000000-0005-0000-0000-0000E10C0000}"/>
    <cellStyle name="_MultipleSpace_Sheet1_GQ 2" xfId="5355" xr:uid="{00000000-0005-0000-0000-0000E20C0000}"/>
    <cellStyle name="_MultipleSpace_Sheet1_IS" xfId="5356" xr:uid="{00000000-0005-0000-0000-0000E30C0000}"/>
    <cellStyle name="_MultipleSpace_Sheet1_IS 2" xfId="5357" xr:uid="{00000000-0005-0000-0000-0000E40C0000}"/>
    <cellStyle name="_MultipleSpace_Sheet1_Key poduct model" xfId="5358" xr:uid="{00000000-0005-0000-0000-0000E50C0000}"/>
    <cellStyle name="_MultipleSpace_Sheet1_Key poduct model 2" xfId="5359" xr:uid="{00000000-0005-0000-0000-0000E60C0000}"/>
    <cellStyle name="_MultipleSpace_Sheet1_Mainsheet - consolidated" xfId="5360" xr:uid="{00000000-0005-0000-0000-0000E70C0000}"/>
    <cellStyle name="_MultipleSpace_Sheet1_Mainsheet - consolidated 2" xfId="5361" xr:uid="{00000000-0005-0000-0000-0000E80C0000}"/>
    <cellStyle name="_MultipleSpace_Sheet1_MASTER Stanicky-WC 10-28-06 LAUNCH" xfId="5362" xr:uid="{00000000-0005-0000-0000-0000E90C0000}"/>
    <cellStyle name="_MultipleSpace_Sheet1_MASTER Stanicky-WC 10-28-06 LAUNCH 2" xfId="5363" xr:uid="{00000000-0005-0000-0000-0000EA0C0000}"/>
    <cellStyle name="_MultipleSpace_Sheet1_New Version" xfId="5364" xr:uid="{00000000-0005-0000-0000-0000EB0C0000}"/>
    <cellStyle name="_MultipleSpace_Sheet1_New Version 2" xfId="5365" xr:uid="{00000000-0005-0000-0000-0000EC0C0000}"/>
    <cellStyle name="_MultipleSpace_Sheet1_Origination Market Share-Qtr" xfId="5366" xr:uid="{00000000-0005-0000-0000-0000ED0C0000}"/>
    <cellStyle name="_MultipleSpace_Sheet1_Origination Market Share-Qtr 2" xfId="5367" xr:uid="{00000000-0005-0000-0000-0000EE0C0000}"/>
    <cellStyle name="_MultipleSpace_Sheet1_SEPR working" xfId="5368" xr:uid="{00000000-0005-0000-0000-0000EF0C0000}"/>
    <cellStyle name="_MultipleSpace_Sheet1_SEPR working 2" xfId="5369" xr:uid="{00000000-0005-0000-0000-0000F00C0000}"/>
    <cellStyle name="_MultipleSpace_Sheet1_Sheet2" xfId="5370" xr:uid="{00000000-0005-0000-0000-0000F10C0000}"/>
    <cellStyle name="_MultipleSpace_Sheet1_Sheet2 2" xfId="5371" xr:uid="{00000000-0005-0000-0000-0000F20C0000}"/>
    <cellStyle name="_MultipleSpace_Sheet1_Sheet2_1" xfId="5372" xr:uid="{00000000-0005-0000-0000-0000F30C0000}"/>
    <cellStyle name="_MultipleSpace_Sheet1_Sheet2_1 2" xfId="5373" xr:uid="{00000000-0005-0000-0000-0000F40C0000}"/>
    <cellStyle name="_MultipleSpace_Sheet1_Sheet2_New Version" xfId="5374" xr:uid="{00000000-0005-0000-0000-0000F50C0000}"/>
    <cellStyle name="_MultipleSpace_Sheet1_Sheet2_New Version 2" xfId="5375" xr:uid="{00000000-0005-0000-0000-0000F60C0000}"/>
    <cellStyle name="_MultipleSpace_Sheet1_Sheet3" xfId="5376" xr:uid="{00000000-0005-0000-0000-0000F70C0000}"/>
    <cellStyle name="_MultipleSpace_Sheet1_Sheet3 2" xfId="5377" xr:uid="{00000000-0005-0000-0000-0000F80C0000}"/>
    <cellStyle name="_MultipleSpace_Sheet1_Sheet3_WC Ovcon forecast" xfId="5378" xr:uid="{00000000-0005-0000-0000-0000F90C0000}"/>
    <cellStyle name="_MultipleSpace_Sheet1_Sheet3_WC Ovcon forecast 2" xfId="5379" xr:uid="{00000000-0005-0000-0000-0000FA0C0000}"/>
    <cellStyle name="_MultipleSpace_Sheet1_SPEC Rx trend vs est " xfId="5380" xr:uid="{00000000-0005-0000-0000-0000FB0C0000}"/>
    <cellStyle name="_MultipleSpace_Sheet1_SPEC Rx trend vs est  2" xfId="5381" xr:uid="{00000000-0005-0000-0000-0000FC0C0000}"/>
    <cellStyle name="_MultipleSpace_Sheet1_Stanicky - Biovail 12-7-2006 FINAL" xfId="5382" xr:uid="{00000000-0005-0000-0000-0000FD0C0000}"/>
    <cellStyle name="_MultipleSpace_Sheet1_Stanicky - Biovail 12-7-2006 FINAL 2" xfId="5383" xr:uid="{00000000-0005-0000-0000-0000FE0C0000}"/>
    <cellStyle name="_MultipleSpace_Sheet1_WC Ovcon forecast" xfId="5384" xr:uid="{00000000-0005-0000-0000-0000FF0C0000}"/>
    <cellStyle name="_MultipleSpace_Sheet1_WC Ovcon forecast 2" xfId="5385" xr:uid="{00000000-0005-0000-0000-0000000D0000}"/>
    <cellStyle name="_MultipleSpace_Sheet1_WCRX working" xfId="5386" xr:uid="{00000000-0005-0000-0000-0000010D0000}"/>
    <cellStyle name="_MultipleSpace_Sheet1_WCRX working 2" xfId="5387" xr:uid="{00000000-0005-0000-0000-0000020D0000}"/>
    <cellStyle name="_MultipleSpace_Sheet13" xfId="5388" xr:uid="{00000000-0005-0000-0000-0000030D0000}"/>
    <cellStyle name="_MultipleSpace_Sheet13 2" xfId="5389" xr:uid="{00000000-0005-0000-0000-0000040D0000}"/>
    <cellStyle name="_MultipleSpace_Sheet2" xfId="5390" xr:uid="{00000000-0005-0000-0000-0000050D0000}"/>
    <cellStyle name="_MultipleSpace_Sheet2 2" xfId="5391" xr:uid="{00000000-0005-0000-0000-0000060D0000}"/>
    <cellStyle name="_MultipleSpace_Sheet3" xfId="5392" xr:uid="{00000000-0005-0000-0000-0000070D0000}"/>
    <cellStyle name="_MultipleSpace_Sheet3 2" xfId="5393" xr:uid="{00000000-0005-0000-0000-0000080D0000}"/>
    <cellStyle name="_MultipleSpace_Sheet6" xfId="5394" xr:uid="{00000000-0005-0000-0000-0000090D0000}"/>
    <cellStyle name="_MultipleSpace_Sheet6 2" xfId="5395" xr:uid="{00000000-0005-0000-0000-00000A0D0000}"/>
    <cellStyle name="_MultipleSpace_Snapshot" xfId="5396" xr:uid="{00000000-0005-0000-0000-00000B0D0000}"/>
    <cellStyle name="_MultipleSpace_Snapshot 2" xfId="5397" xr:uid="{00000000-0005-0000-0000-00000C0D0000}"/>
    <cellStyle name="_MultipleSpace_SOP" xfId="828" xr:uid="{00000000-0005-0000-0000-00000D0D0000}"/>
    <cellStyle name="_MultipleSpace_SOP 2" xfId="5398" xr:uid="{00000000-0005-0000-0000-00000E0D0000}"/>
    <cellStyle name="_MultipleSpace_Special situation" xfId="5399" xr:uid="{00000000-0005-0000-0000-00000F0D0000}"/>
    <cellStyle name="_MultipleSpace_Special situation 2" xfId="5400" xr:uid="{00000000-0005-0000-0000-0000100D0000}"/>
    <cellStyle name="_MultipleSpace_SRE" xfId="829" xr:uid="{00000000-0005-0000-0000-0000110D0000}"/>
    <cellStyle name="_MultipleSpace_SRE 2" xfId="5401" xr:uid="{00000000-0005-0000-0000-0000120D0000}"/>
    <cellStyle name="_MultipleSpace_SRE Working" xfId="830" xr:uid="{00000000-0005-0000-0000-0000130D0000}"/>
    <cellStyle name="_MultipleSpace_SRE Working 2" xfId="5402" xr:uid="{00000000-0005-0000-0000-0000140D0000}"/>
    <cellStyle name="_MultipleSpace_SSP" xfId="5403" xr:uid="{00000000-0005-0000-0000-0000150D0000}"/>
    <cellStyle name="_MultipleSpace_SSP 2" xfId="5404" xr:uid="{00000000-0005-0000-0000-0000160D0000}"/>
    <cellStyle name="_MultipleSpace_Stock-QTR1 FDS" xfId="2833" xr:uid="{00000000-0005-0000-0000-0000170D0000}"/>
    <cellStyle name="_MultipleSpace_Stock-QTR1 FDS_Origination Market Share-Qtr" xfId="5405" xr:uid="{00000000-0005-0000-0000-0000180D0000}"/>
    <cellStyle name="_MultipleSpace_symcqtis" xfId="831" xr:uid="{00000000-0005-0000-0000-0000190D0000}"/>
    <cellStyle name="_MultipleSpace_symcqtis_New Version" xfId="5406" xr:uid="{00000000-0005-0000-0000-00001A0D0000}"/>
    <cellStyle name="_MultipleSpace_symcqtis_Sheet2" xfId="5407" xr:uid="{00000000-0005-0000-0000-00001B0D0000}"/>
    <cellStyle name="_MultipleSpace_T - new" xfId="832" xr:uid="{00000000-0005-0000-0000-00001C0D0000}"/>
    <cellStyle name="_MultipleSpace_T - new 2" xfId="833" xr:uid="{00000000-0005-0000-0000-00001D0D0000}"/>
    <cellStyle name="_MultipleSpace_T - new 3" xfId="834" xr:uid="{00000000-0005-0000-0000-00001E0D0000}"/>
    <cellStyle name="_MultipleSpace_T - new_AG" xfId="835" xr:uid="{00000000-0005-0000-0000-00001F0D0000}"/>
    <cellStyle name="_MultipleSpace_T - new_CNH" xfId="836" xr:uid="{00000000-0005-0000-0000-0000200D0000}"/>
    <cellStyle name="_MultipleSpace_T - new_CNH 2" xfId="5408" xr:uid="{00000000-0005-0000-0000-0000210D0000}"/>
    <cellStyle name="_MultipleSpace_T - new_DOV" xfId="837" xr:uid="{00000000-0005-0000-0000-0000220D0000}"/>
    <cellStyle name="_MultipleSpace_T - new_DOV 2" xfId="5409" xr:uid="{00000000-0005-0000-0000-0000230D0000}"/>
    <cellStyle name="_MultipleSpace_T - new_ETN" xfId="838" xr:uid="{00000000-0005-0000-0000-0000240D0000}"/>
    <cellStyle name="_MultipleSpace_T - new_ETN 2" xfId="5410" xr:uid="{00000000-0005-0000-0000-0000250D0000}"/>
    <cellStyle name="_MultipleSpace_T - new_FSS" xfId="839" xr:uid="{00000000-0005-0000-0000-0000260D0000}"/>
    <cellStyle name="_MultipleSpace_T - new_FSS 2" xfId="5411" xr:uid="{00000000-0005-0000-0000-0000270D0000}"/>
    <cellStyle name="_MultipleSpace_T - new_JOYG" xfId="840" xr:uid="{00000000-0005-0000-0000-0000280D0000}"/>
    <cellStyle name="_MultipleSpace_T - new_MDO breakdown" xfId="5412" xr:uid="{00000000-0005-0000-0000-0000290D0000}"/>
    <cellStyle name="_MultipleSpace_T - new_MDO breakdown 2" xfId="5413" xr:uid="{00000000-0005-0000-0000-00002A0D0000}"/>
    <cellStyle name="_MultipleSpace_T - new_MLM" xfId="841" xr:uid="{00000000-0005-0000-0000-00002B0D0000}"/>
    <cellStyle name="_MultipleSpace_T - new_NAV" xfId="842" xr:uid="{00000000-0005-0000-0000-00002C0D0000}"/>
    <cellStyle name="_MultipleSpace_T - new_New Version" xfId="5414" xr:uid="{00000000-0005-0000-0000-00002D0D0000}"/>
    <cellStyle name="_MultipleSpace_T - new_New Version 2" xfId="5415" xr:uid="{00000000-0005-0000-0000-00002E0D0000}"/>
    <cellStyle name="_MultipleSpace_T - new_OSK" xfId="843" xr:uid="{00000000-0005-0000-0000-00002F0D0000}"/>
    <cellStyle name="_MultipleSpace_T - new_PCAR" xfId="844" xr:uid="{00000000-0005-0000-0000-0000300D0000}"/>
    <cellStyle name="_MultipleSpace_T - new_PH" xfId="845" xr:uid="{00000000-0005-0000-0000-0000310D0000}"/>
    <cellStyle name="_MultipleSpace_T - new_Sheet2" xfId="5416" xr:uid="{00000000-0005-0000-0000-0000320D0000}"/>
    <cellStyle name="_MultipleSpace_T - new_Sheet2 2" xfId="5417" xr:uid="{00000000-0005-0000-0000-0000330D0000}"/>
    <cellStyle name="_MultipleSpace_Taclonex - dovonex" xfId="5418" xr:uid="{00000000-0005-0000-0000-0000340D0000}"/>
    <cellStyle name="_MultipleSpace_Taclonex - dovonex 2" xfId="5419" xr:uid="{00000000-0005-0000-0000-0000350D0000}"/>
    <cellStyle name="_MultipleSpace_taro DSO 4-29-06" xfId="5420" xr:uid="{00000000-0005-0000-0000-0000360D0000}"/>
    <cellStyle name="_MultipleSpace_taro DSO 4-29-06 2" xfId="5421" xr:uid="{00000000-0005-0000-0000-0000370D0000}"/>
    <cellStyle name="_MultipleSpace_Tearsheet" xfId="5422" xr:uid="{00000000-0005-0000-0000-0000380D0000}"/>
    <cellStyle name="_MultipleSpace_Tearsheet 2" xfId="5423" xr:uid="{00000000-0005-0000-0000-0000390D0000}"/>
    <cellStyle name="_MultipleSpace_Testim" xfId="5424" xr:uid="{00000000-0005-0000-0000-00003A0D0000}"/>
    <cellStyle name="_MultipleSpace_Testim 2" xfId="5425" xr:uid="{00000000-0005-0000-0000-00003B0D0000}"/>
    <cellStyle name="_MultipleSpace_Teva - Qtrly IS" xfId="5426" xr:uid="{00000000-0005-0000-0000-00003C0D0000}"/>
    <cellStyle name="_MultipleSpace_Teva - Qtrly IS 2" xfId="5427" xr:uid="{00000000-0005-0000-0000-00003D0D0000}"/>
    <cellStyle name="_MultipleSpace_Teva main sheet" xfId="5428" xr:uid="{00000000-0005-0000-0000-00003E0D0000}"/>
    <cellStyle name="_MultipleSpace_Teva main sheet 2" xfId="5429" xr:uid="{00000000-0005-0000-0000-00003F0D0000}"/>
    <cellStyle name="_MultipleSpace_TMK" xfId="2834" xr:uid="{00000000-0005-0000-0000-0000400D0000}"/>
    <cellStyle name="_MultipleSpace_TMK 2" xfId="5430" xr:uid="{00000000-0005-0000-0000-0000410D0000}"/>
    <cellStyle name="_MultipleSpace_TMK_Origination Market Share-Qtr" xfId="5431" xr:uid="{00000000-0005-0000-0000-0000420D0000}"/>
    <cellStyle name="_MultipleSpace_TMK_Origination Market Share-Qtr 2" xfId="5432" xr:uid="{00000000-0005-0000-0000-0000430D0000}"/>
    <cellStyle name="_MultipleSpace_Updated Valuation Changes" xfId="2835" xr:uid="{00000000-0005-0000-0000-0000440D0000}"/>
    <cellStyle name="_MultipleSpace_Updated Valuation Changes 2" xfId="5433" xr:uid="{00000000-0005-0000-0000-0000450D0000}"/>
    <cellStyle name="_MultipleSpace_Updated Valuation Changes_Origination Market Share-Qtr" xfId="5434" xr:uid="{00000000-0005-0000-0000-0000460D0000}"/>
    <cellStyle name="_MultipleSpace_Updated Valuation Changes_Origination Market Share-Qtr 2" xfId="5435" xr:uid="{00000000-0005-0000-0000-0000470D0000}"/>
    <cellStyle name="_MultipleSpace_Val Sheets" xfId="846" xr:uid="{00000000-0005-0000-0000-0000480D0000}"/>
    <cellStyle name="_MultipleSpace_Val Sheets 2" xfId="5436" xr:uid="{00000000-0005-0000-0000-0000490D0000}"/>
    <cellStyle name="_MultipleSpace_Val Sheets_Adjustments" xfId="5437" xr:uid="{00000000-0005-0000-0000-00004A0D0000}"/>
    <cellStyle name="_MultipleSpace_Val Sheets_Adjustments 2" xfId="5438" xr:uid="{00000000-0005-0000-0000-00004B0D0000}"/>
    <cellStyle name="_MultipleSpace_Valuation and Benchmarking Template" xfId="5439" xr:uid="{00000000-0005-0000-0000-00004C0D0000}"/>
    <cellStyle name="_MultipleSpace_Valuation Graphs" xfId="2836" xr:uid="{00000000-0005-0000-0000-00004D0D0000}"/>
    <cellStyle name="_MultipleSpace_Valuation Graphs 2" xfId="5440" xr:uid="{00000000-0005-0000-0000-00004E0D0000}"/>
    <cellStyle name="_MultipleSpace_Valuation Graphs_Origination Market Share-Qtr" xfId="5441" xr:uid="{00000000-0005-0000-0000-00004F0D0000}"/>
    <cellStyle name="_MultipleSpace_Valuation Graphs_Origination Market Share-Qtr 2" xfId="5442" xr:uid="{00000000-0005-0000-0000-0000500D0000}"/>
    <cellStyle name="_MultipleSpace_WC Ovcon forecast" xfId="5443" xr:uid="{00000000-0005-0000-0000-0000510D0000}"/>
    <cellStyle name="_MultipleSpace_WC Ovcon forecast 2" xfId="5444" xr:uid="{00000000-0005-0000-0000-0000520D0000}"/>
    <cellStyle name="_MultipleSpace_WFT published 1-30-07 Client version (2)" xfId="847" xr:uid="{00000000-0005-0000-0000-0000530D0000}"/>
    <cellStyle name="_MultipleSpace_WFT published 1-30-07 Client version (2) 2" xfId="848" xr:uid="{00000000-0005-0000-0000-0000540D0000}"/>
    <cellStyle name="_MultipleSpace_Wireless data tables" xfId="5445" xr:uid="{00000000-0005-0000-0000-0000550D0000}"/>
    <cellStyle name="_MultipleSpace_Wireless data tables 2" xfId="5446" xr:uid="{00000000-0005-0000-0000-0000560D0000}"/>
    <cellStyle name="_MultipleSpace_xratio - historical mkt val" xfId="2837" xr:uid="{00000000-0005-0000-0000-0000570D0000}"/>
    <cellStyle name="_MultipleSpace_xratio - historical mkt val 2" xfId="5447" xr:uid="{00000000-0005-0000-0000-0000580D0000}"/>
    <cellStyle name="_MultipleSpace_xratio - historical mkt val_Origination Market Share-Qtr" xfId="5448" xr:uid="{00000000-0005-0000-0000-0000590D0000}"/>
    <cellStyle name="_MultipleSpace_xratio - historical mkt val_Origination Market Share-Qtr 2" xfId="5449" xr:uid="{00000000-0005-0000-0000-00005A0D0000}"/>
    <cellStyle name="—_Nath_Korean Monthly_Oct9" xfId="5450" xr:uid="{00000000-0005-0000-0000-00005B0D0000}"/>
    <cellStyle name="—_Nath_Korean Monthly_Oct9 2" xfId="5451" xr:uid="{00000000-0005-0000-0000-00005C0D0000}"/>
    <cellStyle name="_Op Mod" xfId="5452" xr:uid="{00000000-0005-0000-0000-00005D0D0000}"/>
    <cellStyle name="_Op Mod 2" xfId="5453" xr:uid="{00000000-0005-0000-0000-00005E0D0000}"/>
    <cellStyle name="_OpMod" xfId="5454" xr:uid="{00000000-0005-0000-0000-00005F0D0000}"/>
    <cellStyle name="_OpMod 2" xfId="5455" xr:uid="{00000000-0005-0000-0000-0000600D0000}"/>
    <cellStyle name="_OpMod_Interims" xfId="5456" xr:uid="{00000000-0005-0000-0000-0000610D0000}"/>
    <cellStyle name="_OpMod_PSA" xfId="5457" xr:uid="{00000000-0005-0000-0000-0000620D0000}"/>
    <cellStyle name="_Percent" xfId="849" xr:uid="{00000000-0005-0000-0000-0000630D0000}"/>
    <cellStyle name="_Percent 2" xfId="850" xr:uid="{00000000-0005-0000-0000-0000640D0000}"/>
    <cellStyle name="_Percent 3" xfId="851" xr:uid="{00000000-0005-0000-0000-0000650D0000}"/>
    <cellStyle name="_Percent_1 Loestrin 24" xfId="5458" xr:uid="{00000000-0005-0000-0000-0000660D0000}"/>
    <cellStyle name="_Percent_1 Loestrin 24 2" xfId="5459" xr:uid="{00000000-0005-0000-0000-0000670D0000}"/>
    <cellStyle name="_Percent_1 Ovcon" xfId="5460" xr:uid="{00000000-0005-0000-0000-0000680D0000}"/>
    <cellStyle name="_Percent_1 Ovcon 2" xfId="5461" xr:uid="{00000000-0005-0000-0000-0000690D0000}"/>
    <cellStyle name="_Percent_1 Taclonex" xfId="5462" xr:uid="{00000000-0005-0000-0000-00006A0D0000}"/>
    <cellStyle name="_Percent_1 Taclonex 2" xfId="5463" xr:uid="{00000000-0005-0000-0000-00006B0D0000}"/>
    <cellStyle name="_Percent_4VAL DCF2" xfId="5464" xr:uid="{00000000-0005-0000-0000-00006C0D0000}"/>
    <cellStyle name="_Percent_4VAL DCF2 2" xfId="5465" xr:uid="{00000000-0005-0000-0000-00006D0D0000}"/>
    <cellStyle name="_Percent_Actiq" xfId="5466" xr:uid="{00000000-0005-0000-0000-00006E0D0000}"/>
    <cellStyle name="_Percent_Actiq 2" xfId="5467" xr:uid="{00000000-0005-0000-0000-00006F0D0000}"/>
    <cellStyle name="_Percent_Adjustments" xfId="5468" xr:uid="{00000000-0005-0000-0000-0000700D0000}"/>
    <cellStyle name="_Percent_Adjustments 2" xfId="5469" xr:uid="{00000000-0005-0000-0000-0000710D0000}"/>
    <cellStyle name="_Percent_AG" xfId="852" xr:uid="{00000000-0005-0000-0000-0000720D0000}"/>
    <cellStyle name="_Percent_Agis" xfId="5470" xr:uid="{00000000-0005-0000-0000-0000730D0000}"/>
    <cellStyle name="_Percent_Agis 2" xfId="5471" xr:uid="{00000000-0005-0000-0000-0000740D0000}"/>
    <cellStyle name="_Percent_ANDAs" xfId="5472" xr:uid="{00000000-0005-0000-0000-0000750D0000}"/>
    <cellStyle name="_Percent_ANDAs 2" xfId="5473" xr:uid="{00000000-0005-0000-0000-0000760D0000}"/>
    <cellStyle name="_Percent_ANDAs summary sheet" xfId="5474" xr:uid="{00000000-0005-0000-0000-0000770D0000}"/>
    <cellStyle name="_Percent_ANDAs summary sheet 2" xfId="5475" xr:uid="{00000000-0005-0000-0000-0000780D0000}"/>
    <cellStyle name="_Percent_ANDRX DDT" xfId="5476" xr:uid="{00000000-0005-0000-0000-0000790D0000}"/>
    <cellStyle name="_Percent_ANDRX DDT 2" xfId="5477" xr:uid="{00000000-0005-0000-0000-00007A0D0000}"/>
    <cellStyle name="_Percent_AutoPrice2000" xfId="5478" xr:uid="{00000000-0005-0000-0000-00007B0D0000}"/>
    <cellStyle name="_Percent_BHI" xfId="853" xr:uid="{00000000-0005-0000-0000-00007C0D0000}"/>
    <cellStyle name="_Percent_BHI 2" xfId="854" xr:uid="{00000000-0005-0000-0000-00007D0D0000}"/>
    <cellStyle name="_Percent_BHI 3" xfId="855" xr:uid="{00000000-0005-0000-0000-00007E0D0000}"/>
    <cellStyle name="_Percent_BHI_AG" xfId="856" xr:uid="{00000000-0005-0000-0000-00007F0D0000}"/>
    <cellStyle name="_Percent_BHI_CNH" xfId="857" xr:uid="{00000000-0005-0000-0000-0000800D0000}"/>
    <cellStyle name="_Percent_BHI_CNH 2" xfId="5479" xr:uid="{00000000-0005-0000-0000-0000810D0000}"/>
    <cellStyle name="_Percent_BHI_DOV" xfId="858" xr:uid="{00000000-0005-0000-0000-0000820D0000}"/>
    <cellStyle name="_Percent_BHI_DOV 2" xfId="5480" xr:uid="{00000000-0005-0000-0000-0000830D0000}"/>
    <cellStyle name="_Percent_BHI_ETN" xfId="859" xr:uid="{00000000-0005-0000-0000-0000840D0000}"/>
    <cellStyle name="_Percent_BHI_ETN 2" xfId="5481" xr:uid="{00000000-0005-0000-0000-0000850D0000}"/>
    <cellStyle name="_Percent_BHI_FSS" xfId="860" xr:uid="{00000000-0005-0000-0000-0000860D0000}"/>
    <cellStyle name="_Percent_BHI_FSS 2" xfId="5482" xr:uid="{00000000-0005-0000-0000-0000870D0000}"/>
    <cellStyle name="_Percent_BHI_JOYG" xfId="861" xr:uid="{00000000-0005-0000-0000-0000880D0000}"/>
    <cellStyle name="_Percent_BHI_MLM" xfId="862" xr:uid="{00000000-0005-0000-0000-0000890D0000}"/>
    <cellStyle name="_Percent_BHI_NAV" xfId="863" xr:uid="{00000000-0005-0000-0000-00008A0D0000}"/>
    <cellStyle name="_Percent_BHI_OSK" xfId="864" xr:uid="{00000000-0005-0000-0000-00008B0D0000}"/>
    <cellStyle name="_Percent_BHI_PCAR" xfId="865" xr:uid="{00000000-0005-0000-0000-00008C0D0000}"/>
    <cellStyle name="_Percent_BHI_PH" xfId="866" xr:uid="{00000000-0005-0000-0000-00008D0D0000}"/>
    <cellStyle name="_Percent_BPB Detail" xfId="5483" xr:uid="{00000000-0005-0000-0000-00008E0D0000}"/>
    <cellStyle name="_Percent_Broadcasting" xfId="867" xr:uid="{00000000-0005-0000-0000-00008F0D0000}"/>
    <cellStyle name="_Percent_Broadcasting 2" xfId="5484" xr:uid="{00000000-0005-0000-0000-0000900D0000}"/>
    <cellStyle name="_Percent_Broadcasting_New Version" xfId="5485" xr:uid="{00000000-0005-0000-0000-0000910D0000}"/>
    <cellStyle name="_Percent_Broadcasting_New Version 2" xfId="5486" xr:uid="{00000000-0005-0000-0000-0000920D0000}"/>
    <cellStyle name="_Percent_Broadcasting_Sheet2" xfId="5487" xr:uid="{00000000-0005-0000-0000-0000930D0000}"/>
    <cellStyle name="_Percent_Broadcasting_Sheet2 2" xfId="5488" xr:uid="{00000000-0005-0000-0000-0000940D0000}"/>
    <cellStyle name="_Percent_CAPEX spend" xfId="5489" xr:uid="{00000000-0005-0000-0000-0000950D0000}"/>
    <cellStyle name="_Percent_CAPEX spend 2" xfId="5490" xr:uid="{00000000-0005-0000-0000-0000960D0000}"/>
    <cellStyle name="_Percent_CNH" xfId="868" xr:uid="{00000000-0005-0000-0000-0000970D0000}"/>
    <cellStyle name="_Percent_CNH 2" xfId="5491" xr:uid="{00000000-0005-0000-0000-0000980D0000}"/>
    <cellStyle name="_Percent_Commtech" xfId="869" xr:uid="{00000000-0005-0000-0000-0000990D0000}"/>
    <cellStyle name="_Percent_Commtech 2" xfId="5492" xr:uid="{00000000-0005-0000-0000-00009A0D0000}"/>
    <cellStyle name="_Percent_Commtech_New Version" xfId="5493" xr:uid="{00000000-0005-0000-0000-00009B0D0000}"/>
    <cellStyle name="_Percent_Commtech_New Version 2" xfId="5494" xr:uid="{00000000-0005-0000-0000-00009C0D0000}"/>
    <cellStyle name="_Percent_Commtech_Sheet2" xfId="5495" xr:uid="{00000000-0005-0000-0000-00009D0D0000}"/>
    <cellStyle name="_Percent_Commtech_Sheet2 2" xfId="5496" xr:uid="{00000000-0005-0000-0000-00009E0D0000}"/>
    <cellStyle name="_Percent_Competitors" xfId="5497" xr:uid="{00000000-0005-0000-0000-00009F0D0000}"/>
    <cellStyle name="_Percent_Competitors 2" xfId="5498" xr:uid="{00000000-0005-0000-0000-0000A00D0000}"/>
    <cellStyle name="_Percent_Consolidation" xfId="5499" xr:uid="{00000000-0005-0000-0000-0000A10D0000}"/>
    <cellStyle name="_Percent_Consolidation 2" xfId="5500" xr:uid="{00000000-0005-0000-0000-0000A20D0000}"/>
    <cellStyle name="_Percent_CSCO_MOD" xfId="5501" xr:uid="{00000000-0005-0000-0000-0000A30D0000}"/>
    <cellStyle name="_Percent_CSCO_MOD 2" xfId="5502" xr:uid="{00000000-0005-0000-0000-0000A40D0000}"/>
    <cellStyle name="_Percent_CSCOMOD" xfId="5503" xr:uid="{00000000-0005-0000-0000-0000A50D0000}"/>
    <cellStyle name="_Percent_CSCOMOD 2" xfId="5504" xr:uid="{00000000-0005-0000-0000-0000A60D0000}"/>
    <cellStyle name="_Percent_DCF Alexander Forbes" xfId="2838" xr:uid="{00000000-0005-0000-0000-0000A70D0000}"/>
    <cellStyle name="_Percent_DCF Alexander Forbes 2" xfId="5505" xr:uid="{00000000-0005-0000-0000-0000A80D0000}"/>
    <cellStyle name="_Percent_DCF Alexander Forbes_Origination Market Share-Qtr" xfId="5506" xr:uid="{00000000-0005-0000-0000-0000A90D0000}"/>
    <cellStyle name="_Percent_DCF Alexander Forbes_Origination Market Share-Qtr 2" xfId="5507" xr:uid="{00000000-0005-0000-0000-0000AA0D0000}"/>
    <cellStyle name="_Percent_Debt schedule" xfId="5508" xr:uid="{00000000-0005-0000-0000-0000AB0D0000}"/>
    <cellStyle name="_Percent_Debt schedule 2" xfId="5509" xr:uid="{00000000-0005-0000-0000-0000AC0D0000}"/>
    <cellStyle name="_Percent_document(1)" xfId="5510" xr:uid="{00000000-0005-0000-0000-0000AD0D0000}"/>
    <cellStyle name="_Percent_document(1) 2" xfId="5511" xr:uid="{00000000-0005-0000-0000-0000AE0D0000}"/>
    <cellStyle name="_Percent_DOV" xfId="870" xr:uid="{00000000-0005-0000-0000-0000AF0D0000}"/>
    <cellStyle name="_Percent_DOV 2" xfId="5512" xr:uid="{00000000-0005-0000-0000-0000B00D0000}"/>
    <cellStyle name="_Percent_DSO" xfId="5513" xr:uid="{00000000-0005-0000-0000-0000B10D0000}"/>
    <cellStyle name="_Percent_DSO 2" xfId="5514" xr:uid="{00000000-0005-0000-0000-0000B20D0000}"/>
    <cellStyle name="_Percent_EPS revision" xfId="5515" xr:uid="{00000000-0005-0000-0000-0000B30D0000}"/>
    <cellStyle name="_Percent_EPS revision 2" xfId="5516" xr:uid="{00000000-0005-0000-0000-0000B40D0000}"/>
    <cellStyle name="_Percent_EPS sensitivity" xfId="5517" xr:uid="{00000000-0005-0000-0000-0000B50D0000}"/>
    <cellStyle name="_Percent_EPS sensitivity 2" xfId="5518" xr:uid="{00000000-0005-0000-0000-0000B60D0000}"/>
    <cellStyle name="_Percent_ETN" xfId="871" xr:uid="{00000000-0005-0000-0000-0000B70D0000}"/>
    <cellStyle name="_Percent_ETN 2" xfId="5519" xr:uid="{00000000-0005-0000-0000-0000B80D0000}"/>
    <cellStyle name="_Percent_FBANDAs" xfId="5520" xr:uid="{00000000-0005-0000-0000-0000B90D0000}"/>
    <cellStyle name="_Percent_FBANDAs 2" xfId="5521" xr:uid="{00000000-0005-0000-0000-0000BA0D0000}"/>
    <cellStyle name="_Percent_Ferrlecit" xfId="5522" xr:uid="{00000000-0005-0000-0000-0000BB0D0000}"/>
    <cellStyle name="_Percent_Ferrlecit 2" xfId="5523" xr:uid="{00000000-0005-0000-0000-0000BC0D0000}"/>
    <cellStyle name="_Percent_FMBI MBHI Graphs" xfId="2839" xr:uid="{00000000-0005-0000-0000-0000BD0D0000}"/>
    <cellStyle name="_Percent_FMBI MBHI Graphs 07102001" xfId="2840" xr:uid="{00000000-0005-0000-0000-0000BE0D0000}"/>
    <cellStyle name="_Percent_FMBI MBHI Graphs 07102001 2" xfId="5524" xr:uid="{00000000-0005-0000-0000-0000BF0D0000}"/>
    <cellStyle name="_Percent_FMBI MBHI Graphs 07102001_Origination Market Share-Qtr" xfId="5525" xr:uid="{00000000-0005-0000-0000-0000C00D0000}"/>
    <cellStyle name="_Percent_FMBI MBHI Graphs 07102001_Origination Market Share-Qtr 2" xfId="5526" xr:uid="{00000000-0005-0000-0000-0000C10D0000}"/>
    <cellStyle name="_Percent_FMBI MBHI Graphs 2" xfId="5527" xr:uid="{00000000-0005-0000-0000-0000C20D0000}"/>
    <cellStyle name="_Percent_FMBI MBHI Graphs_7601" xfId="2841" xr:uid="{00000000-0005-0000-0000-0000C30D0000}"/>
    <cellStyle name="_Percent_FMBI MBHI Graphs_7601 2" xfId="5528" xr:uid="{00000000-0005-0000-0000-0000C40D0000}"/>
    <cellStyle name="_Percent_FMBI MBHI Graphs_7601_Origination Market Share-Qtr" xfId="5529" xr:uid="{00000000-0005-0000-0000-0000C50D0000}"/>
    <cellStyle name="_Percent_FMBI MBHI Graphs_7601_Origination Market Share-Qtr 2" xfId="5530" xr:uid="{00000000-0005-0000-0000-0000C60D0000}"/>
    <cellStyle name="_Percent_FMBI MBHI Graphs_Origination Market Share-Qtr" xfId="5531" xr:uid="{00000000-0005-0000-0000-0000C70D0000}"/>
    <cellStyle name="_Percent_FMBI MBHI Graphs_Origination Market Share-Qtr 2" xfId="5532" xr:uid="{00000000-0005-0000-0000-0000C80D0000}"/>
    <cellStyle name="_Percent_For charts" xfId="5533" xr:uid="{00000000-0005-0000-0000-0000C90D0000}"/>
    <cellStyle name="_Percent_For charts 2" xfId="5534" xr:uid="{00000000-0005-0000-0000-0000CA0D0000}"/>
    <cellStyle name="_Percent_FSS" xfId="872" xr:uid="{00000000-0005-0000-0000-0000CB0D0000}"/>
    <cellStyle name="_Percent_FSS 2" xfId="5535" xr:uid="{00000000-0005-0000-0000-0000CC0D0000}"/>
    <cellStyle name="_Percent_Gen pipe" xfId="5536" xr:uid="{00000000-0005-0000-0000-0000CD0D0000}"/>
    <cellStyle name="_Percent_Gen pipe 2" xfId="5537" xr:uid="{00000000-0005-0000-0000-0000CE0D0000}"/>
    <cellStyle name="_Percent_Global Autos Database 2005" xfId="5538" xr:uid="{00000000-0005-0000-0000-0000CF0D0000}"/>
    <cellStyle name="_Percent_Global ROIC 2007" xfId="5539" xr:uid="{00000000-0005-0000-0000-0000D00D0000}"/>
    <cellStyle name="_Percent_GLWMOD" xfId="5540" xr:uid="{00000000-0005-0000-0000-0000D10D0000}"/>
    <cellStyle name="_Percent_GLWMOD 2" xfId="5541" xr:uid="{00000000-0005-0000-0000-0000D20D0000}"/>
    <cellStyle name="_Percent_Gross Margin" xfId="5542" xr:uid="{00000000-0005-0000-0000-0000D30D0000}"/>
    <cellStyle name="_Percent_Gross Margin 2" xfId="5543" xr:uid="{00000000-0005-0000-0000-0000D40D0000}"/>
    <cellStyle name="_Percent_GS_Brant_CSCO_mod (Working)" xfId="873" xr:uid="{00000000-0005-0000-0000-0000D50D0000}"/>
    <cellStyle name="_Percent_GS_Brant_CSCO_mod (Working) 2" xfId="5544" xr:uid="{00000000-0005-0000-0000-0000D60D0000}"/>
    <cellStyle name="_Percent_GS_Brant_CSCO_mod (Working)_New Version" xfId="5545" xr:uid="{00000000-0005-0000-0000-0000D70D0000}"/>
    <cellStyle name="_Percent_GS_Brant_CSCO_mod (Working)_New Version 2" xfId="5546" xr:uid="{00000000-0005-0000-0000-0000D80D0000}"/>
    <cellStyle name="_Percent_GS_Brant_CSCO_mod (Working)_Sheet2" xfId="5547" xr:uid="{00000000-0005-0000-0000-0000D90D0000}"/>
    <cellStyle name="_Percent_GS_Brant_CSCO_mod (Working)_Sheet2 2" xfId="5548" xr:uid="{00000000-0005-0000-0000-0000DA0D0000}"/>
    <cellStyle name="_Percent_GS_BRANT_MOTMOD" xfId="874" xr:uid="{00000000-0005-0000-0000-0000DB0D0000}"/>
    <cellStyle name="_Percent_GS_BRANT_MOTMOD 2" xfId="5549" xr:uid="{00000000-0005-0000-0000-0000DC0D0000}"/>
    <cellStyle name="_Percent_GS_BRANT_MOTMOD_New Version" xfId="5550" xr:uid="{00000000-0005-0000-0000-0000DD0D0000}"/>
    <cellStyle name="_Percent_GS_BRANT_MOTMOD_New Version 2" xfId="5551" xr:uid="{00000000-0005-0000-0000-0000DE0D0000}"/>
    <cellStyle name="_Percent_GS_BRANT_MOTMOD_Sheet2" xfId="5552" xr:uid="{00000000-0005-0000-0000-0000DF0D0000}"/>
    <cellStyle name="_Percent_GS_BRANT_MOTMOD_Sheet2 2" xfId="5553" xr:uid="{00000000-0005-0000-0000-0000E00D0000}"/>
    <cellStyle name="_Percent_GS_McFadden_CRL_4-1-05 RS" xfId="5554" xr:uid="{00000000-0005-0000-0000-0000E10D0000}"/>
    <cellStyle name="_Percent_GS_McFadden_CRL_4-1-05 RS 2" xfId="5555" xr:uid="{00000000-0005-0000-0000-0000E20D0000}"/>
    <cellStyle name="_Percent_GS_MDZ_ MASTER model 4-01-05 RS" xfId="5556" xr:uid="{00000000-0005-0000-0000-0000E30D0000}"/>
    <cellStyle name="_Percent_GS_MDZ_ MASTER model 4-01-05 RS 2" xfId="5557" xr:uid="{00000000-0005-0000-0000-0000E40D0000}"/>
    <cellStyle name="_Percent_gs_scur_internal " xfId="875" xr:uid="{00000000-0005-0000-0000-0000E50D0000}"/>
    <cellStyle name="_Percent_gs_scur_internal  2" xfId="876" xr:uid="{00000000-0005-0000-0000-0000E60D0000}"/>
    <cellStyle name="_Percent_gs_scur_internal  3" xfId="5558" xr:uid="{00000000-0005-0000-0000-0000E70D0000}"/>
    <cellStyle name="_Percent_Hist Summary" xfId="877" xr:uid="{00000000-0005-0000-0000-0000E80D0000}"/>
    <cellStyle name="_Percent_Hist Summary 2" xfId="5559" xr:uid="{00000000-0005-0000-0000-0000E90D0000}"/>
    <cellStyle name="_Percent_Indian companies" xfId="5560" xr:uid="{00000000-0005-0000-0000-0000EA0D0000}"/>
    <cellStyle name="_Percent_Indian companies 2" xfId="5561" xr:uid="{00000000-0005-0000-0000-0000EB0D0000}"/>
    <cellStyle name="_Percent_JDSUMOD" xfId="5562" xr:uid="{00000000-0005-0000-0000-0000EC0D0000}"/>
    <cellStyle name="_Percent_JDSUMOD 2" xfId="5563" xr:uid="{00000000-0005-0000-0000-0000ED0D0000}"/>
    <cellStyle name="_Percent_JOYG" xfId="878" xr:uid="{00000000-0005-0000-0000-0000EE0D0000}"/>
    <cellStyle name="_Percent_Kent" xfId="879" xr:uid="{00000000-0005-0000-0000-0000EF0D0000}"/>
    <cellStyle name="_Percent_Kent 2" xfId="5564" xr:uid="{00000000-0005-0000-0000-0000F00D0000}"/>
    <cellStyle name="_Percent_Kent_New Version" xfId="5565" xr:uid="{00000000-0005-0000-0000-0000F10D0000}"/>
    <cellStyle name="_Percent_Kent_New Version 2" xfId="5566" xr:uid="{00000000-0005-0000-0000-0000F20D0000}"/>
    <cellStyle name="_Percent_Kent_Sheet2" xfId="5567" xr:uid="{00000000-0005-0000-0000-0000F30D0000}"/>
    <cellStyle name="_Percent_Kent_Sheet2 2" xfId="5568" xr:uid="{00000000-0005-0000-0000-0000F40D0000}"/>
    <cellStyle name="_Percent_Key poduct model" xfId="5569" xr:uid="{00000000-0005-0000-0000-0000F50D0000}"/>
    <cellStyle name="_Percent_Key poduct model 2" xfId="5570" xr:uid="{00000000-0005-0000-0000-0000F60D0000}"/>
    <cellStyle name="_Percent_Loestrin 24" xfId="5571" xr:uid="{00000000-0005-0000-0000-0000F70D0000}"/>
    <cellStyle name="_Percent_Loestrin 24 2" xfId="5572" xr:uid="{00000000-0005-0000-0000-0000F80D0000}"/>
    <cellStyle name="_Percent_Machinery group valuation" xfId="880" xr:uid="{00000000-0005-0000-0000-0000F90D0000}"/>
    <cellStyle name="_Percent_Machinery group valuation 2" xfId="5573" xr:uid="{00000000-0005-0000-0000-0000FA0D0000}"/>
    <cellStyle name="_Percent_major holders 5-04" xfId="5574" xr:uid="{00000000-0005-0000-0000-0000FB0D0000}"/>
    <cellStyle name="_Percent_major holders 5-04 2" xfId="5575" xr:uid="{00000000-0005-0000-0000-0000FC0D0000}"/>
    <cellStyle name="_Percent_MDO breakdown" xfId="5576" xr:uid="{00000000-0005-0000-0000-0000FD0D0000}"/>
    <cellStyle name="_Percent_MDO breakdown 2" xfId="5577" xr:uid="{00000000-0005-0000-0000-0000FE0D0000}"/>
    <cellStyle name="_Percent_Megace channel data" xfId="5578" xr:uid="{00000000-0005-0000-0000-0000FF0D0000}"/>
    <cellStyle name="_Percent_Megace channel data 2" xfId="5579" xr:uid="{00000000-0005-0000-0000-0000000E0000}"/>
    <cellStyle name="_Percent_Megace ES estimates" xfId="5580" xr:uid="{00000000-0005-0000-0000-0000010E0000}"/>
    <cellStyle name="_Percent_Megace ES estimates 2" xfId="5581" xr:uid="{00000000-0005-0000-0000-0000020E0000}"/>
    <cellStyle name="_Percent_Megace ES sales data" xfId="5582" xr:uid="{00000000-0005-0000-0000-0000030E0000}"/>
    <cellStyle name="_Percent_Megace ES sales data 2" xfId="5583" xr:uid="{00000000-0005-0000-0000-0000040E0000}"/>
    <cellStyle name="_Percent_Megace Market IMS" xfId="5584" xr:uid="{00000000-0005-0000-0000-0000050E0000}"/>
    <cellStyle name="_Percent_Megace Market IMS 2" xfId="5585" xr:uid="{00000000-0005-0000-0000-0000060E0000}"/>
    <cellStyle name="_Percent_Megace NRx weekly" xfId="5586" xr:uid="{00000000-0005-0000-0000-0000070E0000}"/>
    <cellStyle name="_Percent_Megace NRx weekly 2" xfId="5587" xr:uid="{00000000-0005-0000-0000-0000080E0000}"/>
    <cellStyle name="_Percent_Megace TRx weekly" xfId="5588" xr:uid="{00000000-0005-0000-0000-0000090E0000}"/>
    <cellStyle name="_Percent_Megace TRx weekly 2" xfId="5589" xr:uid="{00000000-0005-0000-0000-00000A0E0000}"/>
    <cellStyle name="_Percent_MLM" xfId="881" xr:uid="{00000000-0005-0000-0000-00000B0E0000}"/>
    <cellStyle name="_Percent_MLP Val-Client-10_02_06" xfId="882" xr:uid="{00000000-0005-0000-0000-00000C0E0000}"/>
    <cellStyle name="_Percent_MLP Val-Client-10_02_06 2" xfId="5590" xr:uid="{00000000-0005-0000-0000-00000D0E0000}"/>
    <cellStyle name="_Percent_NAV" xfId="883" xr:uid="{00000000-0005-0000-0000-00000E0E0000}"/>
    <cellStyle name="_Percent_New Version" xfId="5591" xr:uid="{00000000-0005-0000-0000-00000F0E0000}"/>
    <cellStyle name="_Percent_New Version 2" xfId="5592" xr:uid="{00000000-0005-0000-0000-0000100E0000}"/>
    <cellStyle name="_Percent_NTMOD" xfId="5593" xr:uid="{00000000-0005-0000-0000-0000110E0000}"/>
    <cellStyle name="_Percent_NTMOD 2" xfId="5594" xr:uid="{00000000-0005-0000-0000-0000120E0000}"/>
    <cellStyle name="_Percent_OpMod" xfId="5595" xr:uid="{00000000-0005-0000-0000-0000130E0000}"/>
    <cellStyle name="_Percent_Origination Market Share-Qtr" xfId="5596" xr:uid="{00000000-0005-0000-0000-0000140E0000}"/>
    <cellStyle name="_Percent_Origination Market Share-Qtr 2" xfId="5597" xr:uid="{00000000-0005-0000-0000-0000150E0000}"/>
    <cellStyle name="_Percent_Origination Market Share-Qtr_1" xfId="5598" xr:uid="{00000000-0005-0000-0000-0000160E0000}"/>
    <cellStyle name="_Percent_Origination Market Share-Qtr_1 2" xfId="5599" xr:uid="{00000000-0005-0000-0000-0000170E0000}"/>
    <cellStyle name="_Percent_OSK" xfId="884" xr:uid="{00000000-0005-0000-0000-0000180E0000}"/>
    <cellStyle name="_Percent_P&amp;L" xfId="5600" xr:uid="{00000000-0005-0000-0000-0000190E0000}"/>
    <cellStyle name="_Percent_PCAR" xfId="885" xr:uid="{00000000-0005-0000-0000-00001A0E0000}"/>
    <cellStyle name="_Percent_PH" xfId="886" xr:uid="{00000000-0005-0000-0000-00001B0E0000}"/>
    <cellStyle name="_Percent_PRGO TEMPLATE 5-13-06" xfId="5601" xr:uid="{00000000-0005-0000-0000-00001C0E0000}"/>
    <cellStyle name="_Percent_PRGO TEMPLATE 5-13-06 2" xfId="5602" xr:uid="{00000000-0005-0000-0000-00001D0E0000}"/>
    <cellStyle name="_Percent_QCOM_MOD" xfId="5603" xr:uid="{00000000-0005-0000-0000-00001E0E0000}"/>
    <cellStyle name="_Percent_QCOM_MOD 2" xfId="5604" xr:uid="{00000000-0005-0000-0000-00001F0E0000}"/>
    <cellStyle name="_Percent_QCOM_MOD_IN PROGRESS" xfId="5605" xr:uid="{00000000-0005-0000-0000-0000200E0000}"/>
    <cellStyle name="_Percent_QCOM_MOD_IN PROGRESS 2" xfId="5606" xr:uid="{00000000-0005-0000-0000-0000210E0000}"/>
    <cellStyle name="_Percent_QCOMMOD" xfId="5607" xr:uid="{00000000-0005-0000-0000-0000220E0000}"/>
    <cellStyle name="_Percent_QCOMMOD 2" xfId="5608" xr:uid="{00000000-0005-0000-0000-0000230E0000}"/>
    <cellStyle name="_Percent_QP_XXX" xfId="5609" xr:uid="{00000000-0005-0000-0000-0000240E0000}"/>
    <cellStyle name="_Percent_quarterly preview" xfId="5610" xr:uid="{00000000-0005-0000-0000-0000250E0000}"/>
    <cellStyle name="_Percent_quarterly preview 2" xfId="5611" xr:uid="{00000000-0005-0000-0000-0000260E0000}"/>
    <cellStyle name="_Percent_Rev" xfId="5612" xr:uid="{00000000-0005-0000-0000-0000270E0000}"/>
    <cellStyle name="_Percent_Rev 2" xfId="5613" xr:uid="{00000000-0005-0000-0000-0000280E0000}"/>
    <cellStyle name="_Percent_RIMMMOD" xfId="5614" xr:uid="{00000000-0005-0000-0000-0000290E0000}"/>
    <cellStyle name="_Percent_RIMMMOD 2" xfId="5615" xr:uid="{00000000-0005-0000-0000-00002A0E0000}"/>
    <cellStyle name="_Percent_ROE" xfId="5616" xr:uid="{00000000-0005-0000-0000-00002B0E0000}"/>
    <cellStyle name="_Percent_ROE 2" xfId="5617" xr:uid="{00000000-0005-0000-0000-00002C0E0000}"/>
    <cellStyle name="_Percent_Seasonale" xfId="5618" xr:uid="{00000000-0005-0000-0000-00002D0E0000}"/>
    <cellStyle name="_Percent_Seasonale 2" xfId="5619" xr:uid="{00000000-0005-0000-0000-00002E0E0000}"/>
    <cellStyle name="_Percent_Segment breakout" xfId="5620" xr:uid="{00000000-0005-0000-0000-00002F0E0000}"/>
    <cellStyle name="_Percent_Segment breakout 2" xfId="5621" xr:uid="{00000000-0005-0000-0000-0000300E0000}"/>
    <cellStyle name="_Percent_segment graph data" xfId="5622" xr:uid="{00000000-0005-0000-0000-0000310E0000}"/>
    <cellStyle name="_Percent_segment graph data 2" xfId="5623" xr:uid="{00000000-0005-0000-0000-0000320E0000}"/>
    <cellStyle name="_Percent_Segment Inputs - FFR Legacy" xfId="5624" xr:uid="{00000000-0005-0000-0000-0000330E0000}"/>
    <cellStyle name="_Percent_Sheet1" xfId="887" xr:uid="{00000000-0005-0000-0000-0000340E0000}"/>
    <cellStyle name="_Percent_Sheet1 2" xfId="5625" xr:uid="{00000000-0005-0000-0000-0000350E0000}"/>
    <cellStyle name="_Percent_Sheet1_Agis" xfId="5626" xr:uid="{00000000-0005-0000-0000-0000360E0000}"/>
    <cellStyle name="_Percent_Sheet1_Agis 2" xfId="5627" xr:uid="{00000000-0005-0000-0000-0000370E0000}"/>
    <cellStyle name="_Percent_Sheet1_CEPH working" xfId="5628" xr:uid="{00000000-0005-0000-0000-0000380E0000}"/>
    <cellStyle name="_Percent_Sheet1_CEPH working 2" xfId="5629" xr:uid="{00000000-0005-0000-0000-0000390E0000}"/>
    <cellStyle name="_Percent_Sheet1_document(1)" xfId="5630" xr:uid="{00000000-0005-0000-0000-00003A0E0000}"/>
    <cellStyle name="_Percent_Sheet1_document(1) 2" xfId="5631" xr:uid="{00000000-0005-0000-0000-00003B0E0000}"/>
    <cellStyle name="_Percent_Sheet1_GQ" xfId="5632" xr:uid="{00000000-0005-0000-0000-00003C0E0000}"/>
    <cellStyle name="_Percent_Sheet1_GQ 2" xfId="5633" xr:uid="{00000000-0005-0000-0000-00003D0E0000}"/>
    <cellStyle name="_Percent_Sheet1_IS" xfId="5634" xr:uid="{00000000-0005-0000-0000-00003E0E0000}"/>
    <cellStyle name="_Percent_Sheet1_IS 2" xfId="5635" xr:uid="{00000000-0005-0000-0000-00003F0E0000}"/>
    <cellStyle name="_Percent_Sheet1_Key poduct model" xfId="5636" xr:uid="{00000000-0005-0000-0000-0000400E0000}"/>
    <cellStyle name="_Percent_Sheet1_Key poduct model 2" xfId="5637" xr:uid="{00000000-0005-0000-0000-0000410E0000}"/>
    <cellStyle name="_Percent_Sheet1_Mainsheet - consolidated" xfId="5638" xr:uid="{00000000-0005-0000-0000-0000420E0000}"/>
    <cellStyle name="_Percent_Sheet1_Mainsheet - consolidated 2" xfId="5639" xr:uid="{00000000-0005-0000-0000-0000430E0000}"/>
    <cellStyle name="_Percent_Sheet1_MASTER Stanicky-WC 10-28-06 LAUNCH" xfId="5640" xr:uid="{00000000-0005-0000-0000-0000440E0000}"/>
    <cellStyle name="_Percent_Sheet1_MASTER Stanicky-WC 10-28-06 LAUNCH 2" xfId="5641" xr:uid="{00000000-0005-0000-0000-0000450E0000}"/>
    <cellStyle name="_Percent_Sheet1_New Version" xfId="5642" xr:uid="{00000000-0005-0000-0000-0000460E0000}"/>
    <cellStyle name="_Percent_Sheet1_New Version 2" xfId="5643" xr:uid="{00000000-0005-0000-0000-0000470E0000}"/>
    <cellStyle name="_Percent_Sheet1_SEPR working" xfId="5644" xr:uid="{00000000-0005-0000-0000-0000480E0000}"/>
    <cellStyle name="_Percent_Sheet1_SEPR working 2" xfId="5645" xr:uid="{00000000-0005-0000-0000-0000490E0000}"/>
    <cellStyle name="_Percent_Sheet1_Sheet2" xfId="5646" xr:uid="{00000000-0005-0000-0000-00004A0E0000}"/>
    <cellStyle name="_Percent_Sheet1_Sheet2 2" xfId="5647" xr:uid="{00000000-0005-0000-0000-00004B0E0000}"/>
    <cellStyle name="_Percent_Sheet1_Sheet3" xfId="5648" xr:uid="{00000000-0005-0000-0000-00004C0E0000}"/>
    <cellStyle name="_Percent_Sheet1_Sheet3 2" xfId="5649" xr:uid="{00000000-0005-0000-0000-00004D0E0000}"/>
    <cellStyle name="_Percent_Sheet1_Sheet3_WC Ovcon forecast" xfId="5650" xr:uid="{00000000-0005-0000-0000-00004E0E0000}"/>
    <cellStyle name="_Percent_Sheet1_Sheet3_WC Ovcon forecast 2" xfId="5651" xr:uid="{00000000-0005-0000-0000-00004F0E0000}"/>
    <cellStyle name="_Percent_Sheet1_SPEC Rx trend vs est " xfId="5652" xr:uid="{00000000-0005-0000-0000-0000500E0000}"/>
    <cellStyle name="_Percent_Sheet1_SPEC Rx trend vs est  2" xfId="5653" xr:uid="{00000000-0005-0000-0000-0000510E0000}"/>
    <cellStyle name="_Percent_Sheet1_Stanicky - Biovail 12-7-2006 FINAL" xfId="5654" xr:uid="{00000000-0005-0000-0000-0000520E0000}"/>
    <cellStyle name="_Percent_Sheet1_Stanicky - Biovail 12-7-2006 FINAL 2" xfId="5655" xr:uid="{00000000-0005-0000-0000-0000530E0000}"/>
    <cellStyle name="_Percent_Sheet1_WC Ovcon forecast" xfId="5656" xr:uid="{00000000-0005-0000-0000-0000540E0000}"/>
    <cellStyle name="_Percent_Sheet1_WC Ovcon forecast 2" xfId="5657" xr:uid="{00000000-0005-0000-0000-0000550E0000}"/>
    <cellStyle name="_Percent_Sheet1_WCRX working" xfId="5658" xr:uid="{00000000-0005-0000-0000-0000560E0000}"/>
    <cellStyle name="_Percent_Sheet1_WCRX working 2" xfId="5659" xr:uid="{00000000-0005-0000-0000-0000570E0000}"/>
    <cellStyle name="_Percent_Sheet13" xfId="5660" xr:uid="{00000000-0005-0000-0000-0000580E0000}"/>
    <cellStyle name="_Percent_Sheet13 2" xfId="5661" xr:uid="{00000000-0005-0000-0000-0000590E0000}"/>
    <cellStyle name="_Percent_Sheet2" xfId="5662" xr:uid="{00000000-0005-0000-0000-00005A0E0000}"/>
    <cellStyle name="_Percent_Sheet2 2" xfId="5663" xr:uid="{00000000-0005-0000-0000-00005B0E0000}"/>
    <cellStyle name="_Percent_Sheet3" xfId="5664" xr:uid="{00000000-0005-0000-0000-00005C0E0000}"/>
    <cellStyle name="_Percent_Sheet3 2" xfId="5665" xr:uid="{00000000-0005-0000-0000-00005D0E0000}"/>
    <cellStyle name="_Percent_Sheet6" xfId="5666" xr:uid="{00000000-0005-0000-0000-00005E0E0000}"/>
    <cellStyle name="_Percent_Sheet6 2" xfId="5667" xr:uid="{00000000-0005-0000-0000-00005F0E0000}"/>
    <cellStyle name="_Percent_Snapshot" xfId="5668" xr:uid="{00000000-0005-0000-0000-0000600E0000}"/>
    <cellStyle name="_Percent_Snapshot 2" xfId="5669" xr:uid="{00000000-0005-0000-0000-0000610E0000}"/>
    <cellStyle name="_Percent_Special situation" xfId="5670" xr:uid="{00000000-0005-0000-0000-0000620E0000}"/>
    <cellStyle name="_Percent_Special situation 2" xfId="5671" xr:uid="{00000000-0005-0000-0000-0000630E0000}"/>
    <cellStyle name="_Percent_St Gobain WIP" xfId="5672" xr:uid="{00000000-0005-0000-0000-0000640E0000}"/>
    <cellStyle name="_Percent_symcqtis" xfId="888" xr:uid="{00000000-0005-0000-0000-0000650E0000}"/>
    <cellStyle name="_Percent_symcqtis_New Version" xfId="5673" xr:uid="{00000000-0005-0000-0000-0000660E0000}"/>
    <cellStyle name="_Percent_symcqtis_Sheet2" xfId="5674" xr:uid="{00000000-0005-0000-0000-0000670E0000}"/>
    <cellStyle name="_Percent_Taclonex - dovonex" xfId="5675" xr:uid="{00000000-0005-0000-0000-0000680E0000}"/>
    <cellStyle name="_Percent_Taclonex - dovonex 2" xfId="5676" xr:uid="{00000000-0005-0000-0000-0000690E0000}"/>
    <cellStyle name="_Percent_taro DSO 4-29-06" xfId="5677" xr:uid="{00000000-0005-0000-0000-00006A0E0000}"/>
    <cellStyle name="_Percent_taro DSO 4-29-06 2" xfId="5678" xr:uid="{00000000-0005-0000-0000-00006B0E0000}"/>
    <cellStyle name="_Percent_Tearsheet" xfId="5679" xr:uid="{00000000-0005-0000-0000-00006C0E0000}"/>
    <cellStyle name="_Percent_Tearsheet 2" xfId="5680" xr:uid="{00000000-0005-0000-0000-00006D0E0000}"/>
    <cellStyle name="_Percent_Testim" xfId="5681" xr:uid="{00000000-0005-0000-0000-00006E0E0000}"/>
    <cellStyle name="_Percent_Testim 2" xfId="5682" xr:uid="{00000000-0005-0000-0000-00006F0E0000}"/>
    <cellStyle name="_Percent_Teva - Qtrly IS" xfId="5683" xr:uid="{00000000-0005-0000-0000-0000700E0000}"/>
    <cellStyle name="_Percent_Teva - Qtrly IS 2" xfId="5684" xr:uid="{00000000-0005-0000-0000-0000710E0000}"/>
    <cellStyle name="_Percent_Teva main sheet" xfId="5685" xr:uid="{00000000-0005-0000-0000-0000720E0000}"/>
    <cellStyle name="_Percent_Teva main sheet 2" xfId="5686" xr:uid="{00000000-0005-0000-0000-0000730E0000}"/>
    <cellStyle name="_Percent_Utility" xfId="889" xr:uid="{00000000-0005-0000-0000-0000740E0000}"/>
    <cellStyle name="_Percent_Utility 2" xfId="5687" xr:uid="{00000000-0005-0000-0000-0000750E0000}"/>
    <cellStyle name="_Percent_Valuation and Benchmarking Template" xfId="5688" xr:uid="{00000000-0005-0000-0000-0000760E0000}"/>
    <cellStyle name="_Percent_WC Ovcon forecast" xfId="5689" xr:uid="{00000000-0005-0000-0000-0000770E0000}"/>
    <cellStyle name="_Percent_WC Ovcon forecast 2" xfId="5690" xr:uid="{00000000-0005-0000-0000-0000780E0000}"/>
    <cellStyle name="_Percent_WFT published 1-30-07 Client version (2)" xfId="890" xr:uid="{00000000-0005-0000-0000-0000790E0000}"/>
    <cellStyle name="_Percent_WFT published 1-30-07 Client version (2) 2" xfId="891" xr:uid="{00000000-0005-0000-0000-00007A0E0000}"/>
    <cellStyle name="_Percent_Wireless data tables" xfId="5691" xr:uid="{00000000-0005-0000-0000-00007B0E0000}"/>
    <cellStyle name="_Percent_Wireless data tables 2" xfId="5692" xr:uid="{00000000-0005-0000-0000-00007C0E0000}"/>
    <cellStyle name="_PercentSpace" xfId="892" xr:uid="{00000000-0005-0000-0000-00007D0E0000}"/>
    <cellStyle name="_PercentSpace 2" xfId="893" xr:uid="{00000000-0005-0000-0000-00007E0E0000}"/>
    <cellStyle name="_PercentSpace 3" xfId="894" xr:uid="{00000000-0005-0000-0000-00007F0E0000}"/>
    <cellStyle name="_PercentSpace_01 adj for merger plan" xfId="2842" xr:uid="{00000000-0005-0000-0000-0000800E0000}"/>
    <cellStyle name="_PercentSpace_01 adj for merger plan 2" xfId="5693" xr:uid="{00000000-0005-0000-0000-0000810E0000}"/>
    <cellStyle name="_PercentSpace_01 adj for merger plan_Origination Market Share-Qtr" xfId="5694" xr:uid="{00000000-0005-0000-0000-0000820E0000}"/>
    <cellStyle name="_PercentSpace_01 adj for merger plan_Origination Market Share-Qtr 2" xfId="5695" xr:uid="{00000000-0005-0000-0000-0000830E0000}"/>
    <cellStyle name="_PercentSpace_1 Loestrin 24" xfId="5696" xr:uid="{00000000-0005-0000-0000-0000840E0000}"/>
    <cellStyle name="_PercentSpace_1 Loestrin 24 2" xfId="5697" xr:uid="{00000000-0005-0000-0000-0000850E0000}"/>
    <cellStyle name="_PercentSpace_1 Ovcon" xfId="5698" xr:uid="{00000000-0005-0000-0000-0000860E0000}"/>
    <cellStyle name="_PercentSpace_1 Ovcon 2" xfId="5699" xr:uid="{00000000-0005-0000-0000-0000870E0000}"/>
    <cellStyle name="_PercentSpace_1 Taclonex" xfId="5700" xr:uid="{00000000-0005-0000-0000-0000880E0000}"/>
    <cellStyle name="_PercentSpace_1 Taclonex 2" xfId="5701" xr:uid="{00000000-0005-0000-0000-0000890E0000}"/>
    <cellStyle name="_PercentSpace_4VAL DCF2" xfId="5702" xr:uid="{00000000-0005-0000-0000-00008A0E0000}"/>
    <cellStyle name="_PercentSpace_4VAL DCF2 2" xfId="5703" xr:uid="{00000000-0005-0000-0000-00008B0E0000}"/>
    <cellStyle name="_PercentSpace_Actiq" xfId="5704" xr:uid="{00000000-0005-0000-0000-00008C0E0000}"/>
    <cellStyle name="_PercentSpace_Actiq 2" xfId="5705" xr:uid="{00000000-0005-0000-0000-00008D0E0000}"/>
    <cellStyle name="_PercentSpace_Adjustments" xfId="5706" xr:uid="{00000000-0005-0000-0000-00008E0E0000}"/>
    <cellStyle name="_PercentSpace_Adjustments 2" xfId="5707" xr:uid="{00000000-0005-0000-0000-00008F0E0000}"/>
    <cellStyle name="_PercentSpace_AG" xfId="895" xr:uid="{00000000-0005-0000-0000-0000900E0000}"/>
    <cellStyle name="_PercentSpace_Agis" xfId="5708" xr:uid="{00000000-0005-0000-0000-0000910E0000}"/>
    <cellStyle name="_PercentSpace_Agis 2" xfId="5709" xr:uid="{00000000-0005-0000-0000-0000920E0000}"/>
    <cellStyle name="_PercentSpace_ANDAs" xfId="5710" xr:uid="{00000000-0005-0000-0000-0000930E0000}"/>
    <cellStyle name="_PercentSpace_ANDAs 2" xfId="5711" xr:uid="{00000000-0005-0000-0000-0000940E0000}"/>
    <cellStyle name="_PercentSpace_ANDAs summary sheet" xfId="5712" xr:uid="{00000000-0005-0000-0000-0000950E0000}"/>
    <cellStyle name="_PercentSpace_ANDAs summary sheet 2" xfId="5713" xr:uid="{00000000-0005-0000-0000-0000960E0000}"/>
    <cellStyle name="_PercentSpace_ANDRX DDT" xfId="5714" xr:uid="{00000000-0005-0000-0000-0000970E0000}"/>
    <cellStyle name="_PercentSpace_ANDRX DDT 2" xfId="5715" xr:uid="{00000000-0005-0000-0000-0000980E0000}"/>
    <cellStyle name="_PercentSpace_AutoPrice2000" xfId="5716" xr:uid="{00000000-0005-0000-0000-0000990E0000}"/>
    <cellStyle name="_PercentSpace_BHI" xfId="896" xr:uid="{00000000-0005-0000-0000-00009A0E0000}"/>
    <cellStyle name="_PercentSpace_BHI 2" xfId="897" xr:uid="{00000000-0005-0000-0000-00009B0E0000}"/>
    <cellStyle name="_PercentSpace_BHI 3" xfId="898" xr:uid="{00000000-0005-0000-0000-00009C0E0000}"/>
    <cellStyle name="_PercentSpace_BHI_AG" xfId="899" xr:uid="{00000000-0005-0000-0000-00009D0E0000}"/>
    <cellStyle name="_PercentSpace_BHI_CNH" xfId="900" xr:uid="{00000000-0005-0000-0000-00009E0E0000}"/>
    <cellStyle name="_PercentSpace_BHI_CNH 2" xfId="5717" xr:uid="{00000000-0005-0000-0000-00009F0E0000}"/>
    <cellStyle name="_PercentSpace_BHI_DOV" xfId="901" xr:uid="{00000000-0005-0000-0000-0000A00E0000}"/>
    <cellStyle name="_PercentSpace_BHI_DOV 2" xfId="5718" xr:uid="{00000000-0005-0000-0000-0000A10E0000}"/>
    <cellStyle name="_PercentSpace_BHI_ETN" xfId="902" xr:uid="{00000000-0005-0000-0000-0000A20E0000}"/>
    <cellStyle name="_PercentSpace_BHI_ETN 2" xfId="5719" xr:uid="{00000000-0005-0000-0000-0000A30E0000}"/>
    <cellStyle name="_PercentSpace_BHI_FSS" xfId="903" xr:uid="{00000000-0005-0000-0000-0000A40E0000}"/>
    <cellStyle name="_PercentSpace_BHI_FSS 2" xfId="5720" xr:uid="{00000000-0005-0000-0000-0000A50E0000}"/>
    <cellStyle name="_PercentSpace_BHI_JOYG" xfId="904" xr:uid="{00000000-0005-0000-0000-0000A60E0000}"/>
    <cellStyle name="_PercentSpace_BHI_MLM" xfId="905" xr:uid="{00000000-0005-0000-0000-0000A70E0000}"/>
    <cellStyle name="_PercentSpace_BHI_NAV" xfId="906" xr:uid="{00000000-0005-0000-0000-0000A80E0000}"/>
    <cellStyle name="_PercentSpace_BHI_OSK" xfId="907" xr:uid="{00000000-0005-0000-0000-0000A90E0000}"/>
    <cellStyle name="_PercentSpace_BHI_PCAR" xfId="908" xr:uid="{00000000-0005-0000-0000-0000AA0E0000}"/>
    <cellStyle name="_PercentSpace_BHI_PH" xfId="909" xr:uid="{00000000-0005-0000-0000-0000AB0E0000}"/>
    <cellStyle name="_PercentSpace_Broadcasting" xfId="910" xr:uid="{00000000-0005-0000-0000-0000AC0E0000}"/>
    <cellStyle name="_PercentSpace_Broadcasting 2" xfId="5721" xr:uid="{00000000-0005-0000-0000-0000AD0E0000}"/>
    <cellStyle name="_PercentSpace_Broadcasting_New Version" xfId="5722" xr:uid="{00000000-0005-0000-0000-0000AE0E0000}"/>
    <cellStyle name="_PercentSpace_Broadcasting_New Version 2" xfId="5723" xr:uid="{00000000-0005-0000-0000-0000AF0E0000}"/>
    <cellStyle name="_PercentSpace_Broadcasting_Sheet2" xfId="5724" xr:uid="{00000000-0005-0000-0000-0000B00E0000}"/>
    <cellStyle name="_PercentSpace_Broadcasting_Sheet2 2" xfId="5725" xr:uid="{00000000-0005-0000-0000-0000B10E0000}"/>
    <cellStyle name="_PercentSpace_CAPEX spend" xfId="5726" xr:uid="{00000000-0005-0000-0000-0000B20E0000}"/>
    <cellStyle name="_PercentSpace_CAPEX spend 2" xfId="5727" xr:uid="{00000000-0005-0000-0000-0000B30E0000}"/>
    <cellStyle name="_PercentSpace_CNH" xfId="911" xr:uid="{00000000-0005-0000-0000-0000B40E0000}"/>
    <cellStyle name="_PercentSpace_CNH 2" xfId="5728" xr:uid="{00000000-0005-0000-0000-0000B50E0000}"/>
    <cellStyle name="_PercentSpace_Commtech" xfId="912" xr:uid="{00000000-0005-0000-0000-0000B60E0000}"/>
    <cellStyle name="_PercentSpace_Commtech 2" xfId="5729" xr:uid="{00000000-0005-0000-0000-0000B70E0000}"/>
    <cellStyle name="_PercentSpace_Commtech_New Version" xfId="5730" xr:uid="{00000000-0005-0000-0000-0000B80E0000}"/>
    <cellStyle name="_PercentSpace_Commtech_New Version 2" xfId="5731" xr:uid="{00000000-0005-0000-0000-0000B90E0000}"/>
    <cellStyle name="_PercentSpace_Commtech_Sheet2" xfId="5732" xr:uid="{00000000-0005-0000-0000-0000BA0E0000}"/>
    <cellStyle name="_PercentSpace_Commtech_Sheet2 2" xfId="5733" xr:uid="{00000000-0005-0000-0000-0000BB0E0000}"/>
    <cellStyle name="_PercentSpace_Competitors" xfId="5734" xr:uid="{00000000-0005-0000-0000-0000BC0E0000}"/>
    <cellStyle name="_PercentSpace_Competitors 2" xfId="5735" xr:uid="{00000000-0005-0000-0000-0000BD0E0000}"/>
    <cellStyle name="_PercentSpace_Consolidation" xfId="5736" xr:uid="{00000000-0005-0000-0000-0000BE0E0000}"/>
    <cellStyle name="_PercentSpace_Consolidation 2" xfId="5737" xr:uid="{00000000-0005-0000-0000-0000BF0E0000}"/>
    <cellStyle name="_PercentSpace_CSCO_MOD" xfId="5738" xr:uid="{00000000-0005-0000-0000-0000C00E0000}"/>
    <cellStyle name="_PercentSpace_CSCO_MOD 2" xfId="5739" xr:uid="{00000000-0005-0000-0000-0000C10E0000}"/>
    <cellStyle name="_PercentSpace_CSCOMOD" xfId="5740" xr:uid="{00000000-0005-0000-0000-0000C20E0000}"/>
    <cellStyle name="_PercentSpace_CSCOMOD 2" xfId="5741" xr:uid="{00000000-0005-0000-0000-0000C30E0000}"/>
    <cellStyle name="_PercentSpace_DCF Alexander Forbes" xfId="2843" xr:uid="{00000000-0005-0000-0000-0000C40E0000}"/>
    <cellStyle name="_PercentSpace_DCF Alexander Forbes 2" xfId="5742" xr:uid="{00000000-0005-0000-0000-0000C50E0000}"/>
    <cellStyle name="_PercentSpace_DCF Alexander Forbes_Origination Market Share-Qtr" xfId="5743" xr:uid="{00000000-0005-0000-0000-0000C60E0000}"/>
    <cellStyle name="_PercentSpace_DCF Alexander Forbes_Origination Market Share-Qtr 2" xfId="5744" xr:uid="{00000000-0005-0000-0000-0000C70E0000}"/>
    <cellStyle name="_PercentSpace_Debt schedule" xfId="5745" xr:uid="{00000000-0005-0000-0000-0000C80E0000}"/>
    <cellStyle name="_PercentSpace_Debt schedule 2" xfId="5746" xr:uid="{00000000-0005-0000-0000-0000C90E0000}"/>
    <cellStyle name="_PercentSpace_document(1)" xfId="5747" xr:uid="{00000000-0005-0000-0000-0000CA0E0000}"/>
    <cellStyle name="_PercentSpace_document(1) 2" xfId="5748" xr:uid="{00000000-0005-0000-0000-0000CB0E0000}"/>
    <cellStyle name="_PercentSpace_DOV" xfId="913" xr:uid="{00000000-0005-0000-0000-0000CC0E0000}"/>
    <cellStyle name="_PercentSpace_DOV 2" xfId="5749" xr:uid="{00000000-0005-0000-0000-0000CD0E0000}"/>
    <cellStyle name="_PercentSpace_DSO" xfId="5750" xr:uid="{00000000-0005-0000-0000-0000CE0E0000}"/>
    <cellStyle name="_PercentSpace_DSO 2" xfId="5751" xr:uid="{00000000-0005-0000-0000-0000CF0E0000}"/>
    <cellStyle name="_PercentSpace_EPS revision" xfId="5752" xr:uid="{00000000-0005-0000-0000-0000D00E0000}"/>
    <cellStyle name="_PercentSpace_EPS revision 2" xfId="5753" xr:uid="{00000000-0005-0000-0000-0000D10E0000}"/>
    <cellStyle name="_PercentSpace_EPS sensitivity" xfId="5754" xr:uid="{00000000-0005-0000-0000-0000D20E0000}"/>
    <cellStyle name="_PercentSpace_EPS sensitivity 2" xfId="5755" xr:uid="{00000000-0005-0000-0000-0000D30E0000}"/>
    <cellStyle name="_PercentSpace_ETN" xfId="914" xr:uid="{00000000-0005-0000-0000-0000D40E0000}"/>
    <cellStyle name="_PercentSpace_ETN 2" xfId="5756" xr:uid="{00000000-0005-0000-0000-0000D50E0000}"/>
    <cellStyle name="_PercentSpace_FBANDAs" xfId="5757" xr:uid="{00000000-0005-0000-0000-0000D60E0000}"/>
    <cellStyle name="_PercentSpace_FBANDAs 2" xfId="5758" xr:uid="{00000000-0005-0000-0000-0000D70E0000}"/>
    <cellStyle name="_PercentSpace_Ferrlecit" xfId="5759" xr:uid="{00000000-0005-0000-0000-0000D80E0000}"/>
    <cellStyle name="_PercentSpace_Ferrlecit 2" xfId="5760" xr:uid="{00000000-0005-0000-0000-0000D90E0000}"/>
    <cellStyle name="_PercentSpace_FMBI MBHI Graphs" xfId="2844" xr:uid="{00000000-0005-0000-0000-0000DA0E0000}"/>
    <cellStyle name="_PercentSpace_FMBI MBHI Graphs 07102001" xfId="2845" xr:uid="{00000000-0005-0000-0000-0000DB0E0000}"/>
    <cellStyle name="_PercentSpace_FMBI MBHI Graphs 07102001 2" xfId="5761" xr:uid="{00000000-0005-0000-0000-0000DC0E0000}"/>
    <cellStyle name="_PercentSpace_FMBI MBHI Graphs 07102001_Origination Market Share-Qtr" xfId="5762" xr:uid="{00000000-0005-0000-0000-0000DD0E0000}"/>
    <cellStyle name="_PercentSpace_FMBI MBHI Graphs 07102001_Origination Market Share-Qtr 2" xfId="5763" xr:uid="{00000000-0005-0000-0000-0000DE0E0000}"/>
    <cellStyle name="_PercentSpace_FMBI MBHI Graphs 2" xfId="5764" xr:uid="{00000000-0005-0000-0000-0000DF0E0000}"/>
    <cellStyle name="_PercentSpace_FMBI MBHI Graphs_7601" xfId="2846" xr:uid="{00000000-0005-0000-0000-0000E00E0000}"/>
    <cellStyle name="_PercentSpace_FMBI MBHI Graphs_7601 2" xfId="5765" xr:uid="{00000000-0005-0000-0000-0000E10E0000}"/>
    <cellStyle name="_PercentSpace_FMBI MBHI Graphs_7601_Origination Market Share-Qtr" xfId="5766" xr:uid="{00000000-0005-0000-0000-0000E20E0000}"/>
    <cellStyle name="_PercentSpace_FMBI MBHI Graphs_7601_Origination Market Share-Qtr 2" xfId="5767" xr:uid="{00000000-0005-0000-0000-0000E30E0000}"/>
    <cellStyle name="_PercentSpace_FMBI MBHI Graphs_Origination Market Share-Qtr" xfId="5768" xr:uid="{00000000-0005-0000-0000-0000E40E0000}"/>
    <cellStyle name="_PercentSpace_FMBI MBHI Graphs_Origination Market Share-Qtr 2" xfId="5769" xr:uid="{00000000-0005-0000-0000-0000E50E0000}"/>
    <cellStyle name="_PercentSpace_For charts" xfId="5770" xr:uid="{00000000-0005-0000-0000-0000E60E0000}"/>
    <cellStyle name="_PercentSpace_For charts 2" xfId="5771" xr:uid="{00000000-0005-0000-0000-0000E70E0000}"/>
    <cellStyle name="_PercentSpace_FSS" xfId="915" xr:uid="{00000000-0005-0000-0000-0000E80E0000}"/>
    <cellStyle name="_PercentSpace_FSS 2" xfId="5772" xr:uid="{00000000-0005-0000-0000-0000E90E0000}"/>
    <cellStyle name="_PercentSpace_Gen pipe" xfId="5773" xr:uid="{00000000-0005-0000-0000-0000EA0E0000}"/>
    <cellStyle name="_PercentSpace_Gen pipe 2" xfId="5774" xr:uid="{00000000-0005-0000-0000-0000EB0E0000}"/>
    <cellStyle name="_PercentSpace_Global Autos Database 2005" xfId="5775" xr:uid="{00000000-0005-0000-0000-0000EC0E0000}"/>
    <cellStyle name="_PercentSpace_GLWMOD" xfId="5776" xr:uid="{00000000-0005-0000-0000-0000ED0E0000}"/>
    <cellStyle name="_PercentSpace_GLWMOD 2" xfId="5777" xr:uid="{00000000-0005-0000-0000-0000EE0E0000}"/>
    <cellStyle name="_PercentSpace_Gross Margin" xfId="5778" xr:uid="{00000000-0005-0000-0000-0000EF0E0000}"/>
    <cellStyle name="_PercentSpace_Gross Margin 2" xfId="5779" xr:uid="{00000000-0005-0000-0000-0000F00E0000}"/>
    <cellStyle name="_PercentSpace_GS_Brant_CSCO_mod (Working)" xfId="916" xr:uid="{00000000-0005-0000-0000-0000F10E0000}"/>
    <cellStyle name="_PercentSpace_GS_Brant_CSCO_mod (Working) 2" xfId="5780" xr:uid="{00000000-0005-0000-0000-0000F20E0000}"/>
    <cellStyle name="_PercentSpace_GS_Brant_CSCO_mod (Working)_New Version" xfId="5781" xr:uid="{00000000-0005-0000-0000-0000F30E0000}"/>
    <cellStyle name="_PercentSpace_GS_Brant_CSCO_mod (Working)_New Version 2" xfId="5782" xr:uid="{00000000-0005-0000-0000-0000F40E0000}"/>
    <cellStyle name="_PercentSpace_GS_Brant_CSCO_mod (Working)_Sheet2" xfId="5783" xr:uid="{00000000-0005-0000-0000-0000F50E0000}"/>
    <cellStyle name="_PercentSpace_GS_Brant_CSCO_mod (Working)_Sheet2 2" xfId="5784" xr:uid="{00000000-0005-0000-0000-0000F60E0000}"/>
    <cellStyle name="_PercentSpace_GS_BRANT_MOTMOD" xfId="917" xr:uid="{00000000-0005-0000-0000-0000F70E0000}"/>
    <cellStyle name="_PercentSpace_GS_BRANT_MOTMOD 2" xfId="5785" xr:uid="{00000000-0005-0000-0000-0000F80E0000}"/>
    <cellStyle name="_PercentSpace_GS_BRANT_MOTMOD_New Version" xfId="5786" xr:uid="{00000000-0005-0000-0000-0000F90E0000}"/>
    <cellStyle name="_PercentSpace_GS_BRANT_MOTMOD_New Version 2" xfId="5787" xr:uid="{00000000-0005-0000-0000-0000FA0E0000}"/>
    <cellStyle name="_PercentSpace_GS_BRANT_MOTMOD_Sheet2" xfId="5788" xr:uid="{00000000-0005-0000-0000-0000FB0E0000}"/>
    <cellStyle name="_PercentSpace_GS_BRANT_MOTMOD_Sheet2 2" xfId="5789" xr:uid="{00000000-0005-0000-0000-0000FC0E0000}"/>
    <cellStyle name="_PercentSpace_GS_McFadden_CRL_4-1-05 RS" xfId="5790" xr:uid="{00000000-0005-0000-0000-0000FD0E0000}"/>
    <cellStyle name="_PercentSpace_GS_McFadden_CRL_4-1-05 RS 2" xfId="5791" xr:uid="{00000000-0005-0000-0000-0000FE0E0000}"/>
    <cellStyle name="_PercentSpace_GS_MDZ_ MASTER model 4-01-05 RS" xfId="5792" xr:uid="{00000000-0005-0000-0000-0000FF0E0000}"/>
    <cellStyle name="_PercentSpace_GS_MDZ_ MASTER model 4-01-05 RS 2" xfId="5793" xr:uid="{00000000-0005-0000-0000-0000000F0000}"/>
    <cellStyle name="_PercentSpace_gs_scur_internal " xfId="918" xr:uid="{00000000-0005-0000-0000-0000010F0000}"/>
    <cellStyle name="_PercentSpace_gs_scur_internal  2" xfId="919" xr:uid="{00000000-0005-0000-0000-0000020F0000}"/>
    <cellStyle name="_PercentSpace_gs_scur_internal  3" xfId="5794" xr:uid="{00000000-0005-0000-0000-0000030F0000}"/>
    <cellStyle name="_PercentSpace_Hist Summary" xfId="920" xr:uid="{00000000-0005-0000-0000-0000040F0000}"/>
    <cellStyle name="_PercentSpace_Hist Summary 2" xfId="5795" xr:uid="{00000000-0005-0000-0000-0000050F0000}"/>
    <cellStyle name="_PercentSpace_Indian companies" xfId="5796" xr:uid="{00000000-0005-0000-0000-0000060F0000}"/>
    <cellStyle name="_PercentSpace_Indian companies 2" xfId="5797" xr:uid="{00000000-0005-0000-0000-0000070F0000}"/>
    <cellStyle name="_PercentSpace_JDSUMOD" xfId="5798" xr:uid="{00000000-0005-0000-0000-0000080F0000}"/>
    <cellStyle name="_PercentSpace_JDSUMOD 2" xfId="5799" xr:uid="{00000000-0005-0000-0000-0000090F0000}"/>
    <cellStyle name="_PercentSpace_JOYG" xfId="921" xr:uid="{00000000-0005-0000-0000-00000A0F0000}"/>
    <cellStyle name="_PercentSpace_Kent" xfId="922" xr:uid="{00000000-0005-0000-0000-00000B0F0000}"/>
    <cellStyle name="_PercentSpace_Kent 2" xfId="5800" xr:uid="{00000000-0005-0000-0000-00000C0F0000}"/>
    <cellStyle name="_PercentSpace_Kent_New Version" xfId="5801" xr:uid="{00000000-0005-0000-0000-00000D0F0000}"/>
    <cellStyle name="_PercentSpace_Kent_New Version 2" xfId="5802" xr:uid="{00000000-0005-0000-0000-00000E0F0000}"/>
    <cellStyle name="_PercentSpace_Kent_Sheet2" xfId="5803" xr:uid="{00000000-0005-0000-0000-00000F0F0000}"/>
    <cellStyle name="_PercentSpace_Kent_Sheet2 2" xfId="5804" xr:uid="{00000000-0005-0000-0000-0000100F0000}"/>
    <cellStyle name="_PercentSpace_Key poduct model" xfId="5805" xr:uid="{00000000-0005-0000-0000-0000110F0000}"/>
    <cellStyle name="_PercentSpace_Key poduct model 2" xfId="5806" xr:uid="{00000000-0005-0000-0000-0000120F0000}"/>
    <cellStyle name="_PercentSpace_Loestrin 24" xfId="5807" xr:uid="{00000000-0005-0000-0000-0000130F0000}"/>
    <cellStyle name="_PercentSpace_Loestrin 24 2" xfId="5808" xr:uid="{00000000-0005-0000-0000-0000140F0000}"/>
    <cellStyle name="_PercentSpace_Machinery group valuation" xfId="923" xr:uid="{00000000-0005-0000-0000-0000150F0000}"/>
    <cellStyle name="_PercentSpace_Machinery group valuation 2" xfId="5809" xr:uid="{00000000-0005-0000-0000-0000160F0000}"/>
    <cellStyle name="_PercentSpace_major holders 5-04" xfId="5810" xr:uid="{00000000-0005-0000-0000-0000170F0000}"/>
    <cellStyle name="_PercentSpace_major holders 5-04 2" xfId="5811" xr:uid="{00000000-0005-0000-0000-0000180F0000}"/>
    <cellStyle name="_PercentSpace_MDO breakdown" xfId="5812" xr:uid="{00000000-0005-0000-0000-0000190F0000}"/>
    <cellStyle name="_PercentSpace_MDO breakdown 2" xfId="5813" xr:uid="{00000000-0005-0000-0000-00001A0F0000}"/>
    <cellStyle name="_PercentSpace_Megace channel data" xfId="5814" xr:uid="{00000000-0005-0000-0000-00001B0F0000}"/>
    <cellStyle name="_PercentSpace_Megace channel data 2" xfId="5815" xr:uid="{00000000-0005-0000-0000-00001C0F0000}"/>
    <cellStyle name="_PercentSpace_Megace ES estimates" xfId="5816" xr:uid="{00000000-0005-0000-0000-00001D0F0000}"/>
    <cellStyle name="_PercentSpace_Megace ES estimates 2" xfId="5817" xr:uid="{00000000-0005-0000-0000-00001E0F0000}"/>
    <cellStyle name="_PercentSpace_Megace ES sales data" xfId="5818" xr:uid="{00000000-0005-0000-0000-00001F0F0000}"/>
    <cellStyle name="_PercentSpace_Megace ES sales data 2" xfId="5819" xr:uid="{00000000-0005-0000-0000-0000200F0000}"/>
    <cellStyle name="_PercentSpace_Megace Market IMS" xfId="5820" xr:uid="{00000000-0005-0000-0000-0000210F0000}"/>
    <cellStyle name="_PercentSpace_Megace Market IMS 2" xfId="5821" xr:uid="{00000000-0005-0000-0000-0000220F0000}"/>
    <cellStyle name="_PercentSpace_Megace NRx weekly" xfId="5822" xr:uid="{00000000-0005-0000-0000-0000230F0000}"/>
    <cellStyle name="_PercentSpace_Megace NRx weekly 2" xfId="5823" xr:uid="{00000000-0005-0000-0000-0000240F0000}"/>
    <cellStyle name="_PercentSpace_Megace TRx weekly" xfId="5824" xr:uid="{00000000-0005-0000-0000-0000250F0000}"/>
    <cellStyle name="_PercentSpace_Megace TRx weekly 2" xfId="5825" xr:uid="{00000000-0005-0000-0000-0000260F0000}"/>
    <cellStyle name="_PercentSpace_MLM" xfId="924" xr:uid="{00000000-0005-0000-0000-0000270F0000}"/>
    <cellStyle name="_PercentSpace_MLP Val-Client-10_02_06" xfId="925" xr:uid="{00000000-0005-0000-0000-0000280F0000}"/>
    <cellStyle name="_PercentSpace_MLP Val-Client-10_02_06 2" xfId="5826" xr:uid="{00000000-0005-0000-0000-0000290F0000}"/>
    <cellStyle name="_PercentSpace_NAV" xfId="926" xr:uid="{00000000-0005-0000-0000-00002A0F0000}"/>
    <cellStyle name="_PercentSpace_New Version" xfId="5827" xr:uid="{00000000-0005-0000-0000-00002B0F0000}"/>
    <cellStyle name="_PercentSpace_New Version 2" xfId="5828" xr:uid="{00000000-0005-0000-0000-00002C0F0000}"/>
    <cellStyle name="_PercentSpace_NTMOD" xfId="5829" xr:uid="{00000000-0005-0000-0000-00002D0F0000}"/>
    <cellStyle name="_PercentSpace_NTMOD 2" xfId="5830" xr:uid="{00000000-0005-0000-0000-00002E0F0000}"/>
    <cellStyle name="_PercentSpace_OpMod" xfId="5831" xr:uid="{00000000-0005-0000-0000-00002F0F0000}"/>
    <cellStyle name="_PercentSpace_Origination Market Share-Qtr" xfId="5832" xr:uid="{00000000-0005-0000-0000-0000300F0000}"/>
    <cellStyle name="_PercentSpace_Origination Market Share-Qtr 2" xfId="5833" xr:uid="{00000000-0005-0000-0000-0000310F0000}"/>
    <cellStyle name="_PercentSpace_Origination Market Share-Qtr_1" xfId="5834" xr:uid="{00000000-0005-0000-0000-0000320F0000}"/>
    <cellStyle name="_PercentSpace_Origination Market Share-Qtr_1 2" xfId="5835" xr:uid="{00000000-0005-0000-0000-0000330F0000}"/>
    <cellStyle name="_PercentSpace_OSK" xfId="927" xr:uid="{00000000-0005-0000-0000-0000340F0000}"/>
    <cellStyle name="_PercentSpace_PCAR" xfId="928" xr:uid="{00000000-0005-0000-0000-0000350F0000}"/>
    <cellStyle name="_PercentSpace_PH" xfId="929" xr:uid="{00000000-0005-0000-0000-0000360F0000}"/>
    <cellStyle name="_PercentSpace_PRGO TEMPLATE 5-13-06" xfId="5836" xr:uid="{00000000-0005-0000-0000-0000370F0000}"/>
    <cellStyle name="_PercentSpace_PRGO TEMPLATE 5-13-06 2" xfId="5837" xr:uid="{00000000-0005-0000-0000-0000380F0000}"/>
    <cellStyle name="_PercentSpace_QCOM_MOD" xfId="5838" xr:uid="{00000000-0005-0000-0000-0000390F0000}"/>
    <cellStyle name="_PercentSpace_QCOM_MOD 2" xfId="5839" xr:uid="{00000000-0005-0000-0000-00003A0F0000}"/>
    <cellStyle name="_PercentSpace_QCOM_MOD_IN PROGRESS" xfId="5840" xr:uid="{00000000-0005-0000-0000-00003B0F0000}"/>
    <cellStyle name="_PercentSpace_QCOM_MOD_IN PROGRESS 2" xfId="5841" xr:uid="{00000000-0005-0000-0000-00003C0F0000}"/>
    <cellStyle name="_PercentSpace_QCOMMOD" xfId="5842" xr:uid="{00000000-0005-0000-0000-00003D0F0000}"/>
    <cellStyle name="_PercentSpace_QCOMMOD 2" xfId="5843" xr:uid="{00000000-0005-0000-0000-00003E0F0000}"/>
    <cellStyle name="_PercentSpace_QP_XXX" xfId="5844" xr:uid="{00000000-0005-0000-0000-00003F0F0000}"/>
    <cellStyle name="_PercentSpace_quarterly preview" xfId="5845" xr:uid="{00000000-0005-0000-0000-0000400F0000}"/>
    <cellStyle name="_PercentSpace_quarterly preview 2" xfId="5846" xr:uid="{00000000-0005-0000-0000-0000410F0000}"/>
    <cellStyle name="_PercentSpace_Rev" xfId="5847" xr:uid="{00000000-0005-0000-0000-0000420F0000}"/>
    <cellStyle name="_PercentSpace_Rev 2" xfId="5848" xr:uid="{00000000-0005-0000-0000-0000430F0000}"/>
    <cellStyle name="_PercentSpace_RIMMMOD" xfId="5849" xr:uid="{00000000-0005-0000-0000-0000440F0000}"/>
    <cellStyle name="_PercentSpace_RIMMMOD 2" xfId="5850" xr:uid="{00000000-0005-0000-0000-0000450F0000}"/>
    <cellStyle name="_PercentSpace_ROE" xfId="5851" xr:uid="{00000000-0005-0000-0000-0000460F0000}"/>
    <cellStyle name="_PercentSpace_ROE 2" xfId="5852" xr:uid="{00000000-0005-0000-0000-0000470F0000}"/>
    <cellStyle name="_PercentSpace_Seasonale" xfId="5853" xr:uid="{00000000-0005-0000-0000-0000480F0000}"/>
    <cellStyle name="_PercentSpace_Seasonale 2" xfId="5854" xr:uid="{00000000-0005-0000-0000-0000490F0000}"/>
    <cellStyle name="_PercentSpace_Segment breakout" xfId="5855" xr:uid="{00000000-0005-0000-0000-00004A0F0000}"/>
    <cellStyle name="_PercentSpace_Segment breakout 2" xfId="5856" xr:uid="{00000000-0005-0000-0000-00004B0F0000}"/>
    <cellStyle name="_PercentSpace_segment graph data" xfId="5857" xr:uid="{00000000-0005-0000-0000-00004C0F0000}"/>
    <cellStyle name="_PercentSpace_segment graph data 2" xfId="5858" xr:uid="{00000000-0005-0000-0000-00004D0F0000}"/>
    <cellStyle name="_PercentSpace_Sheet1" xfId="930" xr:uid="{00000000-0005-0000-0000-00004E0F0000}"/>
    <cellStyle name="_PercentSpace_Sheet1 2" xfId="5859" xr:uid="{00000000-0005-0000-0000-00004F0F0000}"/>
    <cellStyle name="_PercentSpace_Sheet1_Agis" xfId="5860" xr:uid="{00000000-0005-0000-0000-0000500F0000}"/>
    <cellStyle name="_PercentSpace_Sheet1_Agis 2" xfId="5861" xr:uid="{00000000-0005-0000-0000-0000510F0000}"/>
    <cellStyle name="_PercentSpace_Sheet1_CEPH working" xfId="5862" xr:uid="{00000000-0005-0000-0000-0000520F0000}"/>
    <cellStyle name="_PercentSpace_Sheet1_CEPH working 2" xfId="5863" xr:uid="{00000000-0005-0000-0000-0000530F0000}"/>
    <cellStyle name="_PercentSpace_Sheet1_document(1)" xfId="5864" xr:uid="{00000000-0005-0000-0000-0000540F0000}"/>
    <cellStyle name="_PercentSpace_Sheet1_document(1) 2" xfId="5865" xr:uid="{00000000-0005-0000-0000-0000550F0000}"/>
    <cellStyle name="_PercentSpace_Sheet1_GQ" xfId="5866" xr:uid="{00000000-0005-0000-0000-0000560F0000}"/>
    <cellStyle name="_PercentSpace_Sheet1_GQ 2" xfId="5867" xr:uid="{00000000-0005-0000-0000-0000570F0000}"/>
    <cellStyle name="_PercentSpace_Sheet1_IS" xfId="5868" xr:uid="{00000000-0005-0000-0000-0000580F0000}"/>
    <cellStyle name="_PercentSpace_Sheet1_IS 2" xfId="5869" xr:uid="{00000000-0005-0000-0000-0000590F0000}"/>
    <cellStyle name="_PercentSpace_Sheet1_Key poduct model" xfId="5870" xr:uid="{00000000-0005-0000-0000-00005A0F0000}"/>
    <cellStyle name="_PercentSpace_Sheet1_Key poduct model 2" xfId="5871" xr:uid="{00000000-0005-0000-0000-00005B0F0000}"/>
    <cellStyle name="_PercentSpace_Sheet1_Mainsheet - consolidated" xfId="5872" xr:uid="{00000000-0005-0000-0000-00005C0F0000}"/>
    <cellStyle name="_PercentSpace_Sheet1_Mainsheet - consolidated 2" xfId="5873" xr:uid="{00000000-0005-0000-0000-00005D0F0000}"/>
    <cellStyle name="_PercentSpace_Sheet1_MASTER Stanicky-WC 10-28-06 LAUNCH" xfId="5874" xr:uid="{00000000-0005-0000-0000-00005E0F0000}"/>
    <cellStyle name="_PercentSpace_Sheet1_MASTER Stanicky-WC 10-28-06 LAUNCH 2" xfId="5875" xr:uid="{00000000-0005-0000-0000-00005F0F0000}"/>
    <cellStyle name="_PercentSpace_Sheet1_New Version" xfId="5876" xr:uid="{00000000-0005-0000-0000-0000600F0000}"/>
    <cellStyle name="_PercentSpace_Sheet1_New Version 2" xfId="5877" xr:uid="{00000000-0005-0000-0000-0000610F0000}"/>
    <cellStyle name="_PercentSpace_Sheet1_SEPR working" xfId="5878" xr:uid="{00000000-0005-0000-0000-0000620F0000}"/>
    <cellStyle name="_PercentSpace_Sheet1_SEPR working 2" xfId="5879" xr:uid="{00000000-0005-0000-0000-0000630F0000}"/>
    <cellStyle name="_PercentSpace_Sheet1_Sheet2" xfId="5880" xr:uid="{00000000-0005-0000-0000-0000640F0000}"/>
    <cellStyle name="_PercentSpace_Sheet1_Sheet2 2" xfId="5881" xr:uid="{00000000-0005-0000-0000-0000650F0000}"/>
    <cellStyle name="_PercentSpace_Sheet1_Sheet3" xfId="5882" xr:uid="{00000000-0005-0000-0000-0000660F0000}"/>
    <cellStyle name="_PercentSpace_Sheet1_Sheet3 2" xfId="5883" xr:uid="{00000000-0005-0000-0000-0000670F0000}"/>
    <cellStyle name="_PercentSpace_Sheet1_Sheet3_WC Ovcon forecast" xfId="5884" xr:uid="{00000000-0005-0000-0000-0000680F0000}"/>
    <cellStyle name="_PercentSpace_Sheet1_Sheet3_WC Ovcon forecast 2" xfId="5885" xr:uid="{00000000-0005-0000-0000-0000690F0000}"/>
    <cellStyle name="_PercentSpace_Sheet1_SPEC Rx trend vs est " xfId="5886" xr:uid="{00000000-0005-0000-0000-00006A0F0000}"/>
    <cellStyle name="_PercentSpace_Sheet1_SPEC Rx trend vs est  2" xfId="5887" xr:uid="{00000000-0005-0000-0000-00006B0F0000}"/>
    <cellStyle name="_PercentSpace_Sheet1_Stanicky - Biovail 12-7-2006 FINAL" xfId="5888" xr:uid="{00000000-0005-0000-0000-00006C0F0000}"/>
    <cellStyle name="_PercentSpace_Sheet1_Stanicky - Biovail 12-7-2006 FINAL 2" xfId="5889" xr:uid="{00000000-0005-0000-0000-00006D0F0000}"/>
    <cellStyle name="_PercentSpace_Sheet1_WC Ovcon forecast" xfId="5890" xr:uid="{00000000-0005-0000-0000-00006E0F0000}"/>
    <cellStyle name="_PercentSpace_Sheet1_WC Ovcon forecast 2" xfId="5891" xr:uid="{00000000-0005-0000-0000-00006F0F0000}"/>
    <cellStyle name="_PercentSpace_Sheet1_WCRX working" xfId="5892" xr:uid="{00000000-0005-0000-0000-0000700F0000}"/>
    <cellStyle name="_PercentSpace_Sheet1_WCRX working 2" xfId="5893" xr:uid="{00000000-0005-0000-0000-0000710F0000}"/>
    <cellStyle name="_PercentSpace_Sheet13" xfId="5894" xr:uid="{00000000-0005-0000-0000-0000720F0000}"/>
    <cellStyle name="_PercentSpace_Sheet13 2" xfId="5895" xr:uid="{00000000-0005-0000-0000-0000730F0000}"/>
    <cellStyle name="_PercentSpace_Sheet2" xfId="5896" xr:uid="{00000000-0005-0000-0000-0000740F0000}"/>
    <cellStyle name="_PercentSpace_Sheet2 2" xfId="5897" xr:uid="{00000000-0005-0000-0000-0000750F0000}"/>
    <cellStyle name="_PercentSpace_Sheet3" xfId="5898" xr:uid="{00000000-0005-0000-0000-0000760F0000}"/>
    <cellStyle name="_PercentSpace_Sheet3 2" xfId="5899" xr:uid="{00000000-0005-0000-0000-0000770F0000}"/>
    <cellStyle name="_PercentSpace_Sheet6" xfId="5900" xr:uid="{00000000-0005-0000-0000-0000780F0000}"/>
    <cellStyle name="_PercentSpace_Sheet6 2" xfId="5901" xr:uid="{00000000-0005-0000-0000-0000790F0000}"/>
    <cellStyle name="_PercentSpace_Snapshot" xfId="5902" xr:uid="{00000000-0005-0000-0000-00007A0F0000}"/>
    <cellStyle name="_PercentSpace_Snapshot 2" xfId="5903" xr:uid="{00000000-0005-0000-0000-00007B0F0000}"/>
    <cellStyle name="_PercentSpace_Special situation" xfId="5904" xr:uid="{00000000-0005-0000-0000-00007C0F0000}"/>
    <cellStyle name="_PercentSpace_Special situation 2" xfId="5905" xr:uid="{00000000-0005-0000-0000-00007D0F0000}"/>
    <cellStyle name="_PercentSpace_symcqtis" xfId="931" xr:uid="{00000000-0005-0000-0000-00007E0F0000}"/>
    <cellStyle name="_PercentSpace_symcqtis_New Version" xfId="5906" xr:uid="{00000000-0005-0000-0000-00007F0F0000}"/>
    <cellStyle name="_PercentSpace_symcqtis_Sheet2" xfId="5907" xr:uid="{00000000-0005-0000-0000-0000800F0000}"/>
    <cellStyle name="_PercentSpace_Taclonex - dovonex" xfId="5908" xr:uid="{00000000-0005-0000-0000-0000810F0000}"/>
    <cellStyle name="_PercentSpace_Taclonex - dovonex 2" xfId="5909" xr:uid="{00000000-0005-0000-0000-0000820F0000}"/>
    <cellStyle name="_PercentSpace_taro DSO 4-29-06" xfId="5910" xr:uid="{00000000-0005-0000-0000-0000830F0000}"/>
    <cellStyle name="_PercentSpace_taro DSO 4-29-06 2" xfId="5911" xr:uid="{00000000-0005-0000-0000-0000840F0000}"/>
    <cellStyle name="_PercentSpace_Tearsheet" xfId="5912" xr:uid="{00000000-0005-0000-0000-0000850F0000}"/>
    <cellStyle name="_PercentSpace_Tearsheet 2" xfId="5913" xr:uid="{00000000-0005-0000-0000-0000860F0000}"/>
    <cellStyle name="_PercentSpace_Testim" xfId="5914" xr:uid="{00000000-0005-0000-0000-0000870F0000}"/>
    <cellStyle name="_PercentSpace_Testim 2" xfId="5915" xr:uid="{00000000-0005-0000-0000-0000880F0000}"/>
    <cellStyle name="_PercentSpace_Teva - Qtrly IS" xfId="5916" xr:uid="{00000000-0005-0000-0000-0000890F0000}"/>
    <cellStyle name="_PercentSpace_Teva - Qtrly IS 2" xfId="5917" xr:uid="{00000000-0005-0000-0000-00008A0F0000}"/>
    <cellStyle name="_PercentSpace_Teva main sheet" xfId="5918" xr:uid="{00000000-0005-0000-0000-00008B0F0000}"/>
    <cellStyle name="_PercentSpace_Teva main sheet 2" xfId="5919" xr:uid="{00000000-0005-0000-0000-00008C0F0000}"/>
    <cellStyle name="_PercentSpace_Utility" xfId="932" xr:uid="{00000000-0005-0000-0000-00008D0F0000}"/>
    <cellStyle name="_PercentSpace_Utility 2" xfId="5920" xr:uid="{00000000-0005-0000-0000-00008E0F0000}"/>
    <cellStyle name="_PercentSpace_Valuation and Benchmarking Template" xfId="5921" xr:uid="{00000000-0005-0000-0000-00008F0F0000}"/>
    <cellStyle name="_PercentSpace_WC Ovcon forecast" xfId="5922" xr:uid="{00000000-0005-0000-0000-0000900F0000}"/>
    <cellStyle name="_PercentSpace_WC Ovcon forecast 2" xfId="5923" xr:uid="{00000000-0005-0000-0000-0000910F0000}"/>
    <cellStyle name="_PercentSpace_WFT published 1-30-07 Client version (2)" xfId="933" xr:uid="{00000000-0005-0000-0000-0000920F0000}"/>
    <cellStyle name="_PercentSpace_WFT published 1-30-07 Client version (2) 2" xfId="934" xr:uid="{00000000-0005-0000-0000-0000930F0000}"/>
    <cellStyle name="_PercentSpace_Wireless data tables" xfId="5924" xr:uid="{00000000-0005-0000-0000-0000940F0000}"/>
    <cellStyle name="_PercentSpace_Wireless data tables 2" xfId="5925" xr:uid="{00000000-0005-0000-0000-0000950F0000}"/>
    <cellStyle name="_PORSCHE" xfId="5926" xr:uid="{00000000-0005-0000-0000-0000960F0000}"/>
    <cellStyle name="_PORSCHE 2" xfId="5927" xr:uid="{00000000-0005-0000-0000-0000970F0000}"/>
    <cellStyle name="_PSA" xfId="5928" xr:uid="{00000000-0005-0000-0000-0000980F0000}"/>
    <cellStyle name="_PSA 2" xfId="5929" xr:uid="{00000000-0005-0000-0000-0000990F0000}"/>
    <cellStyle name="—_qrtly" xfId="5930" xr:uid="{00000000-0005-0000-0000-00009A0F0000}"/>
    <cellStyle name="—_qrtly 2" xfId="5931" xr:uid="{00000000-0005-0000-0000-00009B0F0000}"/>
    <cellStyle name="_RDN balance sheet" xfId="5932" xr:uid="{00000000-0005-0000-0000-00009C0F0000}"/>
    <cellStyle name="_RDN balance sheet 2" xfId="5933" xr:uid="{00000000-0005-0000-0000-00009D0F0000}"/>
    <cellStyle name="_SSP" xfId="5934" xr:uid="{00000000-0005-0000-0000-00009E0F0000}"/>
    <cellStyle name="_SSP 2" xfId="5935" xr:uid="{00000000-0005-0000-0000-00009F0F0000}"/>
    <cellStyle name="_SubHeading" xfId="935" xr:uid="{00000000-0005-0000-0000-0000A00F0000}"/>
    <cellStyle name="_SubHeading 2" xfId="936" xr:uid="{00000000-0005-0000-0000-0000A10F0000}"/>
    <cellStyle name="_SubHeading 3" xfId="937" xr:uid="{00000000-0005-0000-0000-0000A20F0000}"/>
    <cellStyle name="_SubHeading 4" xfId="7070" xr:uid="{00000000-0005-0000-0000-0000A30F0000}"/>
    <cellStyle name="_SubHeading_Ability to Pay Analysis" xfId="2847" xr:uid="{00000000-0005-0000-0000-0000A40F0000}"/>
    <cellStyle name="_SubHeading_AG" xfId="938" xr:uid="{00000000-0005-0000-0000-0000A50F0000}"/>
    <cellStyle name="_SubHeading_ASF interim sheet" xfId="5936" xr:uid="{00000000-0005-0000-0000-0000A60F0000}"/>
    <cellStyle name="_SubHeading_ASF1" xfId="5937" xr:uid="{00000000-0005-0000-0000-0000A70F0000}"/>
    <cellStyle name="_SubHeading_BankUnited Model" xfId="2848" xr:uid="{00000000-0005-0000-0000-0000A80F0000}"/>
    <cellStyle name="_SubHeading_BLS" xfId="939" xr:uid="{00000000-0005-0000-0000-0000A90F0000}"/>
    <cellStyle name="_SubHeading_BLS 2" xfId="940" xr:uid="{00000000-0005-0000-0000-0000AA0F0000}"/>
    <cellStyle name="_SubHeading_bls roic" xfId="941" xr:uid="{00000000-0005-0000-0000-0000AB0F0000}"/>
    <cellStyle name="_SubHeading_BLS_ITW Working 69" xfId="5938" xr:uid="{00000000-0005-0000-0000-0000AC0F0000}"/>
    <cellStyle name="_SubHeading_BLS_MLP Val-Client-10_02_06" xfId="942" xr:uid="{00000000-0005-0000-0000-0000AD0F0000}"/>
    <cellStyle name="_SubHeading_BLS_MLP Val-Client-10_02_06 2" xfId="5939" xr:uid="{00000000-0005-0000-0000-0000AE0F0000}"/>
    <cellStyle name="_SubHeading_BLS_New Version" xfId="5940" xr:uid="{00000000-0005-0000-0000-0000AF0F0000}"/>
    <cellStyle name="_SubHeading_BLS_New Version 2" xfId="5941" xr:uid="{00000000-0005-0000-0000-0000B00F0000}"/>
    <cellStyle name="_SubHeading_BLS_Sheet1" xfId="5942" xr:uid="{00000000-0005-0000-0000-0000B10F0000}"/>
    <cellStyle name="_SubHeading_BLS_Sheet2" xfId="5943" xr:uid="{00000000-0005-0000-0000-0000B20F0000}"/>
    <cellStyle name="_SubHeading_BLS_Sheet2 2" xfId="5944" xr:uid="{00000000-0005-0000-0000-0000B30F0000}"/>
    <cellStyle name="_SubHeading_Book9" xfId="943" xr:uid="{00000000-0005-0000-0000-0000B40F0000}"/>
    <cellStyle name="_SubHeading_Book9 2" xfId="944" xr:uid="{00000000-0005-0000-0000-0000B50F0000}"/>
    <cellStyle name="_SubHeading_Book9_ITW Working 69" xfId="5945" xr:uid="{00000000-0005-0000-0000-0000B60F0000}"/>
    <cellStyle name="_SubHeading_Book9_MLP Val-Client-10_02_06" xfId="945" xr:uid="{00000000-0005-0000-0000-0000B70F0000}"/>
    <cellStyle name="_SubHeading_Book9_MLP Val-Client-10_02_06 2" xfId="5946" xr:uid="{00000000-0005-0000-0000-0000B80F0000}"/>
    <cellStyle name="_SubHeading_Book9_New Version" xfId="5947" xr:uid="{00000000-0005-0000-0000-0000B90F0000}"/>
    <cellStyle name="_SubHeading_Book9_New Version 2" xfId="5948" xr:uid="{00000000-0005-0000-0000-0000BA0F0000}"/>
    <cellStyle name="_SubHeading_Book9_Sheet1" xfId="5949" xr:uid="{00000000-0005-0000-0000-0000BB0F0000}"/>
    <cellStyle name="_SubHeading_Book9_Sheet2" xfId="5950" xr:uid="{00000000-0005-0000-0000-0000BC0F0000}"/>
    <cellStyle name="_SubHeading_Book9_Sheet2 2" xfId="5951" xr:uid="{00000000-0005-0000-0000-0000BD0F0000}"/>
    <cellStyle name="_SubHeading_Broadband Comps" xfId="946" xr:uid="{00000000-0005-0000-0000-0000BE0F0000}"/>
    <cellStyle name="_SubHeading_Broadband Comps 2" xfId="947" xr:uid="{00000000-0005-0000-0000-0000BF0F0000}"/>
    <cellStyle name="_SubHeading_Broadband Comps_ITW Working 69" xfId="5952" xr:uid="{00000000-0005-0000-0000-0000C00F0000}"/>
    <cellStyle name="_SubHeading_Broadband Comps_MLP Val-Client-10_02_06" xfId="948" xr:uid="{00000000-0005-0000-0000-0000C10F0000}"/>
    <cellStyle name="_SubHeading_Broadband Comps_MLP Val-Client-10_02_06 2" xfId="5953" xr:uid="{00000000-0005-0000-0000-0000C20F0000}"/>
    <cellStyle name="_SubHeading_Broadband Comps_New Version" xfId="5954" xr:uid="{00000000-0005-0000-0000-0000C30F0000}"/>
    <cellStyle name="_SubHeading_Broadband Comps_New Version 2" xfId="5955" xr:uid="{00000000-0005-0000-0000-0000C40F0000}"/>
    <cellStyle name="_SubHeading_Broadband Comps_Sheet1" xfId="5956" xr:uid="{00000000-0005-0000-0000-0000C50F0000}"/>
    <cellStyle name="_SubHeading_Broadband Comps_Sheet2" xfId="5957" xr:uid="{00000000-0005-0000-0000-0000C60F0000}"/>
    <cellStyle name="_SubHeading_Broadband Comps_Sheet2 2" xfId="5958" xr:uid="{00000000-0005-0000-0000-0000C70F0000}"/>
    <cellStyle name="_SubHeading_capital expenditures 6-18-02" xfId="949" xr:uid="{00000000-0005-0000-0000-0000C80F0000}"/>
    <cellStyle name="_SubHeading_CAT" xfId="950" xr:uid="{00000000-0005-0000-0000-0000C90F0000}"/>
    <cellStyle name="_SubHeading_CAT 2" xfId="5959" xr:uid="{00000000-0005-0000-0000-0000CA0F0000}"/>
    <cellStyle name="_SubHeading_CNH" xfId="951" xr:uid="{00000000-0005-0000-0000-0000CB0F0000}"/>
    <cellStyle name="_SubHeading_CNH 2" xfId="5960" xr:uid="{00000000-0005-0000-0000-0000CC0F0000}"/>
    <cellStyle name="_SubHeading_Commtech" xfId="952" xr:uid="{00000000-0005-0000-0000-0000CD0F0000}"/>
    <cellStyle name="_SubHeading_Commtech 2" xfId="5961" xr:uid="{00000000-0005-0000-0000-0000CE0F0000}"/>
    <cellStyle name="_SubHeading_Competitors" xfId="5962" xr:uid="{00000000-0005-0000-0000-0000CF0F0000}"/>
    <cellStyle name="_SubHeading_CTCO" xfId="953" xr:uid="{00000000-0005-0000-0000-0000D00F0000}"/>
    <cellStyle name="_SubHeading_CTCO 2" xfId="954" xr:uid="{00000000-0005-0000-0000-0000D10F0000}"/>
    <cellStyle name="_SubHeading_CTCO_ITW Working 69" xfId="5963" xr:uid="{00000000-0005-0000-0000-0000D20F0000}"/>
    <cellStyle name="_SubHeading_CTCO_MLP Val-Client-10_02_06" xfId="955" xr:uid="{00000000-0005-0000-0000-0000D30F0000}"/>
    <cellStyle name="_SubHeading_CTCO_MLP Val-Client-10_02_06 2" xfId="5964" xr:uid="{00000000-0005-0000-0000-0000D40F0000}"/>
    <cellStyle name="_SubHeading_CTCO_New Version" xfId="5965" xr:uid="{00000000-0005-0000-0000-0000D50F0000}"/>
    <cellStyle name="_SubHeading_CTCO_New Version 2" xfId="5966" xr:uid="{00000000-0005-0000-0000-0000D60F0000}"/>
    <cellStyle name="_SubHeading_CTCO_Sheet1" xfId="5967" xr:uid="{00000000-0005-0000-0000-0000D70F0000}"/>
    <cellStyle name="_SubHeading_CTCO_Sheet2" xfId="5968" xr:uid="{00000000-0005-0000-0000-0000D80F0000}"/>
    <cellStyle name="_SubHeading_CTCO_Sheet2 2" xfId="5969" xr:uid="{00000000-0005-0000-0000-0000D90F0000}"/>
    <cellStyle name="_SubHeading_DE-working" xfId="956" xr:uid="{00000000-0005-0000-0000-0000DA0F0000}"/>
    <cellStyle name="_SubHeading_DE-working 2" xfId="5970" xr:uid="{00000000-0005-0000-0000-0000DB0F0000}"/>
    <cellStyle name="_SubHeading_document(1)" xfId="5971" xr:uid="{00000000-0005-0000-0000-0000DC0F0000}"/>
    <cellStyle name="_SubHeading_DOV" xfId="957" xr:uid="{00000000-0005-0000-0000-0000DD0F0000}"/>
    <cellStyle name="_SubHeading_DOV 2" xfId="5972" xr:uid="{00000000-0005-0000-0000-0000DE0F0000}"/>
    <cellStyle name="_SubHeading_ETN" xfId="958" xr:uid="{00000000-0005-0000-0000-0000DF0F0000}"/>
    <cellStyle name="_SubHeading_ETN 2" xfId="5973" xr:uid="{00000000-0005-0000-0000-0000E00F0000}"/>
    <cellStyle name="_SubHeading_fmbi counties" xfId="2849" xr:uid="{00000000-0005-0000-0000-0000E10F0000}"/>
    <cellStyle name="_SubHeading_FMBI MBHI Graphs" xfId="2850" xr:uid="{00000000-0005-0000-0000-0000E20F0000}"/>
    <cellStyle name="_SubHeading_FMBI MBHI Graphs 07102001" xfId="2851" xr:uid="{00000000-0005-0000-0000-0000E30F0000}"/>
    <cellStyle name="_SubHeading_FMBI MBHI Graphs_7601" xfId="2852" xr:uid="{00000000-0005-0000-0000-0000E40F0000}"/>
    <cellStyle name="_SubHeading_Foreclosures_data_Realty Trac Break up" xfId="5974" xr:uid="{00000000-0005-0000-0000-0000E50F0000}"/>
    <cellStyle name="_SubHeading_Foreclosures_data_Realty Trac Break up 2" xfId="5975" xr:uid="{00000000-0005-0000-0000-0000E60F0000}"/>
    <cellStyle name="_SubHeading_FSS" xfId="959" xr:uid="{00000000-0005-0000-0000-0000E70F0000}"/>
    <cellStyle name="_SubHeading_FSS 2" xfId="5976" xr:uid="{00000000-0005-0000-0000-0000E80F0000}"/>
    <cellStyle name="_SubHeading_Global Autos Database 2005" xfId="5977" xr:uid="{00000000-0005-0000-0000-0000E90F0000}"/>
    <cellStyle name="_SubHeading_Home page" xfId="5978" xr:uid="{00000000-0005-0000-0000-0000EA0F0000}"/>
    <cellStyle name="_SubHeading_ITW Working 69" xfId="5979" xr:uid="{00000000-0005-0000-0000-0000EB0F0000}"/>
    <cellStyle name="_SubHeading_JOYG" xfId="960" xr:uid="{00000000-0005-0000-0000-0000EC0F0000}"/>
    <cellStyle name="_SubHeading_Kent" xfId="961" xr:uid="{00000000-0005-0000-0000-0000ED0F0000}"/>
    <cellStyle name="_SubHeading_Kent 2" xfId="5980" xr:uid="{00000000-0005-0000-0000-0000EE0F0000}"/>
    <cellStyle name="_SubHeading_MLM" xfId="962" xr:uid="{00000000-0005-0000-0000-0000EF0F0000}"/>
    <cellStyle name="_SubHeading_NAV" xfId="963" xr:uid="{00000000-0005-0000-0000-0000F00F0000}"/>
    <cellStyle name="_SubHeading_OpMod" xfId="5981" xr:uid="{00000000-0005-0000-0000-0000F10F0000}"/>
    <cellStyle name="_SubHeading_OpMod 2" xfId="5982" xr:uid="{00000000-0005-0000-0000-0000F20F0000}"/>
    <cellStyle name="_SubHeading_Origination Market Share-Qtr" xfId="5983" xr:uid="{00000000-0005-0000-0000-0000F30F0000}"/>
    <cellStyle name="_SubHeading_OSK" xfId="964" xr:uid="{00000000-0005-0000-0000-0000F40F0000}"/>
    <cellStyle name="_SubHeading_PCAR" xfId="965" xr:uid="{00000000-0005-0000-0000-0000F50F0000}"/>
    <cellStyle name="_SubHeading_PH" xfId="966" xr:uid="{00000000-0005-0000-0000-0000F60F0000}"/>
    <cellStyle name="_SubHeading_prestemp" xfId="2853" xr:uid="{00000000-0005-0000-0000-0000F70F0000}"/>
    <cellStyle name="_SubHeading_prestemp_Insurance Brokerage CSC_1Q2002" xfId="2854" xr:uid="{00000000-0005-0000-0000-0000F80F0000}"/>
    <cellStyle name="_SubHeading_prestemp_Overview3" xfId="2855" xr:uid="{00000000-0005-0000-0000-0000F90F0000}"/>
    <cellStyle name="_SubHeading_prestemp_Overview3 2" xfId="5984" xr:uid="{00000000-0005-0000-0000-0000FA0F0000}"/>
    <cellStyle name="_SubHeading_prestemp_Updated Valuation Changes" xfId="2856" xr:uid="{00000000-0005-0000-0000-0000FB0F0000}"/>
    <cellStyle name="_SubHeading_prestemp_Updated Valuation Changes 2" xfId="5985" xr:uid="{00000000-0005-0000-0000-0000FC0F0000}"/>
    <cellStyle name="_SubHeading_Q" xfId="967" xr:uid="{00000000-0005-0000-0000-0000FD0F0000}"/>
    <cellStyle name="_SubHeading_q - new guidance" xfId="968" xr:uid="{00000000-0005-0000-0000-0000FE0F0000}"/>
    <cellStyle name="_SubHeading_q - new guidance 2" xfId="969" xr:uid="{00000000-0005-0000-0000-0000FF0F0000}"/>
    <cellStyle name="_SubHeading_q - new guidance_ITW Working 69" xfId="5986" xr:uid="{00000000-0005-0000-0000-000000100000}"/>
    <cellStyle name="_SubHeading_q - new guidance_MLP Val-Client-10_02_06" xfId="970" xr:uid="{00000000-0005-0000-0000-000001100000}"/>
    <cellStyle name="_SubHeading_q - new guidance_MLP Val-Client-10_02_06 2" xfId="5987" xr:uid="{00000000-0005-0000-0000-000002100000}"/>
    <cellStyle name="_SubHeading_q - new guidance_New Version" xfId="5988" xr:uid="{00000000-0005-0000-0000-000003100000}"/>
    <cellStyle name="_SubHeading_q - new guidance_New Version 2" xfId="5989" xr:uid="{00000000-0005-0000-0000-000004100000}"/>
    <cellStyle name="_SubHeading_q - new guidance_Sheet1" xfId="5990" xr:uid="{00000000-0005-0000-0000-000005100000}"/>
    <cellStyle name="_SubHeading_q - new guidance_Sheet2" xfId="5991" xr:uid="{00000000-0005-0000-0000-000006100000}"/>
    <cellStyle name="_SubHeading_q - new guidance_Sheet2 2" xfId="5992" xr:uid="{00000000-0005-0000-0000-000007100000}"/>
    <cellStyle name="_SubHeading_q - valuation" xfId="971" xr:uid="{00000000-0005-0000-0000-000008100000}"/>
    <cellStyle name="_SubHeading_q - valuation 2" xfId="972" xr:uid="{00000000-0005-0000-0000-000009100000}"/>
    <cellStyle name="_SubHeading_q - valuation_ITW Working 69" xfId="5993" xr:uid="{00000000-0005-0000-0000-00000A100000}"/>
    <cellStyle name="_SubHeading_q - valuation_MLP Val-Client-10_02_06" xfId="973" xr:uid="{00000000-0005-0000-0000-00000B100000}"/>
    <cellStyle name="_SubHeading_q - valuation_MLP Val-Client-10_02_06 2" xfId="5994" xr:uid="{00000000-0005-0000-0000-00000C100000}"/>
    <cellStyle name="_SubHeading_q - valuation_New Version" xfId="5995" xr:uid="{00000000-0005-0000-0000-00000D100000}"/>
    <cellStyle name="_SubHeading_q - valuation_New Version 2" xfId="5996" xr:uid="{00000000-0005-0000-0000-00000E100000}"/>
    <cellStyle name="_SubHeading_q - valuation_Sheet1" xfId="5997" xr:uid="{00000000-0005-0000-0000-00000F100000}"/>
    <cellStyle name="_SubHeading_q - valuation_Sheet2" xfId="5998" xr:uid="{00000000-0005-0000-0000-000010100000}"/>
    <cellStyle name="_SubHeading_q - valuation_Sheet2 2" xfId="5999" xr:uid="{00000000-0005-0000-0000-000011100000}"/>
    <cellStyle name="_SubHeading_Q 2" xfId="974" xr:uid="{00000000-0005-0000-0000-000012100000}"/>
    <cellStyle name="_SubHeading_Q 3" xfId="6000" xr:uid="{00000000-0005-0000-0000-000013100000}"/>
    <cellStyle name="_SubHeading_Q 4" xfId="6001" xr:uid="{00000000-0005-0000-0000-000014100000}"/>
    <cellStyle name="_SubHeading_Q 5" xfId="6002" xr:uid="{00000000-0005-0000-0000-000015100000}"/>
    <cellStyle name="_SubHeading_Q 6" xfId="6003" xr:uid="{00000000-0005-0000-0000-000016100000}"/>
    <cellStyle name="_SubHeading_Q model_041802" xfId="975" xr:uid="{00000000-0005-0000-0000-000017100000}"/>
    <cellStyle name="_SubHeading_Q model_041802 2" xfId="976" xr:uid="{00000000-0005-0000-0000-000018100000}"/>
    <cellStyle name="_SubHeading_Q model_041802_ITW Working 69" xfId="6004" xr:uid="{00000000-0005-0000-0000-000019100000}"/>
    <cellStyle name="_SubHeading_Q model_041802_MLP Val-Client-10_02_06" xfId="977" xr:uid="{00000000-0005-0000-0000-00001A100000}"/>
    <cellStyle name="_SubHeading_Q model_041802_MLP Val-Client-10_02_06 2" xfId="6005" xr:uid="{00000000-0005-0000-0000-00001B100000}"/>
    <cellStyle name="_SubHeading_Q model_041802_New Version" xfId="6006" xr:uid="{00000000-0005-0000-0000-00001C100000}"/>
    <cellStyle name="_SubHeading_Q model_041802_New Version 2" xfId="6007" xr:uid="{00000000-0005-0000-0000-00001D100000}"/>
    <cellStyle name="_SubHeading_Q model_041802_Sheet1" xfId="6008" xr:uid="{00000000-0005-0000-0000-00001E100000}"/>
    <cellStyle name="_SubHeading_Q model_041802_Sheet2" xfId="6009" xr:uid="{00000000-0005-0000-0000-00001F100000}"/>
    <cellStyle name="_SubHeading_Q model_041802_Sheet2 2" xfId="6010" xr:uid="{00000000-0005-0000-0000-000020100000}"/>
    <cellStyle name="_SubHeading_Q_ITW Working 69" xfId="6011" xr:uid="{00000000-0005-0000-0000-000021100000}"/>
    <cellStyle name="_SubHeading_Q_MLP Val-Client-10_02_06" xfId="978" xr:uid="{00000000-0005-0000-0000-000022100000}"/>
    <cellStyle name="_SubHeading_Q_MLP Val-Client-10_02_06 2" xfId="6012" xr:uid="{00000000-0005-0000-0000-000023100000}"/>
    <cellStyle name="_SubHeading_Q_New Version" xfId="6013" xr:uid="{00000000-0005-0000-0000-000024100000}"/>
    <cellStyle name="_SubHeading_Q_New Version 2" xfId="6014" xr:uid="{00000000-0005-0000-0000-000025100000}"/>
    <cellStyle name="_SubHeading_Q_Sheet1" xfId="6015" xr:uid="{00000000-0005-0000-0000-000026100000}"/>
    <cellStyle name="_SubHeading_Q_Sheet2" xfId="6016" xr:uid="{00000000-0005-0000-0000-000027100000}"/>
    <cellStyle name="_SubHeading_Q_Sheet2 2" xfId="6017" xr:uid="{00000000-0005-0000-0000-000028100000}"/>
    <cellStyle name="_SubHeading_Q_update" xfId="979" xr:uid="{00000000-0005-0000-0000-000029100000}"/>
    <cellStyle name="_SubHeading_Q_update 2" xfId="980" xr:uid="{00000000-0005-0000-0000-00002A100000}"/>
    <cellStyle name="_SubHeading_Q_update_ITW Working 69" xfId="6018" xr:uid="{00000000-0005-0000-0000-00002B100000}"/>
    <cellStyle name="_SubHeading_Q_update_MLP Val-Client-10_02_06" xfId="981" xr:uid="{00000000-0005-0000-0000-00002C100000}"/>
    <cellStyle name="_SubHeading_Q_update_MLP Val-Client-10_02_06 2" xfId="6019" xr:uid="{00000000-0005-0000-0000-00002D100000}"/>
    <cellStyle name="_SubHeading_Q_update_New Version" xfId="6020" xr:uid="{00000000-0005-0000-0000-00002E100000}"/>
    <cellStyle name="_SubHeading_Q_update_New Version 2" xfId="6021" xr:uid="{00000000-0005-0000-0000-00002F100000}"/>
    <cellStyle name="_SubHeading_Q_update_Sheet1" xfId="6022" xr:uid="{00000000-0005-0000-0000-000030100000}"/>
    <cellStyle name="_SubHeading_Q_update_Sheet2" xfId="6023" xr:uid="{00000000-0005-0000-0000-000031100000}"/>
    <cellStyle name="_SubHeading_Q_update_Sheet2 2" xfId="6024" xr:uid="{00000000-0005-0000-0000-000032100000}"/>
    <cellStyle name="_SubHeading_Qwest Analysis" xfId="982" xr:uid="{00000000-0005-0000-0000-000033100000}"/>
    <cellStyle name="_SubHeading_Qwest Analysis 2" xfId="983" xr:uid="{00000000-0005-0000-0000-000034100000}"/>
    <cellStyle name="_SubHeading_Qwest Analysis_ITW Working 69" xfId="6025" xr:uid="{00000000-0005-0000-0000-000035100000}"/>
    <cellStyle name="_SubHeading_Qwest Analysis_MLP Val-Client-10_02_06" xfId="984" xr:uid="{00000000-0005-0000-0000-000036100000}"/>
    <cellStyle name="_SubHeading_Qwest Analysis_MLP Val-Client-10_02_06 2" xfId="6026" xr:uid="{00000000-0005-0000-0000-000037100000}"/>
    <cellStyle name="_SubHeading_Qwest Analysis_New Version" xfId="6027" xr:uid="{00000000-0005-0000-0000-000038100000}"/>
    <cellStyle name="_SubHeading_Qwest Analysis_New Version 2" xfId="6028" xr:uid="{00000000-0005-0000-0000-000039100000}"/>
    <cellStyle name="_SubHeading_Qwest Analysis_Sheet1" xfId="6029" xr:uid="{00000000-0005-0000-0000-00003A100000}"/>
    <cellStyle name="_SubHeading_Qwest Analysis_Sheet2" xfId="6030" xr:uid="{00000000-0005-0000-0000-00003B100000}"/>
    <cellStyle name="_SubHeading_Qwest Analysis_Sheet2 2" xfId="6031" xr:uid="{00000000-0005-0000-0000-00003C100000}"/>
    <cellStyle name="_SubHeading_RBOC historicals" xfId="985" xr:uid="{00000000-0005-0000-0000-00003D100000}"/>
    <cellStyle name="_SubHeading_Sheet1" xfId="986" xr:uid="{00000000-0005-0000-0000-00003E100000}"/>
    <cellStyle name="_SubHeading_Sheet1 2" xfId="6032" xr:uid="{00000000-0005-0000-0000-00003F100000}"/>
    <cellStyle name="_SubHeading_T - new" xfId="987" xr:uid="{00000000-0005-0000-0000-000040100000}"/>
    <cellStyle name="_SubHeading_Valuation vals" xfId="988" xr:uid="{00000000-0005-0000-0000-000041100000}"/>
    <cellStyle name="_SubHeading_Valuation vals 2" xfId="6033" xr:uid="{00000000-0005-0000-0000-000042100000}"/>
    <cellStyle name="_SubHeading_VZ" xfId="989" xr:uid="{00000000-0005-0000-0000-000043100000}"/>
    <cellStyle name="_SubHeading_VZ 2" xfId="990" xr:uid="{00000000-0005-0000-0000-000044100000}"/>
    <cellStyle name="_SubHeading_VZ_ITW Working 69" xfId="6034" xr:uid="{00000000-0005-0000-0000-000045100000}"/>
    <cellStyle name="_SubHeading_VZ_MLP Val-Client-10_02_06" xfId="991" xr:uid="{00000000-0005-0000-0000-000046100000}"/>
    <cellStyle name="_SubHeading_VZ_MLP Val-Client-10_02_06 2" xfId="6035" xr:uid="{00000000-0005-0000-0000-000047100000}"/>
    <cellStyle name="_SubHeading_VZ_New Version" xfId="6036" xr:uid="{00000000-0005-0000-0000-000048100000}"/>
    <cellStyle name="_SubHeading_VZ_New Version 2" xfId="6037" xr:uid="{00000000-0005-0000-0000-000049100000}"/>
    <cellStyle name="_SubHeading_VZ_Sheet1" xfId="6038" xr:uid="{00000000-0005-0000-0000-00004A100000}"/>
    <cellStyle name="_SubHeading_VZ_Sheet2" xfId="6039" xr:uid="{00000000-0005-0000-0000-00004B100000}"/>
    <cellStyle name="_SubHeading_VZ_Sheet2 2" xfId="6040" xr:uid="{00000000-0005-0000-0000-00004C100000}"/>
    <cellStyle name="_SubHeading_xratio - historical mkt val" xfId="2857" xr:uid="{00000000-0005-0000-0000-00004D100000}"/>
    <cellStyle name="_Table" xfId="992" xr:uid="{00000000-0005-0000-0000-00004E100000}"/>
    <cellStyle name="_Table 2" xfId="993" xr:uid="{00000000-0005-0000-0000-00004F100000}"/>
    <cellStyle name="_Table 3" xfId="994" xr:uid="{00000000-0005-0000-0000-000050100000}"/>
    <cellStyle name="_Table 4" xfId="7071" xr:uid="{00000000-0005-0000-0000-000051100000}"/>
    <cellStyle name="_Table_Ability to Pay Analysis" xfId="2858" xr:uid="{00000000-0005-0000-0000-000052100000}"/>
    <cellStyle name="_Table_AG" xfId="995" xr:uid="{00000000-0005-0000-0000-000053100000}"/>
    <cellStyle name="_Table_BankUnited Model" xfId="2859" xr:uid="{00000000-0005-0000-0000-000054100000}"/>
    <cellStyle name="_Table_BankUnited Model 2" xfId="3078" xr:uid="{00000000-0005-0000-0000-000055100000}"/>
    <cellStyle name="_Table_BLS" xfId="996" xr:uid="{00000000-0005-0000-0000-000056100000}"/>
    <cellStyle name="_Table_BLS 2" xfId="997" xr:uid="{00000000-0005-0000-0000-000057100000}"/>
    <cellStyle name="_Table_bls roic" xfId="998" xr:uid="{00000000-0005-0000-0000-000058100000}"/>
    <cellStyle name="_Table_BLS_ITW Working 69" xfId="6041" xr:uid="{00000000-0005-0000-0000-000059100000}"/>
    <cellStyle name="_Table_BLS_MLP Val-Client-10_02_06" xfId="999" xr:uid="{00000000-0005-0000-0000-00005A100000}"/>
    <cellStyle name="_Table_BLS_MLP Val-Client-10_02_06 2" xfId="6042" xr:uid="{00000000-0005-0000-0000-00005B100000}"/>
    <cellStyle name="_Table_BLS_New Version" xfId="6043" xr:uid="{00000000-0005-0000-0000-00005C100000}"/>
    <cellStyle name="_Table_BLS_New Version 2" xfId="6044" xr:uid="{00000000-0005-0000-0000-00005D100000}"/>
    <cellStyle name="_Table_BLS_Sheet1" xfId="6045" xr:uid="{00000000-0005-0000-0000-00005E100000}"/>
    <cellStyle name="_Table_BLS_Sheet2" xfId="6046" xr:uid="{00000000-0005-0000-0000-00005F100000}"/>
    <cellStyle name="_Table_BLS_Sheet2 2" xfId="6047" xr:uid="{00000000-0005-0000-0000-000060100000}"/>
    <cellStyle name="_Table_Book9" xfId="1000" xr:uid="{00000000-0005-0000-0000-000061100000}"/>
    <cellStyle name="_Table_Book9 2" xfId="1001" xr:uid="{00000000-0005-0000-0000-000062100000}"/>
    <cellStyle name="_Table_Book9_ITW Working 69" xfId="6048" xr:uid="{00000000-0005-0000-0000-000063100000}"/>
    <cellStyle name="_Table_Book9_MLP Val-Client-10_02_06" xfId="1002" xr:uid="{00000000-0005-0000-0000-000064100000}"/>
    <cellStyle name="_Table_Book9_MLP Val-Client-10_02_06 2" xfId="6049" xr:uid="{00000000-0005-0000-0000-000065100000}"/>
    <cellStyle name="_Table_Book9_New Version" xfId="6050" xr:uid="{00000000-0005-0000-0000-000066100000}"/>
    <cellStyle name="_Table_Book9_New Version 2" xfId="6051" xr:uid="{00000000-0005-0000-0000-000067100000}"/>
    <cellStyle name="_Table_Book9_Sheet1" xfId="6052" xr:uid="{00000000-0005-0000-0000-000068100000}"/>
    <cellStyle name="_Table_Book9_Sheet2" xfId="6053" xr:uid="{00000000-0005-0000-0000-000069100000}"/>
    <cellStyle name="_Table_Book9_Sheet2 2" xfId="6054" xr:uid="{00000000-0005-0000-0000-00006A100000}"/>
    <cellStyle name="_Table_Broadband Comps" xfId="1003" xr:uid="{00000000-0005-0000-0000-00006B100000}"/>
    <cellStyle name="_Table_Broadband Comps 2" xfId="1004" xr:uid="{00000000-0005-0000-0000-00006C100000}"/>
    <cellStyle name="_Table_Broadband Comps_ITW Working 69" xfId="6055" xr:uid="{00000000-0005-0000-0000-00006D100000}"/>
    <cellStyle name="_Table_Broadband Comps_MLP Val-Client-10_02_06" xfId="1005" xr:uid="{00000000-0005-0000-0000-00006E100000}"/>
    <cellStyle name="_Table_Broadband Comps_MLP Val-Client-10_02_06 2" xfId="6056" xr:uid="{00000000-0005-0000-0000-00006F100000}"/>
    <cellStyle name="_Table_Broadband Comps_New Version" xfId="6057" xr:uid="{00000000-0005-0000-0000-000070100000}"/>
    <cellStyle name="_Table_Broadband Comps_New Version 2" xfId="6058" xr:uid="{00000000-0005-0000-0000-000071100000}"/>
    <cellStyle name="_Table_Broadband Comps_Sheet1" xfId="6059" xr:uid="{00000000-0005-0000-0000-000072100000}"/>
    <cellStyle name="_Table_Broadband Comps_Sheet2" xfId="6060" xr:uid="{00000000-0005-0000-0000-000073100000}"/>
    <cellStyle name="_Table_Broadband Comps_Sheet2 2" xfId="6061" xr:uid="{00000000-0005-0000-0000-000074100000}"/>
    <cellStyle name="_Table_capital expenditures 6-18-02" xfId="1006" xr:uid="{00000000-0005-0000-0000-000075100000}"/>
    <cellStyle name="_Table_CAT" xfId="1007" xr:uid="{00000000-0005-0000-0000-000076100000}"/>
    <cellStyle name="_Table_CAT 2" xfId="6062" xr:uid="{00000000-0005-0000-0000-000077100000}"/>
    <cellStyle name="_Table_CNH" xfId="1008" xr:uid="{00000000-0005-0000-0000-000078100000}"/>
    <cellStyle name="_Table_CNH 2" xfId="6063" xr:uid="{00000000-0005-0000-0000-000079100000}"/>
    <cellStyle name="_Table_Commtech" xfId="1009" xr:uid="{00000000-0005-0000-0000-00007A100000}"/>
    <cellStyle name="_Table_Commtech 2" xfId="6064" xr:uid="{00000000-0005-0000-0000-00007B100000}"/>
    <cellStyle name="_Table_Competitors" xfId="6065" xr:uid="{00000000-0005-0000-0000-00007C100000}"/>
    <cellStyle name="_Table_CTCO" xfId="1010" xr:uid="{00000000-0005-0000-0000-00007D100000}"/>
    <cellStyle name="_Table_CTCO 2" xfId="1011" xr:uid="{00000000-0005-0000-0000-00007E100000}"/>
    <cellStyle name="_Table_CTCO_ITW Working 69" xfId="6066" xr:uid="{00000000-0005-0000-0000-00007F100000}"/>
    <cellStyle name="_Table_CTCO_MLP Val-Client-10_02_06" xfId="1012" xr:uid="{00000000-0005-0000-0000-000080100000}"/>
    <cellStyle name="_Table_CTCO_MLP Val-Client-10_02_06 2" xfId="6067" xr:uid="{00000000-0005-0000-0000-000081100000}"/>
    <cellStyle name="_Table_CTCO_New Version" xfId="6068" xr:uid="{00000000-0005-0000-0000-000082100000}"/>
    <cellStyle name="_Table_CTCO_New Version 2" xfId="6069" xr:uid="{00000000-0005-0000-0000-000083100000}"/>
    <cellStyle name="_Table_CTCO_Sheet1" xfId="6070" xr:uid="{00000000-0005-0000-0000-000084100000}"/>
    <cellStyle name="_Table_CTCO_Sheet2" xfId="6071" xr:uid="{00000000-0005-0000-0000-000085100000}"/>
    <cellStyle name="_Table_CTCO_Sheet2 2" xfId="6072" xr:uid="{00000000-0005-0000-0000-000086100000}"/>
    <cellStyle name="_Table_DE-working" xfId="1013" xr:uid="{00000000-0005-0000-0000-000087100000}"/>
    <cellStyle name="_Table_DE-working 2" xfId="6073" xr:uid="{00000000-0005-0000-0000-000088100000}"/>
    <cellStyle name="_Table_document(1)" xfId="6074" xr:uid="{00000000-0005-0000-0000-000089100000}"/>
    <cellStyle name="_Table_DOV" xfId="1014" xr:uid="{00000000-0005-0000-0000-00008A100000}"/>
    <cellStyle name="_Table_DOV 2" xfId="6075" xr:uid="{00000000-0005-0000-0000-00008B100000}"/>
    <cellStyle name="_Table_ETN" xfId="1015" xr:uid="{00000000-0005-0000-0000-00008C100000}"/>
    <cellStyle name="_Table_ETN 2" xfId="6076" xr:uid="{00000000-0005-0000-0000-00008D100000}"/>
    <cellStyle name="_Table_EZJ vs go" xfId="6077" xr:uid="{00000000-0005-0000-0000-00008E100000}"/>
    <cellStyle name="_Table_Financial Performance Benchmarking and Valuation(2)" xfId="6078" xr:uid="{00000000-0005-0000-0000-00008F100000}"/>
    <cellStyle name="_Table_fmbi counties" xfId="2860" xr:uid="{00000000-0005-0000-0000-000090100000}"/>
    <cellStyle name="_Table_Foreclosures_data_Realty Trac Break up" xfId="6079" xr:uid="{00000000-0005-0000-0000-000091100000}"/>
    <cellStyle name="_Table_FSS" xfId="1016" xr:uid="{00000000-0005-0000-0000-000092100000}"/>
    <cellStyle name="_Table_FSS 2" xfId="6080" xr:uid="{00000000-0005-0000-0000-000093100000}"/>
    <cellStyle name="_Table_Global Autos Database 2005" xfId="6081" xr:uid="{00000000-0005-0000-0000-000094100000}"/>
    <cellStyle name="_Table_ITW Working 69" xfId="6082" xr:uid="{00000000-0005-0000-0000-000095100000}"/>
    <cellStyle name="_Table_JOYG" xfId="1017" xr:uid="{00000000-0005-0000-0000-000096100000}"/>
    <cellStyle name="_Table_Kent" xfId="1018" xr:uid="{00000000-0005-0000-0000-000097100000}"/>
    <cellStyle name="_Table_Kent 2" xfId="6083" xr:uid="{00000000-0005-0000-0000-000098100000}"/>
    <cellStyle name="_Table_MLM" xfId="1019" xr:uid="{00000000-0005-0000-0000-000099100000}"/>
    <cellStyle name="_Table_NAV" xfId="1020" xr:uid="{00000000-0005-0000-0000-00009A100000}"/>
    <cellStyle name="_Table_OpMod" xfId="6084" xr:uid="{00000000-0005-0000-0000-00009B100000}"/>
    <cellStyle name="_Table_OpMod_1" xfId="6085" xr:uid="{00000000-0005-0000-0000-00009C100000}"/>
    <cellStyle name="_Table_OpMod_1 2" xfId="6086" xr:uid="{00000000-0005-0000-0000-00009D100000}"/>
    <cellStyle name="_Table_Origination Market Share-Qtr" xfId="6087" xr:uid="{00000000-0005-0000-0000-00009E100000}"/>
    <cellStyle name="_Table_OSK" xfId="1021" xr:uid="{00000000-0005-0000-0000-00009F100000}"/>
    <cellStyle name="_Table_PCAR" xfId="1022" xr:uid="{00000000-0005-0000-0000-0000A0100000}"/>
    <cellStyle name="_Table_PH" xfId="1023" xr:uid="{00000000-0005-0000-0000-0000A1100000}"/>
    <cellStyle name="_Table_Q" xfId="1024" xr:uid="{00000000-0005-0000-0000-0000A2100000}"/>
    <cellStyle name="_Table_q - new guidance" xfId="1025" xr:uid="{00000000-0005-0000-0000-0000A3100000}"/>
    <cellStyle name="_Table_q - new guidance 2" xfId="1026" xr:uid="{00000000-0005-0000-0000-0000A4100000}"/>
    <cellStyle name="_Table_q - new guidance_ITW Working 69" xfId="6088" xr:uid="{00000000-0005-0000-0000-0000A5100000}"/>
    <cellStyle name="_Table_q - new guidance_MLP Val-Client-10_02_06" xfId="1027" xr:uid="{00000000-0005-0000-0000-0000A6100000}"/>
    <cellStyle name="_Table_q - new guidance_MLP Val-Client-10_02_06 2" xfId="6089" xr:uid="{00000000-0005-0000-0000-0000A7100000}"/>
    <cellStyle name="_Table_q - new guidance_New Version" xfId="6090" xr:uid="{00000000-0005-0000-0000-0000A8100000}"/>
    <cellStyle name="_Table_q - new guidance_New Version 2" xfId="6091" xr:uid="{00000000-0005-0000-0000-0000A9100000}"/>
    <cellStyle name="_Table_q - new guidance_Sheet1" xfId="6092" xr:uid="{00000000-0005-0000-0000-0000AA100000}"/>
    <cellStyle name="_Table_q - new guidance_Sheet2" xfId="6093" xr:uid="{00000000-0005-0000-0000-0000AB100000}"/>
    <cellStyle name="_Table_q - new guidance_Sheet2 2" xfId="6094" xr:uid="{00000000-0005-0000-0000-0000AC100000}"/>
    <cellStyle name="_Table_q - valuation" xfId="1028" xr:uid="{00000000-0005-0000-0000-0000AD100000}"/>
    <cellStyle name="_Table_q - valuation 2" xfId="1029" xr:uid="{00000000-0005-0000-0000-0000AE100000}"/>
    <cellStyle name="_Table_q - valuation_ITW Working 69" xfId="6095" xr:uid="{00000000-0005-0000-0000-0000AF100000}"/>
    <cellStyle name="_Table_q - valuation_MLP Val-Client-10_02_06" xfId="1030" xr:uid="{00000000-0005-0000-0000-0000B0100000}"/>
    <cellStyle name="_Table_q - valuation_MLP Val-Client-10_02_06 2" xfId="6096" xr:uid="{00000000-0005-0000-0000-0000B1100000}"/>
    <cellStyle name="_Table_q - valuation_New Version" xfId="6097" xr:uid="{00000000-0005-0000-0000-0000B2100000}"/>
    <cellStyle name="_Table_q - valuation_New Version 2" xfId="6098" xr:uid="{00000000-0005-0000-0000-0000B3100000}"/>
    <cellStyle name="_Table_q - valuation_Sheet1" xfId="6099" xr:uid="{00000000-0005-0000-0000-0000B4100000}"/>
    <cellStyle name="_Table_q - valuation_Sheet2" xfId="6100" xr:uid="{00000000-0005-0000-0000-0000B5100000}"/>
    <cellStyle name="_Table_q - valuation_Sheet2 2" xfId="6101" xr:uid="{00000000-0005-0000-0000-0000B6100000}"/>
    <cellStyle name="_Table_Q 2" xfId="1031" xr:uid="{00000000-0005-0000-0000-0000B7100000}"/>
    <cellStyle name="_Table_Q 3" xfId="6102" xr:uid="{00000000-0005-0000-0000-0000B8100000}"/>
    <cellStyle name="_Table_Q 4" xfId="6103" xr:uid="{00000000-0005-0000-0000-0000B9100000}"/>
    <cellStyle name="_Table_Q 5" xfId="6104" xr:uid="{00000000-0005-0000-0000-0000BA100000}"/>
    <cellStyle name="_Table_Q 6" xfId="6105" xr:uid="{00000000-0005-0000-0000-0000BB100000}"/>
    <cellStyle name="_Table_Q model_041802" xfId="1032" xr:uid="{00000000-0005-0000-0000-0000BC100000}"/>
    <cellStyle name="_Table_Q model_041802 2" xfId="1033" xr:uid="{00000000-0005-0000-0000-0000BD100000}"/>
    <cellStyle name="_Table_Q model_041802_ITW Working 69" xfId="6106" xr:uid="{00000000-0005-0000-0000-0000BE100000}"/>
    <cellStyle name="_Table_Q model_041802_MLP Val-Client-10_02_06" xfId="1034" xr:uid="{00000000-0005-0000-0000-0000BF100000}"/>
    <cellStyle name="_Table_Q model_041802_MLP Val-Client-10_02_06 2" xfId="6107" xr:uid="{00000000-0005-0000-0000-0000C0100000}"/>
    <cellStyle name="_Table_Q model_041802_New Version" xfId="6108" xr:uid="{00000000-0005-0000-0000-0000C1100000}"/>
    <cellStyle name="_Table_Q model_041802_New Version 2" xfId="6109" xr:uid="{00000000-0005-0000-0000-0000C2100000}"/>
    <cellStyle name="_Table_Q model_041802_Sheet1" xfId="6110" xr:uid="{00000000-0005-0000-0000-0000C3100000}"/>
    <cellStyle name="_Table_Q model_041802_Sheet2" xfId="6111" xr:uid="{00000000-0005-0000-0000-0000C4100000}"/>
    <cellStyle name="_Table_Q model_041802_Sheet2 2" xfId="6112" xr:uid="{00000000-0005-0000-0000-0000C5100000}"/>
    <cellStyle name="_Table_Q_ITW Working 69" xfId="6113" xr:uid="{00000000-0005-0000-0000-0000C6100000}"/>
    <cellStyle name="_Table_Q_MLP Val-Client-10_02_06" xfId="1035" xr:uid="{00000000-0005-0000-0000-0000C7100000}"/>
    <cellStyle name="_Table_Q_MLP Val-Client-10_02_06 2" xfId="6114" xr:uid="{00000000-0005-0000-0000-0000C8100000}"/>
    <cellStyle name="_Table_Q_New Version" xfId="6115" xr:uid="{00000000-0005-0000-0000-0000C9100000}"/>
    <cellStyle name="_Table_Q_New Version 2" xfId="6116" xr:uid="{00000000-0005-0000-0000-0000CA100000}"/>
    <cellStyle name="_Table_Q_Sheet1" xfId="6117" xr:uid="{00000000-0005-0000-0000-0000CB100000}"/>
    <cellStyle name="_Table_Q_Sheet2" xfId="6118" xr:uid="{00000000-0005-0000-0000-0000CC100000}"/>
    <cellStyle name="_Table_Q_Sheet2 2" xfId="6119" xr:uid="{00000000-0005-0000-0000-0000CD100000}"/>
    <cellStyle name="_Table_Q_update" xfId="1036" xr:uid="{00000000-0005-0000-0000-0000CE100000}"/>
    <cellStyle name="_Table_Q_update 2" xfId="1037" xr:uid="{00000000-0005-0000-0000-0000CF100000}"/>
    <cellStyle name="_Table_Q_update_ITW Working 69" xfId="6120" xr:uid="{00000000-0005-0000-0000-0000D0100000}"/>
    <cellStyle name="_Table_Q_update_MLP Val-Client-10_02_06" xfId="1038" xr:uid="{00000000-0005-0000-0000-0000D1100000}"/>
    <cellStyle name="_Table_Q_update_MLP Val-Client-10_02_06 2" xfId="6121" xr:uid="{00000000-0005-0000-0000-0000D2100000}"/>
    <cellStyle name="_Table_Q_update_New Version" xfId="6122" xr:uid="{00000000-0005-0000-0000-0000D3100000}"/>
    <cellStyle name="_Table_Q_update_New Version 2" xfId="6123" xr:uid="{00000000-0005-0000-0000-0000D4100000}"/>
    <cellStyle name="_Table_Q_update_Sheet1" xfId="6124" xr:uid="{00000000-0005-0000-0000-0000D5100000}"/>
    <cellStyle name="_Table_Q_update_Sheet2" xfId="6125" xr:uid="{00000000-0005-0000-0000-0000D6100000}"/>
    <cellStyle name="_Table_Q_update_Sheet2 2" xfId="6126" xr:uid="{00000000-0005-0000-0000-0000D7100000}"/>
    <cellStyle name="_Table_Qwest Analysis" xfId="1039" xr:uid="{00000000-0005-0000-0000-0000D8100000}"/>
    <cellStyle name="_Table_Qwest Analysis 2" xfId="1040" xr:uid="{00000000-0005-0000-0000-0000D9100000}"/>
    <cellStyle name="_Table_Qwest Analysis_ITW Working 69" xfId="6127" xr:uid="{00000000-0005-0000-0000-0000DA100000}"/>
    <cellStyle name="_Table_Qwest Analysis_MLP Val-Client-10_02_06" xfId="1041" xr:uid="{00000000-0005-0000-0000-0000DB100000}"/>
    <cellStyle name="_Table_Qwest Analysis_MLP Val-Client-10_02_06 2" xfId="6128" xr:uid="{00000000-0005-0000-0000-0000DC100000}"/>
    <cellStyle name="_Table_Qwest Analysis_New Version" xfId="6129" xr:uid="{00000000-0005-0000-0000-0000DD100000}"/>
    <cellStyle name="_Table_Qwest Analysis_New Version 2" xfId="6130" xr:uid="{00000000-0005-0000-0000-0000DE100000}"/>
    <cellStyle name="_Table_Qwest Analysis_Sheet1" xfId="6131" xr:uid="{00000000-0005-0000-0000-0000DF100000}"/>
    <cellStyle name="_Table_Qwest Analysis_Sheet2" xfId="6132" xr:uid="{00000000-0005-0000-0000-0000E0100000}"/>
    <cellStyle name="_Table_Qwest Analysis_Sheet2 2" xfId="6133" xr:uid="{00000000-0005-0000-0000-0000E1100000}"/>
    <cellStyle name="_Table_RBOC historicals" xfId="1042" xr:uid="{00000000-0005-0000-0000-0000E2100000}"/>
    <cellStyle name="_Table_Sheet1" xfId="1043" xr:uid="{00000000-0005-0000-0000-0000E3100000}"/>
    <cellStyle name="_Table_Sheet1 2" xfId="6134" xr:uid="{00000000-0005-0000-0000-0000E4100000}"/>
    <cellStyle name="_Table_T - new" xfId="1044" xr:uid="{00000000-0005-0000-0000-0000E5100000}"/>
    <cellStyle name="_Table_Valuation vals" xfId="1045" xr:uid="{00000000-0005-0000-0000-0000E6100000}"/>
    <cellStyle name="_Table_Valuation vals 2" xfId="6135" xr:uid="{00000000-0005-0000-0000-0000E7100000}"/>
    <cellStyle name="_Table_VZ" xfId="1046" xr:uid="{00000000-0005-0000-0000-0000E8100000}"/>
    <cellStyle name="_Table_VZ 2" xfId="1047" xr:uid="{00000000-0005-0000-0000-0000E9100000}"/>
    <cellStyle name="_Table_VZ_ITW Working 69" xfId="6136" xr:uid="{00000000-0005-0000-0000-0000EA100000}"/>
    <cellStyle name="_Table_VZ_MLP Val-Client-10_02_06" xfId="1048" xr:uid="{00000000-0005-0000-0000-0000EB100000}"/>
    <cellStyle name="_Table_VZ_MLP Val-Client-10_02_06 2" xfId="6137" xr:uid="{00000000-0005-0000-0000-0000EC100000}"/>
    <cellStyle name="_Table_VZ_New Version" xfId="6138" xr:uid="{00000000-0005-0000-0000-0000ED100000}"/>
    <cellStyle name="_Table_VZ_New Version 2" xfId="6139" xr:uid="{00000000-0005-0000-0000-0000EE100000}"/>
    <cellStyle name="_Table_VZ_Sheet1" xfId="6140" xr:uid="{00000000-0005-0000-0000-0000EF100000}"/>
    <cellStyle name="_Table_VZ_Sheet2" xfId="6141" xr:uid="{00000000-0005-0000-0000-0000F0100000}"/>
    <cellStyle name="_Table_VZ_Sheet2 2" xfId="6142" xr:uid="{00000000-0005-0000-0000-0000F1100000}"/>
    <cellStyle name="_Table_xratio - historical mkt val" xfId="2861" xr:uid="{00000000-0005-0000-0000-0000F2100000}"/>
    <cellStyle name="_TableHead" xfId="1049" xr:uid="{00000000-0005-0000-0000-0000F3100000}"/>
    <cellStyle name="_TableHead 2" xfId="1050" xr:uid="{00000000-0005-0000-0000-0000F4100000}"/>
    <cellStyle name="_TableHead 3" xfId="1051" xr:uid="{00000000-0005-0000-0000-0000F5100000}"/>
    <cellStyle name="_TableHead 4" xfId="7072" xr:uid="{00000000-0005-0000-0000-0000F6100000}"/>
    <cellStyle name="_TableHead_AG" xfId="1052" xr:uid="{00000000-0005-0000-0000-0000F7100000}"/>
    <cellStyle name="_TableHead_BLS" xfId="1053" xr:uid="{00000000-0005-0000-0000-0000F8100000}"/>
    <cellStyle name="_TableHead_BLS 2" xfId="1054" xr:uid="{00000000-0005-0000-0000-0000F9100000}"/>
    <cellStyle name="_TableHead_bls roic" xfId="1055" xr:uid="{00000000-0005-0000-0000-0000FA100000}"/>
    <cellStyle name="_TableHead_BLS_ITW Working 69" xfId="6143" xr:uid="{00000000-0005-0000-0000-0000FB100000}"/>
    <cellStyle name="_TableHead_BLS_MLP Val-Client-10_02_06" xfId="1056" xr:uid="{00000000-0005-0000-0000-0000FC100000}"/>
    <cellStyle name="_TableHead_BLS_MLP Val-Client-10_02_06 2" xfId="6144" xr:uid="{00000000-0005-0000-0000-0000FD100000}"/>
    <cellStyle name="_TableHead_BLS_New Version" xfId="6145" xr:uid="{00000000-0005-0000-0000-0000FE100000}"/>
    <cellStyle name="_TableHead_BLS_New Version 2" xfId="6146" xr:uid="{00000000-0005-0000-0000-0000FF100000}"/>
    <cellStyle name="_TableHead_BLS_Sheet1" xfId="6147" xr:uid="{00000000-0005-0000-0000-000000110000}"/>
    <cellStyle name="_TableHead_BLS_Sheet2" xfId="6148" xr:uid="{00000000-0005-0000-0000-000001110000}"/>
    <cellStyle name="_TableHead_BLS_Sheet2 2" xfId="6149" xr:uid="{00000000-0005-0000-0000-000002110000}"/>
    <cellStyle name="_TableHead_Book9" xfId="1057" xr:uid="{00000000-0005-0000-0000-000003110000}"/>
    <cellStyle name="_TableHead_Book9 2" xfId="1058" xr:uid="{00000000-0005-0000-0000-000004110000}"/>
    <cellStyle name="_TableHead_Book9_ITW Working 69" xfId="6150" xr:uid="{00000000-0005-0000-0000-000005110000}"/>
    <cellStyle name="_TableHead_Book9_MLP Val-Client-10_02_06" xfId="1059" xr:uid="{00000000-0005-0000-0000-000006110000}"/>
    <cellStyle name="_TableHead_Book9_MLP Val-Client-10_02_06 2" xfId="6151" xr:uid="{00000000-0005-0000-0000-000007110000}"/>
    <cellStyle name="_TableHead_Book9_New Version" xfId="6152" xr:uid="{00000000-0005-0000-0000-000008110000}"/>
    <cellStyle name="_TableHead_Book9_New Version 2" xfId="6153" xr:uid="{00000000-0005-0000-0000-000009110000}"/>
    <cellStyle name="_TableHead_Book9_Sheet1" xfId="6154" xr:uid="{00000000-0005-0000-0000-00000A110000}"/>
    <cellStyle name="_TableHead_Book9_Sheet2" xfId="6155" xr:uid="{00000000-0005-0000-0000-00000B110000}"/>
    <cellStyle name="_TableHead_Book9_Sheet2 2" xfId="6156" xr:uid="{00000000-0005-0000-0000-00000C110000}"/>
    <cellStyle name="_TableHead_Broadband Comps" xfId="1060" xr:uid="{00000000-0005-0000-0000-00000D110000}"/>
    <cellStyle name="_TableHead_Broadband Comps 2" xfId="1061" xr:uid="{00000000-0005-0000-0000-00000E110000}"/>
    <cellStyle name="_TableHead_Broadband Comps_ITW Working 69" xfId="6157" xr:uid="{00000000-0005-0000-0000-00000F110000}"/>
    <cellStyle name="_TableHead_Broadband Comps_MLP Val-Client-10_02_06" xfId="1062" xr:uid="{00000000-0005-0000-0000-000010110000}"/>
    <cellStyle name="_TableHead_Broadband Comps_MLP Val-Client-10_02_06 2" xfId="6158" xr:uid="{00000000-0005-0000-0000-000011110000}"/>
    <cellStyle name="_TableHead_Broadband Comps_New Version" xfId="6159" xr:uid="{00000000-0005-0000-0000-000012110000}"/>
    <cellStyle name="_TableHead_Broadband Comps_New Version 2" xfId="6160" xr:uid="{00000000-0005-0000-0000-000013110000}"/>
    <cellStyle name="_TableHead_Broadband Comps_Sheet1" xfId="6161" xr:uid="{00000000-0005-0000-0000-000014110000}"/>
    <cellStyle name="_TableHead_Broadband Comps_Sheet2" xfId="6162" xr:uid="{00000000-0005-0000-0000-000015110000}"/>
    <cellStyle name="_TableHead_Broadband Comps_Sheet2 2" xfId="6163" xr:uid="{00000000-0005-0000-0000-000016110000}"/>
    <cellStyle name="_TableHead_capital expenditures 6-18-02" xfId="1063" xr:uid="{00000000-0005-0000-0000-000017110000}"/>
    <cellStyle name="_TableHead_CAT" xfId="1064" xr:uid="{00000000-0005-0000-0000-000018110000}"/>
    <cellStyle name="_TableHead_CAT 2" xfId="6164" xr:uid="{00000000-0005-0000-0000-000019110000}"/>
    <cellStyle name="_TableHead_CNH" xfId="1065" xr:uid="{00000000-0005-0000-0000-00001A110000}"/>
    <cellStyle name="_TableHead_CNH 2" xfId="6165" xr:uid="{00000000-0005-0000-0000-00001B110000}"/>
    <cellStyle name="_TableHead_Commtech" xfId="1066" xr:uid="{00000000-0005-0000-0000-00001C110000}"/>
    <cellStyle name="_TableHead_Commtech 2" xfId="6166" xr:uid="{00000000-0005-0000-0000-00001D110000}"/>
    <cellStyle name="_TableHead_Competitors" xfId="6167" xr:uid="{00000000-0005-0000-0000-00001E110000}"/>
    <cellStyle name="_TableHead_CTCO" xfId="1067" xr:uid="{00000000-0005-0000-0000-00001F110000}"/>
    <cellStyle name="_TableHead_CTCO 2" xfId="1068" xr:uid="{00000000-0005-0000-0000-000020110000}"/>
    <cellStyle name="_TableHead_CTCO_ITW Working 69" xfId="6168" xr:uid="{00000000-0005-0000-0000-000021110000}"/>
    <cellStyle name="_TableHead_CTCO_MLP Val-Client-10_02_06" xfId="1069" xr:uid="{00000000-0005-0000-0000-000022110000}"/>
    <cellStyle name="_TableHead_CTCO_MLP Val-Client-10_02_06 2" xfId="6169" xr:uid="{00000000-0005-0000-0000-000023110000}"/>
    <cellStyle name="_TableHead_CTCO_New Version" xfId="6170" xr:uid="{00000000-0005-0000-0000-000024110000}"/>
    <cellStyle name="_TableHead_CTCO_New Version 2" xfId="6171" xr:uid="{00000000-0005-0000-0000-000025110000}"/>
    <cellStyle name="_TableHead_CTCO_Sheet1" xfId="6172" xr:uid="{00000000-0005-0000-0000-000026110000}"/>
    <cellStyle name="_TableHead_CTCO_Sheet2" xfId="6173" xr:uid="{00000000-0005-0000-0000-000027110000}"/>
    <cellStyle name="_TableHead_CTCO_Sheet2 2" xfId="6174" xr:uid="{00000000-0005-0000-0000-000028110000}"/>
    <cellStyle name="_TableHead_DE-working" xfId="1070" xr:uid="{00000000-0005-0000-0000-000029110000}"/>
    <cellStyle name="_TableHead_DE-working 2" xfId="6175" xr:uid="{00000000-0005-0000-0000-00002A110000}"/>
    <cellStyle name="_TableHead_document(1)" xfId="6176" xr:uid="{00000000-0005-0000-0000-00002B110000}"/>
    <cellStyle name="_TableHead_DOV" xfId="1071" xr:uid="{00000000-0005-0000-0000-00002C110000}"/>
    <cellStyle name="_TableHead_DOV 2" xfId="6177" xr:uid="{00000000-0005-0000-0000-00002D110000}"/>
    <cellStyle name="_TableHead_ETN" xfId="1072" xr:uid="{00000000-0005-0000-0000-00002E110000}"/>
    <cellStyle name="_TableHead_ETN 2" xfId="6178" xr:uid="{00000000-0005-0000-0000-00002F110000}"/>
    <cellStyle name="_TableHead_Foreclosures_data_Realty Trac Break up" xfId="6179" xr:uid="{00000000-0005-0000-0000-000030110000}"/>
    <cellStyle name="_TableHead_FSS" xfId="1073" xr:uid="{00000000-0005-0000-0000-000031110000}"/>
    <cellStyle name="_TableHead_FSS 2" xfId="6180" xr:uid="{00000000-0005-0000-0000-000032110000}"/>
    <cellStyle name="_TableHead_Global Autos Database 2005" xfId="6181" xr:uid="{00000000-0005-0000-0000-000033110000}"/>
    <cellStyle name="_TableHead_ITW Working 69" xfId="6182" xr:uid="{00000000-0005-0000-0000-000034110000}"/>
    <cellStyle name="_TableHead_JOYG" xfId="1074" xr:uid="{00000000-0005-0000-0000-000035110000}"/>
    <cellStyle name="_TableHead_Kent" xfId="1075" xr:uid="{00000000-0005-0000-0000-000036110000}"/>
    <cellStyle name="_TableHead_Kent 2" xfId="6183" xr:uid="{00000000-0005-0000-0000-000037110000}"/>
    <cellStyle name="_TableHead_MLM" xfId="1076" xr:uid="{00000000-0005-0000-0000-000038110000}"/>
    <cellStyle name="_TableHead_NAV" xfId="1077" xr:uid="{00000000-0005-0000-0000-000039110000}"/>
    <cellStyle name="_TableHead_OpMod" xfId="6184" xr:uid="{00000000-0005-0000-0000-00003A110000}"/>
    <cellStyle name="_TableHead_OpMod 2" xfId="6185" xr:uid="{00000000-0005-0000-0000-00003B110000}"/>
    <cellStyle name="_TableHead_Origination Market Share-Qtr" xfId="6186" xr:uid="{00000000-0005-0000-0000-00003C110000}"/>
    <cellStyle name="_TableHead_OSK" xfId="1078" xr:uid="{00000000-0005-0000-0000-00003D110000}"/>
    <cellStyle name="_TableHead_PCAR" xfId="1079" xr:uid="{00000000-0005-0000-0000-00003E110000}"/>
    <cellStyle name="_TableHead_PH" xfId="1080" xr:uid="{00000000-0005-0000-0000-00003F110000}"/>
    <cellStyle name="_TableHead_Q" xfId="1081" xr:uid="{00000000-0005-0000-0000-000040110000}"/>
    <cellStyle name="_TableHead_q - new guidance" xfId="1082" xr:uid="{00000000-0005-0000-0000-000041110000}"/>
    <cellStyle name="_TableHead_q - new guidance 2" xfId="1083" xr:uid="{00000000-0005-0000-0000-000042110000}"/>
    <cellStyle name="_TableHead_q - new guidance_ITW Working 69" xfId="6187" xr:uid="{00000000-0005-0000-0000-000043110000}"/>
    <cellStyle name="_TableHead_q - new guidance_MLP Val-Client-10_02_06" xfId="1084" xr:uid="{00000000-0005-0000-0000-000044110000}"/>
    <cellStyle name="_TableHead_q - new guidance_MLP Val-Client-10_02_06 2" xfId="6188" xr:uid="{00000000-0005-0000-0000-000045110000}"/>
    <cellStyle name="_TableHead_q - new guidance_New Version" xfId="6189" xr:uid="{00000000-0005-0000-0000-000046110000}"/>
    <cellStyle name="_TableHead_q - new guidance_New Version 2" xfId="6190" xr:uid="{00000000-0005-0000-0000-000047110000}"/>
    <cellStyle name="_TableHead_q - new guidance_Sheet1" xfId="6191" xr:uid="{00000000-0005-0000-0000-000048110000}"/>
    <cellStyle name="_TableHead_q - new guidance_Sheet2" xfId="6192" xr:uid="{00000000-0005-0000-0000-000049110000}"/>
    <cellStyle name="_TableHead_q - new guidance_Sheet2 2" xfId="6193" xr:uid="{00000000-0005-0000-0000-00004A110000}"/>
    <cellStyle name="_TableHead_q - valuation" xfId="1085" xr:uid="{00000000-0005-0000-0000-00004B110000}"/>
    <cellStyle name="_TableHead_q - valuation 2" xfId="1086" xr:uid="{00000000-0005-0000-0000-00004C110000}"/>
    <cellStyle name="_TableHead_q - valuation_ITW Working 69" xfId="6194" xr:uid="{00000000-0005-0000-0000-00004D110000}"/>
    <cellStyle name="_TableHead_q - valuation_MLP Val-Client-10_02_06" xfId="1087" xr:uid="{00000000-0005-0000-0000-00004E110000}"/>
    <cellStyle name="_TableHead_q - valuation_MLP Val-Client-10_02_06 2" xfId="6195" xr:uid="{00000000-0005-0000-0000-00004F110000}"/>
    <cellStyle name="_TableHead_q - valuation_New Version" xfId="6196" xr:uid="{00000000-0005-0000-0000-000050110000}"/>
    <cellStyle name="_TableHead_q - valuation_New Version 2" xfId="6197" xr:uid="{00000000-0005-0000-0000-000051110000}"/>
    <cellStyle name="_TableHead_q - valuation_Sheet1" xfId="6198" xr:uid="{00000000-0005-0000-0000-000052110000}"/>
    <cellStyle name="_TableHead_q - valuation_Sheet2" xfId="6199" xr:uid="{00000000-0005-0000-0000-000053110000}"/>
    <cellStyle name="_TableHead_q - valuation_Sheet2 2" xfId="6200" xr:uid="{00000000-0005-0000-0000-000054110000}"/>
    <cellStyle name="_TableHead_Q 2" xfId="1088" xr:uid="{00000000-0005-0000-0000-000055110000}"/>
    <cellStyle name="_TableHead_Q 3" xfId="6201" xr:uid="{00000000-0005-0000-0000-000056110000}"/>
    <cellStyle name="_TableHead_Q 4" xfId="6202" xr:uid="{00000000-0005-0000-0000-000057110000}"/>
    <cellStyle name="_TableHead_Q 5" xfId="6203" xr:uid="{00000000-0005-0000-0000-000058110000}"/>
    <cellStyle name="_TableHead_Q 6" xfId="6204" xr:uid="{00000000-0005-0000-0000-000059110000}"/>
    <cellStyle name="_TableHead_Q model_041802" xfId="1089" xr:uid="{00000000-0005-0000-0000-00005A110000}"/>
    <cellStyle name="_TableHead_Q model_041802 2" xfId="1090" xr:uid="{00000000-0005-0000-0000-00005B110000}"/>
    <cellStyle name="_TableHead_Q model_041802_ITW Working 69" xfId="6205" xr:uid="{00000000-0005-0000-0000-00005C110000}"/>
    <cellStyle name="_TableHead_Q model_041802_MLP Val-Client-10_02_06" xfId="1091" xr:uid="{00000000-0005-0000-0000-00005D110000}"/>
    <cellStyle name="_TableHead_Q model_041802_MLP Val-Client-10_02_06 2" xfId="6206" xr:uid="{00000000-0005-0000-0000-00005E110000}"/>
    <cellStyle name="_TableHead_Q model_041802_New Version" xfId="6207" xr:uid="{00000000-0005-0000-0000-00005F110000}"/>
    <cellStyle name="_TableHead_Q model_041802_New Version 2" xfId="6208" xr:uid="{00000000-0005-0000-0000-000060110000}"/>
    <cellStyle name="_TableHead_Q model_041802_Sheet1" xfId="6209" xr:uid="{00000000-0005-0000-0000-000061110000}"/>
    <cellStyle name="_TableHead_Q model_041802_Sheet2" xfId="6210" xr:uid="{00000000-0005-0000-0000-000062110000}"/>
    <cellStyle name="_TableHead_Q model_041802_Sheet2 2" xfId="6211" xr:uid="{00000000-0005-0000-0000-000063110000}"/>
    <cellStyle name="_TableHead_Q_ITW Working 69" xfId="6212" xr:uid="{00000000-0005-0000-0000-000064110000}"/>
    <cellStyle name="_TableHead_Q_MLP Val-Client-10_02_06" xfId="1092" xr:uid="{00000000-0005-0000-0000-000065110000}"/>
    <cellStyle name="_TableHead_Q_MLP Val-Client-10_02_06 2" xfId="6213" xr:uid="{00000000-0005-0000-0000-000066110000}"/>
    <cellStyle name="_TableHead_Q_New Version" xfId="6214" xr:uid="{00000000-0005-0000-0000-000067110000}"/>
    <cellStyle name="_TableHead_Q_New Version 2" xfId="6215" xr:uid="{00000000-0005-0000-0000-000068110000}"/>
    <cellStyle name="_TableHead_Q_Sheet1" xfId="6216" xr:uid="{00000000-0005-0000-0000-000069110000}"/>
    <cellStyle name="_TableHead_Q_Sheet2" xfId="6217" xr:uid="{00000000-0005-0000-0000-00006A110000}"/>
    <cellStyle name="_TableHead_Q_Sheet2 2" xfId="6218" xr:uid="{00000000-0005-0000-0000-00006B110000}"/>
    <cellStyle name="_TableHead_Q_update" xfId="1093" xr:uid="{00000000-0005-0000-0000-00006C110000}"/>
    <cellStyle name="_TableHead_Q_update 2" xfId="1094" xr:uid="{00000000-0005-0000-0000-00006D110000}"/>
    <cellStyle name="_TableHead_Q_update_ITW Working 69" xfId="6219" xr:uid="{00000000-0005-0000-0000-00006E110000}"/>
    <cellStyle name="_TableHead_Q_update_MLP Val-Client-10_02_06" xfId="1095" xr:uid="{00000000-0005-0000-0000-00006F110000}"/>
    <cellStyle name="_TableHead_Q_update_MLP Val-Client-10_02_06 2" xfId="6220" xr:uid="{00000000-0005-0000-0000-000070110000}"/>
    <cellStyle name="_TableHead_Q_update_New Version" xfId="6221" xr:uid="{00000000-0005-0000-0000-000071110000}"/>
    <cellStyle name="_TableHead_Q_update_New Version 2" xfId="6222" xr:uid="{00000000-0005-0000-0000-000072110000}"/>
    <cellStyle name="_TableHead_Q_update_Sheet1" xfId="6223" xr:uid="{00000000-0005-0000-0000-000073110000}"/>
    <cellStyle name="_TableHead_Q_update_Sheet2" xfId="6224" xr:uid="{00000000-0005-0000-0000-000074110000}"/>
    <cellStyle name="_TableHead_Q_update_Sheet2 2" xfId="6225" xr:uid="{00000000-0005-0000-0000-000075110000}"/>
    <cellStyle name="_TableHead_QP_XXX" xfId="1096" xr:uid="{00000000-0005-0000-0000-000076110000}"/>
    <cellStyle name="_TableHead_Qwest Analysis" xfId="1097" xr:uid="{00000000-0005-0000-0000-000077110000}"/>
    <cellStyle name="_TableHead_Qwest Analysis 2" xfId="1098" xr:uid="{00000000-0005-0000-0000-000078110000}"/>
    <cellStyle name="_TableHead_Qwest Analysis_ITW Working 69" xfId="6226" xr:uid="{00000000-0005-0000-0000-000079110000}"/>
    <cellStyle name="_TableHead_Qwest Analysis_MLP Val-Client-10_02_06" xfId="1099" xr:uid="{00000000-0005-0000-0000-00007A110000}"/>
    <cellStyle name="_TableHead_Qwest Analysis_MLP Val-Client-10_02_06 2" xfId="6227" xr:uid="{00000000-0005-0000-0000-00007B110000}"/>
    <cellStyle name="_TableHead_Qwest Analysis_New Version" xfId="6228" xr:uid="{00000000-0005-0000-0000-00007C110000}"/>
    <cellStyle name="_TableHead_Qwest Analysis_New Version 2" xfId="6229" xr:uid="{00000000-0005-0000-0000-00007D110000}"/>
    <cellStyle name="_TableHead_Qwest Analysis_Sheet1" xfId="6230" xr:uid="{00000000-0005-0000-0000-00007E110000}"/>
    <cellStyle name="_TableHead_Qwest Analysis_Sheet2" xfId="6231" xr:uid="{00000000-0005-0000-0000-00007F110000}"/>
    <cellStyle name="_TableHead_Qwest Analysis_Sheet2 2" xfId="6232" xr:uid="{00000000-0005-0000-0000-000080110000}"/>
    <cellStyle name="_TableHead_RBOC historicals" xfId="1100" xr:uid="{00000000-0005-0000-0000-000081110000}"/>
    <cellStyle name="_TableHead_Sheet1" xfId="1101" xr:uid="{00000000-0005-0000-0000-000082110000}"/>
    <cellStyle name="_TableHead_Sheet1 2" xfId="6233" xr:uid="{00000000-0005-0000-0000-000083110000}"/>
    <cellStyle name="_TableHead_T - new" xfId="1102" xr:uid="{00000000-0005-0000-0000-000084110000}"/>
    <cellStyle name="_TableHead_Valuation vals" xfId="1103" xr:uid="{00000000-0005-0000-0000-000085110000}"/>
    <cellStyle name="_TableHead_Valuation vals 2" xfId="6234" xr:uid="{00000000-0005-0000-0000-000086110000}"/>
    <cellStyle name="_TableHead_VZ" xfId="1104" xr:uid="{00000000-0005-0000-0000-000087110000}"/>
    <cellStyle name="_TableHead_VZ 2" xfId="1105" xr:uid="{00000000-0005-0000-0000-000088110000}"/>
    <cellStyle name="_TableHead_VZ_ITW Working 69" xfId="6235" xr:uid="{00000000-0005-0000-0000-000089110000}"/>
    <cellStyle name="_TableHead_VZ_MLP Val-Client-10_02_06" xfId="1106" xr:uid="{00000000-0005-0000-0000-00008A110000}"/>
    <cellStyle name="_TableHead_VZ_MLP Val-Client-10_02_06 2" xfId="6236" xr:uid="{00000000-0005-0000-0000-00008B110000}"/>
    <cellStyle name="_TableHead_VZ_New Version" xfId="6237" xr:uid="{00000000-0005-0000-0000-00008C110000}"/>
    <cellStyle name="_TableHead_VZ_New Version 2" xfId="6238" xr:uid="{00000000-0005-0000-0000-00008D110000}"/>
    <cellStyle name="_TableHead_VZ_Sheet1" xfId="6239" xr:uid="{00000000-0005-0000-0000-00008E110000}"/>
    <cellStyle name="_TableHead_VZ_Sheet2" xfId="6240" xr:uid="{00000000-0005-0000-0000-00008F110000}"/>
    <cellStyle name="_TableHead_VZ_Sheet2 2" xfId="6241" xr:uid="{00000000-0005-0000-0000-000090110000}"/>
    <cellStyle name="_TableHeading" xfId="1107" xr:uid="{00000000-0005-0000-0000-000091110000}"/>
    <cellStyle name="_TableRowBorder" xfId="1108" xr:uid="{00000000-0005-0000-0000-000092110000}"/>
    <cellStyle name="_TableRowBorder 2" xfId="1109" xr:uid="{00000000-0005-0000-0000-000093110000}"/>
    <cellStyle name="_TableRowHead" xfId="1110" xr:uid="{00000000-0005-0000-0000-000094110000}"/>
    <cellStyle name="_TableRowHead 2" xfId="1111" xr:uid="{00000000-0005-0000-0000-000095110000}"/>
    <cellStyle name="_TableRowHead 3" xfId="1112" xr:uid="{00000000-0005-0000-0000-000096110000}"/>
    <cellStyle name="_TableRowHead 4" xfId="7073" xr:uid="{00000000-0005-0000-0000-000097110000}"/>
    <cellStyle name="_TableRowHead_AG" xfId="1113" xr:uid="{00000000-0005-0000-0000-000098110000}"/>
    <cellStyle name="_TableRowHead_BLS" xfId="1114" xr:uid="{00000000-0005-0000-0000-000099110000}"/>
    <cellStyle name="_TableRowHead_BLS 2" xfId="1115" xr:uid="{00000000-0005-0000-0000-00009A110000}"/>
    <cellStyle name="_TableRowHead_bls roic" xfId="1116" xr:uid="{00000000-0005-0000-0000-00009B110000}"/>
    <cellStyle name="_TableRowHead_BLS_ITW Working 69" xfId="6242" xr:uid="{00000000-0005-0000-0000-00009C110000}"/>
    <cellStyle name="_TableRowHead_BLS_MLP Val-Client-10_02_06" xfId="1117" xr:uid="{00000000-0005-0000-0000-00009D110000}"/>
    <cellStyle name="_TableRowHead_BLS_MLP Val-Client-10_02_06 2" xfId="6243" xr:uid="{00000000-0005-0000-0000-00009E110000}"/>
    <cellStyle name="_TableRowHead_BLS_New Version" xfId="6244" xr:uid="{00000000-0005-0000-0000-00009F110000}"/>
    <cellStyle name="_TableRowHead_BLS_New Version 2" xfId="6245" xr:uid="{00000000-0005-0000-0000-0000A0110000}"/>
    <cellStyle name="_TableRowHead_BLS_Sheet1" xfId="6246" xr:uid="{00000000-0005-0000-0000-0000A1110000}"/>
    <cellStyle name="_TableRowHead_BLS_Sheet2" xfId="6247" xr:uid="{00000000-0005-0000-0000-0000A2110000}"/>
    <cellStyle name="_TableRowHead_BLS_Sheet2 2" xfId="6248" xr:uid="{00000000-0005-0000-0000-0000A3110000}"/>
    <cellStyle name="_TableRowHead_Book9" xfId="1118" xr:uid="{00000000-0005-0000-0000-0000A4110000}"/>
    <cellStyle name="_TableRowHead_Book9 2" xfId="1119" xr:uid="{00000000-0005-0000-0000-0000A5110000}"/>
    <cellStyle name="_TableRowHead_Book9_ITW Working 69" xfId="6249" xr:uid="{00000000-0005-0000-0000-0000A6110000}"/>
    <cellStyle name="_TableRowHead_Book9_MLP Val-Client-10_02_06" xfId="1120" xr:uid="{00000000-0005-0000-0000-0000A7110000}"/>
    <cellStyle name="_TableRowHead_Book9_MLP Val-Client-10_02_06 2" xfId="6250" xr:uid="{00000000-0005-0000-0000-0000A8110000}"/>
    <cellStyle name="_TableRowHead_Book9_New Version" xfId="6251" xr:uid="{00000000-0005-0000-0000-0000A9110000}"/>
    <cellStyle name="_TableRowHead_Book9_New Version 2" xfId="6252" xr:uid="{00000000-0005-0000-0000-0000AA110000}"/>
    <cellStyle name="_TableRowHead_Book9_Sheet1" xfId="6253" xr:uid="{00000000-0005-0000-0000-0000AB110000}"/>
    <cellStyle name="_TableRowHead_Book9_Sheet2" xfId="6254" xr:uid="{00000000-0005-0000-0000-0000AC110000}"/>
    <cellStyle name="_TableRowHead_Book9_Sheet2 2" xfId="6255" xr:uid="{00000000-0005-0000-0000-0000AD110000}"/>
    <cellStyle name="_TableRowHead_Broadband Comps" xfId="1121" xr:uid="{00000000-0005-0000-0000-0000AE110000}"/>
    <cellStyle name="_TableRowHead_Broadband Comps 2" xfId="1122" xr:uid="{00000000-0005-0000-0000-0000AF110000}"/>
    <cellStyle name="_TableRowHead_Broadband Comps_ITW Working 69" xfId="6256" xr:uid="{00000000-0005-0000-0000-0000B0110000}"/>
    <cellStyle name="_TableRowHead_Broadband Comps_MLP Val-Client-10_02_06" xfId="1123" xr:uid="{00000000-0005-0000-0000-0000B1110000}"/>
    <cellStyle name="_TableRowHead_Broadband Comps_MLP Val-Client-10_02_06 2" xfId="6257" xr:uid="{00000000-0005-0000-0000-0000B2110000}"/>
    <cellStyle name="_TableRowHead_Broadband Comps_New Version" xfId="6258" xr:uid="{00000000-0005-0000-0000-0000B3110000}"/>
    <cellStyle name="_TableRowHead_Broadband Comps_New Version 2" xfId="6259" xr:uid="{00000000-0005-0000-0000-0000B4110000}"/>
    <cellStyle name="_TableRowHead_Broadband Comps_Sheet1" xfId="6260" xr:uid="{00000000-0005-0000-0000-0000B5110000}"/>
    <cellStyle name="_TableRowHead_Broadband Comps_Sheet2" xfId="6261" xr:uid="{00000000-0005-0000-0000-0000B6110000}"/>
    <cellStyle name="_TableRowHead_Broadband Comps_Sheet2 2" xfId="6262" xr:uid="{00000000-0005-0000-0000-0000B7110000}"/>
    <cellStyle name="_TableRowHead_capital expenditures 6-18-02" xfId="1124" xr:uid="{00000000-0005-0000-0000-0000B8110000}"/>
    <cellStyle name="_TableRowHead_CAT" xfId="1125" xr:uid="{00000000-0005-0000-0000-0000B9110000}"/>
    <cellStyle name="_TableRowHead_CAT 2" xfId="6263" xr:uid="{00000000-0005-0000-0000-0000BA110000}"/>
    <cellStyle name="_TableRowHead_CNH" xfId="1126" xr:uid="{00000000-0005-0000-0000-0000BB110000}"/>
    <cellStyle name="_TableRowHead_CNH 2" xfId="6264" xr:uid="{00000000-0005-0000-0000-0000BC110000}"/>
    <cellStyle name="_TableRowHead_Commtech" xfId="1127" xr:uid="{00000000-0005-0000-0000-0000BD110000}"/>
    <cellStyle name="_TableRowHead_Commtech 2" xfId="6265" xr:uid="{00000000-0005-0000-0000-0000BE110000}"/>
    <cellStyle name="_TableRowHead_Competitors" xfId="6266" xr:uid="{00000000-0005-0000-0000-0000BF110000}"/>
    <cellStyle name="_TableRowHead_CTCO" xfId="1128" xr:uid="{00000000-0005-0000-0000-0000C0110000}"/>
    <cellStyle name="_TableRowHead_CTCO 2" xfId="1129" xr:uid="{00000000-0005-0000-0000-0000C1110000}"/>
    <cellStyle name="_TableRowHead_CTCO_ITW Working 69" xfId="6267" xr:uid="{00000000-0005-0000-0000-0000C2110000}"/>
    <cellStyle name="_TableRowHead_CTCO_MLP Val-Client-10_02_06" xfId="1130" xr:uid="{00000000-0005-0000-0000-0000C3110000}"/>
    <cellStyle name="_TableRowHead_CTCO_MLP Val-Client-10_02_06 2" xfId="6268" xr:uid="{00000000-0005-0000-0000-0000C4110000}"/>
    <cellStyle name="_TableRowHead_CTCO_New Version" xfId="6269" xr:uid="{00000000-0005-0000-0000-0000C5110000}"/>
    <cellStyle name="_TableRowHead_CTCO_New Version 2" xfId="6270" xr:uid="{00000000-0005-0000-0000-0000C6110000}"/>
    <cellStyle name="_TableRowHead_CTCO_Sheet1" xfId="6271" xr:uid="{00000000-0005-0000-0000-0000C7110000}"/>
    <cellStyle name="_TableRowHead_CTCO_Sheet2" xfId="6272" xr:uid="{00000000-0005-0000-0000-0000C8110000}"/>
    <cellStyle name="_TableRowHead_CTCO_Sheet2 2" xfId="6273" xr:uid="{00000000-0005-0000-0000-0000C9110000}"/>
    <cellStyle name="_TableRowHead_DE-working" xfId="1131" xr:uid="{00000000-0005-0000-0000-0000CA110000}"/>
    <cellStyle name="_TableRowHead_DE-working 2" xfId="6274" xr:uid="{00000000-0005-0000-0000-0000CB110000}"/>
    <cellStyle name="_TableRowHead_document(1)" xfId="6275" xr:uid="{00000000-0005-0000-0000-0000CC110000}"/>
    <cellStyle name="_TableRowHead_DOV" xfId="1132" xr:uid="{00000000-0005-0000-0000-0000CD110000}"/>
    <cellStyle name="_TableRowHead_DOV 2" xfId="6276" xr:uid="{00000000-0005-0000-0000-0000CE110000}"/>
    <cellStyle name="_TableRowHead_ETN" xfId="1133" xr:uid="{00000000-0005-0000-0000-0000CF110000}"/>
    <cellStyle name="_TableRowHead_ETN 2" xfId="6277" xr:uid="{00000000-0005-0000-0000-0000D0110000}"/>
    <cellStyle name="_TableRowHead_Foreclosures_data_Realty Trac Break up" xfId="6278" xr:uid="{00000000-0005-0000-0000-0000D1110000}"/>
    <cellStyle name="_TableRowHead_Global Autos Database 2005" xfId="6279" xr:uid="{00000000-0005-0000-0000-0000D2110000}"/>
    <cellStyle name="_TableRowHead_ITW Working 69" xfId="6280" xr:uid="{00000000-0005-0000-0000-0000D3110000}"/>
    <cellStyle name="_TableRowHead_JOYG" xfId="1134" xr:uid="{00000000-0005-0000-0000-0000D4110000}"/>
    <cellStyle name="_TableRowHead_Kent" xfId="1135" xr:uid="{00000000-0005-0000-0000-0000D5110000}"/>
    <cellStyle name="_TableRowHead_Kent 2" xfId="6281" xr:uid="{00000000-0005-0000-0000-0000D6110000}"/>
    <cellStyle name="_TableRowHead_MLM" xfId="1136" xr:uid="{00000000-0005-0000-0000-0000D7110000}"/>
    <cellStyle name="_TableRowHead_NAV" xfId="1137" xr:uid="{00000000-0005-0000-0000-0000D8110000}"/>
    <cellStyle name="_TableRowHead_OpMod" xfId="6282" xr:uid="{00000000-0005-0000-0000-0000D9110000}"/>
    <cellStyle name="_TableRowHead_OpMod 2" xfId="6283" xr:uid="{00000000-0005-0000-0000-0000DA110000}"/>
    <cellStyle name="_TableRowHead_Origination Market Share-Qtr" xfId="6284" xr:uid="{00000000-0005-0000-0000-0000DB110000}"/>
    <cellStyle name="_TableRowHead_OSK" xfId="1138" xr:uid="{00000000-0005-0000-0000-0000DC110000}"/>
    <cellStyle name="_TableRowHead_PCAR" xfId="1139" xr:uid="{00000000-0005-0000-0000-0000DD110000}"/>
    <cellStyle name="_TableRowHead_PH" xfId="1140" xr:uid="{00000000-0005-0000-0000-0000DE110000}"/>
    <cellStyle name="_TableRowHead_Q" xfId="1141" xr:uid="{00000000-0005-0000-0000-0000DF110000}"/>
    <cellStyle name="_TableRowHead_q - new guidance" xfId="1142" xr:uid="{00000000-0005-0000-0000-0000E0110000}"/>
    <cellStyle name="_TableRowHead_q - new guidance 2" xfId="1143" xr:uid="{00000000-0005-0000-0000-0000E1110000}"/>
    <cellStyle name="_TableRowHead_q - new guidance_ITW Working 69" xfId="6285" xr:uid="{00000000-0005-0000-0000-0000E2110000}"/>
    <cellStyle name="_TableRowHead_q - new guidance_MLP Val-Client-10_02_06" xfId="1144" xr:uid="{00000000-0005-0000-0000-0000E3110000}"/>
    <cellStyle name="_TableRowHead_q - new guidance_MLP Val-Client-10_02_06 2" xfId="6286" xr:uid="{00000000-0005-0000-0000-0000E4110000}"/>
    <cellStyle name="_TableRowHead_q - new guidance_New Version" xfId="6287" xr:uid="{00000000-0005-0000-0000-0000E5110000}"/>
    <cellStyle name="_TableRowHead_q - new guidance_New Version 2" xfId="6288" xr:uid="{00000000-0005-0000-0000-0000E6110000}"/>
    <cellStyle name="_TableRowHead_q - new guidance_Sheet1" xfId="6289" xr:uid="{00000000-0005-0000-0000-0000E7110000}"/>
    <cellStyle name="_TableRowHead_q - new guidance_Sheet2" xfId="6290" xr:uid="{00000000-0005-0000-0000-0000E8110000}"/>
    <cellStyle name="_TableRowHead_q - new guidance_Sheet2 2" xfId="6291" xr:uid="{00000000-0005-0000-0000-0000E9110000}"/>
    <cellStyle name="_TableRowHead_q - valuation" xfId="1145" xr:uid="{00000000-0005-0000-0000-0000EA110000}"/>
    <cellStyle name="_TableRowHead_q - valuation 2" xfId="1146" xr:uid="{00000000-0005-0000-0000-0000EB110000}"/>
    <cellStyle name="_TableRowHead_q - valuation_ITW Working 69" xfId="6292" xr:uid="{00000000-0005-0000-0000-0000EC110000}"/>
    <cellStyle name="_TableRowHead_q - valuation_MLP Val-Client-10_02_06" xfId="1147" xr:uid="{00000000-0005-0000-0000-0000ED110000}"/>
    <cellStyle name="_TableRowHead_q - valuation_MLP Val-Client-10_02_06 2" xfId="6293" xr:uid="{00000000-0005-0000-0000-0000EE110000}"/>
    <cellStyle name="_TableRowHead_q - valuation_New Version" xfId="6294" xr:uid="{00000000-0005-0000-0000-0000EF110000}"/>
    <cellStyle name="_TableRowHead_q - valuation_New Version 2" xfId="6295" xr:uid="{00000000-0005-0000-0000-0000F0110000}"/>
    <cellStyle name="_TableRowHead_q - valuation_Sheet1" xfId="6296" xr:uid="{00000000-0005-0000-0000-0000F1110000}"/>
    <cellStyle name="_TableRowHead_q - valuation_Sheet2" xfId="6297" xr:uid="{00000000-0005-0000-0000-0000F2110000}"/>
    <cellStyle name="_TableRowHead_q - valuation_Sheet2 2" xfId="6298" xr:uid="{00000000-0005-0000-0000-0000F3110000}"/>
    <cellStyle name="_TableRowHead_Q 2" xfId="1148" xr:uid="{00000000-0005-0000-0000-0000F4110000}"/>
    <cellStyle name="_TableRowHead_Q 3" xfId="6299" xr:uid="{00000000-0005-0000-0000-0000F5110000}"/>
    <cellStyle name="_TableRowHead_Q 4" xfId="6300" xr:uid="{00000000-0005-0000-0000-0000F6110000}"/>
    <cellStyle name="_TableRowHead_Q 5" xfId="6301" xr:uid="{00000000-0005-0000-0000-0000F7110000}"/>
    <cellStyle name="_TableRowHead_Q 6" xfId="6302" xr:uid="{00000000-0005-0000-0000-0000F8110000}"/>
    <cellStyle name="_TableRowHead_Q model_041802" xfId="1149" xr:uid="{00000000-0005-0000-0000-0000F9110000}"/>
    <cellStyle name="_TableRowHead_Q model_041802 2" xfId="1150" xr:uid="{00000000-0005-0000-0000-0000FA110000}"/>
    <cellStyle name="_TableRowHead_Q model_041802_ITW Working 69" xfId="6303" xr:uid="{00000000-0005-0000-0000-0000FB110000}"/>
    <cellStyle name="_TableRowHead_Q model_041802_MLP Val-Client-10_02_06" xfId="1151" xr:uid="{00000000-0005-0000-0000-0000FC110000}"/>
    <cellStyle name="_TableRowHead_Q model_041802_MLP Val-Client-10_02_06 2" xfId="6304" xr:uid="{00000000-0005-0000-0000-0000FD110000}"/>
    <cellStyle name="_TableRowHead_Q model_041802_New Version" xfId="6305" xr:uid="{00000000-0005-0000-0000-0000FE110000}"/>
    <cellStyle name="_TableRowHead_Q model_041802_New Version 2" xfId="6306" xr:uid="{00000000-0005-0000-0000-0000FF110000}"/>
    <cellStyle name="_TableRowHead_Q model_041802_Sheet1" xfId="6307" xr:uid="{00000000-0005-0000-0000-000000120000}"/>
    <cellStyle name="_TableRowHead_Q model_041802_Sheet2" xfId="6308" xr:uid="{00000000-0005-0000-0000-000001120000}"/>
    <cellStyle name="_TableRowHead_Q model_041802_Sheet2 2" xfId="6309" xr:uid="{00000000-0005-0000-0000-000002120000}"/>
    <cellStyle name="_TableRowHead_Q_ITW Working 69" xfId="6310" xr:uid="{00000000-0005-0000-0000-000003120000}"/>
    <cellStyle name="_TableRowHead_Q_MLP Val-Client-10_02_06" xfId="1152" xr:uid="{00000000-0005-0000-0000-000004120000}"/>
    <cellStyle name="_TableRowHead_Q_MLP Val-Client-10_02_06 2" xfId="6311" xr:uid="{00000000-0005-0000-0000-000005120000}"/>
    <cellStyle name="_TableRowHead_Q_New Version" xfId="6312" xr:uid="{00000000-0005-0000-0000-000006120000}"/>
    <cellStyle name="_TableRowHead_Q_New Version 2" xfId="6313" xr:uid="{00000000-0005-0000-0000-000007120000}"/>
    <cellStyle name="_TableRowHead_Q_Sheet1" xfId="6314" xr:uid="{00000000-0005-0000-0000-000008120000}"/>
    <cellStyle name="_TableRowHead_Q_Sheet2" xfId="6315" xr:uid="{00000000-0005-0000-0000-000009120000}"/>
    <cellStyle name="_TableRowHead_Q_Sheet2 2" xfId="6316" xr:uid="{00000000-0005-0000-0000-00000A120000}"/>
    <cellStyle name="_TableRowHead_Q_update" xfId="1153" xr:uid="{00000000-0005-0000-0000-00000B120000}"/>
    <cellStyle name="_TableRowHead_Q_update 2" xfId="1154" xr:uid="{00000000-0005-0000-0000-00000C120000}"/>
    <cellStyle name="_TableRowHead_Q_update_ITW Working 69" xfId="6317" xr:uid="{00000000-0005-0000-0000-00000D120000}"/>
    <cellStyle name="_TableRowHead_Q_update_MLP Val-Client-10_02_06" xfId="1155" xr:uid="{00000000-0005-0000-0000-00000E120000}"/>
    <cellStyle name="_TableRowHead_Q_update_MLP Val-Client-10_02_06 2" xfId="6318" xr:uid="{00000000-0005-0000-0000-00000F120000}"/>
    <cellStyle name="_TableRowHead_Q_update_New Version" xfId="6319" xr:uid="{00000000-0005-0000-0000-000010120000}"/>
    <cellStyle name="_TableRowHead_Q_update_New Version 2" xfId="6320" xr:uid="{00000000-0005-0000-0000-000011120000}"/>
    <cellStyle name="_TableRowHead_Q_update_Sheet1" xfId="6321" xr:uid="{00000000-0005-0000-0000-000012120000}"/>
    <cellStyle name="_TableRowHead_Q_update_Sheet2" xfId="6322" xr:uid="{00000000-0005-0000-0000-000013120000}"/>
    <cellStyle name="_TableRowHead_Q_update_Sheet2 2" xfId="6323" xr:uid="{00000000-0005-0000-0000-000014120000}"/>
    <cellStyle name="_TableRowHead_QP_XXX" xfId="1156" xr:uid="{00000000-0005-0000-0000-000015120000}"/>
    <cellStyle name="_TableRowHead_Qwest Analysis" xfId="1157" xr:uid="{00000000-0005-0000-0000-000016120000}"/>
    <cellStyle name="_TableRowHead_Qwest Analysis 2" xfId="1158" xr:uid="{00000000-0005-0000-0000-000017120000}"/>
    <cellStyle name="_TableRowHead_Qwest Analysis_ITW Working 69" xfId="6324" xr:uid="{00000000-0005-0000-0000-000018120000}"/>
    <cellStyle name="_TableRowHead_Qwest Analysis_MLP Val-Client-10_02_06" xfId="1159" xr:uid="{00000000-0005-0000-0000-000019120000}"/>
    <cellStyle name="_TableRowHead_Qwest Analysis_MLP Val-Client-10_02_06 2" xfId="6325" xr:uid="{00000000-0005-0000-0000-00001A120000}"/>
    <cellStyle name="_TableRowHead_Qwest Analysis_New Version" xfId="6326" xr:uid="{00000000-0005-0000-0000-00001B120000}"/>
    <cellStyle name="_TableRowHead_Qwest Analysis_New Version 2" xfId="6327" xr:uid="{00000000-0005-0000-0000-00001C120000}"/>
    <cellStyle name="_TableRowHead_Qwest Analysis_Sheet1" xfId="6328" xr:uid="{00000000-0005-0000-0000-00001D120000}"/>
    <cellStyle name="_TableRowHead_Qwest Analysis_Sheet2" xfId="6329" xr:uid="{00000000-0005-0000-0000-00001E120000}"/>
    <cellStyle name="_TableRowHead_Qwest Analysis_Sheet2 2" xfId="6330" xr:uid="{00000000-0005-0000-0000-00001F120000}"/>
    <cellStyle name="_TableRowHead_RBOC historicals" xfId="1160" xr:uid="{00000000-0005-0000-0000-000020120000}"/>
    <cellStyle name="_TableRowHead_Sheet1" xfId="1161" xr:uid="{00000000-0005-0000-0000-000021120000}"/>
    <cellStyle name="_TableRowHead_Sheet1 2" xfId="6331" xr:uid="{00000000-0005-0000-0000-000022120000}"/>
    <cellStyle name="_TableRowHead_T - new" xfId="1162" xr:uid="{00000000-0005-0000-0000-000023120000}"/>
    <cellStyle name="_TableRowHead_Valuation vals" xfId="1163" xr:uid="{00000000-0005-0000-0000-000024120000}"/>
    <cellStyle name="_TableRowHead_Valuation vals 2" xfId="6332" xr:uid="{00000000-0005-0000-0000-000025120000}"/>
    <cellStyle name="_TableRowHead_VZ" xfId="1164" xr:uid="{00000000-0005-0000-0000-000026120000}"/>
    <cellStyle name="_TableRowHead_VZ 2" xfId="1165" xr:uid="{00000000-0005-0000-0000-000027120000}"/>
    <cellStyle name="_TableRowHead_VZ_ITW Working 69" xfId="6333" xr:uid="{00000000-0005-0000-0000-000028120000}"/>
    <cellStyle name="_TableRowHead_VZ_MLP Val-Client-10_02_06" xfId="1166" xr:uid="{00000000-0005-0000-0000-000029120000}"/>
    <cellStyle name="_TableRowHead_VZ_MLP Val-Client-10_02_06 2" xfId="6334" xr:uid="{00000000-0005-0000-0000-00002A120000}"/>
    <cellStyle name="_TableRowHead_VZ_New Version" xfId="6335" xr:uid="{00000000-0005-0000-0000-00002B120000}"/>
    <cellStyle name="_TableRowHead_VZ_New Version 2" xfId="6336" xr:uid="{00000000-0005-0000-0000-00002C120000}"/>
    <cellStyle name="_TableRowHead_VZ_Sheet1" xfId="6337" xr:uid="{00000000-0005-0000-0000-00002D120000}"/>
    <cellStyle name="_TableRowHead_VZ_Sheet2" xfId="6338" xr:uid="{00000000-0005-0000-0000-00002E120000}"/>
    <cellStyle name="_TableRowHead_VZ_Sheet2 2" xfId="6339" xr:uid="{00000000-0005-0000-0000-00002F120000}"/>
    <cellStyle name="_TableRowHeading" xfId="1167" xr:uid="{00000000-0005-0000-0000-000030120000}"/>
    <cellStyle name="_TableSuperHead" xfId="1168" xr:uid="{00000000-0005-0000-0000-000031120000}"/>
    <cellStyle name="_TableSuperHead 2" xfId="1169" xr:uid="{00000000-0005-0000-0000-000032120000}"/>
    <cellStyle name="_TableSuperHead 3" xfId="1170" xr:uid="{00000000-0005-0000-0000-000033120000}"/>
    <cellStyle name="_TableSuperHead 4" xfId="7074" xr:uid="{00000000-0005-0000-0000-000034120000}"/>
    <cellStyle name="_TableSuperHead_Ability to Pay Analysis" xfId="2862" xr:uid="{00000000-0005-0000-0000-000035120000}"/>
    <cellStyle name="_TableSuperHead_AG" xfId="1171" xr:uid="{00000000-0005-0000-0000-000036120000}"/>
    <cellStyle name="_TableSuperHead_BankUnited Model" xfId="2863" xr:uid="{00000000-0005-0000-0000-000037120000}"/>
    <cellStyle name="_TableSuperHead_BLS" xfId="1172" xr:uid="{00000000-0005-0000-0000-000038120000}"/>
    <cellStyle name="_TableSuperHead_BLS 2" xfId="1173" xr:uid="{00000000-0005-0000-0000-000039120000}"/>
    <cellStyle name="_TableSuperHead_bls roic" xfId="1174" xr:uid="{00000000-0005-0000-0000-00003A120000}"/>
    <cellStyle name="_TableSuperHead_BLS_ITW Working 69" xfId="6340" xr:uid="{00000000-0005-0000-0000-00003B120000}"/>
    <cellStyle name="_TableSuperHead_BLS_MLP Val-Client-10_02_06" xfId="1175" xr:uid="{00000000-0005-0000-0000-00003C120000}"/>
    <cellStyle name="_TableSuperHead_BLS_MLP Val-Client-10_02_06 2" xfId="6341" xr:uid="{00000000-0005-0000-0000-00003D120000}"/>
    <cellStyle name="_TableSuperHead_BLS_New Version" xfId="6342" xr:uid="{00000000-0005-0000-0000-00003E120000}"/>
    <cellStyle name="_TableSuperHead_BLS_New Version 2" xfId="6343" xr:uid="{00000000-0005-0000-0000-00003F120000}"/>
    <cellStyle name="_TableSuperHead_BLS_Sheet1" xfId="6344" xr:uid="{00000000-0005-0000-0000-000040120000}"/>
    <cellStyle name="_TableSuperHead_BLS_Sheet2" xfId="6345" xr:uid="{00000000-0005-0000-0000-000041120000}"/>
    <cellStyle name="_TableSuperHead_BLS_Sheet2 2" xfId="6346" xr:uid="{00000000-0005-0000-0000-000042120000}"/>
    <cellStyle name="_TableSuperHead_Book9" xfId="1176" xr:uid="{00000000-0005-0000-0000-000043120000}"/>
    <cellStyle name="_TableSuperHead_Book9 2" xfId="1177" xr:uid="{00000000-0005-0000-0000-000044120000}"/>
    <cellStyle name="_TableSuperHead_Book9_ITW Working 69" xfId="6347" xr:uid="{00000000-0005-0000-0000-000045120000}"/>
    <cellStyle name="_TableSuperHead_Book9_MLP Val-Client-10_02_06" xfId="1178" xr:uid="{00000000-0005-0000-0000-000046120000}"/>
    <cellStyle name="_TableSuperHead_Book9_MLP Val-Client-10_02_06 2" xfId="6348" xr:uid="{00000000-0005-0000-0000-000047120000}"/>
    <cellStyle name="_TableSuperHead_Book9_New Version" xfId="6349" xr:uid="{00000000-0005-0000-0000-000048120000}"/>
    <cellStyle name="_TableSuperHead_Book9_New Version 2" xfId="6350" xr:uid="{00000000-0005-0000-0000-000049120000}"/>
    <cellStyle name="_TableSuperHead_Book9_Sheet1" xfId="6351" xr:uid="{00000000-0005-0000-0000-00004A120000}"/>
    <cellStyle name="_TableSuperHead_Book9_Sheet2" xfId="6352" xr:uid="{00000000-0005-0000-0000-00004B120000}"/>
    <cellStyle name="_TableSuperHead_Book9_Sheet2 2" xfId="6353" xr:uid="{00000000-0005-0000-0000-00004C120000}"/>
    <cellStyle name="_TableSuperHead_Broadband Comps" xfId="1179" xr:uid="{00000000-0005-0000-0000-00004D120000}"/>
    <cellStyle name="_TableSuperHead_Broadband Comps 2" xfId="1180" xr:uid="{00000000-0005-0000-0000-00004E120000}"/>
    <cellStyle name="_TableSuperHead_Broadband Comps_ITW Working 69" xfId="6354" xr:uid="{00000000-0005-0000-0000-00004F120000}"/>
    <cellStyle name="_TableSuperHead_Broadband Comps_MLP Val-Client-10_02_06" xfId="1181" xr:uid="{00000000-0005-0000-0000-000050120000}"/>
    <cellStyle name="_TableSuperHead_Broadband Comps_MLP Val-Client-10_02_06 2" xfId="6355" xr:uid="{00000000-0005-0000-0000-000051120000}"/>
    <cellStyle name="_TableSuperHead_Broadband Comps_New Version" xfId="6356" xr:uid="{00000000-0005-0000-0000-000052120000}"/>
    <cellStyle name="_TableSuperHead_Broadband Comps_New Version 2" xfId="6357" xr:uid="{00000000-0005-0000-0000-000053120000}"/>
    <cellStyle name="_TableSuperHead_Broadband Comps_Sheet1" xfId="6358" xr:uid="{00000000-0005-0000-0000-000054120000}"/>
    <cellStyle name="_TableSuperHead_Broadband Comps_Sheet2" xfId="6359" xr:uid="{00000000-0005-0000-0000-000055120000}"/>
    <cellStyle name="_TableSuperHead_Broadband Comps_Sheet2 2" xfId="6360" xr:uid="{00000000-0005-0000-0000-000056120000}"/>
    <cellStyle name="_TableSuperHead_capital expenditures 6-18-02" xfId="1182" xr:uid="{00000000-0005-0000-0000-000057120000}"/>
    <cellStyle name="_TableSuperHead_CAT" xfId="1183" xr:uid="{00000000-0005-0000-0000-000058120000}"/>
    <cellStyle name="_TableSuperHead_CAT 2" xfId="6361" xr:uid="{00000000-0005-0000-0000-000059120000}"/>
    <cellStyle name="_TableSuperHead_CNH" xfId="1184" xr:uid="{00000000-0005-0000-0000-00005A120000}"/>
    <cellStyle name="_TableSuperHead_CNH 2" xfId="6362" xr:uid="{00000000-0005-0000-0000-00005B120000}"/>
    <cellStyle name="_TableSuperHead_Commtech" xfId="1185" xr:uid="{00000000-0005-0000-0000-00005C120000}"/>
    <cellStyle name="_TableSuperHead_Commtech 2" xfId="6363" xr:uid="{00000000-0005-0000-0000-00005D120000}"/>
    <cellStyle name="_TableSuperHead_Competitors" xfId="6364" xr:uid="{00000000-0005-0000-0000-00005E120000}"/>
    <cellStyle name="_TableSuperHead_CTCO" xfId="1186" xr:uid="{00000000-0005-0000-0000-00005F120000}"/>
    <cellStyle name="_TableSuperHead_CTCO 2" xfId="1187" xr:uid="{00000000-0005-0000-0000-000060120000}"/>
    <cellStyle name="_TableSuperHead_CTCO_ITW Working 69" xfId="6365" xr:uid="{00000000-0005-0000-0000-000061120000}"/>
    <cellStyle name="_TableSuperHead_CTCO_MLP Val-Client-10_02_06" xfId="1188" xr:uid="{00000000-0005-0000-0000-000062120000}"/>
    <cellStyle name="_TableSuperHead_CTCO_MLP Val-Client-10_02_06 2" xfId="6366" xr:uid="{00000000-0005-0000-0000-000063120000}"/>
    <cellStyle name="_TableSuperHead_CTCO_New Version" xfId="6367" xr:uid="{00000000-0005-0000-0000-000064120000}"/>
    <cellStyle name="_TableSuperHead_CTCO_New Version 2" xfId="6368" xr:uid="{00000000-0005-0000-0000-000065120000}"/>
    <cellStyle name="_TableSuperHead_CTCO_Sheet1" xfId="6369" xr:uid="{00000000-0005-0000-0000-000066120000}"/>
    <cellStyle name="_TableSuperHead_CTCO_Sheet2" xfId="6370" xr:uid="{00000000-0005-0000-0000-000067120000}"/>
    <cellStyle name="_TableSuperHead_CTCO_Sheet2 2" xfId="6371" xr:uid="{00000000-0005-0000-0000-000068120000}"/>
    <cellStyle name="_TableSuperHead_DE-working" xfId="1189" xr:uid="{00000000-0005-0000-0000-000069120000}"/>
    <cellStyle name="_TableSuperHead_DE-working 2" xfId="6372" xr:uid="{00000000-0005-0000-0000-00006A120000}"/>
    <cellStyle name="_TableSuperHead_document(1)" xfId="6373" xr:uid="{00000000-0005-0000-0000-00006B120000}"/>
    <cellStyle name="_TableSuperHead_DOV" xfId="1190" xr:uid="{00000000-0005-0000-0000-00006C120000}"/>
    <cellStyle name="_TableSuperHead_DOV 2" xfId="6374" xr:uid="{00000000-0005-0000-0000-00006D120000}"/>
    <cellStyle name="_TableSuperHead_ETN" xfId="1191" xr:uid="{00000000-0005-0000-0000-00006E120000}"/>
    <cellStyle name="_TableSuperHead_ETN 2" xfId="6375" xr:uid="{00000000-0005-0000-0000-00006F120000}"/>
    <cellStyle name="_TableSuperHead_EZJ vs go" xfId="6376" xr:uid="{00000000-0005-0000-0000-000070120000}"/>
    <cellStyle name="_TableSuperHead_Financial Performance Benchmarking and Valuation(2)" xfId="6377" xr:uid="{00000000-0005-0000-0000-000071120000}"/>
    <cellStyle name="_TableSuperHead_fmbi counties" xfId="2864" xr:uid="{00000000-0005-0000-0000-000072120000}"/>
    <cellStyle name="_TableSuperHead_Foreclosures_data_Realty Trac Break up" xfId="6378" xr:uid="{00000000-0005-0000-0000-000073120000}"/>
    <cellStyle name="_TableSuperHead_Global Autos Database 2005" xfId="6379" xr:uid="{00000000-0005-0000-0000-000074120000}"/>
    <cellStyle name="_TableSuperHead_ITW Working 69" xfId="6380" xr:uid="{00000000-0005-0000-0000-000075120000}"/>
    <cellStyle name="_TableSuperHead_JOYG" xfId="1192" xr:uid="{00000000-0005-0000-0000-000076120000}"/>
    <cellStyle name="_TableSuperHead_Kent" xfId="1193" xr:uid="{00000000-0005-0000-0000-000077120000}"/>
    <cellStyle name="_TableSuperHead_Kent 2" xfId="6381" xr:uid="{00000000-0005-0000-0000-000078120000}"/>
    <cellStyle name="_TableSuperHead_MLM" xfId="1194" xr:uid="{00000000-0005-0000-0000-000079120000}"/>
    <cellStyle name="_TableSuperHead_NAV" xfId="1195" xr:uid="{00000000-0005-0000-0000-00007A120000}"/>
    <cellStyle name="_TableSuperHead_OpMod" xfId="6382" xr:uid="{00000000-0005-0000-0000-00007B120000}"/>
    <cellStyle name="_TableSuperHead_OpMod_1" xfId="6383" xr:uid="{00000000-0005-0000-0000-00007C120000}"/>
    <cellStyle name="_TableSuperHead_OpMod_1 2" xfId="6384" xr:uid="{00000000-0005-0000-0000-00007D120000}"/>
    <cellStyle name="_TableSuperHead_Origination Market Share-Qtr" xfId="6385" xr:uid="{00000000-0005-0000-0000-00007E120000}"/>
    <cellStyle name="_TableSuperHead_OSK" xfId="1196" xr:uid="{00000000-0005-0000-0000-00007F120000}"/>
    <cellStyle name="_TableSuperHead_PCAR" xfId="1197" xr:uid="{00000000-0005-0000-0000-000080120000}"/>
    <cellStyle name="_TableSuperHead_PH" xfId="1198" xr:uid="{00000000-0005-0000-0000-000081120000}"/>
    <cellStyle name="_TableSuperHead_Q" xfId="1199" xr:uid="{00000000-0005-0000-0000-000082120000}"/>
    <cellStyle name="_TableSuperHead_q - new guidance" xfId="1200" xr:uid="{00000000-0005-0000-0000-000083120000}"/>
    <cellStyle name="_TableSuperHead_q - new guidance 2" xfId="1201" xr:uid="{00000000-0005-0000-0000-000084120000}"/>
    <cellStyle name="_TableSuperHead_q - new guidance_ITW Working 69" xfId="6386" xr:uid="{00000000-0005-0000-0000-000085120000}"/>
    <cellStyle name="_TableSuperHead_q - new guidance_MLP Val-Client-10_02_06" xfId="1202" xr:uid="{00000000-0005-0000-0000-000086120000}"/>
    <cellStyle name="_TableSuperHead_q - new guidance_MLP Val-Client-10_02_06 2" xfId="6387" xr:uid="{00000000-0005-0000-0000-000087120000}"/>
    <cellStyle name="_TableSuperHead_q - new guidance_New Version" xfId="6388" xr:uid="{00000000-0005-0000-0000-000088120000}"/>
    <cellStyle name="_TableSuperHead_q - new guidance_New Version 2" xfId="6389" xr:uid="{00000000-0005-0000-0000-000089120000}"/>
    <cellStyle name="_TableSuperHead_q - new guidance_Sheet1" xfId="6390" xr:uid="{00000000-0005-0000-0000-00008A120000}"/>
    <cellStyle name="_TableSuperHead_q - new guidance_Sheet2" xfId="6391" xr:uid="{00000000-0005-0000-0000-00008B120000}"/>
    <cellStyle name="_TableSuperHead_q - new guidance_Sheet2 2" xfId="6392" xr:uid="{00000000-0005-0000-0000-00008C120000}"/>
    <cellStyle name="_TableSuperHead_q - valuation" xfId="1203" xr:uid="{00000000-0005-0000-0000-00008D120000}"/>
    <cellStyle name="_TableSuperHead_q - valuation 2" xfId="1204" xr:uid="{00000000-0005-0000-0000-00008E120000}"/>
    <cellStyle name="_TableSuperHead_q - valuation_ITW Working 69" xfId="6393" xr:uid="{00000000-0005-0000-0000-00008F120000}"/>
    <cellStyle name="_TableSuperHead_q - valuation_MLP Val-Client-10_02_06" xfId="1205" xr:uid="{00000000-0005-0000-0000-000090120000}"/>
    <cellStyle name="_TableSuperHead_q - valuation_MLP Val-Client-10_02_06 2" xfId="6394" xr:uid="{00000000-0005-0000-0000-000091120000}"/>
    <cellStyle name="_TableSuperHead_q - valuation_New Version" xfId="6395" xr:uid="{00000000-0005-0000-0000-000092120000}"/>
    <cellStyle name="_TableSuperHead_q - valuation_New Version 2" xfId="6396" xr:uid="{00000000-0005-0000-0000-000093120000}"/>
    <cellStyle name="_TableSuperHead_q - valuation_Sheet1" xfId="6397" xr:uid="{00000000-0005-0000-0000-000094120000}"/>
    <cellStyle name="_TableSuperHead_q - valuation_Sheet2" xfId="6398" xr:uid="{00000000-0005-0000-0000-000095120000}"/>
    <cellStyle name="_TableSuperHead_q - valuation_Sheet2 2" xfId="6399" xr:uid="{00000000-0005-0000-0000-000096120000}"/>
    <cellStyle name="_TableSuperHead_Q 2" xfId="1206" xr:uid="{00000000-0005-0000-0000-000097120000}"/>
    <cellStyle name="_TableSuperHead_Q 3" xfId="6400" xr:uid="{00000000-0005-0000-0000-000098120000}"/>
    <cellStyle name="_TableSuperHead_Q 4" xfId="6401" xr:uid="{00000000-0005-0000-0000-000099120000}"/>
    <cellStyle name="_TableSuperHead_Q 5" xfId="6402" xr:uid="{00000000-0005-0000-0000-00009A120000}"/>
    <cellStyle name="_TableSuperHead_Q 6" xfId="6403" xr:uid="{00000000-0005-0000-0000-00009B120000}"/>
    <cellStyle name="_TableSuperHead_Q model_041802" xfId="1207" xr:uid="{00000000-0005-0000-0000-00009C120000}"/>
    <cellStyle name="_TableSuperHead_Q model_041802 2" xfId="1208" xr:uid="{00000000-0005-0000-0000-00009D120000}"/>
    <cellStyle name="_TableSuperHead_Q model_041802_ITW Working 69" xfId="6404" xr:uid="{00000000-0005-0000-0000-00009E120000}"/>
    <cellStyle name="_TableSuperHead_Q model_041802_MLP Val-Client-10_02_06" xfId="1209" xr:uid="{00000000-0005-0000-0000-00009F120000}"/>
    <cellStyle name="_TableSuperHead_Q model_041802_MLP Val-Client-10_02_06 2" xfId="6405" xr:uid="{00000000-0005-0000-0000-0000A0120000}"/>
    <cellStyle name="_TableSuperHead_Q model_041802_New Version" xfId="6406" xr:uid="{00000000-0005-0000-0000-0000A1120000}"/>
    <cellStyle name="_TableSuperHead_Q model_041802_New Version 2" xfId="6407" xr:uid="{00000000-0005-0000-0000-0000A2120000}"/>
    <cellStyle name="_TableSuperHead_Q model_041802_Sheet1" xfId="6408" xr:uid="{00000000-0005-0000-0000-0000A3120000}"/>
    <cellStyle name="_TableSuperHead_Q model_041802_Sheet2" xfId="6409" xr:uid="{00000000-0005-0000-0000-0000A4120000}"/>
    <cellStyle name="_TableSuperHead_Q model_041802_Sheet2 2" xfId="6410" xr:uid="{00000000-0005-0000-0000-0000A5120000}"/>
    <cellStyle name="_TableSuperHead_Q_ITW Working 69" xfId="6411" xr:uid="{00000000-0005-0000-0000-0000A6120000}"/>
    <cellStyle name="_TableSuperHead_Q_MLP Val-Client-10_02_06" xfId="1210" xr:uid="{00000000-0005-0000-0000-0000A7120000}"/>
    <cellStyle name="_TableSuperHead_Q_MLP Val-Client-10_02_06 2" xfId="6412" xr:uid="{00000000-0005-0000-0000-0000A8120000}"/>
    <cellStyle name="_TableSuperHead_Q_New Version" xfId="6413" xr:uid="{00000000-0005-0000-0000-0000A9120000}"/>
    <cellStyle name="_TableSuperHead_Q_New Version 2" xfId="6414" xr:uid="{00000000-0005-0000-0000-0000AA120000}"/>
    <cellStyle name="_TableSuperHead_Q_Sheet1" xfId="6415" xr:uid="{00000000-0005-0000-0000-0000AB120000}"/>
    <cellStyle name="_TableSuperHead_Q_Sheet2" xfId="6416" xr:uid="{00000000-0005-0000-0000-0000AC120000}"/>
    <cellStyle name="_TableSuperHead_Q_Sheet2 2" xfId="6417" xr:uid="{00000000-0005-0000-0000-0000AD120000}"/>
    <cellStyle name="_TableSuperHead_Q_update" xfId="1211" xr:uid="{00000000-0005-0000-0000-0000AE120000}"/>
    <cellStyle name="_TableSuperHead_Q_update 2" xfId="1212" xr:uid="{00000000-0005-0000-0000-0000AF120000}"/>
    <cellStyle name="_TableSuperHead_Q_update_ITW Working 69" xfId="6418" xr:uid="{00000000-0005-0000-0000-0000B0120000}"/>
    <cellStyle name="_TableSuperHead_Q_update_MLP Val-Client-10_02_06" xfId="1213" xr:uid="{00000000-0005-0000-0000-0000B1120000}"/>
    <cellStyle name="_TableSuperHead_Q_update_MLP Val-Client-10_02_06 2" xfId="6419" xr:uid="{00000000-0005-0000-0000-0000B2120000}"/>
    <cellStyle name="_TableSuperHead_Q_update_New Version" xfId="6420" xr:uid="{00000000-0005-0000-0000-0000B3120000}"/>
    <cellStyle name="_TableSuperHead_Q_update_New Version 2" xfId="6421" xr:uid="{00000000-0005-0000-0000-0000B4120000}"/>
    <cellStyle name="_TableSuperHead_Q_update_Sheet1" xfId="6422" xr:uid="{00000000-0005-0000-0000-0000B5120000}"/>
    <cellStyle name="_TableSuperHead_Q_update_Sheet2" xfId="6423" xr:uid="{00000000-0005-0000-0000-0000B6120000}"/>
    <cellStyle name="_TableSuperHead_Q_update_Sheet2 2" xfId="6424" xr:uid="{00000000-0005-0000-0000-0000B7120000}"/>
    <cellStyle name="_TableSuperHead_Qwest Analysis" xfId="1214" xr:uid="{00000000-0005-0000-0000-0000B8120000}"/>
    <cellStyle name="_TableSuperHead_Qwest Analysis 2" xfId="1215" xr:uid="{00000000-0005-0000-0000-0000B9120000}"/>
    <cellStyle name="_TableSuperHead_Qwest Analysis_ITW Working 69" xfId="6425" xr:uid="{00000000-0005-0000-0000-0000BA120000}"/>
    <cellStyle name="_TableSuperHead_Qwest Analysis_MLP Val-Client-10_02_06" xfId="1216" xr:uid="{00000000-0005-0000-0000-0000BB120000}"/>
    <cellStyle name="_TableSuperHead_Qwest Analysis_MLP Val-Client-10_02_06 2" xfId="6426" xr:uid="{00000000-0005-0000-0000-0000BC120000}"/>
    <cellStyle name="_TableSuperHead_Qwest Analysis_New Version" xfId="6427" xr:uid="{00000000-0005-0000-0000-0000BD120000}"/>
    <cellStyle name="_TableSuperHead_Qwest Analysis_New Version 2" xfId="6428" xr:uid="{00000000-0005-0000-0000-0000BE120000}"/>
    <cellStyle name="_TableSuperHead_Qwest Analysis_Sheet1" xfId="6429" xr:uid="{00000000-0005-0000-0000-0000BF120000}"/>
    <cellStyle name="_TableSuperHead_Qwest Analysis_Sheet2" xfId="6430" xr:uid="{00000000-0005-0000-0000-0000C0120000}"/>
    <cellStyle name="_TableSuperHead_Qwest Analysis_Sheet2 2" xfId="6431" xr:uid="{00000000-0005-0000-0000-0000C1120000}"/>
    <cellStyle name="_TableSuperHead_RBOC historicals" xfId="1217" xr:uid="{00000000-0005-0000-0000-0000C2120000}"/>
    <cellStyle name="_TableSuperHead_Sheet1" xfId="1218" xr:uid="{00000000-0005-0000-0000-0000C3120000}"/>
    <cellStyle name="_TableSuperHead_Sheet1 2" xfId="6432" xr:uid="{00000000-0005-0000-0000-0000C4120000}"/>
    <cellStyle name="_TableSuperHead_T - new" xfId="1219" xr:uid="{00000000-0005-0000-0000-0000C5120000}"/>
    <cellStyle name="_TableSuperHead_Valuation vals" xfId="1220" xr:uid="{00000000-0005-0000-0000-0000C6120000}"/>
    <cellStyle name="_TableSuperHead_Valuation vals 2" xfId="6433" xr:uid="{00000000-0005-0000-0000-0000C7120000}"/>
    <cellStyle name="_TableSuperHead_VZ" xfId="1221" xr:uid="{00000000-0005-0000-0000-0000C8120000}"/>
    <cellStyle name="_TableSuperHead_VZ 2" xfId="1222" xr:uid="{00000000-0005-0000-0000-0000C9120000}"/>
    <cellStyle name="_TableSuperHead_VZ_ITW Working 69" xfId="6434" xr:uid="{00000000-0005-0000-0000-0000CA120000}"/>
    <cellStyle name="_TableSuperHead_VZ_MLP Val-Client-10_02_06" xfId="1223" xr:uid="{00000000-0005-0000-0000-0000CB120000}"/>
    <cellStyle name="_TableSuperHead_VZ_MLP Val-Client-10_02_06 2" xfId="6435" xr:uid="{00000000-0005-0000-0000-0000CC120000}"/>
    <cellStyle name="_TableSuperHead_VZ_New Version" xfId="6436" xr:uid="{00000000-0005-0000-0000-0000CD120000}"/>
    <cellStyle name="_TableSuperHead_VZ_New Version 2" xfId="6437" xr:uid="{00000000-0005-0000-0000-0000CE120000}"/>
    <cellStyle name="_TableSuperHead_VZ_Sheet1" xfId="6438" xr:uid="{00000000-0005-0000-0000-0000CF120000}"/>
    <cellStyle name="_TableSuperHead_VZ_Sheet2" xfId="6439" xr:uid="{00000000-0005-0000-0000-0000D0120000}"/>
    <cellStyle name="_TableSuperHead_VZ_Sheet2 2" xfId="6440" xr:uid="{00000000-0005-0000-0000-0000D1120000}"/>
    <cellStyle name="_TableSuperHead_xratio - historical mkt val" xfId="2865" xr:uid="{00000000-0005-0000-0000-0000D2120000}"/>
    <cellStyle name="_TableSuperHeading" xfId="1224" xr:uid="{00000000-0005-0000-0000-0000D3120000}"/>
    <cellStyle name="_TableText" xfId="1225" xr:uid="{00000000-0005-0000-0000-0000D4120000}"/>
    <cellStyle name="_TMK" xfId="6441" xr:uid="{00000000-0005-0000-0000-0000D5120000}"/>
    <cellStyle name="_TMK 2" xfId="6442" xr:uid="{00000000-0005-0000-0000-0000D6120000}"/>
    <cellStyle name="_TWTC Capitalization" xfId="6443" xr:uid="{00000000-0005-0000-0000-0000D7120000}"/>
    <cellStyle name="_狭义乘用车" xfId="6444" xr:uid="{00000000-0005-0000-0000-0000D8120000}"/>
    <cellStyle name="’Ê‰Ý [0.00]_GE 3 MINIMUM" xfId="6445" xr:uid="{00000000-0005-0000-0000-0000D9120000}"/>
    <cellStyle name="’Ê‰Ý_GE 3 MINIMUM" xfId="6446" xr:uid="{00000000-0005-0000-0000-0000DA120000}"/>
    <cellStyle name="£ BP" xfId="6447" xr:uid="{00000000-0005-0000-0000-0000DB120000}"/>
    <cellStyle name="£3places" xfId="1226" xr:uid="{00000000-0005-0000-0000-0000DC120000}"/>
    <cellStyle name="£3places 2" xfId="1227" xr:uid="{00000000-0005-0000-0000-0000DD120000}"/>
    <cellStyle name="£3places 3" xfId="1228" xr:uid="{00000000-0005-0000-0000-0000DE120000}"/>
    <cellStyle name="£3places_GWW-Working 31" xfId="6448" xr:uid="{00000000-0005-0000-0000-0000DF120000}"/>
    <cellStyle name="¥ JY" xfId="6449" xr:uid="{00000000-0005-0000-0000-0000E0120000}"/>
    <cellStyle name="§Q\?1@" xfId="6450" xr:uid="{00000000-0005-0000-0000-0000E1120000}"/>
    <cellStyle name="•W€_GE 3 MINIMUM" xfId="6451" xr:uid="{00000000-0005-0000-0000-0000E2120000}"/>
    <cellStyle name="•W_GE 3 MINIMUM" xfId="6452" xr:uid="{00000000-0005-0000-0000-0000E3120000}"/>
    <cellStyle name="0" xfId="6453" xr:uid="{00000000-0005-0000-0000-0000E4120000}"/>
    <cellStyle name="0%" xfId="1229" xr:uid="{00000000-0005-0000-0000-0000E5120000}"/>
    <cellStyle name="0% 2" xfId="6454" xr:uid="{00000000-0005-0000-0000-0000E6120000}"/>
    <cellStyle name="0.0" xfId="1230" xr:uid="{00000000-0005-0000-0000-0000E7120000}"/>
    <cellStyle name="0.0 2" xfId="1231" xr:uid="{00000000-0005-0000-0000-0000E8120000}"/>
    <cellStyle name="0.0%" xfId="1232" xr:uid="{00000000-0005-0000-0000-0000E9120000}"/>
    <cellStyle name="0.0_Adjustments" xfId="6455" xr:uid="{00000000-0005-0000-0000-0000EA120000}"/>
    <cellStyle name="0.00" xfId="1233" xr:uid="{00000000-0005-0000-0000-0000EB120000}"/>
    <cellStyle name="0.00%" xfId="1234" xr:uid="{00000000-0005-0000-0000-0000EC120000}"/>
    <cellStyle name="0.00_1812BS-c" xfId="6456" xr:uid="{00000000-0005-0000-0000-0000ED120000}"/>
    <cellStyle name="0.000" xfId="1235" xr:uid="{00000000-0005-0000-0000-0000EE120000}"/>
    <cellStyle name="0.000 2" xfId="1236" xr:uid="{00000000-0005-0000-0000-0000EF120000}"/>
    <cellStyle name="0.000 3" xfId="1237" xr:uid="{00000000-0005-0000-0000-0000F0120000}"/>
    <cellStyle name="0.000_GWW-Working 31" xfId="6457" xr:uid="{00000000-0005-0000-0000-0000F1120000}"/>
    <cellStyle name="1 Decimal" xfId="1238" xr:uid="{00000000-0005-0000-0000-0000F2120000}"/>
    <cellStyle name="1,000" xfId="1239" xr:uid="{00000000-0005-0000-0000-0000F3120000}"/>
    <cellStyle name="1,000 2" xfId="6458" xr:uid="{00000000-0005-0000-0000-0000F4120000}"/>
    <cellStyle name="1,000x" xfId="1240" xr:uid="{00000000-0005-0000-0000-0000F5120000}"/>
    <cellStyle name="1,000x 2" xfId="6459" xr:uid="{00000000-0005-0000-0000-0000F6120000}"/>
    <cellStyle name="1,comma" xfId="6460" xr:uid="{00000000-0005-0000-0000-0000F7120000}"/>
    <cellStyle name="2 Decimals" xfId="1241" xr:uid="{00000000-0005-0000-0000-0000F8120000}"/>
    <cellStyle name="20% - Accent1 10" xfId="6461" xr:uid="{00000000-0005-0000-0000-0000F9120000}"/>
    <cellStyle name="20% - Accent1 11" xfId="6462" xr:uid="{00000000-0005-0000-0000-0000FA120000}"/>
    <cellStyle name="20% - Accent1 12" xfId="6463" xr:uid="{00000000-0005-0000-0000-0000FB120000}"/>
    <cellStyle name="20% - Accent1 13" xfId="6464" xr:uid="{00000000-0005-0000-0000-0000FC120000}"/>
    <cellStyle name="20% - Accent1 14" xfId="6465" xr:uid="{00000000-0005-0000-0000-0000FD120000}"/>
    <cellStyle name="20% - Accent1 2" xfId="1242" xr:uid="{00000000-0005-0000-0000-0000FE120000}"/>
    <cellStyle name="20% - Accent1 2 2" xfId="1243" xr:uid="{00000000-0005-0000-0000-0000FF120000}"/>
    <cellStyle name="20% - Accent1 3" xfId="6466" xr:uid="{00000000-0005-0000-0000-000000130000}"/>
    <cellStyle name="20% - Accent1 4" xfId="6467" xr:uid="{00000000-0005-0000-0000-000001130000}"/>
    <cellStyle name="20% - Accent1 5" xfId="6468" xr:uid="{00000000-0005-0000-0000-000002130000}"/>
    <cellStyle name="20% - Accent1 6" xfId="6469" xr:uid="{00000000-0005-0000-0000-000003130000}"/>
    <cellStyle name="20% - Accent1 7" xfId="6470" xr:uid="{00000000-0005-0000-0000-000004130000}"/>
    <cellStyle name="20% - Accent1 8" xfId="6471" xr:uid="{00000000-0005-0000-0000-000005130000}"/>
    <cellStyle name="20% - Accent1 9" xfId="6472" xr:uid="{00000000-0005-0000-0000-000006130000}"/>
    <cellStyle name="20% - Accent2 10" xfId="6473" xr:uid="{00000000-0005-0000-0000-000007130000}"/>
    <cellStyle name="20% - Accent2 11" xfId="6474" xr:uid="{00000000-0005-0000-0000-000008130000}"/>
    <cellStyle name="20% - Accent2 12" xfId="6475" xr:uid="{00000000-0005-0000-0000-000009130000}"/>
    <cellStyle name="20% - Accent2 13" xfId="6476" xr:uid="{00000000-0005-0000-0000-00000A130000}"/>
    <cellStyle name="20% - Accent2 14" xfId="6477" xr:uid="{00000000-0005-0000-0000-00000B130000}"/>
    <cellStyle name="20% - Accent2 2" xfId="1244" xr:uid="{00000000-0005-0000-0000-00000C130000}"/>
    <cellStyle name="20% - Accent2 2 2" xfId="1245" xr:uid="{00000000-0005-0000-0000-00000D130000}"/>
    <cellStyle name="20% - Accent2 3" xfId="6478" xr:uid="{00000000-0005-0000-0000-00000E130000}"/>
    <cellStyle name="20% - Accent2 4" xfId="6479" xr:uid="{00000000-0005-0000-0000-00000F130000}"/>
    <cellStyle name="20% - Accent2 5" xfId="6480" xr:uid="{00000000-0005-0000-0000-000010130000}"/>
    <cellStyle name="20% - Accent2 6" xfId="6481" xr:uid="{00000000-0005-0000-0000-000011130000}"/>
    <cellStyle name="20% - Accent2 7" xfId="6482" xr:uid="{00000000-0005-0000-0000-000012130000}"/>
    <cellStyle name="20% - Accent2 8" xfId="6483" xr:uid="{00000000-0005-0000-0000-000013130000}"/>
    <cellStyle name="20% - Accent2 9" xfId="6484" xr:uid="{00000000-0005-0000-0000-000014130000}"/>
    <cellStyle name="20% - Accent3 10" xfId="6485" xr:uid="{00000000-0005-0000-0000-000015130000}"/>
    <cellStyle name="20% - Accent3 11" xfId="6486" xr:uid="{00000000-0005-0000-0000-000016130000}"/>
    <cellStyle name="20% - Accent3 12" xfId="6487" xr:uid="{00000000-0005-0000-0000-000017130000}"/>
    <cellStyle name="20% - Accent3 13" xfId="6488" xr:uid="{00000000-0005-0000-0000-000018130000}"/>
    <cellStyle name="20% - Accent3 14" xfId="6489" xr:uid="{00000000-0005-0000-0000-000019130000}"/>
    <cellStyle name="20% - Accent3 2" xfId="1246" xr:uid="{00000000-0005-0000-0000-00001A130000}"/>
    <cellStyle name="20% - Accent3 2 2" xfId="1247" xr:uid="{00000000-0005-0000-0000-00001B130000}"/>
    <cellStyle name="20% - Accent3 3" xfId="6490" xr:uid="{00000000-0005-0000-0000-00001C130000}"/>
    <cellStyle name="20% - Accent3 4" xfId="6491" xr:uid="{00000000-0005-0000-0000-00001D130000}"/>
    <cellStyle name="20% - Accent3 5" xfId="6492" xr:uid="{00000000-0005-0000-0000-00001E130000}"/>
    <cellStyle name="20% - Accent3 6" xfId="6493" xr:uid="{00000000-0005-0000-0000-00001F130000}"/>
    <cellStyle name="20% - Accent3 7" xfId="6494" xr:uid="{00000000-0005-0000-0000-000020130000}"/>
    <cellStyle name="20% - Accent3 8" xfId="6495" xr:uid="{00000000-0005-0000-0000-000021130000}"/>
    <cellStyle name="20% - Accent3 9" xfId="6496" xr:uid="{00000000-0005-0000-0000-000022130000}"/>
    <cellStyle name="20% - Accent4 10" xfId="6497" xr:uid="{00000000-0005-0000-0000-000023130000}"/>
    <cellStyle name="20% - Accent4 11" xfId="6498" xr:uid="{00000000-0005-0000-0000-000024130000}"/>
    <cellStyle name="20% - Accent4 12" xfId="6499" xr:uid="{00000000-0005-0000-0000-000025130000}"/>
    <cellStyle name="20% - Accent4 13" xfId="6500" xr:uid="{00000000-0005-0000-0000-000026130000}"/>
    <cellStyle name="20% - Accent4 14" xfId="6501" xr:uid="{00000000-0005-0000-0000-000027130000}"/>
    <cellStyle name="20% - Accent4 2" xfId="1248" xr:uid="{00000000-0005-0000-0000-000028130000}"/>
    <cellStyle name="20% - Accent4 2 2" xfId="1249" xr:uid="{00000000-0005-0000-0000-000029130000}"/>
    <cellStyle name="20% - Accent4 3" xfId="6502" xr:uid="{00000000-0005-0000-0000-00002A130000}"/>
    <cellStyle name="20% - Accent4 4" xfId="6503" xr:uid="{00000000-0005-0000-0000-00002B130000}"/>
    <cellStyle name="20% - Accent4 5" xfId="6504" xr:uid="{00000000-0005-0000-0000-00002C130000}"/>
    <cellStyle name="20% - Accent4 6" xfId="6505" xr:uid="{00000000-0005-0000-0000-00002D130000}"/>
    <cellStyle name="20% - Accent4 7" xfId="6506" xr:uid="{00000000-0005-0000-0000-00002E130000}"/>
    <cellStyle name="20% - Accent4 8" xfId="6507" xr:uid="{00000000-0005-0000-0000-00002F130000}"/>
    <cellStyle name="20% - Accent4 9" xfId="6508" xr:uid="{00000000-0005-0000-0000-000030130000}"/>
    <cellStyle name="20% - Accent5 10" xfId="6509" xr:uid="{00000000-0005-0000-0000-000031130000}"/>
    <cellStyle name="20% - Accent5 11" xfId="6510" xr:uid="{00000000-0005-0000-0000-000032130000}"/>
    <cellStyle name="20% - Accent5 12" xfId="6511" xr:uid="{00000000-0005-0000-0000-000033130000}"/>
    <cellStyle name="20% - Accent5 13" xfId="6512" xr:uid="{00000000-0005-0000-0000-000034130000}"/>
    <cellStyle name="20% - Accent5 14" xfId="6513" xr:uid="{00000000-0005-0000-0000-000035130000}"/>
    <cellStyle name="20% - Accent5 2" xfId="1250" xr:uid="{00000000-0005-0000-0000-000036130000}"/>
    <cellStyle name="20% - Accent5 2 2" xfId="1251" xr:uid="{00000000-0005-0000-0000-000037130000}"/>
    <cellStyle name="20% - Accent5 3" xfId="6514" xr:uid="{00000000-0005-0000-0000-000038130000}"/>
    <cellStyle name="20% - Accent5 4" xfId="6515" xr:uid="{00000000-0005-0000-0000-000039130000}"/>
    <cellStyle name="20% - Accent5 5" xfId="6516" xr:uid="{00000000-0005-0000-0000-00003A130000}"/>
    <cellStyle name="20% - Accent5 6" xfId="6517" xr:uid="{00000000-0005-0000-0000-00003B130000}"/>
    <cellStyle name="20% - Accent5 7" xfId="6518" xr:uid="{00000000-0005-0000-0000-00003C130000}"/>
    <cellStyle name="20% - Accent5 8" xfId="6519" xr:uid="{00000000-0005-0000-0000-00003D130000}"/>
    <cellStyle name="20% - Accent5 9" xfId="6520" xr:uid="{00000000-0005-0000-0000-00003E130000}"/>
    <cellStyle name="20% - Accent6 10" xfId="6521" xr:uid="{00000000-0005-0000-0000-00003F130000}"/>
    <cellStyle name="20% - Accent6 11" xfId="6522" xr:uid="{00000000-0005-0000-0000-000040130000}"/>
    <cellStyle name="20% - Accent6 12" xfId="6523" xr:uid="{00000000-0005-0000-0000-000041130000}"/>
    <cellStyle name="20% - Accent6 13" xfId="6524" xr:uid="{00000000-0005-0000-0000-000042130000}"/>
    <cellStyle name="20% - Accent6 14" xfId="6525" xr:uid="{00000000-0005-0000-0000-000043130000}"/>
    <cellStyle name="20% - Accent6 2" xfId="1252" xr:uid="{00000000-0005-0000-0000-000044130000}"/>
    <cellStyle name="20% - Accent6 2 2" xfId="1253" xr:uid="{00000000-0005-0000-0000-000045130000}"/>
    <cellStyle name="20% - Accent6 3" xfId="6526" xr:uid="{00000000-0005-0000-0000-000046130000}"/>
    <cellStyle name="20% - Accent6 4" xfId="6527" xr:uid="{00000000-0005-0000-0000-000047130000}"/>
    <cellStyle name="20% - Accent6 5" xfId="6528" xr:uid="{00000000-0005-0000-0000-000048130000}"/>
    <cellStyle name="20% - Accent6 6" xfId="6529" xr:uid="{00000000-0005-0000-0000-000049130000}"/>
    <cellStyle name="20% - Accent6 7" xfId="6530" xr:uid="{00000000-0005-0000-0000-00004A130000}"/>
    <cellStyle name="20% - Accent6 8" xfId="6531" xr:uid="{00000000-0005-0000-0000-00004B130000}"/>
    <cellStyle name="20% - Accent6 9" xfId="6532" xr:uid="{00000000-0005-0000-0000-00004C130000}"/>
    <cellStyle name="20% - 强调文字颜色 1" xfId="6533" xr:uid="{00000000-0005-0000-0000-00004D130000}"/>
    <cellStyle name="20% - 强调文字颜色 2" xfId="6534" xr:uid="{00000000-0005-0000-0000-00004E130000}"/>
    <cellStyle name="20% - 强调文字颜色 3" xfId="6535" xr:uid="{00000000-0005-0000-0000-00004F130000}"/>
    <cellStyle name="20% - 强调文字颜色 4" xfId="6536" xr:uid="{00000000-0005-0000-0000-000050130000}"/>
    <cellStyle name="20% - 强调文字颜色 5" xfId="6537" xr:uid="{00000000-0005-0000-0000-000051130000}"/>
    <cellStyle name="20% - 强调文字颜色 6" xfId="6538" xr:uid="{00000000-0005-0000-0000-000052130000}"/>
    <cellStyle name="2nd head" xfId="6539" xr:uid="{00000000-0005-0000-0000-000053130000}"/>
    <cellStyle name="3 Decimals" xfId="1254" xr:uid="{00000000-0005-0000-0000-000054130000}"/>
    <cellStyle name="40% - Accent1 10" xfId="6540" xr:uid="{00000000-0005-0000-0000-000055130000}"/>
    <cellStyle name="40% - Accent1 11" xfId="6541" xr:uid="{00000000-0005-0000-0000-000056130000}"/>
    <cellStyle name="40% - Accent1 12" xfId="6542" xr:uid="{00000000-0005-0000-0000-000057130000}"/>
    <cellStyle name="40% - Accent1 13" xfId="6543" xr:uid="{00000000-0005-0000-0000-000058130000}"/>
    <cellStyle name="40% - Accent1 14" xfId="6544" xr:uid="{00000000-0005-0000-0000-000059130000}"/>
    <cellStyle name="40% - Accent1 2" xfId="1255" xr:uid="{00000000-0005-0000-0000-00005A130000}"/>
    <cellStyle name="40% - Accent1 2 2" xfId="1256" xr:uid="{00000000-0005-0000-0000-00005B130000}"/>
    <cellStyle name="40% - Accent1 3" xfId="6545" xr:uid="{00000000-0005-0000-0000-00005C130000}"/>
    <cellStyle name="40% - Accent1 4" xfId="6546" xr:uid="{00000000-0005-0000-0000-00005D130000}"/>
    <cellStyle name="40% - Accent1 5" xfId="6547" xr:uid="{00000000-0005-0000-0000-00005E130000}"/>
    <cellStyle name="40% - Accent1 6" xfId="6548" xr:uid="{00000000-0005-0000-0000-00005F130000}"/>
    <cellStyle name="40% - Accent1 7" xfId="6549" xr:uid="{00000000-0005-0000-0000-000060130000}"/>
    <cellStyle name="40% - Accent1 8" xfId="6550" xr:uid="{00000000-0005-0000-0000-000061130000}"/>
    <cellStyle name="40% - Accent1 9" xfId="6551" xr:uid="{00000000-0005-0000-0000-000062130000}"/>
    <cellStyle name="40% - Accent2 10" xfId="6552" xr:uid="{00000000-0005-0000-0000-000063130000}"/>
    <cellStyle name="40% - Accent2 11" xfId="6553" xr:uid="{00000000-0005-0000-0000-000064130000}"/>
    <cellStyle name="40% - Accent2 12" xfId="6554" xr:uid="{00000000-0005-0000-0000-000065130000}"/>
    <cellStyle name="40% - Accent2 13" xfId="6555" xr:uid="{00000000-0005-0000-0000-000066130000}"/>
    <cellStyle name="40% - Accent2 14" xfId="6556" xr:uid="{00000000-0005-0000-0000-000067130000}"/>
    <cellStyle name="40% - Accent2 2" xfId="1257" xr:uid="{00000000-0005-0000-0000-000068130000}"/>
    <cellStyle name="40% - Accent2 2 2" xfId="1258" xr:uid="{00000000-0005-0000-0000-000069130000}"/>
    <cellStyle name="40% - Accent2 3" xfId="6557" xr:uid="{00000000-0005-0000-0000-00006A130000}"/>
    <cellStyle name="40% - Accent2 4" xfId="6558" xr:uid="{00000000-0005-0000-0000-00006B130000}"/>
    <cellStyle name="40% - Accent2 5" xfId="6559" xr:uid="{00000000-0005-0000-0000-00006C130000}"/>
    <cellStyle name="40% - Accent2 6" xfId="6560" xr:uid="{00000000-0005-0000-0000-00006D130000}"/>
    <cellStyle name="40% - Accent2 7" xfId="6561" xr:uid="{00000000-0005-0000-0000-00006E130000}"/>
    <cellStyle name="40% - Accent2 8" xfId="6562" xr:uid="{00000000-0005-0000-0000-00006F130000}"/>
    <cellStyle name="40% - Accent2 9" xfId="6563" xr:uid="{00000000-0005-0000-0000-000070130000}"/>
    <cellStyle name="40% - Accent3 10" xfId="6564" xr:uid="{00000000-0005-0000-0000-000071130000}"/>
    <cellStyle name="40% - Accent3 11" xfId="6565" xr:uid="{00000000-0005-0000-0000-000072130000}"/>
    <cellStyle name="40% - Accent3 12" xfId="6566" xr:uid="{00000000-0005-0000-0000-000073130000}"/>
    <cellStyle name="40% - Accent3 13" xfId="6567" xr:uid="{00000000-0005-0000-0000-000074130000}"/>
    <cellStyle name="40% - Accent3 14" xfId="6568" xr:uid="{00000000-0005-0000-0000-000075130000}"/>
    <cellStyle name="40% - Accent3 2" xfId="1259" xr:uid="{00000000-0005-0000-0000-000076130000}"/>
    <cellStyle name="40% - Accent3 2 2" xfId="1260" xr:uid="{00000000-0005-0000-0000-000077130000}"/>
    <cellStyle name="40% - Accent3 3" xfId="6569" xr:uid="{00000000-0005-0000-0000-000078130000}"/>
    <cellStyle name="40% - Accent3 4" xfId="6570" xr:uid="{00000000-0005-0000-0000-000079130000}"/>
    <cellStyle name="40% - Accent3 5" xfId="6571" xr:uid="{00000000-0005-0000-0000-00007A130000}"/>
    <cellStyle name="40% - Accent3 6" xfId="6572" xr:uid="{00000000-0005-0000-0000-00007B130000}"/>
    <cellStyle name="40% - Accent3 7" xfId="6573" xr:uid="{00000000-0005-0000-0000-00007C130000}"/>
    <cellStyle name="40% - Accent3 8" xfId="6574" xr:uid="{00000000-0005-0000-0000-00007D130000}"/>
    <cellStyle name="40% - Accent3 9" xfId="6575" xr:uid="{00000000-0005-0000-0000-00007E130000}"/>
    <cellStyle name="40% - Accent4 10" xfId="6576" xr:uid="{00000000-0005-0000-0000-00007F130000}"/>
    <cellStyle name="40% - Accent4 11" xfId="6577" xr:uid="{00000000-0005-0000-0000-000080130000}"/>
    <cellStyle name="40% - Accent4 12" xfId="6578" xr:uid="{00000000-0005-0000-0000-000081130000}"/>
    <cellStyle name="40% - Accent4 13" xfId="6579" xr:uid="{00000000-0005-0000-0000-000082130000}"/>
    <cellStyle name="40% - Accent4 14" xfId="6580" xr:uid="{00000000-0005-0000-0000-000083130000}"/>
    <cellStyle name="40% - Accent4 2" xfId="1261" xr:uid="{00000000-0005-0000-0000-000084130000}"/>
    <cellStyle name="40% - Accent4 2 2" xfId="1262" xr:uid="{00000000-0005-0000-0000-000085130000}"/>
    <cellStyle name="40% - Accent4 3" xfId="6581" xr:uid="{00000000-0005-0000-0000-000086130000}"/>
    <cellStyle name="40% - Accent4 4" xfId="6582" xr:uid="{00000000-0005-0000-0000-000087130000}"/>
    <cellStyle name="40% - Accent4 5" xfId="6583" xr:uid="{00000000-0005-0000-0000-000088130000}"/>
    <cellStyle name="40% - Accent4 6" xfId="6584" xr:uid="{00000000-0005-0000-0000-000089130000}"/>
    <cellStyle name="40% - Accent4 7" xfId="6585" xr:uid="{00000000-0005-0000-0000-00008A130000}"/>
    <cellStyle name="40% - Accent4 8" xfId="6586" xr:uid="{00000000-0005-0000-0000-00008B130000}"/>
    <cellStyle name="40% - Accent4 9" xfId="6587" xr:uid="{00000000-0005-0000-0000-00008C130000}"/>
    <cellStyle name="40% - Accent5 10" xfId="6588" xr:uid="{00000000-0005-0000-0000-00008D130000}"/>
    <cellStyle name="40% - Accent5 11" xfId="6589" xr:uid="{00000000-0005-0000-0000-00008E130000}"/>
    <cellStyle name="40% - Accent5 12" xfId="6590" xr:uid="{00000000-0005-0000-0000-00008F130000}"/>
    <cellStyle name="40% - Accent5 13" xfId="6591" xr:uid="{00000000-0005-0000-0000-000090130000}"/>
    <cellStyle name="40% - Accent5 14" xfId="6592" xr:uid="{00000000-0005-0000-0000-000091130000}"/>
    <cellStyle name="40% - Accent5 2" xfId="1263" xr:uid="{00000000-0005-0000-0000-000092130000}"/>
    <cellStyle name="40% - Accent5 2 2" xfId="1264" xr:uid="{00000000-0005-0000-0000-000093130000}"/>
    <cellStyle name="40% - Accent5 3" xfId="6593" xr:uid="{00000000-0005-0000-0000-000094130000}"/>
    <cellStyle name="40% - Accent5 4" xfId="6594" xr:uid="{00000000-0005-0000-0000-000095130000}"/>
    <cellStyle name="40% - Accent5 5" xfId="6595" xr:uid="{00000000-0005-0000-0000-000096130000}"/>
    <cellStyle name="40% - Accent5 6" xfId="6596" xr:uid="{00000000-0005-0000-0000-000097130000}"/>
    <cellStyle name="40% - Accent5 7" xfId="6597" xr:uid="{00000000-0005-0000-0000-000098130000}"/>
    <cellStyle name="40% - Accent5 8" xfId="6598" xr:uid="{00000000-0005-0000-0000-000099130000}"/>
    <cellStyle name="40% - Accent5 9" xfId="6599" xr:uid="{00000000-0005-0000-0000-00009A130000}"/>
    <cellStyle name="40% - Accent6 10" xfId="6600" xr:uid="{00000000-0005-0000-0000-00009B130000}"/>
    <cellStyle name="40% - Accent6 11" xfId="6601" xr:uid="{00000000-0005-0000-0000-00009C130000}"/>
    <cellStyle name="40% - Accent6 12" xfId="6602" xr:uid="{00000000-0005-0000-0000-00009D130000}"/>
    <cellStyle name="40% - Accent6 13" xfId="6603" xr:uid="{00000000-0005-0000-0000-00009E130000}"/>
    <cellStyle name="40% - Accent6 14" xfId="6604" xr:uid="{00000000-0005-0000-0000-00009F130000}"/>
    <cellStyle name="40% - Accent6 2" xfId="1265" xr:uid="{00000000-0005-0000-0000-0000A0130000}"/>
    <cellStyle name="40% - Accent6 2 2" xfId="1266" xr:uid="{00000000-0005-0000-0000-0000A1130000}"/>
    <cellStyle name="40% - Accent6 3" xfId="6605" xr:uid="{00000000-0005-0000-0000-0000A2130000}"/>
    <cellStyle name="40% - Accent6 4" xfId="6606" xr:uid="{00000000-0005-0000-0000-0000A3130000}"/>
    <cellStyle name="40% - Accent6 5" xfId="6607" xr:uid="{00000000-0005-0000-0000-0000A4130000}"/>
    <cellStyle name="40% - Accent6 6" xfId="6608" xr:uid="{00000000-0005-0000-0000-0000A5130000}"/>
    <cellStyle name="40% - Accent6 7" xfId="6609" xr:uid="{00000000-0005-0000-0000-0000A6130000}"/>
    <cellStyle name="40% - Accent6 8" xfId="6610" xr:uid="{00000000-0005-0000-0000-0000A7130000}"/>
    <cellStyle name="40% - Accent6 9" xfId="6611" xr:uid="{00000000-0005-0000-0000-0000A8130000}"/>
    <cellStyle name="40% - 强调文字颜色 1" xfId="6612" xr:uid="{00000000-0005-0000-0000-0000A9130000}"/>
    <cellStyle name="40% - 强调文字颜色 2" xfId="6613" xr:uid="{00000000-0005-0000-0000-0000AA130000}"/>
    <cellStyle name="40% - 强调文字颜色 3" xfId="6614" xr:uid="{00000000-0005-0000-0000-0000AB130000}"/>
    <cellStyle name="40% - 强调文字颜色 4" xfId="6615" xr:uid="{00000000-0005-0000-0000-0000AC130000}"/>
    <cellStyle name="40% - 强调文字颜色 5" xfId="6616" xr:uid="{00000000-0005-0000-0000-0000AD130000}"/>
    <cellStyle name="40% - 强调文字颜色 6" xfId="6617" xr:uid="{00000000-0005-0000-0000-0000AE130000}"/>
    <cellStyle name="60% - Accent1 2" xfId="1267" xr:uid="{00000000-0005-0000-0000-0000AF130000}"/>
    <cellStyle name="60% - Accent1 2 2" xfId="1268" xr:uid="{00000000-0005-0000-0000-0000B0130000}"/>
    <cellStyle name="60% - Accent2 2" xfId="1269" xr:uid="{00000000-0005-0000-0000-0000B1130000}"/>
    <cellStyle name="60% - Accent2 2 2" xfId="1270" xr:uid="{00000000-0005-0000-0000-0000B2130000}"/>
    <cellStyle name="60% - Accent3 2" xfId="1271" xr:uid="{00000000-0005-0000-0000-0000B3130000}"/>
    <cellStyle name="60% - Accent3 2 2" xfId="1272" xr:uid="{00000000-0005-0000-0000-0000B4130000}"/>
    <cellStyle name="60% - Accent4 2" xfId="1273" xr:uid="{00000000-0005-0000-0000-0000B5130000}"/>
    <cellStyle name="60% - Accent4 2 2" xfId="1274" xr:uid="{00000000-0005-0000-0000-0000B6130000}"/>
    <cellStyle name="60% - Accent5 2" xfId="1275" xr:uid="{00000000-0005-0000-0000-0000B7130000}"/>
    <cellStyle name="60% - Accent5 2 2" xfId="1276" xr:uid="{00000000-0005-0000-0000-0000B8130000}"/>
    <cellStyle name="60% - Accent6 2" xfId="1277" xr:uid="{00000000-0005-0000-0000-0000B9130000}"/>
    <cellStyle name="60% - Accent6 2 2" xfId="1278" xr:uid="{00000000-0005-0000-0000-0000BA130000}"/>
    <cellStyle name="60% - 强调文字颜色 1" xfId="6618" xr:uid="{00000000-0005-0000-0000-0000BB130000}"/>
    <cellStyle name="60% - 强调文字颜色 2" xfId="6619" xr:uid="{00000000-0005-0000-0000-0000BC130000}"/>
    <cellStyle name="60% - 强调文字颜色 3" xfId="6620" xr:uid="{00000000-0005-0000-0000-0000BD130000}"/>
    <cellStyle name="60% - 强调文字颜色 4" xfId="6621" xr:uid="{00000000-0005-0000-0000-0000BE130000}"/>
    <cellStyle name="60% - 强调文字颜色 5" xfId="6622" xr:uid="{00000000-0005-0000-0000-0000BF130000}"/>
    <cellStyle name="60% - 强调文字颜色 6" xfId="6623" xr:uid="{00000000-0005-0000-0000-0000C0130000}"/>
    <cellStyle name="752131" xfId="6624" xr:uid="{00000000-0005-0000-0000-0000C1130000}"/>
    <cellStyle name="9" xfId="6625" xr:uid="{00000000-0005-0000-0000-0000C2130000}"/>
    <cellStyle name="9_Amortization" xfId="6626" xr:uid="{00000000-0005-0000-0000-0000C3130000}"/>
    <cellStyle name="A Big heading" xfId="6627" xr:uid="{00000000-0005-0000-0000-0000C4130000}"/>
    <cellStyle name="A body text" xfId="6628" xr:uid="{00000000-0005-0000-0000-0000C5130000}"/>
    <cellStyle name="A smaller heading" xfId="6629" xr:uid="{00000000-0005-0000-0000-0000C6130000}"/>
    <cellStyle name="A$2places" xfId="1279" xr:uid="{00000000-0005-0000-0000-0000C7130000}"/>
    <cellStyle name="A$2places 2" xfId="1280" xr:uid="{00000000-0005-0000-0000-0000C8130000}"/>
    <cellStyle name="A$3places" xfId="1281" xr:uid="{00000000-0005-0000-0000-0000C9130000}"/>
    <cellStyle name="A$3places 2" xfId="1282" xr:uid="{00000000-0005-0000-0000-0000CA130000}"/>
    <cellStyle name="A$3places 3" xfId="1283" xr:uid="{00000000-0005-0000-0000-0000CB130000}"/>
    <cellStyle name="A$3places_GWW-Working 31" xfId="6630" xr:uid="{00000000-0005-0000-0000-0000CC130000}"/>
    <cellStyle name="A_Block Space" xfId="6631" xr:uid="{00000000-0005-0000-0000-0000CD130000}"/>
    <cellStyle name="A_BlueLine" xfId="6632" xr:uid="{00000000-0005-0000-0000-0000CE130000}"/>
    <cellStyle name="A_Do not Change" xfId="6633" xr:uid="{00000000-0005-0000-0000-0000CF130000}"/>
    <cellStyle name="A_Estimate" xfId="6634" xr:uid="{00000000-0005-0000-0000-0000D0130000}"/>
    <cellStyle name="A_Memo" xfId="6635" xr:uid="{00000000-0005-0000-0000-0000D1130000}"/>
    <cellStyle name="A_Normal" xfId="6636" xr:uid="{00000000-0005-0000-0000-0000D2130000}"/>
    <cellStyle name="A_Normal 2" xfId="6637" xr:uid="{00000000-0005-0000-0000-0000D3130000}"/>
    <cellStyle name="A_Normal Forecast" xfId="6638" xr:uid="{00000000-0005-0000-0000-0000D4130000}"/>
    <cellStyle name="A_Normal Historical" xfId="6639" xr:uid="{00000000-0005-0000-0000-0000D5130000}"/>
    <cellStyle name="A_Rate_Data" xfId="6640" xr:uid="{00000000-0005-0000-0000-0000D6130000}"/>
    <cellStyle name="A_Rate_Data Historical" xfId="6641" xr:uid="{00000000-0005-0000-0000-0000D7130000}"/>
    <cellStyle name="A_Rate_Title" xfId="6642" xr:uid="{00000000-0005-0000-0000-0000D8130000}"/>
    <cellStyle name="A_Simple Title" xfId="6643" xr:uid="{00000000-0005-0000-0000-0000D9130000}"/>
    <cellStyle name="A_Sum" xfId="6644" xr:uid="{00000000-0005-0000-0000-0000DA130000}"/>
    <cellStyle name="A_SUM_Row Major" xfId="6645" xr:uid="{00000000-0005-0000-0000-0000DB130000}"/>
    <cellStyle name="A_SUM_Row Minor" xfId="6646" xr:uid="{00000000-0005-0000-0000-0000DC130000}"/>
    <cellStyle name="A_Title" xfId="6647" xr:uid="{00000000-0005-0000-0000-0000DD130000}"/>
    <cellStyle name="A_YearHeadings" xfId="6648" xr:uid="{00000000-0005-0000-0000-0000DE130000}"/>
    <cellStyle name="A1" xfId="6649" xr:uid="{00000000-0005-0000-0000-0000DF130000}"/>
    <cellStyle name="Acc" xfId="1284" xr:uid="{00000000-0005-0000-0000-0000E0130000}"/>
    <cellStyle name="Acc 2" xfId="3028" xr:uid="{00000000-0005-0000-0000-0000E1130000}"/>
    <cellStyle name="Accent1 - 20%" xfId="6650" xr:uid="{00000000-0005-0000-0000-0000E2130000}"/>
    <cellStyle name="Accent1 - 20% 10" xfId="6651" xr:uid="{00000000-0005-0000-0000-0000E3130000}"/>
    <cellStyle name="Accent1 - 20% 11" xfId="6652" xr:uid="{00000000-0005-0000-0000-0000E4130000}"/>
    <cellStyle name="Accent1 - 20% 12" xfId="6653" xr:uid="{00000000-0005-0000-0000-0000E5130000}"/>
    <cellStyle name="Accent1 - 20% 13" xfId="6654" xr:uid="{00000000-0005-0000-0000-0000E6130000}"/>
    <cellStyle name="Accent1 - 20% 14" xfId="6655" xr:uid="{00000000-0005-0000-0000-0000E7130000}"/>
    <cellStyle name="Accent1 - 20% 15" xfId="6656" xr:uid="{00000000-0005-0000-0000-0000E8130000}"/>
    <cellStyle name="Accent1 - 20% 16" xfId="6657" xr:uid="{00000000-0005-0000-0000-0000E9130000}"/>
    <cellStyle name="Accent1 - 20% 17" xfId="6658" xr:uid="{00000000-0005-0000-0000-0000EA130000}"/>
    <cellStyle name="Accent1 - 20% 18" xfId="6659" xr:uid="{00000000-0005-0000-0000-0000EB130000}"/>
    <cellStyle name="Accent1 - 20% 19" xfId="6660" xr:uid="{00000000-0005-0000-0000-0000EC130000}"/>
    <cellStyle name="Accent1 - 20% 2" xfId="6661" xr:uid="{00000000-0005-0000-0000-0000ED130000}"/>
    <cellStyle name="Accent1 - 20% 20" xfId="6662" xr:uid="{00000000-0005-0000-0000-0000EE130000}"/>
    <cellStyle name="Accent1 - 20% 3" xfId="6663" xr:uid="{00000000-0005-0000-0000-0000EF130000}"/>
    <cellStyle name="Accent1 - 20% 4" xfId="6664" xr:uid="{00000000-0005-0000-0000-0000F0130000}"/>
    <cellStyle name="Accent1 - 20% 5" xfId="6665" xr:uid="{00000000-0005-0000-0000-0000F1130000}"/>
    <cellStyle name="Accent1 - 20% 6" xfId="6666" xr:uid="{00000000-0005-0000-0000-0000F2130000}"/>
    <cellStyle name="Accent1 - 20% 7" xfId="6667" xr:uid="{00000000-0005-0000-0000-0000F3130000}"/>
    <cellStyle name="Accent1 - 20% 8" xfId="6668" xr:uid="{00000000-0005-0000-0000-0000F4130000}"/>
    <cellStyle name="Accent1 - 20% 9" xfId="6669" xr:uid="{00000000-0005-0000-0000-0000F5130000}"/>
    <cellStyle name="Accent1 - 20%_Sheet2" xfId="6670" xr:uid="{00000000-0005-0000-0000-0000F6130000}"/>
    <cellStyle name="Accent1 - 40%" xfId="6671" xr:uid="{00000000-0005-0000-0000-0000F7130000}"/>
    <cellStyle name="Accent1 - 40% 10" xfId="6672" xr:uid="{00000000-0005-0000-0000-0000F8130000}"/>
    <cellStyle name="Accent1 - 40% 11" xfId="6673" xr:uid="{00000000-0005-0000-0000-0000F9130000}"/>
    <cellStyle name="Accent1 - 40% 12" xfId="6674" xr:uid="{00000000-0005-0000-0000-0000FA130000}"/>
    <cellStyle name="Accent1 - 40% 13" xfId="6675" xr:uid="{00000000-0005-0000-0000-0000FB130000}"/>
    <cellStyle name="Accent1 - 40% 14" xfId="6676" xr:uid="{00000000-0005-0000-0000-0000FC130000}"/>
    <cellStyle name="Accent1 - 40% 15" xfId="6677" xr:uid="{00000000-0005-0000-0000-0000FD130000}"/>
    <cellStyle name="Accent1 - 40% 16" xfId="6678" xr:uid="{00000000-0005-0000-0000-0000FE130000}"/>
    <cellStyle name="Accent1 - 40% 17" xfId="6679" xr:uid="{00000000-0005-0000-0000-0000FF130000}"/>
    <cellStyle name="Accent1 - 40% 18" xfId="6680" xr:uid="{00000000-0005-0000-0000-000000140000}"/>
    <cellStyle name="Accent1 - 40% 19" xfId="6681" xr:uid="{00000000-0005-0000-0000-000001140000}"/>
    <cellStyle name="Accent1 - 40% 2" xfId="6682" xr:uid="{00000000-0005-0000-0000-000002140000}"/>
    <cellStyle name="Accent1 - 40% 20" xfId="6683" xr:uid="{00000000-0005-0000-0000-000003140000}"/>
    <cellStyle name="Accent1 - 40% 3" xfId="6684" xr:uid="{00000000-0005-0000-0000-000004140000}"/>
    <cellStyle name="Accent1 - 40% 4" xfId="6685" xr:uid="{00000000-0005-0000-0000-000005140000}"/>
    <cellStyle name="Accent1 - 40% 5" xfId="6686" xr:uid="{00000000-0005-0000-0000-000006140000}"/>
    <cellStyle name="Accent1 - 40% 6" xfId="6687" xr:uid="{00000000-0005-0000-0000-000007140000}"/>
    <cellStyle name="Accent1 - 40% 7" xfId="6688" xr:uid="{00000000-0005-0000-0000-000008140000}"/>
    <cellStyle name="Accent1 - 40% 8" xfId="6689" xr:uid="{00000000-0005-0000-0000-000009140000}"/>
    <cellStyle name="Accent1 - 40% 9" xfId="6690" xr:uid="{00000000-0005-0000-0000-00000A140000}"/>
    <cellStyle name="Accent1 - 40%_Sheet2" xfId="6691" xr:uid="{00000000-0005-0000-0000-00000B140000}"/>
    <cellStyle name="Accent1 - 60%" xfId="6692" xr:uid="{00000000-0005-0000-0000-00000C140000}"/>
    <cellStyle name="Accent1 - 60% 10" xfId="6693" xr:uid="{00000000-0005-0000-0000-00000D140000}"/>
    <cellStyle name="Accent1 - 60% 11" xfId="6694" xr:uid="{00000000-0005-0000-0000-00000E140000}"/>
    <cellStyle name="Accent1 - 60% 12" xfId="6695" xr:uid="{00000000-0005-0000-0000-00000F140000}"/>
    <cellStyle name="Accent1 - 60% 13" xfId="6696" xr:uid="{00000000-0005-0000-0000-000010140000}"/>
    <cellStyle name="Accent1 - 60% 14" xfId="6697" xr:uid="{00000000-0005-0000-0000-000011140000}"/>
    <cellStyle name="Accent1 - 60% 15" xfId="6698" xr:uid="{00000000-0005-0000-0000-000012140000}"/>
    <cellStyle name="Accent1 - 60% 16" xfId="6699" xr:uid="{00000000-0005-0000-0000-000013140000}"/>
    <cellStyle name="Accent1 - 60% 17" xfId="6700" xr:uid="{00000000-0005-0000-0000-000014140000}"/>
    <cellStyle name="Accent1 - 60% 18" xfId="6701" xr:uid="{00000000-0005-0000-0000-000015140000}"/>
    <cellStyle name="Accent1 - 60% 19" xfId="6702" xr:uid="{00000000-0005-0000-0000-000016140000}"/>
    <cellStyle name="Accent1 - 60% 2" xfId="6703" xr:uid="{00000000-0005-0000-0000-000017140000}"/>
    <cellStyle name="Accent1 - 60% 20" xfId="6704" xr:uid="{00000000-0005-0000-0000-000018140000}"/>
    <cellStyle name="Accent1 - 60% 3" xfId="6705" xr:uid="{00000000-0005-0000-0000-000019140000}"/>
    <cellStyle name="Accent1 - 60% 4" xfId="6706" xr:uid="{00000000-0005-0000-0000-00001A140000}"/>
    <cellStyle name="Accent1 - 60% 5" xfId="6707" xr:uid="{00000000-0005-0000-0000-00001B140000}"/>
    <cellStyle name="Accent1 - 60% 6" xfId="6708" xr:uid="{00000000-0005-0000-0000-00001C140000}"/>
    <cellStyle name="Accent1 - 60% 7" xfId="6709" xr:uid="{00000000-0005-0000-0000-00001D140000}"/>
    <cellStyle name="Accent1 - 60% 8" xfId="6710" xr:uid="{00000000-0005-0000-0000-00001E140000}"/>
    <cellStyle name="Accent1 - 60% 9" xfId="6711" xr:uid="{00000000-0005-0000-0000-00001F140000}"/>
    <cellStyle name="Accent1 - 60%_Sheet2" xfId="6712" xr:uid="{00000000-0005-0000-0000-000020140000}"/>
    <cellStyle name="Accent1 2" xfId="1285" xr:uid="{00000000-0005-0000-0000-000021140000}"/>
    <cellStyle name="Accent1 2 2" xfId="1286" xr:uid="{00000000-0005-0000-0000-000022140000}"/>
    <cellStyle name="Accent2 - 20%" xfId="6713" xr:uid="{00000000-0005-0000-0000-000023140000}"/>
    <cellStyle name="Accent2 - 20% 10" xfId="6714" xr:uid="{00000000-0005-0000-0000-000024140000}"/>
    <cellStyle name="Accent2 - 20% 11" xfId="6715" xr:uid="{00000000-0005-0000-0000-000025140000}"/>
    <cellStyle name="Accent2 - 20% 12" xfId="6716" xr:uid="{00000000-0005-0000-0000-000026140000}"/>
    <cellStyle name="Accent2 - 20% 13" xfId="6717" xr:uid="{00000000-0005-0000-0000-000027140000}"/>
    <cellStyle name="Accent2 - 20% 14" xfId="6718" xr:uid="{00000000-0005-0000-0000-000028140000}"/>
    <cellStyle name="Accent2 - 20% 15" xfId="6719" xr:uid="{00000000-0005-0000-0000-000029140000}"/>
    <cellStyle name="Accent2 - 20% 16" xfId="6720" xr:uid="{00000000-0005-0000-0000-00002A140000}"/>
    <cellStyle name="Accent2 - 20% 17" xfId="6721" xr:uid="{00000000-0005-0000-0000-00002B140000}"/>
    <cellStyle name="Accent2 - 20% 18" xfId="6722" xr:uid="{00000000-0005-0000-0000-00002C140000}"/>
    <cellStyle name="Accent2 - 20% 19" xfId="6723" xr:uid="{00000000-0005-0000-0000-00002D140000}"/>
    <cellStyle name="Accent2 - 20% 2" xfId="6724" xr:uid="{00000000-0005-0000-0000-00002E140000}"/>
    <cellStyle name="Accent2 - 20% 20" xfId="6725" xr:uid="{00000000-0005-0000-0000-00002F140000}"/>
    <cellStyle name="Accent2 - 20% 3" xfId="6726" xr:uid="{00000000-0005-0000-0000-000030140000}"/>
    <cellStyle name="Accent2 - 20% 4" xfId="6727" xr:uid="{00000000-0005-0000-0000-000031140000}"/>
    <cellStyle name="Accent2 - 20% 5" xfId="6728" xr:uid="{00000000-0005-0000-0000-000032140000}"/>
    <cellStyle name="Accent2 - 20% 6" xfId="6729" xr:uid="{00000000-0005-0000-0000-000033140000}"/>
    <cellStyle name="Accent2 - 20% 7" xfId="6730" xr:uid="{00000000-0005-0000-0000-000034140000}"/>
    <cellStyle name="Accent2 - 20% 8" xfId="6731" xr:uid="{00000000-0005-0000-0000-000035140000}"/>
    <cellStyle name="Accent2 - 20% 9" xfId="6732" xr:uid="{00000000-0005-0000-0000-000036140000}"/>
    <cellStyle name="Accent2 - 20%_Sheet2" xfId="6733" xr:uid="{00000000-0005-0000-0000-000037140000}"/>
    <cellStyle name="Accent2 - 40%" xfId="6734" xr:uid="{00000000-0005-0000-0000-000038140000}"/>
    <cellStyle name="Accent2 - 40% 10" xfId="6735" xr:uid="{00000000-0005-0000-0000-000039140000}"/>
    <cellStyle name="Accent2 - 40% 11" xfId="6736" xr:uid="{00000000-0005-0000-0000-00003A140000}"/>
    <cellStyle name="Accent2 - 40% 12" xfId="6737" xr:uid="{00000000-0005-0000-0000-00003B140000}"/>
    <cellStyle name="Accent2 - 40% 13" xfId="6738" xr:uid="{00000000-0005-0000-0000-00003C140000}"/>
    <cellStyle name="Accent2 - 40% 14" xfId="6739" xr:uid="{00000000-0005-0000-0000-00003D140000}"/>
    <cellStyle name="Accent2 - 40% 15" xfId="6740" xr:uid="{00000000-0005-0000-0000-00003E140000}"/>
    <cellStyle name="Accent2 - 40% 16" xfId="6741" xr:uid="{00000000-0005-0000-0000-00003F140000}"/>
    <cellStyle name="Accent2 - 40% 17" xfId="6742" xr:uid="{00000000-0005-0000-0000-000040140000}"/>
    <cellStyle name="Accent2 - 40% 18" xfId="6743" xr:uid="{00000000-0005-0000-0000-000041140000}"/>
    <cellStyle name="Accent2 - 40% 19" xfId="6744" xr:uid="{00000000-0005-0000-0000-000042140000}"/>
    <cellStyle name="Accent2 - 40% 2" xfId="6745" xr:uid="{00000000-0005-0000-0000-000043140000}"/>
    <cellStyle name="Accent2 - 40% 20" xfId="6746" xr:uid="{00000000-0005-0000-0000-000044140000}"/>
    <cellStyle name="Accent2 - 40% 3" xfId="6747" xr:uid="{00000000-0005-0000-0000-000045140000}"/>
    <cellStyle name="Accent2 - 40% 4" xfId="6748" xr:uid="{00000000-0005-0000-0000-000046140000}"/>
    <cellStyle name="Accent2 - 40% 5" xfId="6749" xr:uid="{00000000-0005-0000-0000-000047140000}"/>
    <cellStyle name="Accent2 - 40% 6" xfId="6750" xr:uid="{00000000-0005-0000-0000-000048140000}"/>
    <cellStyle name="Accent2 - 40% 7" xfId="6751" xr:uid="{00000000-0005-0000-0000-000049140000}"/>
    <cellStyle name="Accent2 - 40% 8" xfId="6752" xr:uid="{00000000-0005-0000-0000-00004A140000}"/>
    <cellStyle name="Accent2 - 40% 9" xfId="6753" xr:uid="{00000000-0005-0000-0000-00004B140000}"/>
    <cellStyle name="Accent2 - 40%_Sheet2" xfId="6754" xr:uid="{00000000-0005-0000-0000-00004C140000}"/>
    <cellStyle name="Accent2 - 60%" xfId="6755" xr:uid="{00000000-0005-0000-0000-00004D140000}"/>
    <cellStyle name="Accent2 - 60% 10" xfId="6756" xr:uid="{00000000-0005-0000-0000-00004E140000}"/>
    <cellStyle name="Accent2 - 60% 11" xfId="6757" xr:uid="{00000000-0005-0000-0000-00004F140000}"/>
    <cellStyle name="Accent2 - 60% 12" xfId="6758" xr:uid="{00000000-0005-0000-0000-000050140000}"/>
    <cellStyle name="Accent2 - 60% 13" xfId="6759" xr:uid="{00000000-0005-0000-0000-000051140000}"/>
    <cellStyle name="Accent2 - 60% 14" xfId="6760" xr:uid="{00000000-0005-0000-0000-000052140000}"/>
    <cellStyle name="Accent2 - 60% 15" xfId="6761" xr:uid="{00000000-0005-0000-0000-000053140000}"/>
    <cellStyle name="Accent2 - 60% 16" xfId="6762" xr:uid="{00000000-0005-0000-0000-000054140000}"/>
    <cellStyle name="Accent2 - 60% 17" xfId="6763" xr:uid="{00000000-0005-0000-0000-000055140000}"/>
    <cellStyle name="Accent2 - 60% 18" xfId="6764" xr:uid="{00000000-0005-0000-0000-000056140000}"/>
    <cellStyle name="Accent2 - 60% 19" xfId="6765" xr:uid="{00000000-0005-0000-0000-000057140000}"/>
    <cellStyle name="Accent2 - 60% 2" xfId="6766" xr:uid="{00000000-0005-0000-0000-000058140000}"/>
    <cellStyle name="Accent2 - 60% 20" xfId="6767" xr:uid="{00000000-0005-0000-0000-000059140000}"/>
    <cellStyle name="Accent2 - 60% 3" xfId="6768" xr:uid="{00000000-0005-0000-0000-00005A140000}"/>
    <cellStyle name="Accent2 - 60% 4" xfId="6769" xr:uid="{00000000-0005-0000-0000-00005B140000}"/>
    <cellStyle name="Accent2 - 60% 5" xfId="6770" xr:uid="{00000000-0005-0000-0000-00005C140000}"/>
    <cellStyle name="Accent2 - 60% 6" xfId="6771" xr:uid="{00000000-0005-0000-0000-00005D140000}"/>
    <cellStyle name="Accent2 - 60% 7" xfId="6772" xr:uid="{00000000-0005-0000-0000-00005E140000}"/>
    <cellStyle name="Accent2 - 60% 8" xfId="6773" xr:uid="{00000000-0005-0000-0000-00005F140000}"/>
    <cellStyle name="Accent2 - 60% 9" xfId="6774" xr:uid="{00000000-0005-0000-0000-000060140000}"/>
    <cellStyle name="Accent2 - 60%_Sheet2" xfId="6775" xr:uid="{00000000-0005-0000-0000-000061140000}"/>
    <cellStyle name="Accent2 2" xfId="1287" xr:uid="{00000000-0005-0000-0000-000062140000}"/>
    <cellStyle name="Accent2 2 2" xfId="1288" xr:uid="{00000000-0005-0000-0000-000063140000}"/>
    <cellStyle name="Accent3 - 20%" xfId="6776" xr:uid="{00000000-0005-0000-0000-000064140000}"/>
    <cellStyle name="Accent3 - 20% 10" xfId="6777" xr:uid="{00000000-0005-0000-0000-000065140000}"/>
    <cellStyle name="Accent3 - 20% 11" xfId="6778" xr:uid="{00000000-0005-0000-0000-000066140000}"/>
    <cellStyle name="Accent3 - 20% 12" xfId="6779" xr:uid="{00000000-0005-0000-0000-000067140000}"/>
    <cellStyle name="Accent3 - 20% 13" xfId="6780" xr:uid="{00000000-0005-0000-0000-000068140000}"/>
    <cellStyle name="Accent3 - 20% 14" xfId="6781" xr:uid="{00000000-0005-0000-0000-000069140000}"/>
    <cellStyle name="Accent3 - 20% 15" xfId="6782" xr:uid="{00000000-0005-0000-0000-00006A140000}"/>
    <cellStyle name="Accent3 - 20% 16" xfId="6783" xr:uid="{00000000-0005-0000-0000-00006B140000}"/>
    <cellStyle name="Accent3 - 20% 17" xfId="6784" xr:uid="{00000000-0005-0000-0000-00006C140000}"/>
    <cellStyle name="Accent3 - 20% 18" xfId="6785" xr:uid="{00000000-0005-0000-0000-00006D140000}"/>
    <cellStyle name="Accent3 - 20% 19" xfId="6786" xr:uid="{00000000-0005-0000-0000-00006E140000}"/>
    <cellStyle name="Accent3 - 20% 2" xfId="6787" xr:uid="{00000000-0005-0000-0000-00006F140000}"/>
    <cellStyle name="Accent3 - 20% 20" xfId="6788" xr:uid="{00000000-0005-0000-0000-000070140000}"/>
    <cellStyle name="Accent3 - 20% 3" xfId="6789" xr:uid="{00000000-0005-0000-0000-000071140000}"/>
    <cellStyle name="Accent3 - 20% 4" xfId="6790" xr:uid="{00000000-0005-0000-0000-000072140000}"/>
    <cellStyle name="Accent3 - 20% 5" xfId="6791" xr:uid="{00000000-0005-0000-0000-000073140000}"/>
    <cellStyle name="Accent3 - 20% 6" xfId="6792" xr:uid="{00000000-0005-0000-0000-000074140000}"/>
    <cellStyle name="Accent3 - 20% 7" xfId="6793" xr:uid="{00000000-0005-0000-0000-000075140000}"/>
    <cellStyle name="Accent3 - 20% 8" xfId="6794" xr:uid="{00000000-0005-0000-0000-000076140000}"/>
    <cellStyle name="Accent3 - 20% 9" xfId="6795" xr:uid="{00000000-0005-0000-0000-000077140000}"/>
    <cellStyle name="Accent3 - 20%_Sheet2" xfId="6796" xr:uid="{00000000-0005-0000-0000-000078140000}"/>
    <cellStyle name="Accent3 - 40%" xfId="6797" xr:uid="{00000000-0005-0000-0000-000079140000}"/>
    <cellStyle name="Accent3 - 40% 10" xfId="6798" xr:uid="{00000000-0005-0000-0000-00007A140000}"/>
    <cellStyle name="Accent3 - 40% 11" xfId="6799" xr:uid="{00000000-0005-0000-0000-00007B140000}"/>
    <cellStyle name="Accent3 - 40% 12" xfId="6800" xr:uid="{00000000-0005-0000-0000-00007C140000}"/>
    <cellStyle name="Accent3 - 40% 13" xfId="6801" xr:uid="{00000000-0005-0000-0000-00007D140000}"/>
    <cellStyle name="Accent3 - 40% 14" xfId="6802" xr:uid="{00000000-0005-0000-0000-00007E140000}"/>
    <cellStyle name="Accent3 - 40% 15" xfId="6803" xr:uid="{00000000-0005-0000-0000-00007F140000}"/>
    <cellStyle name="Accent3 - 40% 16" xfId="6804" xr:uid="{00000000-0005-0000-0000-000080140000}"/>
    <cellStyle name="Accent3 - 40% 17" xfId="6805" xr:uid="{00000000-0005-0000-0000-000081140000}"/>
    <cellStyle name="Accent3 - 40% 18" xfId="6806" xr:uid="{00000000-0005-0000-0000-000082140000}"/>
    <cellStyle name="Accent3 - 40% 19" xfId="6807" xr:uid="{00000000-0005-0000-0000-000083140000}"/>
    <cellStyle name="Accent3 - 40% 2" xfId="6808" xr:uid="{00000000-0005-0000-0000-000084140000}"/>
    <cellStyle name="Accent3 - 40% 20" xfId="6809" xr:uid="{00000000-0005-0000-0000-000085140000}"/>
    <cellStyle name="Accent3 - 40% 3" xfId="6810" xr:uid="{00000000-0005-0000-0000-000086140000}"/>
    <cellStyle name="Accent3 - 40% 4" xfId="6811" xr:uid="{00000000-0005-0000-0000-000087140000}"/>
    <cellStyle name="Accent3 - 40% 5" xfId="6812" xr:uid="{00000000-0005-0000-0000-000088140000}"/>
    <cellStyle name="Accent3 - 40% 6" xfId="6813" xr:uid="{00000000-0005-0000-0000-000089140000}"/>
    <cellStyle name="Accent3 - 40% 7" xfId="6814" xr:uid="{00000000-0005-0000-0000-00008A140000}"/>
    <cellStyle name="Accent3 - 40% 8" xfId="6815" xr:uid="{00000000-0005-0000-0000-00008B140000}"/>
    <cellStyle name="Accent3 - 40% 9" xfId="6816" xr:uid="{00000000-0005-0000-0000-00008C140000}"/>
    <cellStyle name="Accent3 - 40%_Sheet2" xfId="6817" xr:uid="{00000000-0005-0000-0000-00008D140000}"/>
    <cellStyle name="Accent3 - 60%" xfId="6818" xr:uid="{00000000-0005-0000-0000-00008E140000}"/>
    <cellStyle name="Accent3 - 60% 10" xfId="6819" xr:uid="{00000000-0005-0000-0000-00008F140000}"/>
    <cellStyle name="Accent3 - 60% 11" xfId="6820" xr:uid="{00000000-0005-0000-0000-000090140000}"/>
    <cellStyle name="Accent3 - 60% 12" xfId="6821" xr:uid="{00000000-0005-0000-0000-000091140000}"/>
    <cellStyle name="Accent3 - 60% 13" xfId="6822" xr:uid="{00000000-0005-0000-0000-000092140000}"/>
    <cellStyle name="Accent3 - 60% 14" xfId="6823" xr:uid="{00000000-0005-0000-0000-000093140000}"/>
    <cellStyle name="Accent3 - 60% 15" xfId="6824" xr:uid="{00000000-0005-0000-0000-000094140000}"/>
    <cellStyle name="Accent3 - 60% 16" xfId="6825" xr:uid="{00000000-0005-0000-0000-000095140000}"/>
    <cellStyle name="Accent3 - 60% 17" xfId="6826" xr:uid="{00000000-0005-0000-0000-000096140000}"/>
    <cellStyle name="Accent3 - 60% 18" xfId="6827" xr:uid="{00000000-0005-0000-0000-000097140000}"/>
    <cellStyle name="Accent3 - 60% 19" xfId="6828" xr:uid="{00000000-0005-0000-0000-000098140000}"/>
    <cellStyle name="Accent3 - 60% 2" xfId="6829" xr:uid="{00000000-0005-0000-0000-000099140000}"/>
    <cellStyle name="Accent3 - 60% 20" xfId="6830" xr:uid="{00000000-0005-0000-0000-00009A140000}"/>
    <cellStyle name="Accent3 - 60% 3" xfId="6831" xr:uid="{00000000-0005-0000-0000-00009B140000}"/>
    <cellStyle name="Accent3 - 60% 4" xfId="6832" xr:uid="{00000000-0005-0000-0000-00009C140000}"/>
    <cellStyle name="Accent3 - 60% 5" xfId="6833" xr:uid="{00000000-0005-0000-0000-00009D140000}"/>
    <cellStyle name="Accent3 - 60% 6" xfId="6834" xr:uid="{00000000-0005-0000-0000-00009E140000}"/>
    <cellStyle name="Accent3 - 60% 7" xfId="6835" xr:uid="{00000000-0005-0000-0000-00009F140000}"/>
    <cellStyle name="Accent3 - 60% 8" xfId="6836" xr:uid="{00000000-0005-0000-0000-0000A0140000}"/>
    <cellStyle name="Accent3 - 60% 9" xfId="6837" xr:uid="{00000000-0005-0000-0000-0000A1140000}"/>
    <cellStyle name="Accent3 - 60%_Sheet2" xfId="6838" xr:uid="{00000000-0005-0000-0000-0000A2140000}"/>
    <cellStyle name="Accent3 2" xfId="1289" xr:uid="{00000000-0005-0000-0000-0000A3140000}"/>
    <cellStyle name="Accent3 2 2" xfId="1290" xr:uid="{00000000-0005-0000-0000-0000A4140000}"/>
    <cellStyle name="Accent4 - 20%" xfId="6839" xr:uid="{00000000-0005-0000-0000-0000A5140000}"/>
    <cellStyle name="Accent4 - 20% 10" xfId="6840" xr:uid="{00000000-0005-0000-0000-0000A6140000}"/>
    <cellStyle name="Accent4 - 20% 11" xfId="6841" xr:uid="{00000000-0005-0000-0000-0000A7140000}"/>
    <cellStyle name="Accent4 - 20% 12" xfId="6842" xr:uid="{00000000-0005-0000-0000-0000A8140000}"/>
    <cellStyle name="Accent4 - 20% 13" xfId="6843" xr:uid="{00000000-0005-0000-0000-0000A9140000}"/>
    <cellStyle name="Accent4 - 20% 14" xfId="6844" xr:uid="{00000000-0005-0000-0000-0000AA140000}"/>
    <cellStyle name="Accent4 - 20% 15" xfId="6845" xr:uid="{00000000-0005-0000-0000-0000AB140000}"/>
    <cellStyle name="Accent4 - 20% 16" xfId="6846" xr:uid="{00000000-0005-0000-0000-0000AC140000}"/>
    <cellStyle name="Accent4 - 20% 17" xfId="6847" xr:uid="{00000000-0005-0000-0000-0000AD140000}"/>
    <cellStyle name="Accent4 - 20% 18" xfId="6848" xr:uid="{00000000-0005-0000-0000-0000AE140000}"/>
    <cellStyle name="Accent4 - 20% 19" xfId="6849" xr:uid="{00000000-0005-0000-0000-0000AF140000}"/>
    <cellStyle name="Accent4 - 20% 2" xfId="6850" xr:uid="{00000000-0005-0000-0000-0000B0140000}"/>
    <cellStyle name="Accent4 - 20% 20" xfId="6851" xr:uid="{00000000-0005-0000-0000-0000B1140000}"/>
    <cellStyle name="Accent4 - 20% 3" xfId="6852" xr:uid="{00000000-0005-0000-0000-0000B2140000}"/>
    <cellStyle name="Accent4 - 20% 4" xfId="6853" xr:uid="{00000000-0005-0000-0000-0000B3140000}"/>
    <cellStyle name="Accent4 - 20% 5" xfId="6854" xr:uid="{00000000-0005-0000-0000-0000B4140000}"/>
    <cellStyle name="Accent4 - 20% 6" xfId="6855" xr:uid="{00000000-0005-0000-0000-0000B5140000}"/>
    <cellStyle name="Accent4 - 20% 7" xfId="6856" xr:uid="{00000000-0005-0000-0000-0000B6140000}"/>
    <cellStyle name="Accent4 - 20% 8" xfId="6857" xr:uid="{00000000-0005-0000-0000-0000B7140000}"/>
    <cellStyle name="Accent4 - 20% 9" xfId="6858" xr:uid="{00000000-0005-0000-0000-0000B8140000}"/>
    <cellStyle name="Accent4 - 20%_Sheet2" xfId="6859" xr:uid="{00000000-0005-0000-0000-0000B9140000}"/>
    <cellStyle name="Accent4 - 40%" xfId="6860" xr:uid="{00000000-0005-0000-0000-0000BA140000}"/>
    <cellStyle name="Accent4 - 40% 10" xfId="6861" xr:uid="{00000000-0005-0000-0000-0000BB140000}"/>
    <cellStyle name="Accent4 - 40% 11" xfId="6862" xr:uid="{00000000-0005-0000-0000-0000BC140000}"/>
    <cellStyle name="Accent4 - 40% 12" xfId="6863" xr:uid="{00000000-0005-0000-0000-0000BD140000}"/>
    <cellStyle name="Accent4 - 40% 13" xfId="6864" xr:uid="{00000000-0005-0000-0000-0000BE140000}"/>
    <cellStyle name="Accent4 - 40% 14" xfId="6865" xr:uid="{00000000-0005-0000-0000-0000BF140000}"/>
    <cellStyle name="Accent4 - 40% 15" xfId="6866" xr:uid="{00000000-0005-0000-0000-0000C0140000}"/>
    <cellStyle name="Accent4 - 40% 16" xfId="6867" xr:uid="{00000000-0005-0000-0000-0000C1140000}"/>
    <cellStyle name="Accent4 - 40% 17" xfId="6868" xr:uid="{00000000-0005-0000-0000-0000C2140000}"/>
    <cellStyle name="Accent4 - 40% 18" xfId="6869" xr:uid="{00000000-0005-0000-0000-0000C3140000}"/>
    <cellStyle name="Accent4 - 40% 19" xfId="6870" xr:uid="{00000000-0005-0000-0000-0000C4140000}"/>
    <cellStyle name="Accent4 - 40% 2" xfId="6871" xr:uid="{00000000-0005-0000-0000-0000C5140000}"/>
    <cellStyle name="Accent4 - 40% 20" xfId="6872" xr:uid="{00000000-0005-0000-0000-0000C6140000}"/>
    <cellStyle name="Accent4 - 40% 3" xfId="6873" xr:uid="{00000000-0005-0000-0000-0000C7140000}"/>
    <cellStyle name="Accent4 - 40% 4" xfId="6874" xr:uid="{00000000-0005-0000-0000-0000C8140000}"/>
    <cellStyle name="Accent4 - 40% 5" xfId="6875" xr:uid="{00000000-0005-0000-0000-0000C9140000}"/>
    <cellStyle name="Accent4 - 40% 6" xfId="6876" xr:uid="{00000000-0005-0000-0000-0000CA140000}"/>
    <cellStyle name="Accent4 - 40% 7" xfId="6877" xr:uid="{00000000-0005-0000-0000-0000CB140000}"/>
    <cellStyle name="Accent4 - 40% 8" xfId="6878" xr:uid="{00000000-0005-0000-0000-0000CC140000}"/>
    <cellStyle name="Accent4 - 40% 9" xfId="6879" xr:uid="{00000000-0005-0000-0000-0000CD140000}"/>
    <cellStyle name="Accent4 - 40%_Sheet2" xfId="6880" xr:uid="{00000000-0005-0000-0000-0000CE140000}"/>
    <cellStyle name="Accent4 - 60%" xfId="6881" xr:uid="{00000000-0005-0000-0000-0000CF140000}"/>
    <cellStyle name="Accent4 - 60% 10" xfId="6882" xr:uid="{00000000-0005-0000-0000-0000D0140000}"/>
    <cellStyle name="Accent4 - 60% 11" xfId="6883" xr:uid="{00000000-0005-0000-0000-0000D1140000}"/>
    <cellStyle name="Accent4 - 60% 12" xfId="6884" xr:uid="{00000000-0005-0000-0000-0000D2140000}"/>
    <cellStyle name="Accent4 - 60% 13" xfId="6885" xr:uid="{00000000-0005-0000-0000-0000D3140000}"/>
    <cellStyle name="Accent4 - 60% 14" xfId="6886" xr:uid="{00000000-0005-0000-0000-0000D4140000}"/>
    <cellStyle name="Accent4 - 60% 15" xfId="6887" xr:uid="{00000000-0005-0000-0000-0000D5140000}"/>
    <cellStyle name="Accent4 - 60% 16" xfId="6888" xr:uid="{00000000-0005-0000-0000-0000D6140000}"/>
    <cellStyle name="Accent4 - 60% 17" xfId="6889" xr:uid="{00000000-0005-0000-0000-0000D7140000}"/>
    <cellStyle name="Accent4 - 60% 18" xfId="6890" xr:uid="{00000000-0005-0000-0000-0000D8140000}"/>
    <cellStyle name="Accent4 - 60% 19" xfId="6891" xr:uid="{00000000-0005-0000-0000-0000D9140000}"/>
    <cellStyle name="Accent4 - 60% 2" xfId="6892" xr:uid="{00000000-0005-0000-0000-0000DA140000}"/>
    <cellStyle name="Accent4 - 60% 20" xfId="6893" xr:uid="{00000000-0005-0000-0000-0000DB140000}"/>
    <cellStyle name="Accent4 - 60% 3" xfId="6894" xr:uid="{00000000-0005-0000-0000-0000DC140000}"/>
    <cellStyle name="Accent4 - 60% 4" xfId="6895" xr:uid="{00000000-0005-0000-0000-0000DD140000}"/>
    <cellStyle name="Accent4 - 60% 5" xfId="6896" xr:uid="{00000000-0005-0000-0000-0000DE140000}"/>
    <cellStyle name="Accent4 - 60% 6" xfId="6897" xr:uid="{00000000-0005-0000-0000-0000DF140000}"/>
    <cellStyle name="Accent4 - 60% 7" xfId="6898" xr:uid="{00000000-0005-0000-0000-0000E0140000}"/>
    <cellStyle name="Accent4 - 60% 8" xfId="6899" xr:uid="{00000000-0005-0000-0000-0000E1140000}"/>
    <cellStyle name="Accent4 - 60% 9" xfId="6900" xr:uid="{00000000-0005-0000-0000-0000E2140000}"/>
    <cellStyle name="Accent4 - 60%_Sheet2" xfId="6901" xr:uid="{00000000-0005-0000-0000-0000E3140000}"/>
    <cellStyle name="Accent4 2" xfId="1291" xr:uid="{00000000-0005-0000-0000-0000E4140000}"/>
    <cellStyle name="Accent4 2 2" xfId="1292" xr:uid="{00000000-0005-0000-0000-0000E5140000}"/>
    <cellStyle name="Accent5 - 20%" xfId="6902" xr:uid="{00000000-0005-0000-0000-0000E6140000}"/>
    <cellStyle name="Accent5 - 20% 10" xfId="6903" xr:uid="{00000000-0005-0000-0000-0000E7140000}"/>
    <cellStyle name="Accent5 - 20% 11" xfId="6904" xr:uid="{00000000-0005-0000-0000-0000E8140000}"/>
    <cellStyle name="Accent5 - 20% 12" xfId="6905" xr:uid="{00000000-0005-0000-0000-0000E9140000}"/>
    <cellStyle name="Accent5 - 20% 13" xfId="6906" xr:uid="{00000000-0005-0000-0000-0000EA140000}"/>
    <cellStyle name="Accent5 - 20% 14" xfId="6907" xr:uid="{00000000-0005-0000-0000-0000EB140000}"/>
    <cellStyle name="Accent5 - 20% 15" xfId="6908" xr:uid="{00000000-0005-0000-0000-0000EC140000}"/>
    <cellStyle name="Accent5 - 20% 16" xfId="6909" xr:uid="{00000000-0005-0000-0000-0000ED140000}"/>
    <cellStyle name="Accent5 - 20% 17" xfId="6910" xr:uid="{00000000-0005-0000-0000-0000EE140000}"/>
    <cellStyle name="Accent5 - 20% 18" xfId="6911" xr:uid="{00000000-0005-0000-0000-0000EF140000}"/>
    <cellStyle name="Accent5 - 20% 19" xfId="6912" xr:uid="{00000000-0005-0000-0000-0000F0140000}"/>
    <cellStyle name="Accent5 - 20% 2" xfId="6913" xr:uid="{00000000-0005-0000-0000-0000F1140000}"/>
    <cellStyle name="Accent5 - 20% 20" xfId="6914" xr:uid="{00000000-0005-0000-0000-0000F2140000}"/>
    <cellStyle name="Accent5 - 20% 3" xfId="6915" xr:uid="{00000000-0005-0000-0000-0000F3140000}"/>
    <cellStyle name="Accent5 - 20% 4" xfId="6916" xr:uid="{00000000-0005-0000-0000-0000F4140000}"/>
    <cellStyle name="Accent5 - 20% 5" xfId="6917" xr:uid="{00000000-0005-0000-0000-0000F5140000}"/>
    <cellStyle name="Accent5 - 20% 6" xfId="6918" xr:uid="{00000000-0005-0000-0000-0000F6140000}"/>
    <cellStyle name="Accent5 - 20% 7" xfId="6919" xr:uid="{00000000-0005-0000-0000-0000F7140000}"/>
    <cellStyle name="Accent5 - 20% 8" xfId="6920" xr:uid="{00000000-0005-0000-0000-0000F8140000}"/>
    <cellStyle name="Accent5 - 20% 9" xfId="6921" xr:uid="{00000000-0005-0000-0000-0000F9140000}"/>
    <cellStyle name="Accent5 - 20%_Sheet2" xfId="6922" xr:uid="{00000000-0005-0000-0000-0000FA140000}"/>
    <cellStyle name="Accent5 - 40%" xfId="6923" xr:uid="{00000000-0005-0000-0000-0000FB140000}"/>
    <cellStyle name="Accent5 - 60%" xfId="6924" xr:uid="{00000000-0005-0000-0000-0000FC140000}"/>
    <cellStyle name="Accent5 - 60% 10" xfId="6925" xr:uid="{00000000-0005-0000-0000-0000FD140000}"/>
    <cellStyle name="Accent5 - 60% 11" xfId="6926" xr:uid="{00000000-0005-0000-0000-0000FE140000}"/>
    <cellStyle name="Accent5 - 60% 12" xfId="6927" xr:uid="{00000000-0005-0000-0000-0000FF140000}"/>
    <cellStyle name="Accent5 - 60% 13" xfId="6928" xr:uid="{00000000-0005-0000-0000-000000150000}"/>
    <cellStyle name="Accent5 - 60% 14" xfId="6929" xr:uid="{00000000-0005-0000-0000-000001150000}"/>
    <cellStyle name="Accent5 - 60% 15" xfId="6930" xr:uid="{00000000-0005-0000-0000-000002150000}"/>
    <cellStyle name="Accent5 - 60% 16" xfId="6931" xr:uid="{00000000-0005-0000-0000-000003150000}"/>
    <cellStyle name="Accent5 - 60% 17" xfId="6932" xr:uid="{00000000-0005-0000-0000-000004150000}"/>
    <cellStyle name="Accent5 - 60% 18" xfId="6933" xr:uid="{00000000-0005-0000-0000-000005150000}"/>
    <cellStyle name="Accent5 - 60% 19" xfId="6934" xr:uid="{00000000-0005-0000-0000-000006150000}"/>
    <cellStyle name="Accent5 - 60% 2" xfId="6935" xr:uid="{00000000-0005-0000-0000-000007150000}"/>
    <cellStyle name="Accent5 - 60% 20" xfId="6936" xr:uid="{00000000-0005-0000-0000-000008150000}"/>
    <cellStyle name="Accent5 - 60% 3" xfId="6937" xr:uid="{00000000-0005-0000-0000-000009150000}"/>
    <cellStyle name="Accent5 - 60% 4" xfId="6938" xr:uid="{00000000-0005-0000-0000-00000A150000}"/>
    <cellStyle name="Accent5 - 60% 5" xfId="6939" xr:uid="{00000000-0005-0000-0000-00000B150000}"/>
    <cellStyle name="Accent5 - 60% 6" xfId="6940" xr:uid="{00000000-0005-0000-0000-00000C150000}"/>
    <cellStyle name="Accent5 - 60% 7" xfId="6941" xr:uid="{00000000-0005-0000-0000-00000D150000}"/>
    <cellStyle name="Accent5 - 60% 8" xfId="6942" xr:uid="{00000000-0005-0000-0000-00000E150000}"/>
    <cellStyle name="Accent5 - 60% 9" xfId="6943" xr:uid="{00000000-0005-0000-0000-00000F150000}"/>
    <cellStyle name="Accent5 - 60%_Sheet2" xfId="6944" xr:uid="{00000000-0005-0000-0000-000010150000}"/>
    <cellStyle name="Accent5 2" xfId="1293" xr:uid="{00000000-0005-0000-0000-000011150000}"/>
    <cellStyle name="Accent5 2 2" xfId="1294" xr:uid="{00000000-0005-0000-0000-000012150000}"/>
    <cellStyle name="Accent6 - 20%" xfId="6945" xr:uid="{00000000-0005-0000-0000-000013150000}"/>
    <cellStyle name="Accent6 - 40%" xfId="6946" xr:uid="{00000000-0005-0000-0000-000014150000}"/>
    <cellStyle name="Accent6 - 40% 10" xfId="6947" xr:uid="{00000000-0005-0000-0000-000015150000}"/>
    <cellStyle name="Accent6 - 40% 11" xfId="6948" xr:uid="{00000000-0005-0000-0000-000016150000}"/>
    <cellStyle name="Accent6 - 40% 12" xfId="6949" xr:uid="{00000000-0005-0000-0000-000017150000}"/>
    <cellStyle name="Accent6 - 40% 13" xfId="6950" xr:uid="{00000000-0005-0000-0000-000018150000}"/>
    <cellStyle name="Accent6 - 40% 14" xfId="6951" xr:uid="{00000000-0005-0000-0000-000019150000}"/>
    <cellStyle name="Accent6 - 40% 15" xfId="6952" xr:uid="{00000000-0005-0000-0000-00001A150000}"/>
    <cellStyle name="Accent6 - 40% 16" xfId="6953" xr:uid="{00000000-0005-0000-0000-00001B150000}"/>
    <cellStyle name="Accent6 - 40% 17" xfId="6954" xr:uid="{00000000-0005-0000-0000-00001C150000}"/>
    <cellStyle name="Accent6 - 40% 18" xfId="6955" xr:uid="{00000000-0005-0000-0000-00001D150000}"/>
    <cellStyle name="Accent6 - 40% 19" xfId="6956" xr:uid="{00000000-0005-0000-0000-00001E150000}"/>
    <cellStyle name="Accent6 - 40% 2" xfId="6957" xr:uid="{00000000-0005-0000-0000-00001F150000}"/>
    <cellStyle name="Accent6 - 40% 20" xfId="6958" xr:uid="{00000000-0005-0000-0000-000020150000}"/>
    <cellStyle name="Accent6 - 40% 3" xfId="6959" xr:uid="{00000000-0005-0000-0000-000021150000}"/>
    <cellStyle name="Accent6 - 40% 4" xfId="6960" xr:uid="{00000000-0005-0000-0000-000022150000}"/>
    <cellStyle name="Accent6 - 40% 5" xfId="6961" xr:uid="{00000000-0005-0000-0000-000023150000}"/>
    <cellStyle name="Accent6 - 40% 6" xfId="6962" xr:uid="{00000000-0005-0000-0000-000024150000}"/>
    <cellStyle name="Accent6 - 40% 7" xfId="6963" xr:uid="{00000000-0005-0000-0000-000025150000}"/>
    <cellStyle name="Accent6 - 40% 8" xfId="6964" xr:uid="{00000000-0005-0000-0000-000026150000}"/>
    <cellStyle name="Accent6 - 40% 9" xfId="6965" xr:uid="{00000000-0005-0000-0000-000027150000}"/>
    <cellStyle name="Accent6 - 40%_Sheet2" xfId="6966" xr:uid="{00000000-0005-0000-0000-000028150000}"/>
    <cellStyle name="Accent6 - 60%" xfId="6967" xr:uid="{00000000-0005-0000-0000-000029150000}"/>
    <cellStyle name="Accent6 - 60% 10" xfId="6968" xr:uid="{00000000-0005-0000-0000-00002A150000}"/>
    <cellStyle name="Accent6 - 60% 11" xfId="6969" xr:uid="{00000000-0005-0000-0000-00002B150000}"/>
    <cellStyle name="Accent6 - 60% 12" xfId="6970" xr:uid="{00000000-0005-0000-0000-00002C150000}"/>
    <cellStyle name="Accent6 - 60% 13" xfId="6971" xr:uid="{00000000-0005-0000-0000-00002D150000}"/>
    <cellStyle name="Accent6 - 60% 14" xfId="6972" xr:uid="{00000000-0005-0000-0000-00002E150000}"/>
    <cellStyle name="Accent6 - 60% 15" xfId="6973" xr:uid="{00000000-0005-0000-0000-00002F150000}"/>
    <cellStyle name="Accent6 - 60% 16" xfId="6974" xr:uid="{00000000-0005-0000-0000-000030150000}"/>
    <cellStyle name="Accent6 - 60% 17" xfId="6975" xr:uid="{00000000-0005-0000-0000-000031150000}"/>
    <cellStyle name="Accent6 - 60% 18" xfId="6976" xr:uid="{00000000-0005-0000-0000-000032150000}"/>
    <cellStyle name="Accent6 - 60% 19" xfId="6977" xr:uid="{00000000-0005-0000-0000-000033150000}"/>
    <cellStyle name="Accent6 - 60% 2" xfId="6978" xr:uid="{00000000-0005-0000-0000-000034150000}"/>
    <cellStyle name="Accent6 - 60% 20" xfId="6979" xr:uid="{00000000-0005-0000-0000-000035150000}"/>
    <cellStyle name="Accent6 - 60% 3" xfId="6980" xr:uid="{00000000-0005-0000-0000-000036150000}"/>
    <cellStyle name="Accent6 - 60% 4" xfId="6981" xr:uid="{00000000-0005-0000-0000-000037150000}"/>
    <cellStyle name="Accent6 - 60% 5" xfId="6982" xr:uid="{00000000-0005-0000-0000-000038150000}"/>
    <cellStyle name="Accent6 - 60% 6" xfId="6983" xr:uid="{00000000-0005-0000-0000-000039150000}"/>
    <cellStyle name="Accent6 - 60% 7" xfId="6984" xr:uid="{00000000-0005-0000-0000-00003A150000}"/>
    <cellStyle name="Accent6 - 60% 8" xfId="6985" xr:uid="{00000000-0005-0000-0000-00003B150000}"/>
    <cellStyle name="Accent6 - 60% 9" xfId="6986" xr:uid="{00000000-0005-0000-0000-00003C150000}"/>
    <cellStyle name="Accent6 - 60%_Sheet2" xfId="6987" xr:uid="{00000000-0005-0000-0000-00003D150000}"/>
    <cellStyle name="Accent6 2" xfId="1295" xr:uid="{00000000-0005-0000-0000-00003E150000}"/>
    <cellStyle name="Accent6 2 2" xfId="1296" xr:uid="{00000000-0005-0000-0000-00003F150000}"/>
    <cellStyle name="act" xfId="6988" xr:uid="{00000000-0005-0000-0000-000040150000}"/>
    <cellStyle name="Actual data" xfId="1297" xr:uid="{00000000-0005-0000-0000-000041150000}"/>
    <cellStyle name="Actual data 2" xfId="1298" xr:uid="{00000000-0005-0000-0000-000042150000}"/>
    <cellStyle name="Actual year" xfId="1299" xr:uid="{00000000-0005-0000-0000-000043150000}"/>
    <cellStyle name="Actual year 2" xfId="1300" xr:uid="{00000000-0005-0000-0000-000044150000}"/>
    <cellStyle name="Actual year 2 2" xfId="2927" xr:uid="{00000000-0005-0000-0000-000045150000}"/>
    <cellStyle name="Actual year 2 3" xfId="7075" xr:uid="{00000000-0005-0000-0000-000046150000}"/>
    <cellStyle name="Actual year 3" xfId="2928" xr:uid="{00000000-0005-0000-0000-000047150000}"/>
    <cellStyle name="Actual year 4" xfId="2929" xr:uid="{00000000-0005-0000-0000-000048150000}"/>
    <cellStyle name="Actual year 5" xfId="2926" xr:uid="{00000000-0005-0000-0000-000049150000}"/>
    <cellStyle name="Actual year 6" xfId="7076" xr:uid="{00000000-0005-0000-0000-00004A150000}"/>
    <cellStyle name="Actual year 7" xfId="7077" xr:uid="{00000000-0005-0000-0000-00004B150000}"/>
    <cellStyle name="actuals" xfId="6989" xr:uid="{00000000-0005-0000-0000-00004C150000}"/>
    <cellStyle name="Actuals Cells" xfId="1301" xr:uid="{00000000-0005-0000-0000-00004D150000}"/>
    <cellStyle name="Actuals Cells 2" xfId="6990" xr:uid="{00000000-0005-0000-0000-00004E150000}"/>
    <cellStyle name="Adj L1" xfId="1302" xr:uid="{00000000-0005-0000-0000-00004F150000}"/>
    <cellStyle name="Adj L2" xfId="1303" xr:uid="{00000000-0005-0000-0000-000050150000}"/>
    <cellStyle name="Adj L3" xfId="1304" xr:uid="{00000000-0005-0000-0000-000051150000}"/>
    <cellStyle name="Adj Space" xfId="1305" xr:uid="{00000000-0005-0000-0000-000052150000}"/>
    <cellStyle name="AFE" xfId="1306" xr:uid="{00000000-0005-0000-0000-000053150000}"/>
    <cellStyle name="AFE 2" xfId="1307" xr:uid="{00000000-0005-0000-0000-000054150000}"/>
    <cellStyle name="AFE 3" xfId="3079" xr:uid="{00000000-0005-0000-0000-000055150000}"/>
    <cellStyle name="AFE 4" xfId="7078" xr:uid="{00000000-0005-0000-0000-000056150000}"/>
    <cellStyle name="AFE 5" xfId="7079" xr:uid="{00000000-0005-0000-0000-000057150000}"/>
    <cellStyle name="afl" xfId="2866" xr:uid="{00000000-0005-0000-0000-000058150000}"/>
    <cellStyle name="ales" xfId="6991" xr:uid="{00000000-0005-0000-0000-000059150000}"/>
    <cellStyle name="Andre's Title" xfId="2867" xr:uid="{00000000-0005-0000-0000-00005A150000}"/>
    <cellStyle name="Ȧormal_VALC" xfId="6992" xr:uid="{00000000-0005-0000-0000-00005B150000}"/>
    <cellStyle name="Arial" xfId="1308" xr:uid="{00000000-0005-0000-0000-00005C150000}"/>
    <cellStyle name="Arial6Bold" xfId="6993" xr:uid="{00000000-0005-0000-0000-00005D150000}"/>
    <cellStyle name="Arial6Bold 2" xfId="6994" xr:uid="{00000000-0005-0000-0000-00005E150000}"/>
    <cellStyle name="Arial8Bold" xfId="6995" xr:uid="{00000000-0005-0000-0000-00005F150000}"/>
    <cellStyle name="Arial8Italic" xfId="6996" xr:uid="{00000000-0005-0000-0000-000060150000}"/>
    <cellStyle name="ArialNormal" xfId="6997" xr:uid="{00000000-0005-0000-0000-000061150000}"/>
    <cellStyle name="ArialNormal 2" xfId="6998" xr:uid="{00000000-0005-0000-0000-000062150000}"/>
    <cellStyle name="Assume#" xfId="7080" xr:uid="{00000000-0005-0000-0000-000063150000}"/>
    <cellStyle name="Assume#+1" xfId="7087" xr:uid="{00000000-0005-0000-0000-000064150000}"/>
    <cellStyle name="Assume%" xfId="7081" xr:uid="{00000000-0005-0000-0000-000065150000}"/>
    <cellStyle name="assumption" xfId="6999" xr:uid="{00000000-0005-0000-0000-000066150000}"/>
    <cellStyle name="Auto" xfId="7000" xr:uid="{00000000-0005-0000-0000-000067150000}"/>
    <cellStyle name="b" xfId="7001" xr:uid="{00000000-0005-0000-0000-000068150000}"/>
    <cellStyle name="Bad 2" xfId="1309" xr:uid="{00000000-0005-0000-0000-000069150000}"/>
    <cellStyle name="Bad 2 2" xfId="1310" xr:uid="{00000000-0005-0000-0000-00006A150000}"/>
    <cellStyle name="Balance" xfId="1311" xr:uid="{00000000-0005-0000-0000-00006B150000}"/>
    <cellStyle name="Balance Sheet" xfId="7002" xr:uid="{00000000-0005-0000-0000-00006C150000}"/>
    <cellStyle name="BalanceSheet" xfId="1312" xr:uid="{00000000-0005-0000-0000-00006D150000}"/>
    <cellStyle name="BalanceSheet 2" xfId="1313" xr:uid="{00000000-0005-0000-0000-00006E150000}"/>
    <cellStyle name="BalanceSheet 3" xfId="1314" xr:uid="{00000000-0005-0000-0000-00006F150000}"/>
    <cellStyle name="BalanceSheet_GWW-Working 31" xfId="7003" xr:uid="{00000000-0005-0000-0000-000070150000}"/>
    <cellStyle name="Bank1" xfId="1315" xr:uid="{00000000-0005-0000-0000-000071150000}"/>
    <cellStyle name="Banner" xfId="7004" xr:uid="{00000000-0005-0000-0000-000072150000}"/>
    <cellStyle name="bbox" xfId="7005" xr:uid="{00000000-0005-0000-0000-000073150000}"/>
    <cellStyle name="Black Decimal" xfId="7006" xr:uid="{00000000-0005-0000-0000-000074150000}"/>
    <cellStyle name="Black Dollar" xfId="7007" xr:uid="{00000000-0005-0000-0000-000075150000}"/>
    <cellStyle name="Black EPS" xfId="7008" xr:uid="{00000000-0005-0000-0000-000076150000}"/>
    <cellStyle name="Black Percent" xfId="7009" xr:uid="{00000000-0005-0000-0000-000077150000}"/>
    <cellStyle name="Black Times" xfId="7010" xr:uid="{00000000-0005-0000-0000-000078150000}"/>
    <cellStyle name="Black Times 2" xfId="7011" xr:uid="{00000000-0005-0000-0000-000079150000}"/>
    <cellStyle name="Blank" xfId="1316" xr:uid="{00000000-0005-0000-0000-00007A150000}"/>
    <cellStyle name="Blue" xfId="1317" xr:uid="{00000000-0005-0000-0000-00007B150000}"/>
    <cellStyle name="Blue Decimal" xfId="7012" xr:uid="{00000000-0005-0000-0000-00007C150000}"/>
    <cellStyle name="Blue Decimal 2" xfId="7013" xr:uid="{00000000-0005-0000-0000-00007D150000}"/>
    <cellStyle name="Blue Dollar" xfId="7014" xr:uid="{00000000-0005-0000-0000-00007E150000}"/>
    <cellStyle name="Blue Title" xfId="2868" xr:uid="{00000000-0005-0000-0000-00007F150000}"/>
    <cellStyle name="Bold" xfId="1318" xr:uid="{00000000-0005-0000-0000-000080150000}"/>
    <cellStyle name="Border Heavy" xfId="1319" xr:uid="{00000000-0005-0000-0000-000081150000}"/>
    <cellStyle name="Border Thin" xfId="1320" xr:uid="{00000000-0005-0000-0000-000082150000}"/>
    <cellStyle name="c" xfId="1321" xr:uid="{00000000-0005-0000-0000-000083150000}"/>
    <cellStyle name="Calc Cells" xfId="1322" xr:uid="{00000000-0005-0000-0000-000084150000}"/>
    <cellStyle name="Calc Currency (0)" xfId="1323" xr:uid="{00000000-0005-0000-0000-000085150000}"/>
    <cellStyle name="Calc Currency (0) 2" xfId="1324" xr:uid="{00000000-0005-0000-0000-000086150000}"/>
    <cellStyle name="Calc Currency (2)" xfId="1325" xr:uid="{00000000-0005-0000-0000-000087150000}"/>
    <cellStyle name="Calc Percent (0)" xfId="1326" xr:uid="{00000000-0005-0000-0000-000088150000}"/>
    <cellStyle name="Calc Percent (1)" xfId="1327" xr:uid="{00000000-0005-0000-0000-000089150000}"/>
    <cellStyle name="Calc Percent (2)" xfId="1328" xr:uid="{00000000-0005-0000-0000-00008A150000}"/>
    <cellStyle name="Calc Units (0)" xfId="1329" xr:uid="{00000000-0005-0000-0000-00008B150000}"/>
    <cellStyle name="Calc Units (1)" xfId="1330" xr:uid="{00000000-0005-0000-0000-00008C150000}"/>
    <cellStyle name="Calc Units (2)" xfId="1331" xr:uid="{00000000-0005-0000-0000-00008D150000}"/>
    <cellStyle name="Calculation 2" xfId="1332" xr:uid="{00000000-0005-0000-0000-00008E150000}"/>
    <cellStyle name="Calculation 2 2" xfId="1333" xr:uid="{00000000-0005-0000-0000-00008F150000}"/>
    <cellStyle name="Case" xfId="2869" xr:uid="{00000000-0005-0000-0000-000090150000}"/>
    <cellStyle name="CashFlow" xfId="1334" xr:uid="{00000000-0005-0000-0000-000091150000}"/>
    <cellStyle name="CashFlow 2" xfId="1335" xr:uid="{00000000-0005-0000-0000-000092150000}"/>
    <cellStyle name="CashFlow 3" xfId="1336" xr:uid="{00000000-0005-0000-0000-000093150000}"/>
    <cellStyle name="Check" xfId="1337" xr:uid="{00000000-0005-0000-0000-000094150000}"/>
    <cellStyle name="Check Cell 2" xfId="1338" xr:uid="{00000000-0005-0000-0000-000095150000}"/>
    <cellStyle name="Check Cell 2 2" xfId="1339" xr:uid="{00000000-0005-0000-0000-000096150000}"/>
    <cellStyle name="Co. Names" xfId="1340" xr:uid="{00000000-0005-0000-0000-000097150000}"/>
    <cellStyle name="Co. Names - Bold" xfId="1341" xr:uid="{00000000-0005-0000-0000-000098150000}"/>
    <cellStyle name="Co. Names_Blend" xfId="2870" xr:uid="{00000000-0005-0000-0000-000099150000}"/>
    <cellStyle name="Code" xfId="1342" xr:uid="{00000000-0005-0000-0000-00009A150000}"/>
    <cellStyle name="Code Section" xfId="1343" xr:uid="{00000000-0005-0000-0000-00009B150000}"/>
    <cellStyle name="Col Head" xfId="2871" xr:uid="{00000000-0005-0000-0000-00009C150000}"/>
    <cellStyle name="Comma" xfId="1344" builtinId="3"/>
    <cellStyle name="Comma  - Style1" xfId="1345" xr:uid="{00000000-0005-0000-0000-00009E150000}"/>
    <cellStyle name="Comma  - Style2" xfId="1346" xr:uid="{00000000-0005-0000-0000-00009F150000}"/>
    <cellStyle name="Comma  - Style3" xfId="1347" xr:uid="{00000000-0005-0000-0000-0000A0150000}"/>
    <cellStyle name="Comma  - Style4" xfId="1348" xr:uid="{00000000-0005-0000-0000-0000A1150000}"/>
    <cellStyle name="Comma  - Style5" xfId="1349" xr:uid="{00000000-0005-0000-0000-0000A2150000}"/>
    <cellStyle name="Comma  - Style6" xfId="1350" xr:uid="{00000000-0005-0000-0000-0000A3150000}"/>
    <cellStyle name="Comma  - Style7" xfId="1351" xr:uid="{00000000-0005-0000-0000-0000A4150000}"/>
    <cellStyle name="Comma  - Style8" xfId="1352" xr:uid="{00000000-0005-0000-0000-0000A5150000}"/>
    <cellStyle name="comma (1)" xfId="1353" xr:uid="{00000000-0005-0000-0000-0000A6150000}"/>
    <cellStyle name="comma (1) 2" xfId="1354" xr:uid="{00000000-0005-0000-0000-0000A7150000}"/>
    <cellStyle name="comma (1) 3" xfId="1355" xr:uid="{00000000-0005-0000-0000-0000A8150000}"/>
    <cellStyle name="comma (1)_PNR working 21" xfId="1356" xr:uid="{00000000-0005-0000-0000-0000A9150000}"/>
    <cellStyle name="Comma [_x0001_]_SHEET" xfId="1357" xr:uid="{00000000-0005-0000-0000-0000AA150000}"/>
    <cellStyle name="Comma [00]" xfId="1358" xr:uid="{00000000-0005-0000-0000-0000AB150000}"/>
    <cellStyle name="Comma [1]" xfId="1359" xr:uid="{00000000-0005-0000-0000-0000AC150000}"/>
    <cellStyle name="Comma 0" xfId="1360" xr:uid="{00000000-0005-0000-0000-0000AD150000}"/>
    <cellStyle name="Comma 0 2" xfId="1361" xr:uid="{00000000-0005-0000-0000-0000AE150000}"/>
    <cellStyle name="Comma 0 3" xfId="1362" xr:uid="{00000000-0005-0000-0000-0000AF150000}"/>
    <cellStyle name="Comma 0*" xfId="1363" xr:uid="{00000000-0005-0000-0000-0000B0150000}"/>
    <cellStyle name="Comma 0* 2" xfId="1364" xr:uid="{00000000-0005-0000-0000-0000B1150000}"/>
    <cellStyle name="Comma 0_ACCC" xfId="1365" xr:uid="{00000000-0005-0000-0000-0000B2150000}"/>
    <cellStyle name="Comma 1" xfId="1366" xr:uid="{00000000-0005-0000-0000-0000B3150000}"/>
    <cellStyle name="Comma 1 2" xfId="1367" xr:uid="{00000000-0005-0000-0000-0000B4150000}"/>
    <cellStyle name="Comma 10" xfId="1368" xr:uid="{00000000-0005-0000-0000-0000B5150000}"/>
    <cellStyle name="Comma 11" xfId="1369" xr:uid="{00000000-0005-0000-0000-0000B6150000}"/>
    <cellStyle name="Comma 12" xfId="1370" xr:uid="{00000000-0005-0000-0000-0000B7150000}"/>
    <cellStyle name="Comma 13" xfId="1371" xr:uid="{00000000-0005-0000-0000-0000B8150000}"/>
    <cellStyle name="Comma 14" xfId="1372" xr:uid="{00000000-0005-0000-0000-0000B9150000}"/>
    <cellStyle name="Comma 15" xfId="1373" xr:uid="{00000000-0005-0000-0000-0000BA150000}"/>
    <cellStyle name="Comma 16" xfId="1374" xr:uid="{00000000-0005-0000-0000-0000BB150000}"/>
    <cellStyle name="Comma 17" xfId="1375" xr:uid="{00000000-0005-0000-0000-0000BC150000}"/>
    <cellStyle name="Comma 18" xfId="1376" xr:uid="{00000000-0005-0000-0000-0000BD150000}"/>
    <cellStyle name="Comma 19" xfId="3029" xr:uid="{00000000-0005-0000-0000-0000BE150000}"/>
    <cellStyle name="Comma 2" xfId="1377" xr:uid="{00000000-0005-0000-0000-0000BF150000}"/>
    <cellStyle name="Comma 2 2" xfId="1378" xr:uid="{00000000-0005-0000-0000-0000C0150000}"/>
    <cellStyle name="Comma 2 3" xfId="1379" xr:uid="{00000000-0005-0000-0000-0000C1150000}"/>
    <cellStyle name="Comma 2 4" xfId="2932" xr:uid="{00000000-0005-0000-0000-0000C2150000}"/>
    <cellStyle name="Comma 2 5" xfId="3100" xr:uid="{00000000-0005-0000-0000-0000C3150000}"/>
    <cellStyle name="Comma 20" xfId="3140" xr:uid="{00000000-0005-0000-0000-0000C4150000}"/>
    <cellStyle name="Comma 21" xfId="7083" xr:uid="{00000000-0005-0000-0000-0000C5150000}"/>
    <cellStyle name="Comma 3" xfId="1380" xr:uid="{00000000-0005-0000-0000-0000C6150000}"/>
    <cellStyle name="Comma 3 2" xfId="1381" xr:uid="{00000000-0005-0000-0000-0000C7150000}"/>
    <cellStyle name="Comma 3 3" xfId="2933" xr:uid="{00000000-0005-0000-0000-0000C8150000}"/>
    <cellStyle name="Comma 4" xfId="1382" xr:uid="{00000000-0005-0000-0000-0000C9150000}"/>
    <cellStyle name="Comma 4 2" xfId="1383" xr:uid="{00000000-0005-0000-0000-0000CA150000}"/>
    <cellStyle name="Comma 5" xfId="1384" xr:uid="{00000000-0005-0000-0000-0000CB150000}"/>
    <cellStyle name="Comma 5 2" xfId="2935" xr:uid="{00000000-0005-0000-0000-0000CC150000}"/>
    <cellStyle name="Comma 6" xfId="1385" xr:uid="{00000000-0005-0000-0000-0000CD150000}"/>
    <cellStyle name="Comma 7" xfId="1386" xr:uid="{00000000-0005-0000-0000-0000CE150000}"/>
    <cellStyle name="Comma 8" xfId="1387" xr:uid="{00000000-0005-0000-0000-0000CF150000}"/>
    <cellStyle name="Comma 9" xfId="1388" xr:uid="{00000000-0005-0000-0000-0000D0150000}"/>
    <cellStyle name="Comma(0)" xfId="1389" xr:uid="{00000000-0005-0000-0000-0000D1150000}"/>
    <cellStyle name="Comma(0) 2" xfId="1390" xr:uid="{00000000-0005-0000-0000-0000D2150000}"/>
    <cellStyle name="Comma(1)" xfId="1391" xr:uid="{00000000-0005-0000-0000-0000D3150000}"/>
    <cellStyle name="Comma(1) 2" xfId="1392" xr:uid="{00000000-0005-0000-0000-0000D4150000}"/>
    <cellStyle name="comma(2)" xfId="1393" xr:uid="{00000000-0005-0000-0000-0000D5150000}"/>
    <cellStyle name="comma(2) 2" xfId="1394" xr:uid="{00000000-0005-0000-0000-0000D6150000}"/>
    <cellStyle name="Comma(3)" xfId="1395" xr:uid="{00000000-0005-0000-0000-0000D7150000}"/>
    <cellStyle name="Comma(3) 2" xfId="1396" xr:uid="{00000000-0005-0000-0000-0000D8150000}"/>
    <cellStyle name="Comma(3) 2 2" xfId="1397" xr:uid="{00000000-0005-0000-0000-0000D9150000}"/>
    <cellStyle name="Comma(3) 3" xfId="1398" xr:uid="{00000000-0005-0000-0000-0000DA150000}"/>
    <cellStyle name="Comma0" xfId="1399" xr:uid="{00000000-0005-0000-0000-0000DB150000}"/>
    <cellStyle name="Comma0 2" xfId="3080" xr:uid="{00000000-0005-0000-0000-0000DC150000}"/>
    <cellStyle name="Company name" xfId="1400" xr:uid="{00000000-0005-0000-0000-0000DD150000}"/>
    <cellStyle name="CompanyTitle" xfId="2872" xr:uid="{00000000-0005-0000-0000-0000DE150000}"/>
    <cellStyle name="Copied" xfId="1401" xr:uid="{00000000-0005-0000-0000-0000DF150000}"/>
    <cellStyle name="Copied 2" xfId="1402" xr:uid="{00000000-0005-0000-0000-0000E0150000}"/>
    <cellStyle name="Cover Date" xfId="1403" xr:uid="{00000000-0005-0000-0000-0000E1150000}"/>
    <cellStyle name="Cover Subtitle" xfId="1404" xr:uid="{00000000-0005-0000-0000-0000E2150000}"/>
    <cellStyle name="Cover Title" xfId="1405" xr:uid="{00000000-0005-0000-0000-0000E3150000}"/>
    <cellStyle name="Currency (3)" xfId="1406" xr:uid="{00000000-0005-0000-0000-0000E5150000}"/>
    <cellStyle name="Currency (3) 2" xfId="1407" xr:uid="{00000000-0005-0000-0000-0000E6150000}"/>
    <cellStyle name="Currency [00]" xfId="1408" xr:uid="{00000000-0005-0000-0000-0000E7150000}"/>
    <cellStyle name="Currency [2]" xfId="1409" xr:uid="{00000000-0005-0000-0000-0000E8150000}"/>
    <cellStyle name="Currency [2] 2" xfId="3081" xr:uid="{00000000-0005-0000-0000-0000E9150000}"/>
    <cellStyle name="Currency 0" xfId="1410" xr:uid="{00000000-0005-0000-0000-0000EA150000}"/>
    <cellStyle name="Currency 0 2" xfId="1411" xr:uid="{00000000-0005-0000-0000-0000EB150000}"/>
    <cellStyle name="Currency 0 3" xfId="1412" xr:uid="{00000000-0005-0000-0000-0000EC150000}"/>
    <cellStyle name="Currency 1" xfId="1413" xr:uid="{00000000-0005-0000-0000-0000ED150000}"/>
    <cellStyle name="Currency 1 2" xfId="1414" xr:uid="{00000000-0005-0000-0000-0000EE150000}"/>
    <cellStyle name="Currency 10" xfId="1415" xr:uid="{00000000-0005-0000-0000-0000EF150000}"/>
    <cellStyle name="Currency 11" xfId="1416" xr:uid="{00000000-0005-0000-0000-0000F0150000}"/>
    <cellStyle name="Currency 12" xfId="1417" xr:uid="{00000000-0005-0000-0000-0000F1150000}"/>
    <cellStyle name="Currency 13" xfId="1418" xr:uid="{00000000-0005-0000-0000-0000F2150000}"/>
    <cellStyle name="Currency 14" xfId="1419" xr:uid="{00000000-0005-0000-0000-0000F3150000}"/>
    <cellStyle name="Currency 15" xfId="1420" xr:uid="{00000000-0005-0000-0000-0000F4150000}"/>
    <cellStyle name="Currency 16" xfId="1421" xr:uid="{00000000-0005-0000-0000-0000F5150000}"/>
    <cellStyle name="Currency 17" xfId="1422" xr:uid="{00000000-0005-0000-0000-0000F6150000}"/>
    <cellStyle name="Currency 18" xfId="1423" xr:uid="{00000000-0005-0000-0000-0000F7150000}"/>
    <cellStyle name="Currency 19" xfId="1424" xr:uid="{00000000-0005-0000-0000-0000F8150000}"/>
    <cellStyle name="Currency 2" xfId="1425" xr:uid="{00000000-0005-0000-0000-0000F9150000}"/>
    <cellStyle name="Currency 2 2" xfId="1426" xr:uid="{00000000-0005-0000-0000-0000FA150000}"/>
    <cellStyle name="Currency 2 4" xfId="7084" xr:uid="{00000000-0005-0000-0000-0000FB150000}"/>
    <cellStyle name="Currency 20" xfId="1427" xr:uid="{00000000-0005-0000-0000-0000FC150000}"/>
    <cellStyle name="Currency 21" xfId="1428" xr:uid="{00000000-0005-0000-0000-0000FD150000}"/>
    <cellStyle name="Currency 22" xfId="1429" xr:uid="{00000000-0005-0000-0000-0000FE150000}"/>
    <cellStyle name="Currency 23" xfId="1430" xr:uid="{00000000-0005-0000-0000-0000FF150000}"/>
    <cellStyle name="Currency 24" xfId="1431" xr:uid="{00000000-0005-0000-0000-000000160000}"/>
    <cellStyle name="Currency 25" xfId="1432" xr:uid="{00000000-0005-0000-0000-000001160000}"/>
    <cellStyle name="Currency 26" xfId="1433" xr:uid="{00000000-0005-0000-0000-000002160000}"/>
    <cellStyle name="Currency 27" xfId="1434" xr:uid="{00000000-0005-0000-0000-000003160000}"/>
    <cellStyle name="Currency 28" xfId="1435" xr:uid="{00000000-0005-0000-0000-000004160000}"/>
    <cellStyle name="Currency 29" xfId="1436" xr:uid="{00000000-0005-0000-0000-000005160000}"/>
    <cellStyle name="Currency 3" xfId="1437" xr:uid="{00000000-0005-0000-0000-000006160000}"/>
    <cellStyle name="Currency 3 2" xfId="1438" xr:uid="{00000000-0005-0000-0000-000007160000}"/>
    <cellStyle name="Currency 30" xfId="1439" xr:uid="{00000000-0005-0000-0000-000008160000}"/>
    <cellStyle name="Currency 31" xfId="1440" xr:uid="{00000000-0005-0000-0000-000009160000}"/>
    <cellStyle name="Currency 32" xfId="1441" xr:uid="{00000000-0005-0000-0000-00000A160000}"/>
    <cellStyle name="Currency 33" xfId="1442" xr:uid="{00000000-0005-0000-0000-00000B160000}"/>
    <cellStyle name="Currency 34" xfId="1443" xr:uid="{00000000-0005-0000-0000-00000C160000}"/>
    <cellStyle name="Currency 35" xfId="1444" xr:uid="{00000000-0005-0000-0000-00000D160000}"/>
    <cellStyle name="Currency 36" xfId="1445" xr:uid="{00000000-0005-0000-0000-00000E160000}"/>
    <cellStyle name="Currency 37" xfId="1446" xr:uid="{00000000-0005-0000-0000-00000F160000}"/>
    <cellStyle name="Currency 38" xfId="1447" xr:uid="{00000000-0005-0000-0000-000010160000}"/>
    <cellStyle name="Currency 39" xfId="1448" xr:uid="{00000000-0005-0000-0000-000011160000}"/>
    <cellStyle name="Currency 4" xfId="1449" xr:uid="{00000000-0005-0000-0000-000012160000}"/>
    <cellStyle name="Currency 4 2" xfId="1450" xr:uid="{00000000-0005-0000-0000-000013160000}"/>
    <cellStyle name="Currency 40" xfId="1451" xr:uid="{00000000-0005-0000-0000-000014160000}"/>
    <cellStyle name="Currency 41" xfId="1452" xr:uid="{00000000-0005-0000-0000-000015160000}"/>
    <cellStyle name="Currency 42" xfId="1453" xr:uid="{00000000-0005-0000-0000-000016160000}"/>
    <cellStyle name="Currency 43" xfId="1454" xr:uid="{00000000-0005-0000-0000-000017160000}"/>
    <cellStyle name="Currency 44" xfId="1455" xr:uid="{00000000-0005-0000-0000-000018160000}"/>
    <cellStyle name="Currency 45" xfId="1456" xr:uid="{00000000-0005-0000-0000-000019160000}"/>
    <cellStyle name="Currency 46" xfId="1457" xr:uid="{00000000-0005-0000-0000-00001A160000}"/>
    <cellStyle name="Currency 47" xfId="3139" xr:uid="{00000000-0005-0000-0000-00001B160000}"/>
    <cellStyle name="Currency 48" xfId="7086" xr:uid="{00000000-0005-0000-0000-00001C160000}"/>
    <cellStyle name="Currency 5" xfId="1458" xr:uid="{00000000-0005-0000-0000-00001D160000}"/>
    <cellStyle name="Currency 6" xfId="1459" xr:uid="{00000000-0005-0000-0000-00001E160000}"/>
    <cellStyle name="Currency 7" xfId="1460" xr:uid="{00000000-0005-0000-0000-00001F160000}"/>
    <cellStyle name="Currency 8" xfId="1461" xr:uid="{00000000-0005-0000-0000-000020160000}"/>
    <cellStyle name="Currency 9" xfId="1462" xr:uid="{00000000-0005-0000-0000-000021160000}"/>
    <cellStyle name="currency(0)" xfId="1463" xr:uid="{00000000-0005-0000-0000-000022160000}"/>
    <cellStyle name="currency(0) 2" xfId="1464" xr:uid="{00000000-0005-0000-0000-000023160000}"/>
    <cellStyle name="Currency(1)" xfId="1465" xr:uid="{00000000-0005-0000-0000-000024160000}"/>
    <cellStyle name="Currency(1) 2" xfId="1466" xr:uid="{00000000-0005-0000-0000-000025160000}"/>
    <cellStyle name="Currency(2)" xfId="1467" xr:uid="{00000000-0005-0000-0000-000026160000}"/>
    <cellStyle name="Currency(2) 2" xfId="1468" xr:uid="{00000000-0005-0000-0000-000027160000}"/>
    <cellStyle name="Currency(2) 2 2" xfId="1469" xr:uid="{00000000-0005-0000-0000-000028160000}"/>
    <cellStyle name="Currency(2) 3" xfId="1470" xr:uid="{00000000-0005-0000-0000-000029160000}"/>
    <cellStyle name="Currency0" xfId="1471" xr:uid="{00000000-0005-0000-0000-00002A160000}"/>
    <cellStyle name="Currency0 2" xfId="1472" xr:uid="{00000000-0005-0000-0000-00002B160000}"/>
    <cellStyle name="Currency0 3" xfId="3082" xr:uid="{00000000-0005-0000-0000-00002C160000}"/>
    <cellStyle name="Currency2" xfId="1473" xr:uid="{00000000-0005-0000-0000-00002D160000}"/>
    <cellStyle name="Currency2 2" xfId="1474" xr:uid="{00000000-0005-0000-0000-00002E160000}"/>
    <cellStyle name="custom" xfId="1475" xr:uid="{00000000-0005-0000-0000-00002F160000}"/>
    <cellStyle name="custom 2" xfId="1476" xr:uid="{00000000-0005-0000-0000-000030160000}"/>
    <cellStyle name="d_yield" xfId="1477" xr:uid="{00000000-0005-0000-0000-000031160000}"/>
    <cellStyle name="data" xfId="1478" xr:uid="{00000000-0005-0000-0000-000032160000}"/>
    <cellStyle name="Date" xfId="1479" xr:uid="{00000000-0005-0000-0000-000033160000}"/>
    <cellStyle name="Date [mmm-yy]" xfId="1480" xr:uid="{00000000-0005-0000-0000-000034160000}"/>
    <cellStyle name="Date [mmm-yy] 2" xfId="1481" xr:uid="{00000000-0005-0000-0000-000035160000}"/>
    <cellStyle name="Date [mmm-yy]_PNR working 21" xfId="1482" xr:uid="{00000000-0005-0000-0000-000036160000}"/>
    <cellStyle name="Date 10" xfId="1483" xr:uid="{00000000-0005-0000-0000-000037160000}"/>
    <cellStyle name="Date 11" xfId="1484" xr:uid="{00000000-0005-0000-0000-000038160000}"/>
    <cellStyle name="Date 12" xfId="1485" xr:uid="{00000000-0005-0000-0000-000039160000}"/>
    <cellStyle name="Date 13" xfId="2936" xr:uid="{00000000-0005-0000-0000-00003A160000}"/>
    <cellStyle name="Date 14" xfId="2970" xr:uid="{00000000-0005-0000-0000-00003B160000}"/>
    <cellStyle name="Date 15" xfId="2969" xr:uid="{00000000-0005-0000-0000-00003C160000}"/>
    <cellStyle name="Date 16" xfId="2999" xr:uid="{00000000-0005-0000-0000-00003D160000}"/>
    <cellStyle name="Date 17" xfId="2997" xr:uid="{00000000-0005-0000-0000-00003E160000}"/>
    <cellStyle name="Date 18" xfId="2998" xr:uid="{00000000-0005-0000-0000-00003F160000}"/>
    <cellStyle name="Date 19" xfId="2996" xr:uid="{00000000-0005-0000-0000-000040160000}"/>
    <cellStyle name="Date 2" xfId="1486" xr:uid="{00000000-0005-0000-0000-000041160000}"/>
    <cellStyle name="date 20" xfId="3083" xr:uid="{00000000-0005-0000-0000-000042160000}"/>
    <cellStyle name="Date 3" xfId="1487" xr:uid="{00000000-0005-0000-0000-000043160000}"/>
    <cellStyle name="Date 4" xfId="1488" xr:uid="{00000000-0005-0000-0000-000044160000}"/>
    <cellStyle name="Date 5" xfId="1489" xr:uid="{00000000-0005-0000-0000-000045160000}"/>
    <cellStyle name="Date 6" xfId="1490" xr:uid="{00000000-0005-0000-0000-000046160000}"/>
    <cellStyle name="Date 7" xfId="1491" xr:uid="{00000000-0005-0000-0000-000047160000}"/>
    <cellStyle name="Date 8" xfId="1492" xr:uid="{00000000-0005-0000-0000-000048160000}"/>
    <cellStyle name="Date 9" xfId="1493" xr:uid="{00000000-0005-0000-0000-000049160000}"/>
    <cellStyle name="Date Aligned" xfId="1494" xr:uid="{00000000-0005-0000-0000-00004A160000}"/>
    <cellStyle name="Date Aligned 2" xfId="1495" xr:uid="{00000000-0005-0000-0000-00004B160000}"/>
    <cellStyle name="Date Aligned 3" xfId="1496" xr:uid="{00000000-0005-0000-0000-00004C160000}"/>
    <cellStyle name="Date Short" xfId="1497" xr:uid="{00000000-0005-0000-0000-00004D160000}"/>
    <cellStyle name="Date_AG-working 107" xfId="1498" xr:uid="{00000000-0005-0000-0000-00004E160000}"/>
    <cellStyle name="Dates" xfId="1499" xr:uid="{00000000-0005-0000-0000-00004F160000}"/>
    <cellStyle name="Dates 2" xfId="1500" xr:uid="{00000000-0005-0000-0000-000050160000}"/>
    <cellStyle name="DateYear" xfId="1501" xr:uid="{00000000-0005-0000-0000-000051160000}"/>
    <cellStyle name="DateYear 2" xfId="1502" xr:uid="{00000000-0005-0000-0000-000052160000}"/>
    <cellStyle name="DateYear 3" xfId="1503" xr:uid="{00000000-0005-0000-0000-000053160000}"/>
    <cellStyle name="days" xfId="1504" xr:uid="{00000000-0005-0000-0000-000054160000}"/>
    <cellStyle name="days 2" xfId="1505" xr:uid="{00000000-0005-0000-0000-000055160000}"/>
    <cellStyle name="Dec_0" xfId="1506" xr:uid="{00000000-0005-0000-0000-000056160000}"/>
    <cellStyle name="default" xfId="2873" xr:uid="{00000000-0005-0000-0000-000057160000}"/>
    <cellStyle name="Derive" xfId="1507" xr:uid="{00000000-0005-0000-0000-000058160000}"/>
    <cellStyle name="Detail ligne" xfId="1508" xr:uid="{00000000-0005-0000-0000-000059160000}"/>
    <cellStyle name="Dollar" xfId="1509" xr:uid="{00000000-0005-0000-0000-00005A160000}"/>
    <cellStyle name="Dollar 2" xfId="1510" xr:uid="{00000000-0005-0000-0000-00005B160000}"/>
    <cellStyle name="Dollar 2 2" xfId="2938" xr:uid="{00000000-0005-0000-0000-00005C160000}"/>
    <cellStyle name="Dollar 3" xfId="1511" xr:uid="{00000000-0005-0000-0000-00005D160000}"/>
    <cellStyle name="Dollar 3 2" xfId="2939" xr:uid="{00000000-0005-0000-0000-00005E160000}"/>
    <cellStyle name="Dollar 4" xfId="2940" xr:uid="{00000000-0005-0000-0000-00005F160000}"/>
    <cellStyle name="Dollar 5" xfId="2937" xr:uid="{00000000-0005-0000-0000-000060160000}"/>
    <cellStyle name="Dollars" xfId="1512" xr:uid="{00000000-0005-0000-0000-000061160000}"/>
    <cellStyle name="Dollars 2" xfId="1513" xr:uid="{00000000-0005-0000-0000-000062160000}"/>
    <cellStyle name="DollarWhole" xfId="1514" xr:uid="{00000000-0005-0000-0000-000063160000}"/>
    <cellStyle name="DollarWhole 2" xfId="1515" xr:uid="{00000000-0005-0000-0000-000064160000}"/>
    <cellStyle name="Dotted Line" xfId="1516" xr:uid="{00000000-0005-0000-0000-000065160000}"/>
    <cellStyle name="Dotted Line 2" xfId="1517" xr:uid="{00000000-0005-0000-0000-000066160000}"/>
    <cellStyle name="Dotted Line 3" xfId="1518" xr:uid="{00000000-0005-0000-0000-000067160000}"/>
    <cellStyle name="Duizenden" xfId="1519" xr:uid="{00000000-0005-0000-0000-000068160000}"/>
    <cellStyle name="Duizenden 2" xfId="1520" xr:uid="{00000000-0005-0000-0000-000069160000}"/>
    <cellStyle name="Duizenden_PNR working 21" xfId="1521" xr:uid="{00000000-0005-0000-0000-00006A160000}"/>
    <cellStyle name="E" xfId="1522" xr:uid="{00000000-0005-0000-0000-00006B160000}"/>
    <cellStyle name="E 2" xfId="1523" xr:uid="{00000000-0005-0000-0000-00006C160000}"/>
    <cellStyle name="E 2 2" xfId="1524" xr:uid="{00000000-0005-0000-0000-00006D160000}"/>
    <cellStyle name="E 3" xfId="1525" xr:uid="{00000000-0005-0000-0000-00006E160000}"/>
    <cellStyle name="E_AG" xfId="1526" xr:uid="{00000000-0005-0000-0000-00006F160000}"/>
    <cellStyle name="E_AG 2" xfId="1527" xr:uid="{00000000-0005-0000-0000-000070160000}"/>
    <cellStyle name="E_CNH" xfId="1528" xr:uid="{00000000-0005-0000-0000-000071160000}"/>
    <cellStyle name="E_CNH 2" xfId="1529" xr:uid="{00000000-0005-0000-0000-000072160000}"/>
    <cellStyle name="E_DOV" xfId="1530" xr:uid="{00000000-0005-0000-0000-000073160000}"/>
    <cellStyle name="E_DOV 2" xfId="1531" xr:uid="{00000000-0005-0000-0000-000074160000}"/>
    <cellStyle name="E_ETN" xfId="1532" xr:uid="{00000000-0005-0000-0000-000075160000}"/>
    <cellStyle name="E_ETN 2" xfId="1533" xr:uid="{00000000-0005-0000-0000-000076160000}"/>
    <cellStyle name="E_Hist Summary" xfId="1534" xr:uid="{00000000-0005-0000-0000-000077160000}"/>
    <cellStyle name="E_Hist Summary 2" xfId="1535" xr:uid="{00000000-0005-0000-0000-000078160000}"/>
    <cellStyle name="E_JOYG" xfId="1536" xr:uid="{00000000-0005-0000-0000-000079160000}"/>
    <cellStyle name="E_JOYG 2" xfId="1537" xr:uid="{00000000-0005-0000-0000-00007A160000}"/>
    <cellStyle name="E_Machinery group valuation" xfId="1538" xr:uid="{00000000-0005-0000-0000-00007B160000}"/>
    <cellStyle name="E_Machinery group valuation 2" xfId="1539" xr:uid="{00000000-0005-0000-0000-00007C160000}"/>
    <cellStyle name="E_MLM" xfId="1540" xr:uid="{00000000-0005-0000-0000-00007D160000}"/>
    <cellStyle name="E_MLM 2" xfId="1541" xr:uid="{00000000-0005-0000-0000-00007E160000}"/>
    <cellStyle name="E_NAV" xfId="1542" xr:uid="{00000000-0005-0000-0000-00007F160000}"/>
    <cellStyle name="E_NAV 2" xfId="1543" xr:uid="{00000000-0005-0000-0000-000080160000}"/>
    <cellStyle name="E_OSK" xfId="1544" xr:uid="{00000000-0005-0000-0000-000081160000}"/>
    <cellStyle name="E_OSK 2" xfId="1545" xr:uid="{00000000-0005-0000-0000-000082160000}"/>
    <cellStyle name="E_PCAR" xfId="1546" xr:uid="{00000000-0005-0000-0000-000083160000}"/>
    <cellStyle name="E_PCAR 2" xfId="1547" xr:uid="{00000000-0005-0000-0000-000084160000}"/>
    <cellStyle name="E_PH" xfId="1548" xr:uid="{00000000-0005-0000-0000-000085160000}"/>
    <cellStyle name="E_PH 2" xfId="1549" xr:uid="{00000000-0005-0000-0000-000086160000}"/>
    <cellStyle name="emp" xfId="2874" xr:uid="{00000000-0005-0000-0000-000087160000}"/>
    <cellStyle name="Enter Currency (0)" xfId="1550" xr:uid="{00000000-0005-0000-0000-000088160000}"/>
    <cellStyle name="Enter Currency (2)" xfId="1551" xr:uid="{00000000-0005-0000-0000-000089160000}"/>
    <cellStyle name="Enter Units (0)" xfId="1552" xr:uid="{00000000-0005-0000-0000-00008A160000}"/>
    <cellStyle name="Enter Units (1)" xfId="1553" xr:uid="{00000000-0005-0000-0000-00008B160000}"/>
    <cellStyle name="Enter Units (2)" xfId="1554" xr:uid="{00000000-0005-0000-0000-00008C160000}"/>
    <cellStyle name="Entered" xfId="1555" xr:uid="{00000000-0005-0000-0000-00008D160000}"/>
    <cellStyle name="Entered 2" xfId="1556" xr:uid="{00000000-0005-0000-0000-00008E160000}"/>
    <cellStyle name="Entries" xfId="1557" xr:uid="{00000000-0005-0000-0000-00008F160000}"/>
    <cellStyle name="Entry" xfId="1558" xr:uid="{00000000-0005-0000-0000-000090160000}"/>
    <cellStyle name="EPS" xfId="1559" xr:uid="{00000000-0005-0000-0000-000091160000}"/>
    <cellStyle name="EPS 2" xfId="1560" xr:uid="{00000000-0005-0000-0000-000092160000}"/>
    <cellStyle name="EPS 2 2" xfId="3030" xr:uid="{00000000-0005-0000-0000-000093160000}"/>
    <cellStyle name="EPS 3" xfId="1561" xr:uid="{00000000-0005-0000-0000-000094160000}"/>
    <cellStyle name="EPS 4" xfId="1562" xr:uid="{00000000-0005-0000-0000-000095160000}"/>
    <cellStyle name="EPS 5" xfId="1563" xr:uid="{00000000-0005-0000-0000-000096160000}"/>
    <cellStyle name="EPS 9" xfId="7016" xr:uid="{00000000-0005-0000-0000-000097160000}"/>
    <cellStyle name="EPS Input" xfId="1564" xr:uid="{00000000-0005-0000-0000-000098160000}"/>
    <cellStyle name="eps$" xfId="1565" xr:uid="{00000000-0005-0000-0000-000099160000}"/>
    <cellStyle name="eps$A" xfId="1566" xr:uid="{00000000-0005-0000-0000-00009A160000}"/>
    <cellStyle name="eps$E" xfId="1567" xr:uid="{00000000-0005-0000-0000-00009B160000}"/>
    <cellStyle name="eps_AOL Model Master" xfId="1568" xr:uid="{00000000-0005-0000-0000-00009C160000}"/>
    <cellStyle name="epsA" xfId="1569" xr:uid="{00000000-0005-0000-0000-00009D160000}"/>
    <cellStyle name="EPSActual" xfId="1570" xr:uid="{00000000-0005-0000-0000-00009E160000}"/>
    <cellStyle name="EPSActual 2" xfId="1571" xr:uid="{00000000-0005-0000-0000-00009F160000}"/>
    <cellStyle name="epsE" xfId="1572" xr:uid="{00000000-0005-0000-0000-0000A0160000}"/>
    <cellStyle name="EPSEstimate" xfId="1573" xr:uid="{00000000-0005-0000-0000-0000A1160000}"/>
    <cellStyle name="EPSEstimate 2" xfId="1574" xr:uid="{00000000-0005-0000-0000-0000A2160000}"/>
    <cellStyle name="Euro" xfId="1575" xr:uid="{00000000-0005-0000-0000-0000A3160000}"/>
    <cellStyle name="Euro 2" xfId="1576" xr:uid="{00000000-0005-0000-0000-0000A4160000}"/>
    <cellStyle name="Euro 3" xfId="1577" xr:uid="{00000000-0005-0000-0000-0000A5160000}"/>
    <cellStyle name="ExchRate" xfId="1578" xr:uid="{00000000-0005-0000-0000-0000A6160000}"/>
    <cellStyle name="ExchRate 2" xfId="1579" xr:uid="{00000000-0005-0000-0000-0000A7160000}"/>
    <cellStyle name="ExchRate 3" xfId="1580" xr:uid="{00000000-0005-0000-0000-0000A8160000}"/>
    <cellStyle name="Explanatory Text 2" xfId="1581" xr:uid="{00000000-0005-0000-0000-0000A9160000}"/>
    <cellStyle name="Explanatory Text 2 2" xfId="1582" xr:uid="{00000000-0005-0000-0000-0000AA160000}"/>
    <cellStyle name="External File Cells" xfId="1583" xr:uid="{00000000-0005-0000-0000-0000AB160000}"/>
    <cellStyle name="External File Cells 2" xfId="1584" xr:uid="{00000000-0005-0000-0000-0000AC160000}"/>
    <cellStyle name="External File Cells 2 2" xfId="1585" xr:uid="{00000000-0005-0000-0000-0000AD160000}"/>
    <cellStyle name="External File Cells 2 3" xfId="2942" xr:uid="{00000000-0005-0000-0000-0000AE160000}"/>
    <cellStyle name="External File Cells 3" xfId="1586" xr:uid="{00000000-0005-0000-0000-0000AF160000}"/>
    <cellStyle name="External File Cells 3 2" xfId="2943" xr:uid="{00000000-0005-0000-0000-0000B0160000}"/>
    <cellStyle name="External File Cells 4" xfId="2944" xr:uid="{00000000-0005-0000-0000-0000B1160000}"/>
    <cellStyle name="External File Cells 5" xfId="2941" xr:uid="{00000000-0005-0000-0000-0000B2160000}"/>
    <cellStyle name="External File Cells 6" xfId="3084" xr:uid="{00000000-0005-0000-0000-0000B3160000}"/>
    <cellStyle name="FF" xfId="1587" xr:uid="{00000000-0005-0000-0000-0000B4160000}"/>
    <cellStyle name="FF 2" xfId="1588" xr:uid="{00000000-0005-0000-0000-0000B5160000}"/>
    <cellStyle name="Financial" xfId="1589" xr:uid="{00000000-0005-0000-0000-0000B6160000}"/>
    <cellStyle name="Financial 2" xfId="1590" xr:uid="{00000000-0005-0000-0000-0000B7160000}"/>
    <cellStyle name="Financial 3" xfId="1591" xr:uid="{00000000-0005-0000-0000-0000B8160000}"/>
    <cellStyle name="Fit" xfId="2875" xr:uid="{00000000-0005-0000-0000-0000B9160000}"/>
    <cellStyle name="Fixed" xfId="1592" xr:uid="{00000000-0005-0000-0000-0000BA160000}"/>
    <cellStyle name="Fixed 2" xfId="1593" xr:uid="{00000000-0005-0000-0000-0000BB160000}"/>
    <cellStyle name="Fixed 3" xfId="3085" xr:uid="{00000000-0005-0000-0000-0000BC160000}"/>
    <cellStyle name="Footer SBILogo1" xfId="1594" xr:uid="{00000000-0005-0000-0000-0000BD160000}"/>
    <cellStyle name="Footer SBILogo2" xfId="1595" xr:uid="{00000000-0005-0000-0000-0000BE160000}"/>
    <cellStyle name="Footnote" xfId="1596" xr:uid="{00000000-0005-0000-0000-0000BF160000}"/>
    <cellStyle name="Footnote Reference" xfId="1597" xr:uid="{00000000-0005-0000-0000-0000C0160000}"/>
    <cellStyle name="Footnote_ACCC" xfId="1598" xr:uid="{00000000-0005-0000-0000-0000C1160000}"/>
    <cellStyle name="Footnotes" xfId="1599" xr:uid="{00000000-0005-0000-0000-0000C2160000}"/>
    <cellStyle name="Forecast Cells" xfId="1600" xr:uid="{00000000-0005-0000-0000-0000C3160000}"/>
    <cellStyle name="fy_eps$" xfId="1601" xr:uid="{00000000-0005-0000-0000-0000C4160000}"/>
    <cellStyle name="g_rate" xfId="1602" xr:uid="{00000000-0005-0000-0000-0000C5160000}"/>
    <cellStyle name="g_rate_AOL_Model_Master" xfId="1603" xr:uid="{00000000-0005-0000-0000-0000C6160000}"/>
    <cellStyle name="G1_1999 figures" xfId="1604" xr:uid="{00000000-0005-0000-0000-0000C7160000}"/>
    <cellStyle name="General" xfId="1605" xr:uid="{00000000-0005-0000-0000-0000C8160000}"/>
    <cellStyle name="General 2" xfId="1606" xr:uid="{00000000-0005-0000-0000-0000C9160000}"/>
    <cellStyle name="General 3" xfId="1607" xr:uid="{00000000-0005-0000-0000-0000CA160000}"/>
    <cellStyle name="General_PNR working 21" xfId="1608" xr:uid="{00000000-0005-0000-0000-0000CB160000}"/>
    <cellStyle name="GIRExhibit-Bold" xfId="2946" xr:uid="{00000000-0005-0000-0000-0000CC160000}"/>
    <cellStyle name="Good 2" xfId="1609" xr:uid="{00000000-0005-0000-0000-0000CD160000}"/>
    <cellStyle name="Good 2 2" xfId="1610" xr:uid="{00000000-0005-0000-0000-0000CE160000}"/>
    <cellStyle name="Grey" xfId="1611" xr:uid="{00000000-0005-0000-0000-0000CF160000}"/>
    <cellStyle name="Grey 2" xfId="1612" xr:uid="{00000000-0005-0000-0000-0000D0160000}"/>
    <cellStyle name="Grey_PNR working 21" xfId="1613" xr:uid="{00000000-0005-0000-0000-0000D1160000}"/>
    <cellStyle name="GrowthRate" xfId="1614" xr:uid="{00000000-0005-0000-0000-0000D2160000}"/>
    <cellStyle name="GrowthRate 2" xfId="1615" xr:uid="{00000000-0005-0000-0000-0000D3160000}"/>
    <cellStyle name="GrowthSeq" xfId="1616" xr:uid="{00000000-0005-0000-0000-0000D4160000}"/>
    <cellStyle name="GrowthSeq 2" xfId="1617" xr:uid="{00000000-0005-0000-0000-0000D5160000}"/>
    <cellStyle name="H_1998_col_head" xfId="1618" xr:uid="{00000000-0005-0000-0000-0000D6160000}"/>
    <cellStyle name="H_1998_col_head_BHI" xfId="1619" xr:uid="{00000000-0005-0000-0000-0000D7160000}"/>
    <cellStyle name="H_1998_col_head_BHI 2" xfId="1620" xr:uid="{00000000-0005-0000-0000-0000D8160000}"/>
    <cellStyle name="H_1998_col_head_BHI_IR-working 238" xfId="1621" xr:uid="{00000000-0005-0000-0000-0000D9160000}"/>
    <cellStyle name="H_1998_col_head_BHI_MMM working 31" xfId="1622" xr:uid="{00000000-0005-0000-0000-0000DA160000}"/>
    <cellStyle name="H_1998_col_head_BHI_MMM working 32" xfId="1623" xr:uid="{00000000-0005-0000-0000-0000DB160000}"/>
    <cellStyle name="H_1998_col_head_BHI_PNR working 21" xfId="1624" xr:uid="{00000000-0005-0000-0000-0000DC160000}"/>
    <cellStyle name="H_1998_col_head_BHI_UTX working 32" xfId="1625" xr:uid="{00000000-0005-0000-0000-0000DD160000}"/>
    <cellStyle name="H_1998_col_head_BHI_working7" xfId="1626" xr:uid="{00000000-0005-0000-0000-0000DE160000}"/>
    <cellStyle name="H_1998_col_head_BHI_working7_IR nxp 238" xfId="1627" xr:uid="{00000000-0005-0000-0000-0000DF160000}"/>
    <cellStyle name="H_1998_col_head_BHI_working7_MMM nxp 33" xfId="1628" xr:uid="{00000000-0005-0000-0000-0000E0160000}"/>
    <cellStyle name="H_1998_col_head_BHI-M-07132004-IH" xfId="1629" xr:uid="{00000000-0005-0000-0000-0000E1160000}"/>
    <cellStyle name="H_1998_col_head_BHI-M-07132004-IH_IR nxp 238" xfId="1630" xr:uid="{00000000-0005-0000-0000-0000E2160000}"/>
    <cellStyle name="H_1998_col_head_BHI-M-07132004-IH_MMM nxp 33" xfId="1631" xr:uid="{00000000-0005-0000-0000-0000E3160000}"/>
    <cellStyle name="H_1998_col_head_BJS" xfId="1632" xr:uid="{00000000-0005-0000-0000-0000E4160000}"/>
    <cellStyle name="H_1998_col_head_BJS 2" xfId="1633" xr:uid="{00000000-0005-0000-0000-0000E5160000}"/>
    <cellStyle name="H_1998_col_head_BJS_IR-working 238" xfId="1634" xr:uid="{00000000-0005-0000-0000-0000E6160000}"/>
    <cellStyle name="H_1998_col_head_BJS_MMM working 31" xfId="1635" xr:uid="{00000000-0005-0000-0000-0000E7160000}"/>
    <cellStyle name="H_1998_col_head_BJS_MMM working 32" xfId="1636" xr:uid="{00000000-0005-0000-0000-0000E8160000}"/>
    <cellStyle name="H_1998_col_head_BJS_PNR working 21" xfId="1637" xr:uid="{00000000-0005-0000-0000-0000E9160000}"/>
    <cellStyle name="H_1998_col_head_BJS_UTX working 32" xfId="1638" xr:uid="{00000000-0005-0000-0000-0000EA160000}"/>
    <cellStyle name="H_1998_col_head_bjs-working9" xfId="1639" xr:uid="{00000000-0005-0000-0000-0000EB160000}"/>
    <cellStyle name="H_1998_col_head_bjs-working9_IR nxp 238" xfId="1640" xr:uid="{00000000-0005-0000-0000-0000EC160000}"/>
    <cellStyle name="H_1998_col_head_bjs-working9_MMM nxp 33" xfId="1641" xr:uid="{00000000-0005-0000-0000-0000ED160000}"/>
    <cellStyle name="H_1998_col_head_CAM-M-07282004-JS" xfId="1642" xr:uid="{00000000-0005-0000-0000-0000EE160000}"/>
    <cellStyle name="H_1998_col_head_CAM-M-07282004-JS_IR nxp 238" xfId="1643" xr:uid="{00000000-0005-0000-0000-0000EF160000}"/>
    <cellStyle name="H_1998_col_head_CAM-M-07282004-JS_MMM nxp 33" xfId="1644" xr:uid="{00000000-0005-0000-0000-0000F0160000}"/>
    <cellStyle name="H_1998_col_head_Completion&amp;Production Systems" xfId="1645" xr:uid="{00000000-0005-0000-0000-0000F1160000}"/>
    <cellStyle name="H_1998_col_head_Completion&amp;Production Systems_IR nxp 238" xfId="1646" xr:uid="{00000000-0005-0000-0000-0000F2160000}"/>
    <cellStyle name="H_1998_col_head_Completion&amp;Production Systems_MMM nxp 33" xfId="1647" xr:uid="{00000000-0005-0000-0000-0000F3160000}"/>
    <cellStyle name="H_1998_col_head_Cooper Cameron Valves" xfId="1648" xr:uid="{00000000-0005-0000-0000-0000F4160000}"/>
    <cellStyle name="H_1998_col_head_Cooper Cameron Valves_IR nxp 238" xfId="1649" xr:uid="{00000000-0005-0000-0000-0000F5160000}"/>
    <cellStyle name="H_1998_col_head_Cooper Cameron Valves_MMM nxp 33" xfId="1650" xr:uid="{00000000-0005-0000-0000-0000F6160000}"/>
    <cellStyle name="H_1998_col_head_DIAMND-PUBLISHED57.2 (b)" xfId="1651" xr:uid="{00000000-0005-0000-0000-0000F7160000}"/>
    <cellStyle name="H_1998_col_head_DIAMND-PUBLISHED57.2 (b)_IR nxp 238" xfId="1652" xr:uid="{00000000-0005-0000-0000-0000F8160000}"/>
    <cellStyle name="H_1998_col_head_DIAMND-PUBLISHED57.2 (b)_MMM nxp 33" xfId="1653" xr:uid="{00000000-0005-0000-0000-0000F9160000}"/>
    <cellStyle name="H_1998_col_head_EVA" xfId="1654" xr:uid="{00000000-0005-0000-0000-0000FA160000}"/>
    <cellStyle name="H_1998_col_head_EVA_IR nxp 238" xfId="1655" xr:uid="{00000000-0005-0000-0000-0000FB160000}"/>
    <cellStyle name="H_1998_col_head_EVA_MMM nxp 33" xfId="1656" xr:uid="{00000000-0005-0000-0000-0000FC160000}"/>
    <cellStyle name="H_1998_col_head_HAL" xfId="1657" xr:uid="{00000000-0005-0000-0000-0000FD160000}"/>
    <cellStyle name="H_1998_col_head_HAL - 7" xfId="1658" xr:uid="{00000000-0005-0000-0000-0000FE160000}"/>
    <cellStyle name="H_1998_col_head_HAL - 7 2" xfId="1659" xr:uid="{00000000-0005-0000-0000-0000FF160000}"/>
    <cellStyle name="H_1998_col_head_HAL - 7_IR-working 238" xfId="1660" xr:uid="{00000000-0005-0000-0000-000000170000}"/>
    <cellStyle name="H_1998_col_head_HAL - 7_MMM working 31" xfId="1661" xr:uid="{00000000-0005-0000-0000-000001170000}"/>
    <cellStyle name="H_1998_col_head_HAL - 7_MMM working 32" xfId="1662" xr:uid="{00000000-0005-0000-0000-000002170000}"/>
    <cellStyle name="H_1998_col_head_HAL - 7_PNR working 21" xfId="1663" xr:uid="{00000000-0005-0000-0000-000003170000}"/>
    <cellStyle name="H_1998_col_head_HAL - 7_UTX working 32" xfId="1664" xr:uid="{00000000-0005-0000-0000-000004170000}"/>
    <cellStyle name="H_1998_col_head_HAL 10" xfId="1665" xr:uid="{00000000-0005-0000-0000-000005170000}"/>
    <cellStyle name="H_1998_col_head_HAL 11" xfId="1666" xr:uid="{00000000-0005-0000-0000-000006170000}"/>
    <cellStyle name="H_1998_col_head_HAL 12" xfId="1667" xr:uid="{00000000-0005-0000-0000-000007170000}"/>
    <cellStyle name="H_1998_col_head_HAL 2" xfId="1668" xr:uid="{00000000-0005-0000-0000-000008170000}"/>
    <cellStyle name="H_1998_col_head_HAL 3" xfId="1669" xr:uid="{00000000-0005-0000-0000-000009170000}"/>
    <cellStyle name="H_1998_col_head_HAL 4" xfId="1670" xr:uid="{00000000-0005-0000-0000-00000A170000}"/>
    <cellStyle name="H_1998_col_head_HAL 5" xfId="1671" xr:uid="{00000000-0005-0000-0000-00000B170000}"/>
    <cellStyle name="H_1998_col_head_HAL 6" xfId="1672" xr:uid="{00000000-0005-0000-0000-00000C170000}"/>
    <cellStyle name="H_1998_col_head_HAL 7" xfId="1673" xr:uid="{00000000-0005-0000-0000-00000D170000}"/>
    <cellStyle name="H_1998_col_head_HAL 8" xfId="1674" xr:uid="{00000000-0005-0000-0000-00000E170000}"/>
    <cellStyle name="H_1998_col_head_HAL 9" xfId="1675" xr:uid="{00000000-0005-0000-0000-00000F170000}"/>
    <cellStyle name="H_1998_col_head_HAL_IR-working 238" xfId="1676" xr:uid="{00000000-0005-0000-0000-000010170000}"/>
    <cellStyle name="H_1998_col_head_HAL_MMM working 31" xfId="1677" xr:uid="{00000000-0005-0000-0000-000011170000}"/>
    <cellStyle name="H_1998_col_head_HAL_MMM working 32" xfId="1678" xr:uid="{00000000-0005-0000-0000-000012170000}"/>
    <cellStyle name="H_1998_col_head_HAL_PNR working 21" xfId="1679" xr:uid="{00000000-0005-0000-0000-000013170000}"/>
    <cellStyle name="H_1998_col_head_HAL_UTX working 32" xfId="1680" xr:uid="{00000000-0005-0000-0000-000014170000}"/>
    <cellStyle name="H_1998_col_head_HAL-M-07282004-IH" xfId="1681" xr:uid="{00000000-0005-0000-0000-000015170000}"/>
    <cellStyle name="H_1998_col_head_HAL-M-07282004-IH_IR nxp 238" xfId="1682" xr:uid="{00000000-0005-0000-0000-000016170000}"/>
    <cellStyle name="H_1998_col_head_HAL-M-07282004-IH_MMM nxp 33" xfId="1683" xr:uid="{00000000-0005-0000-0000-000017170000}"/>
    <cellStyle name="H_1998_col_head_HALY_working13" xfId="1684" xr:uid="{00000000-0005-0000-0000-000018170000}"/>
    <cellStyle name="H_1998_col_head_HALY_working13_IR nxp 238" xfId="1685" xr:uid="{00000000-0005-0000-0000-000019170000}"/>
    <cellStyle name="H_1998_col_head_HALY_working13_MMM nxp 33" xfId="1686" xr:uid="{00000000-0005-0000-0000-00001A170000}"/>
    <cellStyle name="H_1998_col_head_HALY_working15" xfId="1687" xr:uid="{00000000-0005-0000-0000-00001B170000}"/>
    <cellStyle name="H_1998_col_head_HALY_working15_IR nxp 238" xfId="1688" xr:uid="{00000000-0005-0000-0000-00001C170000}"/>
    <cellStyle name="H_1998_col_head_HALY_working15_MMM nxp 33" xfId="1689" xr:uid="{00000000-0005-0000-0000-00001D170000}"/>
    <cellStyle name="H_1998_col_head_IR nxp 238" xfId="1690" xr:uid="{00000000-0005-0000-0000-00001E170000}"/>
    <cellStyle name="H_1998_col_head_IS" xfId="1691" xr:uid="{00000000-0005-0000-0000-00001F170000}"/>
    <cellStyle name="H_1998_col_head_IS - Driver" xfId="1692" xr:uid="{00000000-0005-0000-0000-000020170000}"/>
    <cellStyle name="H_1998_col_head_IS - Driver_IR nxp 238" xfId="1693" xr:uid="{00000000-0005-0000-0000-000021170000}"/>
    <cellStyle name="H_1998_col_head_IS - Driver_MMM nxp 33" xfId="1694" xr:uid="{00000000-0005-0000-0000-000022170000}"/>
    <cellStyle name="H_1998_col_head_IS - Rptd" xfId="1695" xr:uid="{00000000-0005-0000-0000-000023170000}"/>
    <cellStyle name="H_1998_col_head_IS - Rptd_1" xfId="1696" xr:uid="{00000000-0005-0000-0000-000024170000}"/>
    <cellStyle name="H_1998_col_head_IS - Rptd_1 2" xfId="1697" xr:uid="{00000000-0005-0000-0000-000025170000}"/>
    <cellStyle name="H_1998_col_head_IS - Rptd_1_IR-working 238" xfId="1698" xr:uid="{00000000-0005-0000-0000-000026170000}"/>
    <cellStyle name="H_1998_col_head_IS - Rptd_1_MMM working 31" xfId="1699" xr:uid="{00000000-0005-0000-0000-000027170000}"/>
    <cellStyle name="H_1998_col_head_IS - Rptd_1_MMM working 32" xfId="1700" xr:uid="{00000000-0005-0000-0000-000028170000}"/>
    <cellStyle name="H_1998_col_head_IS - Rptd_1_PNR working 21" xfId="1701" xr:uid="{00000000-0005-0000-0000-000029170000}"/>
    <cellStyle name="H_1998_col_head_IS - Rptd_1_UTX working 32" xfId="1702" xr:uid="{00000000-0005-0000-0000-00002A170000}"/>
    <cellStyle name="H_1998_col_head_IS - Rptd_IR nxp 238" xfId="1703" xr:uid="{00000000-0005-0000-0000-00002B170000}"/>
    <cellStyle name="H_1998_col_head_IS - Rptd_MMM nxp 33" xfId="1704" xr:uid="{00000000-0005-0000-0000-00002C170000}"/>
    <cellStyle name="H_1998_col_head_IS 10" xfId="1705" xr:uid="{00000000-0005-0000-0000-00002D170000}"/>
    <cellStyle name="H_1998_col_head_IS 11" xfId="1706" xr:uid="{00000000-0005-0000-0000-00002E170000}"/>
    <cellStyle name="H_1998_col_head_IS 12" xfId="1707" xr:uid="{00000000-0005-0000-0000-00002F170000}"/>
    <cellStyle name="H_1998_col_head_IS 2" xfId="1708" xr:uid="{00000000-0005-0000-0000-000030170000}"/>
    <cellStyle name="H_1998_col_head_IS 3" xfId="1709" xr:uid="{00000000-0005-0000-0000-000031170000}"/>
    <cellStyle name="H_1998_col_head_IS 4" xfId="1710" xr:uid="{00000000-0005-0000-0000-000032170000}"/>
    <cellStyle name="H_1998_col_head_IS 5" xfId="1711" xr:uid="{00000000-0005-0000-0000-000033170000}"/>
    <cellStyle name="H_1998_col_head_IS 6" xfId="1712" xr:uid="{00000000-0005-0000-0000-000034170000}"/>
    <cellStyle name="H_1998_col_head_IS 7" xfId="1713" xr:uid="{00000000-0005-0000-0000-000035170000}"/>
    <cellStyle name="H_1998_col_head_IS 8" xfId="1714" xr:uid="{00000000-0005-0000-0000-000036170000}"/>
    <cellStyle name="H_1998_col_head_IS 9" xfId="1715" xr:uid="{00000000-0005-0000-0000-000037170000}"/>
    <cellStyle name="H_1998_col_head_IS_IR-working 238" xfId="1716" xr:uid="{00000000-0005-0000-0000-000038170000}"/>
    <cellStyle name="H_1998_col_head_IS_MMM working 31" xfId="1717" xr:uid="{00000000-0005-0000-0000-000039170000}"/>
    <cellStyle name="H_1998_col_head_IS_MMM working 32" xfId="1718" xr:uid="{00000000-0005-0000-0000-00003A170000}"/>
    <cellStyle name="H_1998_col_head_IS_PNR working 21" xfId="1719" xr:uid="{00000000-0005-0000-0000-00003B170000}"/>
    <cellStyle name="H_1998_col_head_IS_UTX working 32" xfId="1720" xr:uid="{00000000-0005-0000-0000-00003C170000}"/>
    <cellStyle name="H_1998_col_head_LoneStar-working" xfId="1721" xr:uid="{00000000-0005-0000-0000-00003D170000}"/>
    <cellStyle name="H_1998_col_head_LoneStar-working 4" xfId="1722" xr:uid="{00000000-0005-0000-0000-00003E170000}"/>
    <cellStyle name="H_1998_col_head_LoneStar-working 4_IR nxp 238" xfId="1723" xr:uid="{00000000-0005-0000-0000-00003F170000}"/>
    <cellStyle name="H_1998_col_head_LoneStar-working 4_MMM nxp 33" xfId="1724" xr:uid="{00000000-0005-0000-0000-000040170000}"/>
    <cellStyle name="H_1998_col_head_LoneStar-working_IR nxp 238" xfId="1725" xr:uid="{00000000-0005-0000-0000-000041170000}"/>
    <cellStyle name="H_1998_col_head_LoneStar-working_MMM nxp 33" xfId="1726" xr:uid="{00000000-0005-0000-0000-000042170000}"/>
    <cellStyle name="H_1998_col_head_LSS" xfId="1727" xr:uid="{00000000-0005-0000-0000-000043170000}"/>
    <cellStyle name="H_1998_col_head_LSS 2" xfId="1728" xr:uid="{00000000-0005-0000-0000-000044170000}"/>
    <cellStyle name="H_1998_col_head_LSS_IR-working 238" xfId="1729" xr:uid="{00000000-0005-0000-0000-000045170000}"/>
    <cellStyle name="H_1998_col_head_LSS_MMM working 31" xfId="1730" xr:uid="{00000000-0005-0000-0000-000046170000}"/>
    <cellStyle name="H_1998_col_head_LSS_MMM working 32" xfId="1731" xr:uid="{00000000-0005-0000-0000-000047170000}"/>
    <cellStyle name="H_1998_col_head_LSS_PNR working 21" xfId="1732" xr:uid="{00000000-0005-0000-0000-000048170000}"/>
    <cellStyle name="H_1998_col_head_LSS_UTX working 32" xfId="1733" xr:uid="{00000000-0005-0000-0000-000049170000}"/>
    <cellStyle name="H_1998_col_head_MMM nxp 33" xfId="1734" xr:uid="{00000000-0005-0000-0000-00004A170000}"/>
    <cellStyle name="H_1998_col_head_Multiples Tab" xfId="1735" xr:uid="{00000000-0005-0000-0000-00004B170000}"/>
    <cellStyle name="H_1998_col_head_Multiples Tab 2" xfId="1736" xr:uid="{00000000-0005-0000-0000-00004C170000}"/>
    <cellStyle name="H_1998_col_head_Multiples Tab_IR-working 238" xfId="1737" xr:uid="{00000000-0005-0000-0000-00004D170000}"/>
    <cellStyle name="H_1998_col_head_Multiples Tab_MMM working 31" xfId="1738" xr:uid="{00000000-0005-0000-0000-00004E170000}"/>
    <cellStyle name="H_1998_col_head_Multiples Tab_MMM working 32" xfId="1739" xr:uid="{00000000-0005-0000-0000-00004F170000}"/>
    <cellStyle name="H_1998_col_head_Multiples Tab_PNR working 21" xfId="1740" xr:uid="{00000000-0005-0000-0000-000050170000}"/>
    <cellStyle name="H_1998_col_head_Multiples Tab_UTX working 32" xfId="1741" xr:uid="{00000000-0005-0000-0000-000051170000}"/>
    <cellStyle name="H_1998_col_head_Offshore Products" xfId="1742" xr:uid="{00000000-0005-0000-0000-000052170000}"/>
    <cellStyle name="H_1998_col_head_Offshore Products_IR nxp 238" xfId="1743" xr:uid="{00000000-0005-0000-0000-000053170000}"/>
    <cellStyle name="H_1998_col_head_Offshore Products_MMM nxp 33" xfId="1744" xr:uid="{00000000-0005-0000-0000-000054170000}"/>
    <cellStyle name="H_1998_col_head_Oilfield" xfId="1745" xr:uid="{00000000-0005-0000-0000-000055170000}"/>
    <cellStyle name="H_1998_col_head_Oilfield_IR nxp 238" xfId="1746" xr:uid="{00000000-0005-0000-0000-000056170000}"/>
    <cellStyle name="H_1998_col_head_Oilfield_MMM nxp 33" xfId="1747" xr:uid="{00000000-0005-0000-0000-000057170000}"/>
    <cellStyle name="H_1998_col_head_RONq-working13" xfId="1748" xr:uid="{00000000-0005-0000-0000-000058170000}"/>
    <cellStyle name="H_1998_col_head_RONq-working13_IR nxp 238" xfId="1749" xr:uid="{00000000-0005-0000-0000-000059170000}"/>
    <cellStyle name="H_1998_col_head_RONq-working13_MMM nxp 33" xfId="1750" xr:uid="{00000000-0005-0000-0000-00005A170000}"/>
    <cellStyle name="H_1998_col_head_RONq-working14" xfId="1751" xr:uid="{00000000-0005-0000-0000-00005B170000}"/>
    <cellStyle name="H_1998_col_head_RONq-working14_IR nxp 238" xfId="1752" xr:uid="{00000000-0005-0000-0000-00005C170000}"/>
    <cellStyle name="H_1998_col_head_RONq-working14_MMM nxp 33" xfId="1753" xr:uid="{00000000-0005-0000-0000-00005D170000}"/>
    <cellStyle name="H_1998_col_head_Sheet1" xfId="1754" xr:uid="{00000000-0005-0000-0000-00005E170000}"/>
    <cellStyle name="H_1998_col_head_Sheet1_IR nxp 238" xfId="1755" xr:uid="{00000000-0005-0000-0000-00005F170000}"/>
    <cellStyle name="H_1998_col_head_Sheet1_MMM nxp 33" xfId="1756" xr:uid="{00000000-0005-0000-0000-000060170000}"/>
    <cellStyle name="H_1998_col_head_SII" xfId="1757" xr:uid="{00000000-0005-0000-0000-000061170000}"/>
    <cellStyle name="H_1998_col_head_SII_IR nxp 238" xfId="1758" xr:uid="{00000000-0005-0000-0000-000062170000}"/>
    <cellStyle name="H_1998_col_head_SII_MMM nxp 33" xfId="1759" xr:uid="{00000000-0005-0000-0000-000063170000}"/>
    <cellStyle name="H_1998_col_head_SII-Post 3Q05 v4" xfId="1760" xr:uid="{00000000-0005-0000-0000-000064170000}"/>
    <cellStyle name="H_1998_col_head_SII-Post 3Q05 v4_IR nxp 238" xfId="1761" xr:uid="{00000000-0005-0000-0000-000065170000}"/>
    <cellStyle name="H_1998_col_head_SII-Post 3Q05 v4_MMM nxp 33" xfId="1762" xr:uid="{00000000-0005-0000-0000-000066170000}"/>
    <cellStyle name="H_1998_col_head_SLB" xfId="1763" xr:uid="{00000000-0005-0000-0000-000067170000}"/>
    <cellStyle name="H_1998_col_head_SLB 2" xfId="1764" xr:uid="{00000000-0005-0000-0000-000068170000}"/>
    <cellStyle name="H_1998_col_head_SLB_IR-working 238" xfId="1765" xr:uid="{00000000-0005-0000-0000-000069170000}"/>
    <cellStyle name="H_1998_col_head_SLB_MMM working 31" xfId="1766" xr:uid="{00000000-0005-0000-0000-00006A170000}"/>
    <cellStyle name="H_1998_col_head_SLB_MMM working 32" xfId="1767" xr:uid="{00000000-0005-0000-0000-00006B170000}"/>
    <cellStyle name="H_1998_col_head_SLB_PNR working 21" xfId="1768" xr:uid="{00000000-0005-0000-0000-00006C170000}"/>
    <cellStyle name="H_1998_col_head_SLB_UTX working 32" xfId="1769" xr:uid="{00000000-0005-0000-0000-00006D170000}"/>
    <cellStyle name="H_1998_col_head_SLB-M-07302004-LM" xfId="1770" xr:uid="{00000000-0005-0000-0000-00006E170000}"/>
    <cellStyle name="H_1998_col_head_SLB-M-07302004-LM_IR nxp 238" xfId="1771" xr:uid="{00000000-0005-0000-0000-00006F170000}"/>
    <cellStyle name="H_1998_col_head_SLB-M-07302004-LM_MMM nxp 33" xfId="1772" xr:uid="{00000000-0005-0000-0000-000070170000}"/>
    <cellStyle name="H_1998_col_head_SLB-working7" xfId="1773" xr:uid="{00000000-0005-0000-0000-000071170000}"/>
    <cellStyle name="H_1998_col_head_SLB-working7_IR nxp 238" xfId="1774" xr:uid="{00000000-0005-0000-0000-000072170000}"/>
    <cellStyle name="H_1998_col_head_SLB-working7_MMM nxp 33" xfId="1775" xr:uid="{00000000-0005-0000-0000-000073170000}"/>
    <cellStyle name="H_1998_col_head_SLB-working9" xfId="1776" xr:uid="{00000000-0005-0000-0000-000074170000}"/>
    <cellStyle name="H_1998_col_head_SLB-working9_IR nxp 238" xfId="1777" xr:uid="{00000000-0005-0000-0000-000075170000}"/>
    <cellStyle name="H_1998_col_head_SLB-working9_MMM nxp 33" xfId="1778" xr:uid="{00000000-0005-0000-0000-000076170000}"/>
    <cellStyle name="H_1998_col_head_Tubulars" xfId="1779" xr:uid="{00000000-0005-0000-0000-000077170000}"/>
    <cellStyle name="H_1998_col_head_Tubulars_IR nxp 238" xfId="1780" xr:uid="{00000000-0005-0000-0000-000078170000}"/>
    <cellStyle name="H_1998_col_head_Tubulars_MMM nxp 33" xfId="1781" xr:uid="{00000000-0005-0000-0000-000079170000}"/>
    <cellStyle name="H_1998_col_head_Well Site Srvs" xfId="1782" xr:uid="{00000000-0005-0000-0000-00007A170000}"/>
    <cellStyle name="H_1998_col_head_Well Site Srvs_IR nxp 238" xfId="1783" xr:uid="{00000000-0005-0000-0000-00007B170000}"/>
    <cellStyle name="H_1998_col_head_Well Site Srvs_MMM nxp 33" xfId="1784" xr:uid="{00000000-0005-0000-0000-00007C170000}"/>
    <cellStyle name="H_1998_col_head_WFT published 1-30-07 Client version (2)" xfId="1785" xr:uid="{00000000-0005-0000-0000-00007D170000}"/>
    <cellStyle name="H_1998_col_head_WFT published 1-30-07 Client version (2) 2" xfId="1786" xr:uid="{00000000-0005-0000-0000-00007E170000}"/>
    <cellStyle name="H_1998_col_head_WFT published 1-30-07 Client version (2)_IR-working 238" xfId="1787" xr:uid="{00000000-0005-0000-0000-00007F170000}"/>
    <cellStyle name="H_1998_col_head_WFT published 1-30-07 Client version (2)_MMM working 31" xfId="1788" xr:uid="{00000000-0005-0000-0000-000080170000}"/>
    <cellStyle name="H_1998_col_head_WFT published 1-30-07 Client version (2)_MMM working 32" xfId="1789" xr:uid="{00000000-0005-0000-0000-000081170000}"/>
    <cellStyle name="H_1998_col_head_WFT published 1-30-07 Client version (2)_PNR working 21" xfId="1790" xr:uid="{00000000-0005-0000-0000-000082170000}"/>
    <cellStyle name="H_1998_col_head_WFT published 1-30-07 Client version (2)_UTX working 32" xfId="1791" xr:uid="{00000000-0005-0000-0000-000083170000}"/>
    <cellStyle name="H_1998_col_head_WFT-M-08102004-AG" xfId="1792" xr:uid="{00000000-0005-0000-0000-000084170000}"/>
    <cellStyle name="H_1998_col_head_WFT-M-08102004-AG_IR nxp 238" xfId="1793" xr:uid="{00000000-0005-0000-0000-000085170000}"/>
    <cellStyle name="H_1998_col_head_WFT-M-08102004-AG_MMM nxp 33" xfId="1794" xr:uid="{00000000-0005-0000-0000-000086170000}"/>
    <cellStyle name="H_1998_col_head_WFTworking9" xfId="1795" xr:uid="{00000000-0005-0000-0000-000087170000}"/>
    <cellStyle name="H_1998_col_head_WFTworking9_IR nxp 238" xfId="1796" xr:uid="{00000000-0005-0000-0000-000088170000}"/>
    <cellStyle name="H_1998_col_head_WFTworking9_MMM nxp 33" xfId="1797" xr:uid="{00000000-0005-0000-0000-000089170000}"/>
    <cellStyle name="H_1999_col_head" xfId="1798" xr:uid="{00000000-0005-0000-0000-00008A170000}"/>
    <cellStyle name="H1_1998 figures" xfId="1799" xr:uid="{00000000-0005-0000-0000-00008B170000}"/>
    <cellStyle name="hard no." xfId="1800" xr:uid="{00000000-0005-0000-0000-00008C170000}"/>
    <cellStyle name="hard no. 2" xfId="1801" xr:uid="{00000000-0005-0000-0000-00008D170000}"/>
    <cellStyle name="Hard Percent" xfId="1802" xr:uid="{00000000-0005-0000-0000-00008E170000}"/>
    <cellStyle name="Hard Percent 2" xfId="1803" xr:uid="{00000000-0005-0000-0000-00008F170000}"/>
    <cellStyle name="Hard Percent 3" xfId="1804" xr:uid="{00000000-0005-0000-0000-000090170000}"/>
    <cellStyle name="header" xfId="1805" xr:uid="{00000000-0005-0000-0000-000091170000}"/>
    <cellStyle name="header 2" xfId="1806" xr:uid="{00000000-0005-0000-0000-000092170000}"/>
    <cellStyle name="Header Draft Stamp" xfId="1807" xr:uid="{00000000-0005-0000-0000-000093170000}"/>
    <cellStyle name="header_1124 ETNlink September 20" xfId="1808" xr:uid="{00000000-0005-0000-0000-000094170000}"/>
    <cellStyle name="Header1" xfId="1809" xr:uid="{00000000-0005-0000-0000-000095170000}"/>
    <cellStyle name="Header2" xfId="1810" xr:uid="{00000000-0005-0000-0000-000096170000}"/>
    <cellStyle name="headers" xfId="1811" xr:uid="{00000000-0005-0000-0000-000097170000}"/>
    <cellStyle name="Heading" xfId="1812" xr:uid="{00000000-0005-0000-0000-000098170000}"/>
    <cellStyle name="Heading 1 2" xfId="1813" xr:uid="{00000000-0005-0000-0000-000099170000}"/>
    <cellStyle name="Heading 1 Above" xfId="1814" xr:uid="{00000000-0005-0000-0000-00009A170000}"/>
    <cellStyle name="Heading 1+" xfId="1815" xr:uid="{00000000-0005-0000-0000-00009B170000}"/>
    <cellStyle name="Heading 2 2" xfId="1816" xr:uid="{00000000-0005-0000-0000-00009C170000}"/>
    <cellStyle name="Heading 2 Below" xfId="1817" xr:uid="{00000000-0005-0000-0000-00009D170000}"/>
    <cellStyle name="Heading 2+" xfId="1818" xr:uid="{00000000-0005-0000-0000-00009E170000}"/>
    <cellStyle name="Heading 3 2" xfId="1819" xr:uid="{00000000-0005-0000-0000-00009F170000}"/>
    <cellStyle name="Heading 3+" xfId="1820" xr:uid="{00000000-0005-0000-0000-0000A0170000}"/>
    <cellStyle name="Heading 4 2" xfId="1821" xr:uid="{00000000-0005-0000-0000-0000A1170000}"/>
    <cellStyle name="Heading 4 2 2" xfId="1822" xr:uid="{00000000-0005-0000-0000-0000A2170000}"/>
    <cellStyle name="Heading 5" xfId="3086" xr:uid="{00000000-0005-0000-0000-0000A3170000}"/>
    <cellStyle name="Heading1" xfId="1823" xr:uid="{00000000-0005-0000-0000-0000A4170000}"/>
    <cellStyle name="Helv" xfId="1824" xr:uid="{00000000-0005-0000-0000-0000A5170000}"/>
    <cellStyle name="Hyperlink" xfId="1825" builtinId="8" customBuiltin="1"/>
    <cellStyle name="Hyperlink 2" xfId="1826" xr:uid="{00000000-0005-0000-0000-0000A7170000}"/>
    <cellStyle name="Hyperlink 2 2" xfId="2948" xr:uid="{00000000-0005-0000-0000-0000A8170000}"/>
    <cellStyle name="Hyperlink 3" xfId="3099" xr:uid="{00000000-0005-0000-0000-0000A9170000}"/>
    <cellStyle name="Identification requete" xfId="1827" xr:uid="{00000000-0005-0000-0000-0000AA170000}"/>
    <cellStyle name="Income" xfId="1828" xr:uid="{00000000-0005-0000-0000-0000AB170000}"/>
    <cellStyle name="IncomeStatement" xfId="1829" xr:uid="{00000000-0005-0000-0000-0000AC170000}"/>
    <cellStyle name="IncomeStatement 2" xfId="1830" xr:uid="{00000000-0005-0000-0000-0000AD170000}"/>
    <cellStyle name="IncomeStatement 3" xfId="1831" xr:uid="{00000000-0005-0000-0000-0000AE170000}"/>
    <cellStyle name="IncomeStatement_PNR working 21" xfId="1832" xr:uid="{00000000-0005-0000-0000-0000AF170000}"/>
    <cellStyle name="Index" xfId="1833" xr:uid="{00000000-0005-0000-0000-0000B0170000}"/>
    <cellStyle name="Info_Main" xfId="1834" xr:uid="{00000000-0005-0000-0000-0000B1170000}"/>
    <cellStyle name="Input [yellow]" xfId="1835" xr:uid="{00000000-0005-0000-0000-0000B2170000}"/>
    <cellStyle name="Input [yellow] 2" xfId="1836" xr:uid="{00000000-0005-0000-0000-0000B3170000}"/>
    <cellStyle name="Input [yellow]_PNR working 21" xfId="1837" xr:uid="{00000000-0005-0000-0000-0000B4170000}"/>
    <cellStyle name="Input 10" xfId="1838" xr:uid="{00000000-0005-0000-0000-0000B5170000}"/>
    <cellStyle name="Input 11" xfId="1839" xr:uid="{00000000-0005-0000-0000-0000B6170000}"/>
    <cellStyle name="Input 12" xfId="1840" xr:uid="{00000000-0005-0000-0000-0000B7170000}"/>
    <cellStyle name="Input 13" xfId="1841" xr:uid="{00000000-0005-0000-0000-0000B8170000}"/>
    <cellStyle name="Input 14" xfId="1842" xr:uid="{00000000-0005-0000-0000-0000B9170000}"/>
    <cellStyle name="Input 2" xfId="1843" xr:uid="{00000000-0005-0000-0000-0000BA170000}"/>
    <cellStyle name="Input 3" xfId="1844" xr:uid="{00000000-0005-0000-0000-0000BB170000}"/>
    <cellStyle name="Input 4" xfId="1845" xr:uid="{00000000-0005-0000-0000-0000BC170000}"/>
    <cellStyle name="Input 5" xfId="1846" xr:uid="{00000000-0005-0000-0000-0000BD170000}"/>
    <cellStyle name="Input 6" xfId="1847" xr:uid="{00000000-0005-0000-0000-0000BE170000}"/>
    <cellStyle name="Input 7" xfId="1848" xr:uid="{00000000-0005-0000-0000-0000BF170000}"/>
    <cellStyle name="Input 8" xfId="1849" xr:uid="{00000000-0005-0000-0000-0000C0170000}"/>
    <cellStyle name="Input 9" xfId="1850" xr:uid="{00000000-0005-0000-0000-0000C1170000}"/>
    <cellStyle name="Input Cells" xfId="1851" xr:uid="{00000000-0005-0000-0000-0000C2170000}"/>
    <cellStyle name="Input Currency" xfId="1852" xr:uid="{00000000-0005-0000-0000-0000C3170000}"/>
    <cellStyle name="Input Currency 2" xfId="1853" xr:uid="{00000000-0005-0000-0000-0000C4170000}"/>
    <cellStyle name="Input Currency 2 2" xfId="1854" xr:uid="{00000000-0005-0000-0000-0000C5170000}"/>
    <cellStyle name="Input Currency 3" xfId="1855" xr:uid="{00000000-0005-0000-0000-0000C6170000}"/>
    <cellStyle name="Input Currency_AG" xfId="1856" xr:uid="{00000000-0005-0000-0000-0000C7170000}"/>
    <cellStyle name="Input Multiple" xfId="1857" xr:uid="{00000000-0005-0000-0000-0000C8170000}"/>
    <cellStyle name="Input Multiple 2" xfId="1858" xr:uid="{00000000-0005-0000-0000-0000C9170000}"/>
    <cellStyle name="Input Percent" xfId="1859" xr:uid="{00000000-0005-0000-0000-0000CA170000}"/>
    <cellStyle name="Input Percent 2" xfId="1860" xr:uid="{00000000-0005-0000-0000-0000CB170000}"/>
    <cellStyle name="InputCurrency" xfId="1861" xr:uid="{00000000-0005-0000-0000-0000CC170000}"/>
    <cellStyle name="InputCurrency 2" xfId="1862" xr:uid="{00000000-0005-0000-0000-0000CD170000}"/>
    <cellStyle name="InputCurrency2" xfId="1863" xr:uid="{00000000-0005-0000-0000-0000CE170000}"/>
    <cellStyle name="InputCurrency2 2" xfId="1864" xr:uid="{00000000-0005-0000-0000-0000CF170000}"/>
    <cellStyle name="InputDateDMth" xfId="1865" xr:uid="{00000000-0005-0000-0000-0000D0170000}"/>
    <cellStyle name="InputDateDMth 2" xfId="1866" xr:uid="{00000000-0005-0000-0000-0000D1170000}"/>
    <cellStyle name="InputDateNorm" xfId="1867" xr:uid="{00000000-0005-0000-0000-0000D2170000}"/>
    <cellStyle name="InputDateNorm 2" xfId="1868" xr:uid="{00000000-0005-0000-0000-0000D3170000}"/>
    <cellStyle name="InputMultiple1" xfId="1869" xr:uid="{00000000-0005-0000-0000-0000D4170000}"/>
    <cellStyle name="InputMultiple1 2" xfId="1870" xr:uid="{00000000-0005-0000-0000-0000D5170000}"/>
    <cellStyle name="InputPercent1" xfId="1871" xr:uid="{00000000-0005-0000-0000-0000D6170000}"/>
    <cellStyle name="InputPercent1 2" xfId="1872" xr:uid="{00000000-0005-0000-0000-0000D7170000}"/>
    <cellStyle name="InputUlineNumeric" xfId="1873" xr:uid="{00000000-0005-0000-0000-0000D8170000}"/>
    <cellStyle name="InputUlineNumeric 2" xfId="1874" xr:uid="{00000000-0005-0000-0000-0000D9170000}"/>
    <cellStyle name="InputUlineNumeric 2 2" xfId="1875" xr:uid="{00000000-0005-0000-0000-0000DA170000}"/>
    <cellStyle name="InputUlineNumeric 3" xfId="1876" xr:uid="{00000000-0005-0000-0000-0000DB170000}"/>
    <cellStyle name="Italics" xfId="1877" xr:uid="{00000000-0005-0000-0000-0000DC170000}"/>
    <cellStyle name="Item Descriptions" xfId="2876" xr:uid="{00000000-0005-0000-0000-0000DD170000}"/>
    <cellStyle name="Jason" xfId="1878" xr:uid="{00000000-0005-0000-0000-0000DE170000}"/>
    <cellStyle name="Jason 2" xfId="1879" xr:uid="{00000000-0005-0000-0000-0000DF170000}"/>
    <cellStyle name="Jason 3" xfId="1880" xr:uid="{00000000-0005-0000-0000-0000E0170000}"/>
    <cellStyle name="lead" xfId="1881" xr:uid="{00000000-0005-0000-0000-0000E1170000}"/>
    <cellStyle name="lead 2" xfId="1882" xr:uid="{00000000-0005-0000-0000-0000E2170000}"/>
    <cellStyle name="Ligne détail" xfId="1883" xr:uid="{00000000-0005-0000-0000-0000E3170000}"/>
    <cellStyle name="Line" xfId="1884" xr:uid="{00000000-0005-0000-0000-0000E4170000}"/>
    <cellStyle name="Link Currency (0)" xfId="1885" xr:uid="{00000000-0005-0000-0000-0000E5170000}"/>
    <cellStyle name="Link Currency (2)" xfId="1886" xr:uid="{00000000-0005-0000-0000-0000E6170000}"/>
    <cellStyle name="Link Units (0)" xfId="1887" xr:uid="{00000000-0005-0000-0000-0000E7170000}"/>
    <cellStyle name="Link Units (1)" xfId="1888" xr:uid="{00000000-0005-0000-0000-0000E8170000}"/>
    <cellStyle name="Link Units (2)" xfId="1889" xr:uid="{00000000-0005-0000-0000-0000E9170000}"/>
    <cellStyle name="Linked Cell 2" xfId="1890" xr:uid="{00000000-0005-0000-0000-0000EA170000}"/>
    <cellStyle name="Linked Cell 2 2" xfId="1891" xr:uid="{00000000-0005-0000-0000-0000EB170000}"/>
    <cellStyle name="LTGR" xfId="1892" xr:uid="{00000000-0005-0000-0000-0000EC170000}"/>
    <cellStyle name="LTGR 2" xfId="1893" xr:uid="{00000000-0005-0000-0000-0000ED170000}"/>
    <cellStyle name="LTGR 3" xfId="1894" xr:uid="{00000000-0005-0000-0000-0000EE170000}"/>
    <cellStyle name="m" xfId="1895" xr:uid="{00000000-0005-0000-0000-0000EF170000}"/>
    <cellStyle name="m$" xfId="1896" xr:uid="{00000000-0005-0000-0000-0000F0170000}"/>
    <cellStyle name="m_AOL_Model_Master" xfId="1897" xr:uid="{00000000-0005-0000-0000-0000F1170000}"/>
    <cellStyle name="mag" xfId="1898" xr:uid="{00000000-0005-0000-0000-0000F2170000}"/>
    <cellStyle name="Mainhead" xfId="1899" xr:uid="{00000000-0005-0000-0000-0000F3170000}"/>
    <cellStyle name="Major item" xfId="1900" xr:uid="{00000000-0005-0000-0000-0000F4170000}"/>
    <cellStyle name="Major item 2" xfId="1901" xr:uid="{00000000-0005-0000-0000-0000F5170000}"/>
    <cellStyle name="Major item_PNR working 21" xfId="1902" xr:uid="{00000000-0005-0000-0000-0000F6170000}"/>
    <cellStyle name="Margin" xfId="1903" xr:uid="{00000000-0005-0000-0000-0000F7170000}"/>
    <cellStyle name="Margin 2" xfId="1904" xr:uid="{00000000-0005-0000-0000-0000F8170000}"/>
    <cellStyle name="margin 3" xfId="2949" xr:uid="{00000000-0005-0000-0000-0000F9170000}"/>
    <cellStyle name="margin 4" xfId="2971" xr:uid="{00000000-0005-0000-0000-0000FA170000}"/>
    <cellStyle name="margin 5" xfId="2925" xr:uid="{00000000-0005-0000-0000-0000FB170000}"/>
    <cellStyle name="margin 6" xfId="3001" xr:uid="{00000000-0005-0000-0000-0000FC170000}"/>
    <cellStyle name="margin 7" xfId="2995" xr:uid="{00000000-0005-0000-0000-0000FD170000}"/>
    <cellStyle name="margin 8" xfId="3000" xr:uid="{00000000-0005-0000-0000-0000FE170000}"/>
    <cellStyle name="margin 9" xfId="2994" xr:uid="{00000000-0005-0000-0000-0000FF170000}"/>
    <cellStyle name="Margins" xfId="1905" xr:uid="{00000000-0005-0000-0000-000000180000}"/>
    <cellStyle name="Margins 2" xfId="1906" xr:uid="{00000000-0005-0000-0000-000001180000}"/>
    <cellStyle name="Merrill" xfId="2877" xr:uid="{00000000-0005-0000-0000-000002180000}"/>
    <cellStyle name="MEV1" xfId="1907" xr:uid="{00000000-0005-0000-0000-000003180000}"/>
    <cellStyle name="MEV2" xfId="1908" xr:uid="{00000000-0005-0000-0000-000004180000}"/>
    <cellStyle name="Migliaia (0)_Bourse" xfId="1909" xr:uid="{00000000-0005-0000-0000-000005180000}"/>
    <cellStyle name="Migliaia_Bourse" xfId="1910" xr:uid="{00000000-0005-0000-0000-000006180000}"/>
    <cellStyle name="Mix" xfId="2878" xr:uid="{00000000-0005-0000-0000-000007180000}"/>
    <cellStyle name="mm" xfId="1911" xr:uid="{00000000-0005-0000-0000-000008180000}"/>
    <cellStyle name="Monitor" xfId="1912" xr:uid="{00000000-0005-0000-0000-000009180000}"/>
    <cellStyle name="muiltiple" xfId="1913" xr:uid="{00000000-0005-0000-0000-00000A180000}"/>
    <cellStyle name="muiltiple 2" xfId="1914" xr:uid="{00000000-0005-0000-0000-00000B180000}"/>
    <cellStyle name="Multiple" xfId="1915" xr:uid="{00000000-0005-0000-0000-00000C180000}"/>
    <cellStyle name="Multiple 2" xfId="1916" xr:uid="{00000000-0005-0000-0000-00000D180000}"/>
    <cellStyle name="Multiple 2 2" xfId="3101" xr:uid="{00000000-0005-0000-0000-00000E180000}"/>
    <cellStyle name="Multiple 2 3" xfId="3032" xr:uid="{00000000-0005-0000-0000-00000F180000}"/>
    <cellStyle name="Multiple 3" xfId="1917" xr:uid="{00000000-0005-0000-0000-000010180000}"/>
    <cellStyle name="Multiple 4" xfId="1918" xr:uid="{00000000-0005-0000-0000-000011180000}"/>
    <cellStyle name="Multiple 5" xfId="1919" xr:uid="{00000000-0005-0000-0000-000012180000}"/>
    <cellStyle name="Multiple 6" xfId="1920" xr:uid="{00000000-0005-0000-0000-000013180000}"/>
    <cellStyle name="Multiple 7" xfId="3031" xr:uid="{00000000-0005-0000-0000-000014180000}"/>
    <cellStyle name="Multiple1" xfId="1921" xr:uid="{00000000-0005-0000-0000-000015180000}"/>
    <cellStyle name="Multiple1 2" xfId="1922" xr:uid="{00000000-0005-0000-0000-000016180000}"/>
    <cellStyle name="Multiple2" xfId="1923" xr:uid="{00000000-0005-0000-0000-000017180000}"/>
    <cellStyle name="MultipleBelow" xfId="1924" xr:uid="{00000000-0005-0000-0000-000018180000}"/>
    <cellStyle name="MultipleBelow 2" xfId="1925" xr:uid="{00000000-0005-0000-0000-000019180000}"/>
    <cellStyle name="Neutral 2" xfId="1926" xr:uid="{00000000-0005-0000-0000-00001A180000}"/>
    <cellStyle name="Neutral 2 2" xfId="1927" xr:uid="{00000000-0005-0000-0000-00001B180000}"/>
    <cellStyle name="no dec" xfId="1928" xr:uid="{00000000-0005-0000-0000-00001C180000}"/>
    <cellStyle name="no dec 2" xfId="1929" xr:uid="{00000000-0005-0000-0000-00001D180000}"/>
    <cellStyle name="No Decimal" xfId="1930" xr:uid="{00000000-0005-0000-0000-00001E180000}"/>
    <cellStyle name="Normal" xfId="0" builtinId="0"/>
    <cellStyle name="Normal-" xfId="1931" xr:uid="{00000000-0005-0000-0000-000020180000}"/>
    <cellStyle name="Normal - Style1" xfId="1932" xr:uid="{00000000-0005-0000-0000-000021180000}"/>
    <cellStyle name="Normal - Style1 2" xfId="1933" xr:uid="{00000000-0005-0000-0000-000022180000}"/>
    <cellStyle name="Normal - Style1 3" xfId="3087" xr:uid="{00000000-0005-0000-0000-000023180000}"/>
    <cellStyle name="Normal 10" xfId="1934" xr:uid="{00000000-0005-0000-0000-000024180000}"/>
    <cellStyle name="Normal- 10" xfId="1935" xr:uid="{00000000-0005-0000-0000-000025180000}"/>
    <cellStyle name="Normal 10 2" xfId="2893" xr:uid="{00000000-0005-0000-0000-000026180000}"/>
    <cellStyle name="Normal 10 2 2" xfId="3102" xr:uid="{00000000-0005-0000-0000-000027180000}"/>
    <cellStyle name="Normal 10 3" xfId="2965" xr:uid="{00000000-0005-0000-0000-000028180000}"/>
    <cellStyle name="Normal 10 4" xfId="2978" xr:uid="{00000000-0005-0000-0000-000029180000}"/>
    <cellStyle name="Normal 10 5" xfId="2983" xr:uid="{00000000-0005-0000-0000-00002A180000}"/>
    <cellStyle name="Normal 10 5 2" xfId="3136" xr:uid="{00000000-0005-0000-0000-00002B180000}"/>
    <cellStyle name="Normal 10 6" xfId="3016" xr:uid="{00000000-0005-0000-0000-00002C180000}"/>
    <cellStyle name="Normal 10 7" xfId="3020" xr:uid="{00000000-0005-0000-0000-00002D180000}"/>
    <cellStyle name="Normal 10 8" xfId="3024" xr:uid="{00000000-0005-0000-0000-00002E180000}"/>
    <cellStyle name="Normal 10 9" xfId="3034" xr:uid="{00000000-0005-0000-0000-00002F180000}"/>
    <cellStyle name="Normal 100" xfId="1936" xr:uid="{00000000-0005-0000-0000-000030180000}"/>
    <cellStyle name="Normal 101" xfId="1937" xr:uid="{00000000-0005-0000-0000-000031180000}"/>
    <cellStyle name="Normal 102" xfId="1938" xr:uid="{00000000-0005-0000-0000-000032180000}"/>
    <cellStyle name="Normal 103" xfId="1939" xr:uid="{00000000-0005-0000-0000-000033180000}"/>
    <cellStyle name="Normal 104" xfId="1940" xr:uid="{00000000-0005-0000-0000-000034180000}"/>
    <cellStyle name="Normal 105" xfId="1941" xr:uid="{00000000-0005-0000-0000-000035180000}"/>
    <cellStyle name="Normal 106" xfId="1942" xr:uid="{00000000-0005-0000-0000-000036180000}"/>
    <cellStyle name="Normal 107" xfId="1943" xr:uid="{00000000-0005-0000-0000-000037180000}"/>
    <cellStyle name="Normal 108" xfId="1944" xr:uid="{00000000-0005-0000-0000-000038180000}"/>
    <cellStyle name="Normal 109" xfId="1945" xr:uid="{00000000-0005-0000-0000-000039180000}"/>
    <cellStyle name="Normal 11" xfId="1946" xr:uid="{00000000-0005-0000-0000-00003A180000}"/>
    <cellStyle name="Normal- 11" xfId="1947" xr:uid="{00000000-0005-0000-0000-00003B180000}"/>
    <cellStyle name="Normal 11 2" xfId="3103" xr:uid="{00000000-0005-0000-0000-00003C180000}"/>
    <cellStyle name="Normal 11 3" xfId="3035" xr:uid="{00000000-0005-0000-0000-00003D180000}"/>
    <cellStyle name="Normal 110" xfId="1948" xr:uid="{00000000-0005-0000-0000-00003E180000}"/>
    <cellStyle name="Normal 111" xfId="1949" xr:uid="{00000000-0005-0000-0000-00003F180000}"/>
    <cellStyle name="Normal 112" xfId="1950" xr:uid="{00000000-0005-0000-0000-000040180000}"/>
    <cellStyle name="Normal 113" xfId="1951" xr:uid="{00000000-0005-0000-0000-000041180000}"/>
    <cellStyle name="Normal 114" xfId="1952" xr:uid="{00000000-0005-0000-0000-000042180000}"/>
    <cellStyle name="Normal 115" xfId="1953" xr:uid="{00000000-0005-0000-0000-000043180000}"/>
    <cellStyle name="Normal 116" xfId="1954" xr:uid="{00000000-0005-0000-0000-000044180000}"/>
    <cellStyle name="Normal 117" xfId="1955" xr:uid="{00000000-0005-0000-0000-000045180000}"/>
    <cellStyle name="Normal 118" xfId="1956" xr:uid="{00000000-0005-0000-0000-000046180000}"/>
    <cellStyle name="Normal 119" xfId="1957" xr:uid="{00000000-0005-0000-0000-000047180000}"/>
    <cellStyle name="Normal 12" xfId="1958" xr:uid="{00000000-0005-0000-0000-000048180000}"/>
    <cellStyle name="Normal- 12" xfId="1959" xr:uid="{00000000-0005-0000-0000-000049180000}"/>
    <cellStyle name="Normal 12 2" xfId="3104" xr:uid="{00000000-0005-0000-0000-00004A180000}"/>
    <cellStyle name="Normal 12 3" xfId="3036" xr:uid="{00000000-0005-0000-0000-00004B180000}"/>
    <cellStyle name="Normal 120" xfId="1960" xr:uid="{00000000-0005-0000-0000-00004C180000}"/>
    <cellStyle name="Normal 121" xfId="1961" xr:uid="{00000000-0005-0000-0000-00004D180000}"/>
    <cellStyle name="Normal 122" xfId="1962" xr:uid="{00000000-0005-0000-0000-00004E180000}"/>
    <cellStyle name="Normal 123" xfId="1963" xr:uid="{00000000-0005-0000-0000-00004F180000}"/>
    <cellStyle name="Normal 124" xfId="1964" xr:uid="{00000000-0005-0000-0000-000050180000}"/>
    <cellStyle name="Normal 125" xfId="1965" xr:uid="{00000000-0005-0000-0000-000051180000}"/>
    <cellStyle name="Normal 126" xfId="1966" xr:uid="{00000000-0005-0000-0000-000052180000}"/>
    <cellStyle name="Normal 127" xfId="1967" xr:uid="{00000000-0005-0000-0000-000053180000}"/>
    <cellStyle name="Normal 128" xfId="1968" xr:uid="{00000000-0005-0000-0000-000054180000}"/>
    <cellStyle name="Normal 129" xfId="1969" xr:uid="{00000000-0005-0000-0000-000055180000}"/>
    <cellStyle name="Normal 13" xfId="1970" xr:uid="{00000000-0005-0000-0000-000056180000}"/>
    <cellStyle name="Normal- 13" xfId="1971" xr:uid="{00000000-0005-0000-0000-000057180000}"/>
    <cellStyle name="Normal 13 2" xfId="3105" xr:uid="{00000000-0005-0000-0000-000058180000}"/>
    <cellStyle name="Normal 13 3" xfId="3037" xr:uid="{00000000-0005-0000-0000-000059180000}"/>
    <cellStyle name="Normal 130" xfId="1972" xr:uid="{00000000-0005-0000-0000-00005A180000}"/>
    <cellStyle name="Normal 131" xfId="1973" xr:uid="{00000000-0005-0000-0000-00005B180000}"/>
    <cellStyle name="Normal 132" xfId="1974" xr:uid="{00000000-0005-0000-0000-00005C180000}"/>
    <cellStyle name="Normal 133" xfId="1975" xr:uid="{00000000-0005-0000-0000-00005D180000}"/>
    <cellStyle name="Normal 134" xfId="1976" xr:uid="{00000000-0005-0000-0000-00005E180000}"/>
    <cellStyle name="Normal 135" xfId="1977" xr:uid="{00000000-0005-0000-0000-00005F180000}"/>
    <cellStyle name="Normal 136" xfId="1978" xr:uid="{00000000-0005-0000-0000-000060180000}"/>
    <cellStyle name="Normal 137" xfId="1979" xr:uid="{00000000-0005-0000-0000-000061180000}"/>
    <cellStyle name="Normal 138" xfId="1980" xr:uid="{00000000-0005-0000-0000-000062180000}"/>
    <cellStyle name="Normal 139" xfId="1981" xr:uid="{00000000-0005-0000-0000-000063180000}"/>
    <cellStyle name="Normal 14" xfId="1982" xr:uid="{00000000-0005-0000-0000-000064180000}"/>
    <cellStyle name="Normal- 14" xfId="1983" xr:uid="{00000000-0005-0000-0000-000065180000}"/>
    <cellStyle name="Normal 14 2" xfId="3106" xr:uid="{00000000-0005-0000-0000-000066180000}"/>
    <cellStyle name="Normal 14 3" xfId="3038" xr:uid="{00000000-0005-0000-0000-000067180000}"/>
    <cellStyle name="Normal 140" xfId="1984" xr:uid="{00000000-0005-0000-0000-000068180000}"/>
    <cellStyle name="Normal 141" xfId="1985" xr:uid="{00000000-0005-0000-0000-000069180000}"/>
    <cellStyle name="Normal 142" xfId="1986" xr:uid="{00000000-0005-0000-0000-00006A180000}"/>
    <cellStyle name="Normal 143" xfId="1987" xr:uid="{00000000-0005-0000-0000-00006B180000}"/>
    <cellStyle name="Normal 144" xfId="1988" xr:uid="{00000000-0005-0000-0000-00006C180000}"/>
    <cellStyle name="Normal 145" xfId="1989" xr:uid="{00000000-0005-0000-0000-00006D180000}"/>
    <cellStyle name="Normal 146" xfId="1990" xr:uid="{00000000-0005-0000-0000-00006E180000}"/>
    <cellStyle name="Normal 147" xfId="1991" xr:uid="{00000000-0005-0000-0000-00006F180000}"/>
    <cellStyle name="Normal 148" xfId="1992" xr:uid="{00000000-0005-0000-0000-000070180000}"/>
    <cellStyle name="Normal 149" xfId="2671" xr:uid="{00000000-0005-0000-0000-000071180000}"/>
    <cellStyle name="Normal 15" xfId="1993" xr:uid="{00000000-0005-0000-0000-000072180000}"/>
    <cellStyle name="Normal- 15" xfId="1994" xr:uid="{00000000-0005-0000-0000-000073180000}"/>
    <cellStyle name="Normal 15 2" xfId="3107" xr:uid="{00000000-0005-0000-0000-000074180000}"/>
    <cellStyle name="Normal 15 3" xfId="3039" xr:uid="{00000000-0005-0000-0000-000075180000}"/>
    <cellStyle name="Normal 150" xfId="2891" xr:uid="{00000000-0005-0000-0000-000076180000}"/>
    <cellStyle name="Normal 151" xfId="2967" xr:uid="{00000000-0005-0000-0000-000077180000}"/>
    <cellStyle name="Normal 152" xfId="2980" xr:uid="{00000000-0005-0000-0000-000078180000}"/>
    <cellStyle name="Normal 153" xfId="2981" xr:uid="{00000000-0005-0000-0000-000079180000}"/>
    <cellStyle name="Normal 154" xfId="3018" xr:uid="{00000000-0005-0000-0000-00007A180000}"/>
    <cellStyle name="Normal 155" xfId="3022" xr:uid="{00000000-0005-0000-0000-00007B180000}"/>
    <cellStyle name="Normal 156" xfId="3026" xr:uid="{00000000-0005-0000-0000-00007C180000}"/>
    <cellStyle name="Normal 157" xfId="3027" xr:uid="{00000000-0005-0000-0000-00007D180000}"/>
    <cellStyle name="Normal 158" xfId="3137" xr:uid="{00000000-0005-0000-0000-00007E180000}"/>
    <cellStyle name="Normal 159" xfId="3134" xr:uid="{00000000-0005-0000-0000-00007F180000}"/>
    <cellStyle name="Normal 16" xfId="1995" xr:uid="{00000000-0005-0000-0000-000080180000}"/>
    <cellStyle name="Normal- 16" xfId="1996" xr:uid="{00000000-0005-0000-0000-000081180000}"/>
    <cellStyle name="Normal 16 2" xfId="3108" xr:uid="{00000000-0005-0000-0000-000082180000}"/>
    <cellStyle name="Normal 16 3" xfId="3040" xr:uid="{00000000-0005-0000-0000-000083180000}"/>
    <cellStyle name="Normal 160" xfId="7082" xr:uid="{00000000-0005-0000-0000-000084180000}"/>
    <cellStyle name="Normal 163" xfId="7015" xr:uid="{00000000-0005-0000-0000-000085180000}"/>
    <cellStyle name="Normal 17" xfId="1997" xr:uid="{00000000-0005-0000-0000-000086180000}"/>
    <cellStyle name="Normal- 17" xfId="1998" xr:uid="{00000000-0005-0000-0000-000087180000}"/>
    <cellStyle name="Normal 17 2" xfId="3109" xr:uid="{00000000-0005-0000-0000-000088180000}"/>
    <cellStyle name="Normal 17 3" xfId="3041" xr:uid="{00000000-0005-0000-0000-000089180000}"/>
    <cellStyle name="Normal 18" xfId="1999" xr:uid="{00000000-0005-0000-0000-00008A180000}"/>
    <cellStyle name="Normal- 18" xfId="2000" xr:uid="{00000000-0005-0000-0000-00008B180000}"/>
    <cellStyle name="Normal 18 2" xfId="3110" xr:uid="{00000000-0005-0000-0000-00008C180000}"/>
    <cellStyle name="Normal 18 3" xfId="3042" xr:uid="{00000000-0005-0000-0000-00008D180000}"/>
    <cellStyle name="Normal 19" xfId="2001" xr:uid="{00000000-0005-0000-0000-00008E180000}"/>
    <cellStyle name="Normal- 19" xfId="2002" xr:uid="{00000000-0005-0000-0000-00008F180000}"/>
    <cellStyle name="Normal 19 2" xfId="3111" xr:uid="{00000000-0005-0000-0000-000090180000}"/>
    <cellStyle name="Normal 19 3" xfId="3043" xr:uid="{00000000-0005-0000-0000-000091180000}"/>
    <cellStyle name="Normal 2" xfId="2003" xr:uid="{00000000-0005-0000-0000-000092180000}"/>
    <cellStyle name="Normal- 2" xfId="2004" xr:uid="{00000000-0005-0000-0000-000093180000}"/>
    <cellStyle name="Normal 2 10" xfId="2005" xr:uid="{00000000-0005-0000-0000-000094180000}"/>
    <cellStyle name="Normal 2 11" xfId="2006" xr:uid="{00000000-0005-0000-0000-000095180000}"/>
    <cellStyle name="Normal 2 12" xfId="2007" xr:uid="{00000000-0005-0000-0000-000096180000}"/>
    <cellStyle name="Normal 2 13" xfId="2008" xr:uid="{00000000-0005-0000-0000-000097180000}"/>
    <cellStyle name="Normal 2 14" xfId="2009" xr:uid="{00000000-0005-0000-0000-000098180000}"/>
    <cellStyle name="Normal 2 15" xfId="2010" xr:uid="{00000000-0005-0000-0000-000099180000}"/>
    <cellStyle name="Normal 2 16" xfId="2011" xr:uid="{00000000-0005-0000-0000-00009A180000}"/>
    <cellStyle name="Normal 2 17" xfId="2012" xr:uid="{00000000-0005-0000-0000-00009B180000}"/>
    <cellStyle name="Normal 2 18" xfId="2013" xr:uid="{00000000-0005-0000-0000-00009C180000}"/>
    <cellStyle name="Normal 2 19" xfId="2014" xr:uid="{00000000-0005-0000-0000-00009D180000}"/>
    <cellStyle name="Normal 2 2" xfId="2015" xr:uid="{00000000-0005-0000-0000-00009E180000}"/>
    <cellStyle name="Normal 2 20" xfId="2016" xr:uid="{00000000-0005-0000-0000-00009F180000}"/>
    <cellStyle name="Normal 2 21" xfId="2017" xr:uid="{00000000-0005-0000-0000-0000A0180000}"/>
    <cellStyle name="Normal 2 22" xfId="2018" xr:uid="{00000000-0005-0000-0000-0000A1180000}"/>
    <cellStyle name="Normal 2 23" xfId="2019" xr:uid="{00000000-0005-0000-0000-0000A2180000}"/>
    <cellStyle name="Normal 2 24" xfId="2020" xr:uid="{00000000-0005-0000-0000-0000A3180000}"/>
    <cellStyle name="Normal 2 25" xfId="2021" xr:uid="{00000000-0005-0000-0000-0000A4180000}"/>
    <cellStyle name="Normal 2 26" xfId="2022" xr:uid="{00000000-0005-0000-0000-0000A5180000}"/>
    <cellStyle name="Normal 2 27" xfId="2023" xr:uid="{00000000-0005-0000-0000-0000A6180000}"/>
    <cellStyle name="Normal 2 28" xfId="2024" xr:uid="{00000000-0005-0000-0000-0000A7180000}"/>
    <cellStyle name="Normal 2 29" xfId="2025" xr:uid="{00000000-0005-0000-0000-0000A8180000}"/>
    <cellStyle name="Normal 2 3" xfId="2026" xr:uid="{00000000-0005-0000-0000-0000A9180000}"/>
    <cellStyle name="Normal 2 3 2" xfId="2950" xr:uid="{00000000-0005-0000-0000-0000AA180000}"/>
    <cellStyle name="Normal 2 3 3" xfId="3002" xr:uid="{00000000-0005-0000-0000-0000AB180000}"/>
    <cellStyle name="Normal 2 30" xfId="2027" xr:uid="{00000000-0005-0000-0000-0000AC180000}"/>
    <cellStyle name="Normal 2 31" xfId="2028" xr:uid="{00000000-0005-0000-0000-0000AD180000}"/>
    <cellStyle name="Normal 2 32" xfId="2029" xr:uid="{00000000-0005-0000-0000-0000AE180000}"/>
    <cellStyle name="Normal 2 33" xfId="2030" xr:uid="{00000000-0005-0000-0000-0000AF180000}"/>
    <cellStyle name="Normal 2 34" xfId="2031" xr:uid="{00000000-0005-0000-0000-0000B0180000}"/>
    <cellStyle name="Normal 2 35" xfId="2032" xr:uid="{00000000-0005-0000-0000-0000B1180000}"/>
    <cellStyle name="Normal 2 35 2" xfId="2033" xr:uid="{00000000-0005-0000-0000-0000B2180000}"/>
    <cellStyle name="Normal 2 36" xfId="2034" xr:uid="{00000000-0005-0000-0000-0000B3180000}"/>
    <cellStyle name="Normal 2 37" xfId="2035" xr:uid="{00000000-0005-0000-0000-0000B4180000}"/>
    <cellStyle name="Normal 2 38" xfId="2036" xr:uid="{00000000-0005-0000-0000-0000B5180000}"/>
    <cellStyle name="Normal 2 39" xfId="2037" xr:uid="{00000000-0005-0000-0000-0000B6180000}"/>
    <cellStyle name="Normal 2 4" xfId="2038" xr:uid="{00000000-0005-0000-0000-0000B7180000}"/>
    <cellStyle name="Normal 2 40" xfId="2039" xr:uid="{00000000-0005-0000-0000-0000B8180000}"/>
    <cellStyle name="Normal 2 41" xfId="2040" xr:uid="{00000000-0005-0000-0000-0000B9180000}"/>
    <cellStyle name="Normal 2 42" xfId="2041" xr:uid="{00000000-0005-0000-0000-0000BA180000}"/>
    <cellStyle name="Normal 2 43" xfId="2042" xr:uid="{00000000-0005-0000-0000-0000BB180000}"/>
    <cellStyle name="Normal 2 44" xfId="2043" xr:uid="{00000000-0005-0000-0000-0000BC180000}"/>
    <cellStyle name="Normal 2 45" xfId="2044" xr:uid="{00000000-0005-0000-0000-0000BD180000}"/>
    <cellStyle name="Normal 2 46" xfId="2045" xr:uid="{00000000-0005-0000-0000-0000BE180000}"/>
    <cellStyle name="Normal 2 47" xfId="2894" xr:uid="{00000000-0005-0000-0000-0000BF180000}"/>
    <cellStyle name="Normal 2 48" xfId="2963" xr:uid="{00000000-0005-0000-0000-0000C0180000}"/>
    <cellStyle name="Normal 2 49" xfId="2977" xr:uid="{00000000-0005-0000-0000-0000C1180000}"/>
    <cellStyle name="Normal 2 5" xfId="2046" xr:uid="{00000000-0005-0000-0000-0000C2180000}"/>
    <cellStyle name="Normal 2 50" xfId="2984" xr:uid="{00000000-0005-0000-0000-0000C3180000}"/>
    <cellStyle name="Normal 2 51" xfId="3015" xr:uid="{00000000-0005-0000-0000-0000C4180000}"/>
    <cellStyle name="Normal 2 52" xfId="3019" xr:uid="{00000000-0005-0000-0000-0000C5180000}"/>
    <cellStyle name="Normal 2 53" xfId="3023" xr:uid="{00000000-0005-0000-0000-0000C6180000}"/>
    <cellStyle name="Normal 2 54" xfId="3044" xr:uid="{00000000-0005-0000-0000-0000C7180000}"/>
    <cellStyle name="Normal 2 6" xfId="2047" xr:uid="{00000000-0005-0000-0000-0000C8180000}"/>
    <cellStyle name="Normal 2 7" xfId="2048" xr:uid="{00000000-0005-0000-0000-0000C9180000}"/>
    <cellStyle name="Normal 2 8" xfId="2049" xr:uid="{00000000-0005-0000-0000-0000CA180000}"/>
    <cellStyle name="Normal 2 9" xfId="2050" xr:uid="{00000000-0005-0000-0000-0000CB180000}"/>
    <cellStyle name="Normal 20" xfId="2051" xr:uid="{00000000-0005-0000-0000-0000CC180000}"/>
    <cellStyle name="Normal- 20" xfId="2052" xr:uid="{00000000-0005-0000-0000-0000CD180000}"/>
    <cellStyle name="Normal 20 2" xfId="3112" xr:uid="{00000000-0005-0000-0000-0000CE180000}"/>
    <cellStyle name="Normal 20 3" xfId="3045" xr:uid="{00000000-0005-0000-0000-0000CF180000}"/>
    <cellStyle name="Normal 21" xfId="2053" xr:uid="{00000000-0005-0000-0000-0000D0180000}"/>
    <cellStyle name="Normal- 21" xfId="2054" xr:uid="{00000000-0005-0000-0000-0000D1180000}"/>
    <cellStyle name="Normal 21 2" xfId="3113" xr:uid="{00000000-0005-0000-0000-0000D2180000}"/>
    <cellStyle name="Normal 21 3" xfId="3046" xr:uid="{00000000-0005-0000-0000-0000D3180000}"/>
    <cellStyle name="Normal 22" xfId="2055" xr:uid="{00000000-0005-0000-0000-0000D4180000}"/>
    <cellStyle name="Normal- 22" xfId="2056" xr:uid="{00000000-0005-0000-0000-0000D5180000}"/>
    <cellStyle name="Normal 22 2" xfId="3114" xr:uid="{00000000-0005-0000-0000-0000D6180000}"/>
    <cellStyle name="Normal 22 3" xfId="3047" xr:uid="{00000000-0005-0000-0000-0000D7180000}"/>
    <cellStyle name="Normal 23" xfId="2057" xr:uid="{00000000-0005-0000-0000-0000D8180000}"/>
    <cellStyle name="Normal- 23" xfId="2058" xr:uid="{00000000-0005-0000-0000-0000D9180000}"/>
    <cellStyle name="Normal 23 2" xfId="3115" xr:uid="{00000000-0005-0000-0000-0000DA180000}"/>
    <cellStyle name="Normal 23 3" xfId="3048" xr:uid="{00000000-0005-0000-0000-0000DB180000}"/>
    <cellStyle name="Normal 24" xfId="2059" xr:uid="{00000000-0005-0000-0000-0000DC180000}"/>
    <cellStyle name="Normal- 24" xfId="2060" xr:uid="{00000000-0005-0000-0000-0000DD180000}"/>
    <cellStyle name="Normal 24 2" xfId="3116" xr:uid="{00000000-0005-0000-0000-0000DE180000}"/>
    <cellStyle name="Normal 24 3" xfId="3049" xr:uid="{00000000-0005-0000-0000-0000DF180000}"/>
    <cellStyle name="Normal 25" xfId="2061" xr:uid="{00000000-0005-0000-0000-0000E0180000}"/>
    <cellStyle name="Normal- 25" xfId="2062" xr:uid="{00000000-0005-0000-0000-0000E1180000}"/>
    <cellStyle name="Normal 25 2" xfId="3117" xr:uid="{00000000-0005-0000-0000-0000E2180000}"/>
    <cellStyle name="Normal 25 3" xfId="3050" xr:uid="{00000000-0005-0000-0000-0000E3180000}"/>
    <cellStyle name="Normal 26" xfId="2063" xr:uid="{00000000-0005-0000-0000-0000E4180000}"/>
    <cellStyle name="Normal- 26" xfId="2064" xr:uid="{00000000-0005-0000-0000-0000E5180000}"/>
    <cellStyle name="Normal 26 2" xfId="3118" xr:uid="{00000000-0005-0000-0000-0000E6180000}"/>
    <cellStyle name="Normal 26 3" xfId="3051" xr:uid="{00000000-0005-0000-0000-0000E7180000}"/>
    <cellStyle name="Normal 27" xfId="2065" xr:uid="{00000000-0005-0000-0000-0000E8180000}"/>
    <cellStyle name="Normal- 27" xfId="2066" xr:uid="{00000000-0005-0000-0000-0000E9180000}"/>
    <cellStyle name="Normal 27 2" xfId="3124" xr:uid="{00000000-0005-0000-0000-0000EA180000}"/>
    <cellStyle name="Normal 27 3" xfId="3062" xr:uid="{00000000-0005-0000-0000-0000EB180000}"/>
    <cellStyle name="Normal 28" xfId="2067" xr:uid="{00000000-0005-0000-0000-0000EC180000}"/>
    <cellStyle name="Normal- 28" xfId="2068" xr:uid="{00000000-0005-0000-0000-0000ED180000}"/>
    <cellStyle name="Normal 29" xfId="2069" xr:uid="{00000000-0005-0000-0000-0000EE180000}"/>
    <cellStyle name="Normal- 29" xfId="2070" xr:uid="{00000000-0005-0000-0000-0000EF180000}"/>
    <cellStyle name="Normal 3" xfId="2071" xr:uid="{00000000-0005-0000-0000-0000F0180000}"/>
    <cellStyle name="Normal- 3" xfId="2072" xr:uid="{00000000-0005-0000-0000-0000F1180000}"/>
    <cellStyle name="Normal 3 10" xfId="3052" xr:uid="{00000000-0005-0000-0000-0000F2180000}"/>
    <cellStyle name="Normal 3 2" xfId="2952" xr:uid="{00000000-0005-0000-0000-0000F3180000}"/>
    <cellStyle name="Normal 3 2 2" xfId="3004" xr:uid="{00000000-0005-0000-0000-0000F4180000}"/>
    <cellStyle name="Normal 3 3" xfId="2951" xr:uid="{00000000-0005-0000-0000-0000F5180000}"/>
    <cellStyle name="Normal 3 4" xfId="2972" xr:uid="{00000000-0005-0000-0000-0000F6180000}"/>
    <cellStyle name="Normal 3 5" xfId="2930" xr:uid="{00000000-0005-0000-0000-0000F7180000}"/>
    <cellStyle name="Normal 3 6" xfId="3003" xr:uid="{00000000-0005-0000-0000-0000F8180000}"/>
    <cellStyle name="Normal 3 7" xfId="2993" xr:uid="{00000000-0005-0000-0000-0000F9180000}"/>
    <cellStyle name="Normal 3 8" xfId="3007" xr:uid="{00000000-0005-0000-0000-0000FA180000}"/>
    <cellStyle name="Normal 3 9" xfId="2988" xr:uid="{00000000-0005-0000-0000-0000FB180000}"/>
    <cellStyle name="Normal 30" xfId="2073" xr:uid="{00000000-0005-0000-0000-0000FC180000}"/>
    <cellStyle name="Normal- 30" xfId="2074" xr:uid="{00000000-0005-0000-0000-0000FD180000}"/>
    <cellStyle name="Normal 31" xfId="2075" xr:uid="{00000000-0005-0000-0000-0000FE180000}"/>
    <cellStyle name="Normal- 31" xfId="2076" xr:uid="{00000000-0005-0000-0000-0000FF180000}"/>
    <cellStyle name="Normal 32" xfId="2077" xr:uid="{00000000-0005-0000-0000-000000190000}"/>
    <cellStyle name="Normal- 32" xfId="2078" xr:uid="{00000000-0005-0000-0000-000001190000}"/>
    <cellStyle name="Normal 33" xfId="2079" xr:uid="{00000000-0005-0000-0000-000002190000}"/>
    <cellStyle name="Normal- 33" xfId="2080" xr:uid="{00000000-0005-0000-0000-000003190000}"/>
    <cellStyle name="Normal 34" xfId="2081" xr:uid="{00000000-0005-0000-0000-000004190000}"/>
    <cellStyle name="Normal- 34" xfId="2082" xr:uid="{00000000-0005-0000-0000-000005190000}"/>
    <cellStyle name="Normal 35" xfId="2083" xr:uid="{00000000-0005-0000-0000-000006190000}"/>
    <cellStyle name="Normal- 35" xfId="2084" xr:uid="{00000000-0005-0000-0000-000007190000}"/>
    <cellStyle name="Normal 36" xfId="2085" xr:uid="{00000000-0005-0000-0000-000008190000}"/>
    <cellStyle name="Normal- 36" xfId="2086" xr:uid="{00000000-0005-0000-0000-000009190000}"/>
    <cellStyle name="Normal 37" xfId="2087" xr:uid="{00000000-0005-0000-0000-00000A190000}"/>
    <cellStyle name="Normal- 37" xfId="2088" xr:uid="{00000000-0005-0000-0000-00000B190000}"/>
    <cellStyle name="Normal 38" xfId="2089" xr:uid="{00000000-0005-0000-0000-00000C190000}"/>
    <cellStyle name="Normal- 38" xfId="2090" xr:uid="{00000000-0005-0000-0000-00000D190000}"/>
    <cellStyle name="Normal 39" xfId="2091" xr:uid="{00000000-0005-0000-0000-00000E190000}"/>
    <cellStyle name="Normal- 39" xfId="2092" xr:uid="{00000000-0005-0000-0000-00000F190000}"/>
    <cellStyle name="Normal 4" xfId="2093" xr:uid="{00000000-0005-0000-0000-000010190000}"/>
    <cellStyle name="Normal- 4" xfId="2094" xr:uid="{00000000-0005-0000-0000-000011190000}"/>
    <cellStyle name="Normal 4 2" xfId="2953" xr:uid="{00000000-0005-0000-0000-000012190000}"/>
    <cellStyle name="Normal 4 3" xfId="2973" xr:uid="{00000000-0005-0000-0000-000013190000}"/>
    <cellStyle name="Normal 4 4" xfId="2931" xr:uid="{00000000-0005-0000-0000-000014190000}"/>
    <cellStyle name="Normal 4 5" xfId="3005" xr:uid="{00000000-0005-0000-0000-000015190000}"/>
    <cellStyle name="Normal 4 6" xfId="2992" xr:uid="{00000000-0005-0000-0000-000016190000}"/>
    <cellStyle name="Normal 4 7" xfId="3010" xr:uid="{00000000-0005-0000-0000-000017190000}"/>
    <cellStyle name="Normal 4 8" xfId="2987" xr:uid="{00000000-0005-0000-0000-000018190000}"/>
    <cellStyle name="Normal 4 9" xfId="3053" xr:uid="{00000000-0005-0000-0000-000019190000}"/>
    <cellStyle name="Normal 40" xfId="2095" xr:uid="{00000000-0005-0000-0000-00001A190000}"/>
    <cellStyle name="Normal- 40" xfId="2096" xr:uid="{00000000-0005-0000-0000-00001B190000}"/>
    <cellStyle name="Normal 41" xfId="2097" xr:uid="{00000000-0005-0000-0000-00001C190000}"/>
    <cellStyle name="Normal- 41" xfId="2098" xr:uid="{00000000-0005-0000-0000-00001D190000}"/>
    <cellStyle name="Normal 42" xfId="2099" xr:uid="{00000000-0005-0000-0000-00001E190000}"/>
    <cellStyle name="Normal- 42" xfId="2100" xr:uid="{00000000-0005-0000-0000-00001F190000}"/>
    <cellStyle name="Normal 43" xfId="2101" xr:uid="{00000000-0005-0000-0000-000020190000}"/>
    <cellStyle name="Normal- 43" xfId="2102" xr:uid="{00000000-0005-0000-0000-000021190000}"/>
    <cellStyle name="Normal 44" xfId="2103" xr:uid="{00000000-0005-0000-0000-000022190000}"/>
    <cellStyle name="Normal- 44" xfId="2104" xr:uid="{00000000-0005-0000-0000-000023190000}"/>
    <cellStyle name="Normal 45" xfId="2105" xr:uid="{00000000-0005-0000-0000-000024190000}"/>
    <cellStyle name="Normal- 45" xfId="2106" xr:uid="{00000000-0005-0000-0000-000025190000}"/>
    <cellStyle name="Normal 46" xfId="2107" xr:uid="{00000000-0005-0000-0000-000026190000}"/>
    <cellStyle name="Normal- 46" xfId="2108" xr:uid="{00000000-0005-0000-0000-000027190000}"/>
    <cellStyle name="Normal 47" xfId="2109" xr:uid="{00000000-0005-0000-0000-000028190000}"/>
    <cellStyle name="Normal- 47" xfId="2110" xr:uid="{00000000-0005-0000-0000-000029190000}"/>
    <cellStyle name="Normal 48" xfId="2111" xr:uid="{00000000-0005-0000-0000-00002A190000}"/>
    <cellStyle name="Normal- 48" xfId="2112" xr:uid="{00000000-0005-0000-0000-00002B190000}"/>
    <cellStyle name="Normal 49" xfId="2113" xr:uid="{00000000-0005-0000-0000-00002C190000}"/>
    <cellStyle name="Normal- 49" xfId="2114" xr:uid="{00000000-0005-0000-0000-00002D190000}"/>
    <cellStyle name="Normal 5" xfId="2115" xr:uid="{00000000-0005-0000-0000-00002E190000}"/>
    <cellStyle name="Normal- 5" xfId="2116" xr:uid="{00000000-0005-0000-0000-00002F190000}"/>
    <cellStyle name="Normal 5 2" xfId="2954" xr:uid="{00000000-0005-0000-0000-000030190000}"/>
    <cellStyle name="Normal 5 2 2" xfId="3119" xr:uid="{00000000-0005-0000-0000-000031190000}"/>
    <cellStyle name="Normal 5 3" xfId="2974" xr:uid="{00000000-0005-0000-0000-000032190000}"/>
    <cellStyle name="Normal 5 3 2" xfId="3133" xr:uid="{00000000-0005-0000-0000-000033190000}"/>
    <cellStyle name="Normal 5 4" xfId="2934" xr:uid="{00000000-0005-0000-0000-000034190000}"/>
    <cellStyle name="Normal 5 4 2" xfId="3125" xr:uid="{00000000-0005-0000-0000-000035190000}"/>
    <cellStyle name="Normal 5 5" xfId="3006" xr:uid="{00000000-0005-0000-0000-000036190000}"/>
    <cellStyle name="Normal 5 5 2" xfId="3131" xr:uid="{00000000-0005-0000-0000-000037190000}"/>
    <cellStyle name="Normal 5 6" xfId="2991" xr:uid="{00000000-0005-0000-0000-000038190000}"/>
    <cellStyle name="Normal 5 7" xfId="3011" xr:uid="{00000000-0005-0000-0000-000039190000}"/>
    <cellStyle name="Normal 5 8" xfId="3014" xr:uid="{00000000-0005-0000-0000-00003A190000}"/>
    <cellStyle name="Normal 5 9" xfId="3054" xr:uid="{00000000-0005-0000-0000-00003B190000}"/>
    <cellStyle name="Normal 50" xfId="2117" xr:uid="{00000000-0005-0000-0000-00003C190000}"/>
    <cellStyle name="Normal- 50" xfId="2118" xr:uid="{00000000-0005-0000-0000-00003D190000}"/>
    <cellStyle name="Normal 51" xfId="2119" xr:uid="{00000000-0005-0000-0000-00003E190000}"/>
    <cellStyle name="Normal- 51" xfId="2120" xr:uid="{00000000-0005-0000-0000-00003F190000}"/>
    <cellStyle name="Normal 52" xfId="2121" xr:uid="{00000000-0005-0000-0000-000040190000}"/>
    <cellStyle name="Normal- 52" xfId="2122" xr:uid="{00000000-0005-0000-0000-000041190000}"/>
    <cellStyle name="Normal 53" xfId="2123" xr:uid="{00000000-0005-0000-0000-000042190000}"/>
    <cellStyle name="Normal- 53" xfId="2124" xr:uid="{00000000-0005-0000-0000-000043190000}"/>
    <cellStyle name="Normal 54" xfId="2125" xr:uid="{00000000-0005-0000-0000-000044190000}"/>
    <cellStyle name="Normal- 54" xfId="2126" xr:uid="{00000000-0005-0000-0000-000045190000}"/>
    <cellStyle name="Normal 55" xfId="2127" xr:uid="{00000000-0005-0000-0000-000046190000}"/>
    <cellStyle name="Normal- 55" xfId="2128" xr:uid="{00000000-0005-0000-0000-000047190000}"/>
    <cellStyle name="Normal 56" xfId="2129" xr:uid="{00000000-0005-0000-0000-000048190000}"/>
    <cellStyle name="Normal- 56" xfId="3033" xr:uid="{00000000-0005-0000-0000-000049190000}"/>
    <cellStyle name="Normal 57" xfId="2130" xr:uid="{00000000-0005-0000-0000-00004A190000}"/>
    <cellStyle name="Normal 58" xfId="2131" xr:uid="{00000000-0005-0000-0000-00004B190000}"/>
    <cellStyle name="Normal 59" xfId="2132" xr:uid="{00000000-0005-0000-0000-00004C190000}"/>
    <cellStyle name="Normal 6" xfId="2133" xr:uid="{00000000-0005-0000-0000-00004D190000}"/>
    <cellStyle name="Normal- 6" xfId="2134" xr:uid="{00000000-0005-0000-0000-00004E190000}"/>
    <cellStyle name="Normal 6 2" xfId="3120" xr:uid="{00000000-0005-0000-0000-00004F190000}"/>
    <cellStyle name="Normal 6 3" xfId="3132" xr:uid="{00000000-0005-0000-0000-000050190000}"/>
    <cellStyle name="Normal 6 4" xfId="3126" xr:uid="{00000000-0005-0000-0000-000051190000}"/>
    <cellStyle name="Normal 6 5" xfId="3130" xr:uid="{00000000-0005-0000-0000-000052190000}"/>
    <cellStyle name="Normal 6 6" xfId="3055" xr:uid="{00000000-0005-0000-0000-000053190000}"/>
    <cellStyle name="Normal 60" xfId="2135" xr:uid="{00000000-0005-0000-0000-000054190000}"/>
    <cellStyle name="Normal 61" xfId="2136" xr:uid="{00000000-0005-0000-0000-000055190000}"/>
    <cellStyle name="Normal 62" xfId="2137" xr:uid="{00000000-0005-0000-0000-000056190000}"/>
    <cellStyle name="Normal 63" xfId="2138" xr:uid="{00000000-0005-0000-0000-000057190000}"/>
    <cellStyle name="Normal 64" xfId="2139" xr:uid="{00000000-0005-0000-0000-000058190000}"/>
    <cellStyle name="Normal 65" xfId="2140" xr:uid="{00000000-0005-0000-0000-000059190000}"/>
    <cellStyle name="Normal 66" xfId="2141" xr:uid="{00000000-0005-0000-0000-00005A190000}"/>
    <cellStyle name="Normal 67" xfId="2142" xr:uid="{00000000-0005-0000-0000-00005B190000}"/>
    <cellStyle name="Normal 68" xfId="2143" xr:uid="{00000000-0005-0000-0000-00005C190000}"/>
    <cellStyle name="Normal 69" xfId="2144" xr:uid="{00000000-0005-0000-0000-00005D190000}"/>
    <cellStyle name="Normal 7" xfId="2145" xr:uid="{00000000-0005-0000-0000-00005E190000}"/>
    <cellStyle name="Normal- 7" xfId="2146" xr:uid="{00000000-0005-0000-0000-00005F190000}"/>
    <cellStyle name="Normal 7 2" xfId="2955" xr:uid="{00000000-0005-0000-0000-000060190000}"/>
    <cellStyle name="Normal 7 2 2" xfId="3121" xr:uid="{00000000-0005-0000-0000-000061190000}"/>
    <cellStyle name="Normal 7 3" xfId="2975" xr:uid="{00000000-0005-0000-0000-000062190000}"/>
    <cellStyle name="Normal 7 3 2" xfId="3127" xr:uid="{00000000-0005-0000-0000-000063190000}"/>
    <cellStyle name="Normal 7 4" xfId="2945" xr:uid="{00000000-0005-0000-0000-000064190000}"/>
    <cellStyle name="Normal 7 4 2" xfId="3129" xr:uid="{00000000-0005-0000-0000-000065190000}"/>
    <cellStyle name="Normal 7 5" xfId="3008" xr:uid="{00000000-0005-0000-0000-000066190000}"/>
    <cellStyle name="Normal 7 6" xfId="2990" xr:uid="{00000000-0005-0000-0000-000067190000}"/>
    <cellStyle name="Normal 7 7" xfId="3012" xr:uid="{00000000-0005-0000-0000-000068190000}"/>
    <cellStyle name="Normal 7 8" xfId="2986" xr:uid="{00000000-0005-0000-0000-000069190000}"/>
    <cellStyle name="Normal 7 9" xfId="3056" xr:uid="{00000000-0005-0000-0000-00006A190000}"/>
    <cellStyle name="Normal 70" xfId="2147" xr:uid="{00000000-0005-0000-0000-00006B190000}"/>
    <cellStyle name="Normal 71" xfId="2148" xr:uid="{00000000-0005-0000-0000-00006C190000}"/>
    <cellStyle name="Normal 72" xfId="2149" xr:uid="{00000000-0005-0000-0000-00006D190000}"/>
    <cellStyle name="Normal 73" xfId="2150" xr:uid="{00000000-0005-0000-0000-00006E190000}"/>
    <cellStyle name="Normal 74" xfId="2151" xr:uid="{00000000-0005-0000-0000-00006F190000}"/>
    <cellStyle name="Normal 75" xfId="2152" xr:uid="{00000000-0005-0000-0000-000070190000}"/>
    <cellStyle name="Normal 76" xfId="2153" xr:uid="{00000000-0005-0000-0000-000071190000}"/>
    <cellStyle name="Normal 77" xfId="2154" xr:uid="{00000000-0005-0000-0000-000072190000}"/>
    <cellStyle name="Normal 78" xfId="2155" xr:uid="{00000000-0005-0000-0000-000073190000}"/>
    <cellStyle name="Normal 79" xfId="2156" xr:uid="{00000000-0005-0000-0000-000074190000}"/>
    <cellStyle name="Normal 8" xfId="2157" xr:uid="{00000000-0005-0000-0000-000075190000}"/>
    <cellStyle name="Normal- 8" xfId="2158" xr:uid="{00000000-0005-0000-0000-000076190000}"/>
    <cellStyle name="Normal 8 2" xfId="2956" xr:uid="{00000000-0005-0000-0000-000077190000}"/>
    <cellStyle name="Normal 8 2 2" xfId="3122" xr:uid="{00000000-0005-0000-0000-000078190000}"/>
    <cellStyle name="Normal 8 3" xfId="2976" xr:uid="{00000000-0005-0000-0000-000079190000}"/>
    <cellStyle name="Normal 8 3 2" xfId="3128" xr:uid="{00000000-0005-0000-0000-00007A190000}"/>
    <cellStyle name="Normal 8 4" xfId="2947" xr:uid="{00000000-0005-0000-0000-00007B190000}"/>
    <cellStyle name="Normal 8 5" xfId="3009" xr:uid="{00000000-0005-0000-0000-00007C190000}"/>
    <cellStyle name="Normal 8 6" xfId="2989" xr:uid="{00000000-0005-0000-0000-00007D190000}"/>
    <cellStyle name="Normal 8 7" xfId="3013" xr:uid="{00000000-0005-0000-0000-00007E190000}"/>
    <cellStyle name="Normal 8 8" xfId="2985" xr:uid="{00000000-0005-0000-0000-00007F190000}"/>
    <cellStyle name="Normal 8 9" xfId="3057" xr:uid="{00000000-0005-0000-0000-000080190000}"/>
    <cellStyle name="Normal 80" xfId="2159" xr:uid="{00000000-0005-0000-0000-000081190000}"/>
    <cellStyle name="Normal 81" xfId="2160" xr:uid="{00000000-0005-0000-0000-000082190000}"/>
    <cellStyle name="Normal 82" xfId="2161" xr:uid="{00000000-0005-0000-0000-000083190000}"/>
    <cellStyle name="Normal 83" xfId="2162" xr:uid="{00000000-0005-0000-0000-000084190000}"/>
    <cellStyle name="Normal 84" xfId="2163" xr:uid="{00000000-0005-0000-0000-000085190000}"/>
    <cellStyle name="Normal 85" xfId="2164" xr:uid="{00000000-0005-0000-0000-000086190000}"/>
    <cellStyle name="Normal 86" xfId="2165" xr:uid="{00000000-0005-0000-0000-000087190000}"/>
    <cellStyle name="Normal 87" xfId="2166" xr:uid="{00000000-0005-0000-0000-000088190000}"/>
    <cellStyle name="Normal 87 2" xfId="2167" xr:uid="{00000000-0005-0000-0000-000089190000}"/>
    <cellStyle name="Normal 88" xfId="2168" xr:uid="{00000000-0005-0000-0000-00008A190000}"/>
    <cellStyle name="Normal 89" xfId="2169" xr:uid="{00000000-0005-0000-0000-00008B190000}"/>
    <cellStyle name="Normal 9" xfId="2170" xr:uid="{00000000-0005-0000-0000-00008C190000}"/>
    <cellStyle name="Normal- 9" xfId="2171" xr:uid="{00000000-0005-0000-0000-00008D190000}"/>
    <cellStyle name="Normal 9 2" xfId="3123" xr:uid="{00000000-0005-0000-0000-00008E190000}"/>
    <cellStyle name="Normal 9 3" xfId="3058" xr:uid="{00000000-0005-0000-0000-00008F190000}"/>
    <cellStyle name="Normal 90" xfId="2172" xr:uid="{00000000-0005-0000-0000-000090190000}"/>
    <cellStyle name="Normal 91" xfId="2173" xr:uid="{00000000-0005-0000-0000-000091190000}"/>
    <cellStyle name="Normal 92" xfId="2174" xr:uid="{00000000-0005-0000-0000-000092190000}"/>
    <cellStyle name="Normal 93" xfId="2175" xr:uid="{00000000-0005-0000-0000-000093190000}"/>
    <cellStyle name="Normal 94" xfId="2176" xr:uid="{00000000-0005-0000-0000-000094190000}"/>
    <cellStyle name="Normal 95" xfId="2177" xr:uid="{00000000-0005-0000-0000-000095190000}"/>
    <cellStyle name="Normal 96" xfId="2178" xr:uid="{00000000-0005-0000-0000-000096190000}"/>
    <cellStyle name="Normal 97" xfId="2179" xr:uid="{00000000-0005-0000-0000-000097190000}"/>
    <cellStyle name="Normal 98" xfId="2180" xr:uid="{00000000-0005-0000-0000-000098190000}"/>
    <cellStyle name="Normal 99" xfId="2181" xr:uid="{00000000-0005-0000-0000-000099190000}"/>
    <cellStyle name="Normal Cells" xfId="2182" xr:uid="{00000000-0005-0000-0000-00009A190000}"/>
    <cellStyle name="Normal+1" xfId="3059" xr:uid="{00000000-0005-0000-0000-00009B190000}"/>
    <cellStyle name="Normal2" xfId="2183" xr:uid="{00000000-0005-0000-0000-00009C190000}"/>
    <cellStyle name="Normal2 2" xfId="2184" xr:uid="{00000000-0005-0000-0000-00009D190000}"/>
    <cellStyle name="Normale_Bourse" xfId="2185" xr:uid="{00000000-0005-0000-0000-00009E190000}"/>
    <cellStyle name="NormalGB" xfId="2186" xr:uid="{00000000-0005-0000-0000-00009F190000}"/>
    <cellStyle name="NormalGB 2" xfId="2187" xr:uid="{00000000-0005-0000-0000-0000A0190000}"/>
    <cellStyle name="NormalGB_PNR working 21" xfId="2188" xr:uid="{00000000-0005-0000-0000-0000A1190000}"/>
    <cellStyle name="Note 2" xfId="2189" xr:uid="{00000000-0005-0000-0000-0000A2190000}"/>
    <cellStyle name="Note 2 2" xfId="2190" xr:uid="{00000000-0005-0000-0000-0000A3190000}"/>
    <cellStyle name="Notes" xfId="2957" xr:uid="{00000000-0005-0000-0000-0000A4190000}"/>
    <cellStyle name="number" xfId="2191" xr:uid="{00000000-0005-0000-0000-0000A5190000}"/>
    <cellStyle name="Number 2" xfId="3088" xr:uid="{00000000-0005-0000-0000-0000A6190000}"/>
    <cellStyle name="number2" xfId="2192" xr:uid="{00000000-0005-0000-0000-0000A7190000}"/>
    <cellStyle name="Numbers" xfId="2193" xr:uid="{00000000-0005-0000-0000-0000A8190000}"/>
    <cellStyle name="Numbers - Bold" xfId="2194" xr:uid="{00000000-0005-0000-0000-0000A9190000}"/>
    <cellStyle name="Numbers - Bold - Italic" xfId="2195" xr:uid="{00000000-0005-0000-0000-0000AA190000}"/>
    <cellStyle name="Numbers - Bold - Italic 2" xfId="3089" xr:uid="{00000000-0005-0000-0000-0000AB190000}"/>
    <cellStyle name="Numbers - Bold_Blend" xfId="2879" xr:uid="{00000000-0005-0000-0000-0000AC190000}"/>
    <cellStyle name="Numbers - Large" xfId="2196" xr:uid="{00000000-0005-0000-0000-0000AD190000}"/>
    <cellStyle name="Numbers_Comps" xfId="2197" xr:uid="{00000000-0005-0000-0000-0000AE190000}"/>
    <cellStyle name="Original L1" xfId="2198" xr:uid="{00000000-0005-0000-0000-0000AF190000}"/>
    <cellStyle name="Original L2" xfId="2199" xr:uid="{00000000-0005-0000-0000-0000B0190000}"/>
    <cellStyle name="Original L3" xfId="2200" xr:uid="{00000000-0005-0000-0000-0000B1190000}"/>
    <cellStyle name="Original Space" xfId="2201" xr:uid="{00000000-0005-0000-0000-0000B2190000}"/>
    <cellStyle name="OSW_ColumnLabels" xfId="2880" xr:uid="{00000000-0005-0000-0000-0000B3190000}"/>
    <cellStyle name="Output 2" xfId="2202" xr:uid="{00000000-0005-0000-0000-0000B4190000}"/>
    <cellStyle name="Output 2 2" xfId="2203" xr:uid="{00000000-0005-0000-0000-0000B5190000}"/>
    <cellStyle name="P/E" xfId="2204" xr:uid="{00000000-0005-0000-0000-0000B6190000}"/>
    <cellStyle name="P/E 2" xfId="2205" xr:uid="{00000000-0005-0000-0000-0000B7190000}"/>
    <cellStyle name="P/E 3" xfId="2206" xr:uid="{00000000-0005-0000-0000-0000B8190000}"/>
    <cellStyle name="Page" xfId="2881" xr:uid="{00000000-0005-0000-0000-0000B9190000}"/>
    <cellStyle name="Page header" xfId="2207" xr:uid="{00000000-0005-0000-0000-0000BA190000}"/>
    <cellStyle name="Page Heading Large" xfId="2208" xr:uid="{00000000-0005-0000-0000-0000BB190000}"/>
    <cellStyle name="Page Heading Small" xfId="2209" xr:uid="{00000000-0005-0000-0000-0000BC190000}"/>
    <cellStyle name="Page Number" xfId="2210" xr:uid="{00000000-0005-0000-0000-0000BD190000}"/>
    <cellStyle name="Palatino" xfId="2211" xr:uid="{00000000-0005-0000-0000-0000BE190000}"/>
    <cellStyle name="pe" xfId="2212" xr:uid="{00000000-0005-0000-0000-0000BF190000}"/>
    <cellStyle name="PE Multiple" xfId="2213" xr:uid="{00000000-0005-0000-0000-0000C0190000}"/>
    <cellStyle name="PE Multiple 2" xfId="2214" xr:uid="{00000000-0005-0000-0000-0000C1190000}"/>
    <cellStyle name="PE Multiple 3" xfId="2215" xr:uid="{00000000-0005-0000-0000-0000C2190000}"/>
    <cellStyle name="PE/LTGR" xfId="2216" xr:uid="{00000000-0005-0000-0000-0000C3190000}"/>
    <cellStyle name="PE/LTGR 2" xfId="2217" xr:uid="{00000000-0005-0000-0000-0000C4190000}"/>
    <cellStyle name="PEG" xfId="2218" xr:uid="{00000000-0005-0000-0000-0000C5190000}"/>
    <cellStyle name="Per aandeel" xfId="2219" xr:uid="{00000000-0005-0000-0000-0000C6190000}"/>
    <cellStyle name="Per aandeel 2" xfId="2220" xr:uid="{00000000-0005-0000-0000-0000C7190000}"/>
    <cellStyle name="Per aandeel_PNR working 21" xfId="2221" xr:uid="{00000000-0005-0000-0000-0000C8190000}"/>
    <cellStyle name="Percent" xfId="2222" builtinId="5"/>
    <cellStyle name="Percent [0]" xfId="2223" xr:uid="{00000000-0005-0000-0000-0000CA190000}"/>
    <cellStyle name="Percent [00]" xfId="2224" xr:uid="{00000000-0005-0000-0000-0000CB190000}"/>
    <cellStyle name="Percent [1]" xfId="2225" xr:uid="{00000000-0005-0000-0000-0000CC190000}"/>
    <cellStyle name="Percent [1] 2" xfId="2226" xr:uid="{00000000-0005-0000-0000-0000CD190000}"/>
    <cellStyle name="Percent [1] 3" xfId="2227" xr:uid="{00000000-0005-0000-0000-0000CE190000}"/>
    <cellStyle name="Percent [2]" xfId="2228" xr:uid="{00000000-0005-0000-0000-0000CF190000}"/>
    <cellStyle name="Percent [2] 2" xfId="2229" xr:uid="{00000000-0005-0000-0000-0000D0190000}"/>
    <cellStyle name="Percent 10" xfId="2230" xr:uid="{00000000-0005-0000-0000-0000D1190000}"/>
    <cellStyle name="Percent 100" xfId="2231" xr:uid="{00000000-0005-0000-0000-0000D2190000}"/>
    <cellStyle name="Percent 101" xfId="2232" xr:uid="{00000000-0005-0000-0000-0000D3190000}"/>
    <cellStyle name="Percent 102" xfId="2233" xr:uid="{00000000-0005-0000-0000-0000D4190000}"/>
    <cellStyle name="Percent 103" xfId="2234" xr:uid="{00000000-0005-0000-0000-0000D5190000}"/>
    <cellStyle name="Percent 104" xfId="2235" xr:uid="{00000000-0005-0000-0000-0000D6190000}"/>
    <cellStyle name="Percent 105" xfId="2236" xr:uid="{00000000-0005-0000-0000-0000D7190000}"/>
    <cellStyle name="Percent 106" xfId="2237" xr:uid="{00000000-0005-0000-0000-0000D8190000}"/>
    <cellStyle name="Percent 107" xfId="2238" xr:uid="{00000000-0005-0000-0000-0000D9190000}"/>
    <cellStyle name="Percent 108" xfId="2239" xr:uid="{00000000-0005-0000-0000-0000DA190000}"/>
    <cellStyle name="Percent 109" xfId="2892" xr:uid="{00000000-0005-0000-0000-0000DB190000}"/>
    <cellStyle name="Percent 11" xfId="2240" xr:uid="{00000000-0005-0000-0000-0000DC190000}"/>
    <cellStyle name="Percent 110" xfId="2966" xr:uid="{00000000-0005-0000-0000-0000DD190000}"/>
    <cellStyle name="Percent 111" xfId="2979" xr:uid="{00000000-0005-0000-0000-0000DE190000}"/>
    <cellStyle name="Percent 112" xfId="2982" xr:uid="{00000000-0005-0000-0000-0000DF190000}"/>
    <cellStyle name="Percent 113" xfId="3017" xr:uid="{00000000-0005-0000-0000-0000E0190000}"/>
    <cellStyle name="Percent 114" xfId="3021" xr:uid="{00000000-0005-0000-0000-0000E1190000}"/>
    <cellStyle name="Percent 115" xfId="3025" xr:uid="{00000000-0005-0000-0000-0000E2190000}"/>
    <cellStyle name="Percent 116" xfId="3135" xr:uid="{00000000-0005-0000-0000-0000E3190000}"/>
    <cellStyle name="Percent 117" xfId="3060" xr:uid="{00000000-0005-0000-0000-0000E4190000}"/>
    <cellStyle name="Percent 118" xfId="3138" xr:uid="{00000000-0005-0000-0000-0000E5190000}"/>
    <cellStyle name="Percent 119" xfId="7085" xr:uid="{00000000-0005-0000-0000-0000E6190000}"/>
    <cellStyle name="Percent 12" xfId="2241" xr:uid="{00000000-0005-0000-0000-0000E7190000}"/>
    <cellStyle name="Percent 121" xfId="7017" xr:uid="{00000000-0005-0000-0000-0000E8190000}"/>
    <cellStyle name="Percent 13" xfId="2242" xr:uid="{00000000-0005-0000-0000-0000E9190000}"/>
    <cellStyle name="Percent 14" xfId="2243" xr:uid="{00000000-0005-0000-0000-0000EA190000}"/>
    <cellStyle name="Percent 15" xfId="2244" xr:uid="{00000000-0005-0000-0000-0000EB190000}"/>
    <cellStyle name="Percent 16" xfId="2245" xr:uid="{00000000-0005-0000-0000-0000EC190000}"/>
    <cellStyle name="Percent 17" xfId="2246" xr:uid="{00000000-0005-0000-0000-0000ED190000}"/>
    <cellStyle name="Percent 18" xfId="2247" xr:uid="{00000000-0005-0000-0000-0000EE190000}"/>
    <cellStyle name="Percent 19" xfId="2248" xr:uid="{00000000-0005-0000-0000-0000EF190000}"/>
    <cellStyle name="Percent 2" xfId="2249" xr:uid="{00000000-0005-0000-0000-0000F0190000}"/>
    <cellStyle name="Percent 2 2" xfId="2250" xr:uid="{00000000-0005-0000-0000-0000F1190000}"/>
    <cellStyle name="Percent 2 3" xfId="2895" xr:uid="{00000000-0005-0000-0000-0000F2190000}"/>
    <cellStyle name="Percent 2 4" xfId="3061" xr:uid="{00000000-0005-0000-0000-0000F3190000}"/>
    <cellStyle name="Percent 20" xfId="2251" xr:uid="{00000000-0005-0000-0000-0000F4190000}"/>
    <cellStyle name="Percent 21" xfId="2252" xr:uid="{00000000-0005-0000-0000-0000F5190000}"/>
    <cellStyle name="Percent 22" xfId="2253" xr:uid="{00000000-0005-0000-0000-0000F6190000}"/>
    <cellStyle name="Percent 23" xfId="2254" xr:uid="{00000000-0005-0000-0000-0000F7190000}"/>
    <cellStyle name="Percent 24" xfId="2255" xr:uid="{00000000-0005-0000-0000-0000F8190000}"/>
    <cellStyle name="Percent 25" xfId="2256" xr:uid="{00000000-0005-0000-0000-0000F9190000}"/>
    <cellStyle name="Percent 26" xfId="2257" xr:uid="{00000000-0005-0000-0000-0000FA190000}"/>
    <cellStyle name="Percent 27" xfId="2258" xr:uid="{00000000-0005-0000-0000-0000FB190000}"/>
    <cellStyle name="Percent 28" xfId="2259" xr:uid="{00000000-0005-0000-0000-0000FC190000}"/>
    <cellStyle name="Percent 29" xfId="2260" xr:uid="{00000000-0005-0000-0000-0000FD190000}"/>
    <cellStyle name="Percent 3" xfId="2261" xr:uid="{00000000-0005-0000-0000-0000FE190000}"/>
    <cellStyle name="Percent 3 2" xfId="2262" xr:uid="{00000000-0005-0000-0000-0000FF190000}"/>
    <cellStyle name="Percent 3 3" xfId="2958" xr:uid="{00000000-0005-0000-0000-0000001A0000}"/>
    <cellStyle name="Percent 30" xfId="2263" xr:uid="{00000000-0005-0000-0000-0000011A0000}"/>
    <cellStyle name="Percent 31" xfId="2264" xr:uid="{00000000-0005-0000-0000-0000021A0000}"/>
    <cellStyle name="Percent 32" xfId="2265" xr:uid="{00000000-0005-0000-0000-0000031A0000}"/>
    <cellStyle name="Percent 33" xfId="2266" xr:uid="{00000000-0005-0000-0000-0000041A0000}"/>
    <cellStyle name="Percent 34" xfId="2267" xr:uid="{00000000-0005-0000-0000-0000051A0000}"/>
    <cellStyle name="Percent 35" xfId="2268" xr:uid="{00000000-0005-0000-0000-0000061A0000}"/>
    <cellStyle name="Percent 36" xfId="2269" xr:uid="{00000000-0005-0000-0000-0000071A0000}"/>
    <cellStyle name="Percent 37" xfId="2270" xr:uid="{00000000-0005-0000-0000-0000081A0000}"/>
    <cellStyle name="Percent 38" xfId="2271" xr:uid="{00000000-0005-0000-0000-0000091A0000}"/>
    <cellStyle name="Percent 39" xfId="2272" xr:uid="{00000000-0005-0000-0000-00000A1A0000}"/>
    <cellStyle name="Percent 4" xfId="2273" xr:uid="{00000000-0005-0000-0000-00000B1A0000}"/>
    <cellStyle name="Percent 40" xfId="2274" xr:uid="{00000000-0005-0000-0000-00000C1A0000}"/>
    <cellStyle name="Percent 41" xfId="2275" xr:uid="{00000000-0005-0000-0000-00000D1A0000}"/>
    <cellStyle name="Percent 42" xfId="2276" xr:uid="{00000000-0005-0000-0000-00000E1A0000}"/>
    <cellStyle name="Percent 43" xfId="2277" xr:uid="{00000000-0005-0000-0000-00000F1A0000}"/>
    <cellStyle name="Percent 44" xfId="2278" xr:uid="{00000000-0005-0000-0000-0000101A0000}"/>
    <cellStyle name="Percent 45" xfId="2279" xr:uid="{00000000-0005-0000-0000-0000111A0000}"/>
    <cellStyle name="Percent 46" xfId="2280" xr:uid="{00000000-0005-0000-0000-0000121A0000}"/>
    <cellStyle name="Percent 47" xfId="2281" xr:uid="{00000000-0005-0000-0000-0000131A0000}"/>
    <cellStyle name="Percent 47 2" xfId="2282" xr:uid="{00000000-0005-0000-0000-0000141A0000}"/>
    <cellStyle name="Percent 48" xfId="2283" xr:uid="{00000000-0005-0000-0000-0000151A0000}"/>
    <cellStyle name="Percent 49" xfId="2284" xr:uid="{00000000-0005-0000-0000-0000161A0000}"/>
    <cellStyle name="Percent 5" xfId="2285" xr:uid="{00000000-0005-0000-0000-0000171A0000}"/>
    <cellStyle name="Percent 50" xfId="2286" xr:uid="{00000000-0005-0000-0000-0000181A0000}"/>
    <cellStyle name="Percent 51" xfId="2287" xr:uid="{00000000-0005-0000-0000-0000191A0000}"/>
    <cellStyle name="Percent 52" xfId="2288" xr:uid="{00000000-0005-0000-0000-00001A1A0000}"/>
    <cellStyle name="Percent 53" xfId="2289" xr:uid="{00000000-0005-0000-0000-00001B1A0000}"/>
    <cellStyle name="Percent 54" xfId="2290" xr:uid="{00000000-0005-0000-0000-00001C1A0000}"/>
    <cellStyle name="Percent 55" xfId="2291" xr:uid="{00000000-0005-0000-0000-00001D1A0000}"/>
    <cellStyle name="Percent 56" xfId="2292" xr:uid="{00000000-0005-0000-0000-00001E1A0000}"/>
    <cellStyle name="Percent 57" xfId="2293" xr:uid="{00000000-0005-0000-0000-00001F1A0000}"/>
    <cellStyle name="Percent 58" xfId="2294" xr:uid="{00000000-0005-0000-0000-0000201A0000}"/>
    <cellStyle name="Percent 59" xfId="2295" xr:uid="{00000000-0005-0000-0000-0000211A0000}"/>
    <cellStyle name="Percent 6" xfId="2296" xr:uid="{00000000-0005-0000-0000-0000221A0000}"/>
    <cellStyle name="Percent 60" xfId="2297" xr:uid="{00000000-0005-0000-0000-0000231A0000}"/>
    <cellStyle name="Percent 61" xfId="2298" xr:uid="{00000000-0005-0000-0000-0000241A0000}"/>
    <cellStyle name="Percent 62" xfId="2299" xr:uid="{00000000-0005-0000-0000-0000251A0000}"/>
    <cellStyle name="Percent 63" xfId="2300" xr:uid="{00000000-0005-0000-0000-0000261A0000}"/>
    <cellStyle name="Percent 64" xfId="2301" xr:uid="{00000000-0005-0000-0000-0000271A0000}"/>
    <cellStyle name="Percent 65" xfId="2302" xr:uid="{00000000-0005-0000-0000-0000281A0000}"/>
    <cellStyle name="Percent 66" xfId="2303" xr:uid="{00000000-0005-0000-0000-0000291A0000}"/>
    <cellStyle name="Percent 67" xfId="2304" xr:uid="{00000000-0005-0000-0000-00002A1A0000}"/>
    <cellStyle name="Percent 68" xfId="2305" xr:uid="{00000000-0005-0000-0000-00002B1A0000}"/>
    <cellStyle name="Percent 69" xfId="2306" xr:uid="{00000000-0005-0000-0000-00002C1A0000}"/>
    <cellStyle name="Percent 7" xfId="2307" xr:uid="{00000000-0005-0000-0000-00002D1A0000}"/>
    <cellStyle name="Percent 70" xfId="2308" xr:uid="{00000000-0005-0000-0000-00002E1A0000}"/>
    <cellStyle name="Percent 71" xfId="2309" xr:uid="{00000000-0005-0000-0000-00002F1A0000}"/>
    <cellStyle name="Percent 72" xfId="2310" xr:uid="{00000000-0005-0000-0000-0000301A0000}"/>
    <cellStyle name="Percent 73" xfId="2311" xr:uid="{00000000-0005-0000-0000-0000311A0000}"/>
    <cellStyle name="Percent 74" xfId="2312" xr:uid="{00000000-0005-0000-0000-0000321A0000}"/>
    <cellStyle name="Percent 75" xfId="2313" xr:uid="{00000000-0005-0000-0000-0000331A0000}"/>
    <cellStyle name="Percent 76" xfId="2314" xr:uid="{00000000-0005-0000-0000-0000341A0000}"/>
    <cellStyle name="Percent 77" xfId="2315" xr:uid="{00000000-0005-0000-0000-0000351A0000}"/>
    <cellStyle name="Percent 78" xfId="2316" xr:uid="{00000000-0005-0000-0000-0000361A0000}"/>
    <cellStyle name="Percent 79" xfId="2317" xr:uid="{00000000-0005-0000-0000-0000371A0000}"/>
    <cellStyle name="Percent 8" xfId="2318" xr:uid="{00000000-0005-0000-0000-0000381A0000}"/>
    <cellStyle name="Percent 80" xfId="2319" xr:uid="{00000000-0005-0000-0000-0000391A0000}"/>
    <cellStyle name="Percent 81" xfId="2320" xr:uid="{00000000-0005-0000-0000-00003A1A0000}"/>
    <cellStyle name="Percent 82" xfId="2321" xr:uid="{00000000-0005-0000-0000-00003B1A0000}"/>
    <cellStyle name="Percent 83" xfId="2322" xr:uid="{00000000-0005-0000-0000-00003C1A0000}"/>
    <cellStyle name="Percent 84" xfId="2323" xr:uid="{00000000-0005-0000-0000-00003D1A0000}"/>
    <cellStyle name="Percent 85" xfId="2324" xr:uid="{00000000-0005-0000-0000-00003E1A0000}"/>
    <cellStyle name="Percent 86" xfId="2325" xr:uid="{00000000-0005-0000-0000-00003F1A0000}"/>
    <cellStyle name="Percent 87" xfId="2326" xr:uid="{00000000-0005-0000-0000-0000401A0000}"/>
    <cellStyle name="Percent 88" xfId="2327" xr:uid="{00000000-0005-0000-0000-0000411A0000}"/>
    <cellStyle name="Percent 89" xfId="2328" xr:uid="{00000000-0005-0000-0000-0000421A0000}"/>
    <cellStyle name="Percent 9" xfId="2329" xr:uid="{00000000-0005-0000-0000-0000431A0000}"/>
    <cellStyle name="Percent 90" xfId="2330" xr:uid="{00000000-0005-0000-0000-0000441A0000}"/>
    <cellStyle name="Percent 91" xfId="2331" xr:uid="{00000000-0005-0000-0000-0000451A0000}"/>
    <cellStyle name="Percent 92" xfId="2332" xr:uid="{00000000-0005-0000-0000-0000461A0000}"/>
    <cellStyle name="Percent 93" xfId="2333" xr:uid="{00000000-0005-0000-0000-0000471A0000}"/>
    <cellStyle name="Percent 94" xfId="2334" xr:uid="{00000000-0005-0000-0000-0000481A0000}"/>
    <cellStyle name="Percent 95" xfId="2335" xr:uid="{00000000-0005-0000-0000-0000491A0000}"/>
    <cellStyle name="Percent 96" xfId="2336" xr:uid="{00000000-0005-0000-0000-00004A1A0000}"/>
    <cellStyle name="Percent 97" xfId="2337" xr:uid="{00000000-0005-0000-0000-00004B1A0000}"/>
    <cellStyle name="Percent 98" xfId="2338" xr:uid="{00000000-0005-0000-0000-00004C1A0000}"/>
    <cellStyle name="Percent 99" xfId="2339" xr:uid="{00000000-0005-0000-0000-00004D1A0000}"/>
    <cellStyle name="Percent Hard" xfId="2340" xr:uid="{00000000-0005-0000-0000-00004E1A0000}"/>
    <cellStyle name="Percent Hard 2" xfId="2341" xr:uid="{00000000-0005-0000-0000-00004F1A0000}"/>
    <cellStyle name="Percent(1)" xfId="2342" xr:uid="{00000000-0005-0000-0000-0000501A0000}"/>
    <cellStyle name="Percent(1) 2" xfId="2343" xr:uid="{00000000-0005-0000-0000-0000511A0000}"/>
    <cellStyle name="Percent(1) 2 2" xfId="2344" xr:uid="{00000000-0005-0000-0000-0000521A0000}"/>
    <cellStyle name="Percent(1) 3" xfId="2345" xr:uid="{00000000-0005-0000-0000-0000531A0000}"/>
    <cellStyle name="Percent(3)" xfId="2346" xr:uid="{00000000-0005-0000-0000-0000541A0000}"/>
    <cellStyle name="Percent(3) 2" xfId="2347" xr:uid="{00000000-0005-0000-0000-0000551A0000}"/>
    <cellStyle name="Percent1" xfId="2348" xr:uid="{00000000-0005-0000-0000-0000561A0000}"/>
    <cellStyle name="Percent1 2" xfId="2349" xr:uid="{00000000-0005-0000-0000-0000571A0000}"/>
    <cellStyle name="percent3" xfId="2350" xr:uid="{00000000-0005-0000-0000-0000581A0000}"/>
    <cellStyle name="percent3 2" xfId="2351" xr:uid="{00000000-0005-0000-0000-0000591A0000}"/>
    <cellStyle name="Percentage" xfId="2352" xr:uid="{00000000-0005-0000-0000-00005A1A0000}"/>
    <cellStyle name="Percentage 2" xfId="3090" xr:uid="{00000000-0005-0000-0000-00005B1A0000}"/>
    <cellStyle name="PercentPresentation" xfId="2353" xr:uid="{00000000-0005-0000-0000-00005C1A0000}"/>
    <cellStyle name="PercentPresentation 2" xfId="2354" xr:uid="{00000000-0005-0000-0000-00005D1A0000}"/>
    <cellStyle name="PercentPresentation 3" xfId="2355" xr:uid="{00000000-0005-0000-0000-00005E1A0000}"/>
    <cellStyle name="PerShare" xfId="2356" xr:uid="{00000000-0005-0000-0000-00005F1A0000}"/>
    <cellStyle name="PerShare 2" xfId="2357" xr:uid="{00000000-0005-0000-0000-0000601A0000}"/>
    <cellStyle name="POPS" xfId="2358" xr:uid="{00000000-0005-0000-0000-0000611A0000}"/>
    <cellStyle name="POPS 2" xfId="2359" xr:uid="{00000000-0005-0000-0000-0000621A0000}"/>
    <cellStyle name="POPS 3" xfId="2360" xr:uid="{00000000-0005-0000-0000-0000631A0000}"/>
    <cellStyle name="pound" xfId="2361" xr:uid="{00000000-0005-0000-0000-0000641A0000}"/>
    <cellStyle name="pound 2" xfId="2362" xr:uid="{00000000-0005-0000-0000-0000651A0000}"/>
    <cellStyle name="pound 3" xfId="2363" xr:uid="{00000000-0005-0000-0000-0000661A0000}"/>
    <cellStyle name="pound_PNR working 21" xfId="2364" xr:uid="{00000000-0005-0000-0000-0000671A0000}"/>
    <cellStyle name="Ppefce" xfId="2365" xr:uid="{00000000-0005-0000-0000-0000681A0000}"/>
    <cellStyle name="PrePop Currency (0)" xfId="2366" xr:uid="{00000000-0005-0000-0000-0000691A0000}"/>
    <cellStyle name="PrePop Currency (2)" xfId="2367" xr:uid="{00000000-0005-0000-0000-00006A1A0000}"/>
    <cellStyle name="PrePop Units (0)" xfId="2368" xr:uid="{00000000-0005-0000-0000-00006B1A0000}"/>
    <cellStyle name="PrePop Units (1)" xfId="2369" xr:uid="{00000000-0005-0000-0000-00006C1A0000}"/>
    <cellStyle name="PrePop Units (2)" xfId="2370" xr:uid="{00000000-0005-0000-0000-00006D1A0000}"/>
    <cellStyle name="Presentation" xfId="2371" xr:uid="{00000000-0005-0000-0000-00006E1A0000}"/>
    <cellStyle name="Presentation 2" xfId="2372" xr:uid="{00000000-0005-0000-0000-00006F1A0000}"/>
    <cellStyle name="Presentation 3" xfId="2373" xr:uid="{00000000-0005-0000-0000-0000701A0000}"/>
    <cellStyle name="Presentation_PNR working 21" xfId="2374" xr:uid="{00000000-0005-0000-0000-0000711A0000}"/>
    <cellStyle name="PresentationZero" xfId="2375" xr:uid="{00000000-0005-0000-0000-0000721A0000}"/>
    <cellStyle name="PresentationZero 2" xfId="2376" xr:uid="{00000000-0005-0000-0000-0000731A0000}"/>
    <cellStyle name="Price" xfId="2377" xr:uid="{00000000-0005-0000-0000-0000741A0000}"/>
    <cellStyle name="Price 2" xfId="3091" xr:uid="{00000000-0005-0000-0000-0000751A0000}"/>
    <cellStyle name="PriceDecimal" xfId="2378" xr:uid="{00000000-0005-0000-0000-0000761A0000}"/>
    <cellStyle name="Procenten" xfId="2379" xr:uid="{00000000-0005-0000-0000-0000771A0000}"/>
    <cellStyle name="Procenten 2" xfId="2380" xr:uid="{00000000-0005-0000-0000-0000781A0000}"/>
    <cellStyle name="Procenten estimate" xfId="2381" xr:uid="{00000000-0005-0000-0000-0000791A0000}"/>
    <cellStyle name="Procenten estimate 2" xfId="2382" xr:uid="{00000000-0005-0000-0000-00007A1A0000}"/>
    <cellStyle name="Procenten estimate_PNR working 21" xfId="2383" xr:uid="{00000000-0005-0000-0000-00007B1A0000}"/>
    <cellStyle name="Procenten_EMI" xfId="2384" xr:uid="{00000000-0005-0000-0000-00007C1A0000}"/>
    <cellStyle name="prot" xfId="2882" xr:uid="{00000000-0005-0000-0000-00007D1A0000}"/>
    <cellStyle name="PSChar" xfId="2385" xr:uid="{00000000-0005-0000-0000-00007E1A0000}"/>
    <cellStyle name="PSDate" xfId="2386" xr:uid="{00000000-0005-0000-0000-00007F1A0000}"/>
    <cellStyle name="PSDec" xfId="2387" xr:uid="{00000000-0005-0000-0000-0000801A0000}"/>
    <cellStyle name="PSHeading" xfId="2388" xr:uid="{00000000-0005-0000-0000-0000811A0000}"/>
    <cellStyle name="PSInt" xfId="2389" xr:uid="{00000000-0005-0000-0000-0000821A0000}"/>
    <cellStyle name="PSSpacer" xfId="2390" xr:uid="{00000000-0005-0000-0000-0000831A0000}"/>
    <cellStyle name="Public Market Value of Selected Real Estate Companies" xfId="2391" xr:uid="{00000000-0005-0000-0000-0000841A0000}"/>
    <cellStyle name="Punto" xfId="2883" xr:uid="{00000000-0005-0000-0000-0000851A0000}"/>
    <cellStyle name="q" xfId="2392" xr:uid="{00000000-0005-0000-0000-0000861A0000}"/>
    <cellStyle name="QEPS-h" xfId="2393" xr:uid="{00000000-0005-0000-0000-0000871A0000}"/>
    <cellStyle name="QEPS-H1" xfId="2394" xr:uid="{00000000-0005-0000-0000-0000881A0000}"/>
    <cellStyle name="QEPS-H1 2" xfId="2395" xr:uid="{00000000-0005-0000-0000-0000891A0000}"/>
    <cellStyle name="qRange" xfId="2396" xr:uid="{00000000-0005-0000-0000-00008A1A0000}"/>
    <cellStyle name="r" xfId="2397" xr:uid="{00000000-0005-0000-0000-00008B1A0000}"/>
    <cellStyle name="r 2" xfId="3092" xr:uid="{00000000-0005-0000-0000-00008C1A0000}"/>
    <cellStyle name="r_newmrgr" xfId="2398" xr:uid="{00000000-0005-0000-0000-00008D1A0000}"/>
    <cellStyle name="r_pldt" xfId="2399" xr:uid="{00000000-0005-0000-0000-00008E1A0000}"/>
    <cellStyle name="range" xfId="2400" xr:uid="{00000000-0005-0000-0000-00008F1A0000}"/>
    <cellStyle name="red" xfId="2401" xr:uid="{00000000-0005-0000-0000-0000901A0000}"/>
    <cellStyle name="Report" xfId="2402" xr:uid="{00000000-0005-0000-0000-0000911A0000}"/>
    <cellStyle name="Report 2" xfId="2403" xr:uid="{00000000-0005-0000-0000-0000921A0000}"/>
    <cellStyle name="Report 3" xfId="2404" xr:uid="{00000000-0005-0000-0000-0000931A0000}"/>
    <cellStyle name="results" xfId="2405" xr:uid="{00000000-0005-0000-0000-0000941A0000}"/>
    <cellStyle name="results 2" xfId="2406" xr:uid="{00000000-0005-0000-0000-0000951A0000}"/>
    <cellStyle name="results_PNR working 21" xfId="2407" xr:uid="{00000000-0005-0000-0000-0000961A0000}"/>
    <cellStyle name="Reuters Cells" xfId="2408" xr:uid="{00000000-0005-0000-0000-0000971A0000}"/>
    <cellStyle name="Reuters Cells 2" xfId="2409" xr:uid="{00000000-0005-0000-0000-0000981A0000}"/>
    <cellStyle name="RevList" xfId="2410" xr:uid="{00000000-0005-0000-0000-0000991A0000}"/>
    <cellStyle name="Right" xfId="2411" xr:uid="{00000000-0005-0000-0000-00009A1A0000}"/>
    <cellStyle name="s" xfId="2884" xr:uid="{00000000-0005-0000-0000-00009B1A0000}"/>
    <cellStyle name="Salomon Logo" xfId="2412" xr:uid="{00000000-0005-0000-0000-00009C1A0000}"/>
    <cellStyle name="Shade" xfId="2413" xr:uid="{00000000-0005-0000-0000-00009D1A0000}"/>
    <cellStyle name="Shade 2" xfId="2414" xr:uid="{00000000-0005-0000-0000-00009E1A0000}"/>
    <cellStyle name="Shaded" xfId="2415" xr:uid="{00000000-0005-0000-0000-00009F1A0000}"/>
    <cellStyle name="ShadedCells_Database" xfId="2416" xr:uid="{00000000-0005-0000-0000-0000A01A0000}"/>
    <cellStyle name="Share" xfId="2417" xr:uid="{00000000-0005-0000-0000-0000A11A0000}"/>
    <cellStyle name="Share 2" xfId="2418" xr:uid="{00000000-0005-0000-0000-0000A21A0000}"/>
    <cellStyle name="Share 2 2" xfId="2419" xr:uid="{00000000-0005-0000-0000-0000A31A0000}"/>
    <cellStyle name="Share 3" xfId="2420" xr:uid="{00000000-0005-0000-0000-0000A41A0000}"/>
    <cellStyle name="Share 3 2" xfId="2421" xr:uid="{00000000-0005-0000-0000-0000A51A0000}"/>
    <cellStyle name="Share 4" xfId="2422" xr:uid="{00000000-0005-0000-0000-0000A61A0000}"/>
    <cellStyle name="Shares" xfId="2423" xr:uid="{00000000-0005-0000-0000-0000A71A0000}"/>
    <cellStyle name="Shares 2" xfId="2424" xr:uid="{00000000-0005-0000-0000-0000A81A0000}"/>
    <cellStyle name="Shares 3" xfId="2425" xr:uid="{00000000-0005-0000-0000-0000A91A0000}"/>
    <cellStyle name="Shares_PNR working 21" xfId="2426" xr:uid="{00000000-0005-0000-0000-0000AA1A0000}"/>
    <cellStyle name="Sheet Title" xfId="2885" xr:uid="{00000000-0005-0000-0000-0000AB1A0000}"/>
    <cellStyle name="ShOut" xfId="2886" xr:uid="{00000000-0005-0000-0000-0000AC1A0000}"/>
    <cellStyle name="Source" xfId="2427" xr:uid="{00000000-0005-0000-0000-0000AD1A0000}"/>
    <cellStyle name="Space" xfId="2428" xr:uid="{00000000-0005-0000-0000-0000AE1A0000}"/>
    <cellStyle name="SS1000" xfId="2429" xr:uid="{00000000-0005-0000-0000-0000AF1A0000}"/>
    <cellStyle name="SS1000 2" xfId="2430" xr:uid="{00000000-0005-0000-0000-0000B01A0000}"/>
    <cellStyle name="Standard" xfId="2431" xr:uid="{00000000-0005-0000-0000-0000B11A0000}"/>
    <cellStyle name="Stock price" xfId="2432" xr:uid="{00000000-0005-0000-0000-0000B21A0000}"/>
    <cellStyle name="Stock price 2" xfId="2433" xr:uid="{00000000-0005-0000-0000-0000B31A0000}"/>
    <cellStyle name="Stock price 3" xfId="2434" xr:uid="{00000000-0005-0000-0000-0000B41A0000}"/>
    <cellStyle name="Stock price_PNR working 21" xfId="2435" xr:uid="{00000000-0005-0000-0000-0000B51A0000}"/>
    <cellStyle name="StockPrice" xfId="2436" xr:uid="{00000000-0005-0000-0000-0000B61A0000}"/>
    <cellStyle name="Style 1" xfId="2437" xr:uid="{00000000-0005-0000-0000-0000B71A0000}"/>
    <cellStyle name="Style 1 2" xfId="2438" xr:uid="{00000000-0005-0000-0000-0000B81A0000}"/>
    <cellStyle name="Style 2" xfId="2439" xr:uid="{00000000-0005-0000-0000-0000B91A0000}"/>
    <cellStyle name="Style 2 2" xfId="2440" xr:uid="{00000000-0005-0000-0000-0000BA1A0000}"/>
    <cellStyle name="Style 21" xfId="2441" xr:uid="{00000000-0005-0000-0000-0000BB1A0000}"/>
    <cellStyle name="Style 22" xfId="2442" xr:uid="{00000000-0005-0000-0000-0000BC1A0000}"/>
    <cellStyle name="Style 23" xfId="2443" xr:uid="{00000000-0005-0000-0000-0000BD1A0000}"/>
    <cellStyle name="Style 24" xfId="2444" xr:uid="{00000000-0005-0000-0000-0000BE1A0000}"/>
    <cellStyle name="Style 25" xfId="2445" xr:uid="{00000000-0005-0000-0000-0000BF1A0000}"/>
    <cellStyle name="Style 26" xfId="2446" xr:uid="{00000000-0005-0000-0000-0000C01A0000}"/>
    <cellStyle name="Style 27" xfId="2447" xr:uid="{00000000-0005-0000-0000-0000C11A0000}"/>
    <cellStyle name="Style 28" xfId="2448" xr:uid="{00000000-0005-0000-0000-0000C21A0000}"/>
    <cellStyle name="Style 29" xfId="2449" xr:uid="{00000000-0005-0000-0000-0000C31A0000}"/>
    <cellStyle name="Style 3" xfId="2450" xr:uid="{00000000-0005-0000-0000-0000C41A0000}"/>
    <cellStyle name="Style 3 2" xfId="2451" xr:uid="{00000000-0005-0000-0000-0000C51A0000}"/>
    <cellStyle name="Style 30" xfId="2452" xr:uid="{00000000-0005-0000-0000-0000C61A0000}"/>
    <cellStyle name="Style 31" xfId="2453" xr:uid="{00000000-0005-0000-0000-0000C71A0000}"/>
    <cellStyle name="Style 32" xfId="2454" xr:uid="{00000000-0005-0000-0000-0000C81A0000}"/>
    <cellStyle name="Style 33" xfId="2455" xr:uid="{00000000-0005-0000-0000-0000C91A0000}"/>
    <cellStyle name="Style 34" xfId="2456" xr:uid="{00000000-0005-0000-0000-0000CA1A0000}"/>
    <cellStyle name="Style 35" xfId="2457" xr:uid="{00000000-0005-0000-0000-0000CB1A0000}"/>
    <cellStyle name="Style 36" xfId="2458" xr:uid="{00000000-0005-0000-0000-0000CC1A0000}"/>
    <cellStyle name="Style 37" xfId="2459" xr:uid="{00000000-0005-0000-0000-0000CD1A0000}"/>
    <cellStyle name="Style 4" xfId="2460" xr:uid="{00000000-0005-0000-0000-0000CE1A0000}"/>
    <cellStyle name="Style 4 2" xfId="2461" xr:uid="{00000000-0005-0000-0000-0000CF1A0000}"/>
    <cellStyle name="Style 5" xfId="2462" xr:uid="{00000000-0005-0000-0000-0000D01A0000}"/>
    <cellStyle name="Style 5 2" xfId="2463" xr:uid="{00000000-0005-0000-0000-0000D11A0000}"/>
    <cellStyle name="Style 6" xfId="2464" xr:uid="{00000000-0005-0000-0000-0000D21A0000}"/>
    <cellStyle name="Style 6 2" xfId="2465" xr:uid="{00000000-0005-0000-0000-0000D31A0000}"/>
    <cellStyle name="Style 7" xfId="2466" xr:uid="{00000000-0005-0000-0000-0000D41A0000}"/>
    <cellStyle name="Style 7 2" xfId="2467" xr:uid="{00000000-0005-0000-0000-0000D51A0000}"/>
    <cellStyle name="Style 8" xfId="2468" xr:uid="{00000000-0005-0000-0000-0000D61A0000}"/>
    <cellStyle name="Style 8 2" xfId="2469" xr:uid="{00000000-0005-0000-0000-0000D71A0000}"/>
    <cellStyle name="Style 9" xfId="2470" xr:uid="{00000000-0005-0000-0000-0000D81A0000}"/>
    <cellStyle name="Style 9 2" xfId="2471" xr:uid="{00000000-0005-0000-0000-0000D91A0000}"/>
    <cellStyle name="Style D green" xfId="2472" xr:uid="{00000000-0005-0000-0000-0000DA1A0000}"/>
    <cellStyle name="Style D green 2" xfId="2473" xr:uid="{00000000-0005-0000-0000-0000DB1A0000}"/>
    <cellStyle name="Style D green 2 2" xfId="2960" xr:uid="{00000000-0005-0000-0000-0000DC1A0000}"/>
    <cellStyle name="Style D green 3" xfId="2961" xr:uid="{00000000-0005-0000-0000-0000DD1A0000}"/>
    <cellStyle name="Style D green 4" xfId="2962" xr:uid="{00000000-0005-0000-0000-0000DE1A0000}"/>
    <cellStyle name="Style D green 5" xfId="2959" xr:uid="{00000000-0005-0000-0000-0000DF1A0000}"/>
    <cellStyle name="Style E" xfId="2474" xr:uid="{00000000-0005-0000-0000-0000E01A0000}"/>
    <cellStyle name="Style H" xfId="2475" xr:uid="{00000000-0005-0000-0000-0000E11A0000}"/>
    <cellStyle name="Sub total" xfId="2476" xr:uid="{00000000-0005-0000-0000-0000E21A0000}"/>
    <cellStyle name="Sub total 2" xfId="2477" xr:uid="{00000000-0005-0000-0000-0000E31A0000}"/>
    <cellStyle name="Sub total 3" xfId="2964" xr:uid="{00000000-0005-0000-0000-0000E41A0000}"/>
    <cellStyle name="SubDollar" xfId="2478" xr:uid="{00000000-0005-0000-0000-0000E51A0000}"/>
    <cellStyle name="SubGrowth" xfId="2479" xr:uid="{00000000-0005-0000-0000-0000E61A0000}"/>
    <cellStyle name="SubGrowthRate" xfId="2480" xr:uid="{00000000-0005-0000-0000-0000E71A0000}"/>
    <cellStyle name="SubMargins" xfId="2481" xr:uid="{00000000-0005-0000-0000-0000E81A0000}"/>
    <cellStyle name="SubPenetration" xfId="2482" xr:uid="{00000000-0005-0000-0000-0000E91A0000}"/>
    <cellStyle name="Subscribers" xfId="2483" xr:uid="{00000000-0005-0000-0000-0000EA1A0000}"/>
    <cellStyle name="Subtotal" xfId="2484" xr:uid="{00000000-0005-0000-0000-0000EB1A0000}"/>
    <cellStyle name="Subtotal 2" xfId="2485" xr:uid="{00000000-0005-0000-0000-0000EC1A0000}"/>
    <cellStyle name="SubVariable" xfId="2486" xr:uid="{00000000-0005-0000-0000-0000ED1A0000}"/>
    <cellStyle name="Sum" xfId="2887" xr:uid="{00000000-0005-0000-0000-0000EE1A0000}"/>
    <cellStyle name="Swiss" xfId="2888" xr:uid="{00000000-0005-0000-0000-0000EF1A0000}"/>
    <cellStyle name="Synopsis" xfId="2487" xr:uid="{00000000-0005-0000-0000-0000F01A0000}"/>
    <cellStyle name="Synopsis 2" xfId="2488" xr:uid="{00000000-0005-0000-0000-0000F11A0000}"/>
    <cellStyle name="t" xfId="2489" xr:uid="{00000000-0005-0000-0000-0000F21A0000}"/>
    <cellStyle name="t 2" xfId="3093" xr:uid="{00000000-0005-0000-0000-0000F31A0000}"/>
    <cellStyle name="Table Col Head" xfId="2490" xr:uid="{00000000-0005-0000-0000-0000F41A0000}"/>
    <cellStyle name="Table end" xfId="2491" xr:uid="{00000000-0005-0000-0000-0000F51A0000}"/>
    <cellStyle name="Table head" xfId="2492" xr:uid="{00000000-0005-0000-0000-0000F61A0000}"/>
    <cellStyle name="Table head 2" xfId="2493" xr:uid="{00000000-0005-0000-0000-0000F71A0000}"/>
    <cellStyle name="Table Head Aligned" xfId="2494" xr:uid="{00000000-0005-0000-0000-0000F81A0000}"/>
    <cellStyle name="Table Head Aligned 2" xfId="2495" xr:uid="{00000000-0005-0000-0000-0000F91A0000}"/>
    <cellStyle name="Table Head Aligned 2 2" xfId="2496" xr:uid="{00000000-0005-0000-0000-0000FA1A0000}"/>
    <cellStyle name="Table Head Aligned 3" xfId="2497" xr:uid="{00000000-0005-0000-0000-0000FB1A0000}"/>
    <cellStyle name="Table Head Aligned 3 2" xfId="2498" xr:uid="{00000000-0005-0000-0000-0000FC1A0000}"/>
    <cellStyle name="Table Head Aligned 4" xfId="2499" xr:uid="{00000000-0005-0000-0000-0000FD1A0000}"/>
    <cellStyle name="Table Head Aligned_PNR working 21" xfId="2500" xr:uid="{00000000-0005-0000-0000-0000FE1A0000}"/>
    <cellStyle name="Table Head Blue" xfId="2501" xr:uid="{00000000-0005-0000-0000-0000FF1A0000}"/>
    <cellStyle name="Table Head Green" xfId="2502" xr:uid="{00000000-0005-0000-0000-0000001B0000}"/>
    <cellStyle name="Table Head Green 2" xfId="2503" xr:uid="{00000000-0005-0000-0000-0000011B0000}"/>
    <cellStyle name="Table Head_4. Debt Schedule" xfId="2504" xr:uid="{00000000-0005-0000-0000-0000021B0000}"/>
    <cellStyle name="Table Source" xfId="2505" xr:uid="{00000000-0005-0000-0000-0000031B0000}"/>
    <cellStyle name="Table Sub Head" xfId="2506" xr:uid="{00000000-0005-0000-0000-0000041B0000}"/>
    <cellStyle name="Table Text" xfId="2507" xr:uid="{00000000-0005-0000-0000-0000051B0000}"/>
    <cellStyle name="table text bold" xfId="2508" xr:uid="{00000000-0005-0000-0000-0000061B0000}"/>
    <cellStyle name="table text bold green" xfId="2509" xr:uid="{00000000-0005-0000-0000-0000071B0000}"/>
    <cellStyle name="table text bold green 2" xfId="2510" xr:uid="{00000000-0005-0000-0000-0000081B0000}"/>
    <cellStyle name="table text bold green_PNR working 21" xfId="2511" xr:uid="{00000000-0005-0000-0000-0000091B0000}"/>
    <cellStyle name="table text bold_BHI" xfId="2512" xr:uid="{00000000-0005-0000-0000-00000A1B0000}"/>
    <cellStyle name="table text light" xfId="2513" xr:uid="{00000000-0005-0000-0000-00000B1B0000}"/>
    <cellStyle name="Table Title" xfId="2514" xr:uid="{00000000-0005-0000-0000-00000C1B0000}"/>
    <cellStyle name="Table Title 2" xfId="3094" xr:uid="{00000000-0005-0000-0000-00000D1B0000}"/>
    <cellStyle name="Table Units" xfId="2515" xr:uid="{00000000-0005-0000-0000-00000E1B0000}"/>
    <cellStyle name="Table Units 2" xfId="3095" xr:uid="{00000000-0005-0000-0000-00000F1B0000}"/>
    <cellStyle name="Table_Title" xfId="2516" xr:uid="{00000000-0005-0000-0000-0000101B0000}"/>
    <cellStyle name="TableBody" xfId="2517" xr:uid="{00000000-0005-0000-0000-0000111B0000}"/>
    <cellStyle name="TableBody 2" xfId="2518" xr:uid="{00000000-0005-0000-0000-0000121B0000}"/>
    <cellStyle name="TableBodyR" xfId="2519" xr:uid="{00000000-0005-0000-0000-0000131B0000}"/>
    <cellStyle name="TableBodyR 2" xfId="2520" xr:uid="{00000000-0005-0000-0000-0000141B0000}"/>
    <cellStyle name="TableColHeads" xfId="2521" xr:uid="{00000000-0005-0000-0000-0000151B0000}"/>
    <cellStyle name="TableColHeads 2" xfId="2522" xr:uid="{00000000-0005-0000-0000-0000161B0000}"/>
    <cellStyle name="tcn" xfId="2523" xr:uid="{00000000-0005-0000-0000-0000171B0000}"/>
    <cellStyle name="Text" xfId="2524" xr:uid="{00000000-0005-0000-0000-0000181B0000}"/>
    <cellStyle name="Text 1" xfId="2525" xr:uid="{00000000-0005-0000-0000-0000191B0000}"/>
    <cellStyle name="Text 2" xfId="2526" xr:uid="{00000000-0005-0000-0000-00001A1B0000}"/>
    <cellStyle name="Text Head" xfId="2527" xr:uid="{00000000-0005-0000-0000-00001B1B0000}"/>
    <cellStyle name="Text Head 1" xfId="2528" xr:uid="{00000000-0005-0000-0000-00001C1B0000}"/>
    <cellStyle name="Text Head 2" xfId="2529" xr:uid="{00000000-0005-0000-0000-00001D1B0000}"/>
    <cellStyle name="Text Head_BHI" xfId="2530" xr:uid="{00000000-0005-0000-0000-00001E1B0000}"/>
    <cellStyle name="Text Indent 1" xfId="2531" xr:uid="{00000000-0005-0000-0000-00001F1B0000}"/>
    <cellStyle name="Text Indent 2" xfId="2532" xr:uid="{00000000-0005-0000-0000-0000201B0000}"/>
    <cellStyle name="Text Indent A" xfId="2533" xr:uid="{00000000-0005-0000-0000-0000211B0000}"/>
    <cellStyle name="Text Indent B" xfId="2534" xr:uid="{00000000-0005-0000-0000-0000221B0000}"/>
    <cellStyle name="Text Indent C" xfId="2535" xr:uid="{00000000-0005-0000-0000-0000231B0000}"/>
    <cellStyle name="Text_CBS Accretion - Dilution" xfId="2536" xr:uid="{00000000-0005-0000-0000-0000241B0000}"/>
    <cellStyle name="Ticker" xfId="2537" xr:uid="{00000000-0005-0000-0000-0000251B0000}"/>
    <cellStyle name="Time" xfId="2889" xr:uid="{00000000-0005-0000-0000-0000261B0000}"/>
    <cellStyle name="Title - PROJECT" xfId="2538" xr:uid="{00000000-0005-0000-0000-0000271B0000}"/>
    <cellStyle name="Title - Underline" xfId="2539" xr:uid="{00000000-0005-0000-0000-0000281B0000}"/>
    <cellStyle name="Title 10" xfId="2540" xr:uid="{00000000-0005-0000-0000-0000291B0000}"/>
    <cellStyle name="Title 11" xfId="2541" xr:uid="{00000000-0005-0000-0000-00002A1B0000}"/>
    <cellStyle name="Title 12" xfId="2542" xr:uid="{00000000-0005-0000-0000-00002B1B0000}"/>
    <cellStyle name="Title 13" xfId="2543" xr:uid="{00000000-0005-0000-0000-00002C1B0000}"/>
    <cellStyle name="Title 14" xfId="2544" xr:uid="{00000000-0005-0000-0000-00002D1B0000}"/>
    <cellStyle name="Title 15" xfId="2545" xr:uid="{00000000-0005-0000-0000-00002E1B0000}"/>
    <cellStyle name="Title 16" xfId="2546" xr:uid="{00000000-0005-0000-0000-00002F1B0000}"/>
    <cellStyle name="Title 17" xfId="2547" xr:uid="{00000000-0005-0000-0000-0000301B0000}"/>
    <cellStyle name="Title 18" xfId="2548" xr:uid="{00000000-0005-0000-0000-0000311B0000}"/>
    <cellStyle name="Title 19" xfId="2549" xr:uid="{00000000-0005-0000-0000-0000321B0000}"/>
    <cellStyle name="Title 2" xfId="2550" xr:uid="{00000000-0005-0000-0000-0000331B0000}"/>
    <cellStyle name="Title 2 2" xfId="2551" xr:uid="{00000000-0005-0000-0000-0000341B0000}"/>
    <cellStyle name="Title 20" xfId="2552" xr:uid="{00000000-0005-0000-0000-0000351B0000}"/>
    <cellStyle name="Title 21" xfId="2553" xr:uid="{00000000-0005-0000-0000-0000361B0000}"/>
    <cellStyle name="Title 22" xfId="2554" xr:uid="{00000000-0005-0000-0000-0000371B0000}"/>
    <cellStyle name="Title 23" xfId="2555" xr:uid="{00000000-0005-0000-0000-0000381B0000}"/>
    <cellStyle name="Title 24" xfId="2556" xr:uid="{00000000-0005-0000-0000-0000391B0000}"/>
    <cellStyle name="Title 3" xfId="2557" xr:uid="{00000000-0005-0000-0000-00003A1B0000}"/>
    <cellStyle name="Title 4" xfId="2558" xr:uid="{00000000-0005-0000-0000-00003B1B0000}"/>
    <cellStyle name="Title 5" xfId="2559" xr:uid="{00000000-0005-0000-0000-00003C1B0000}"/>
    <cellStyle name="Title 6" xfId="2560" xr:uid="{00000000-0005-0000-0000-00003D1B0000}"/>
    <cellStyle name="Title 7" xfId="2561" xr:uid="{00000000-0005-0000-0000-00003E1B0000}"/>
    <cellStyle name="Title 8" xfId="2562" xr:uid="{00000000-0005-0000-0000-00003F1B0000}"/>
    <cellStyle name="Title 9" xfId="2563" xr:uid="{00000000-0005-0000-0000-0000401B0000}"/>
    <cellStyle name="title1" xfId="2564" xr:uid="{00000000-0005-0000-0000-0000411B0000}"/>
    <cellStyle name="Title1 2" xfId="3096" xr:uid="{00000000-0005-0000-0000-0000421B0000}"/>
    <cellStyle name="Title2" xfId="2565" xr:uid="{00000000-0005-0000-0000-0000431B0000}"/>
    <cellStyle name="Title2 2" xfId="2566" xr:uid="{00000000-0005-0000-0000-0000441B0000}"/>
    <cellStyle name="Title2 3" xfId="3097" xr:uid="{00000000-0005-0000-0000-0000451B0000}"/>
    <cellStyle name="TitleII" xfId="2567" xr:uid="{00000000-0005-0000-0000-0000461B0000}"/>
    <cellStyle name="TitleII 2" xfId="2568" xr:uid="{00000000-0005-0000-0000-0000471B0000}"/>
    <cellStyle name="Titles" xfId="2569" xr:uid="{00000000-0005-0000-0000-0000481B0000}"/>
    <cellStyle name="Titles - Col. Headings" xfId="2570" xr:uid="{00000000-0005-0000-0000-0000491B0000}"/>
    <cellStyle name="Titles - Other" xfId="2571" xr:uid="{00000000-0005-0000-0000-00004A1B0000}"/>
    <cellStyle name="Titles 10" xfId="2572" xr:uid="{00000000-0005-0000-0000-00004B1B0000}"/>
    <cellStyle name="Titles 11" xfId="2573" xr:uid="{00000000-0005-0000-0000-00004C1B0000}"/>
    <cellStyle name="Titles 12" xfId="2574" xr:uid="{00000000-0005-0000-0000-00004D1B0000}"/>
    <cellStyle name="Titles 2" xfId="2575" xr:uid="{00000000-0005-0000-0000-00004E1B0000}"/>
    <cellStyle name="Titles 3" xfId="2576" xr:uid="{00000000-0005-0000-0000-00004F1B0000}"/>
    <cellStyle name="Titles 4" xfId="2577" xr:uid="{00000000-0005-0000-0000-0000501B0000}"/>
    <cellStyle name="Titles 5" xfId="2578" xr:uid="{00000000-0005-0000-0000-0000511B0000}"/>
    <cellStyle name="Titles 6" xfId="2579" xr:uid="{00000000-0005-0000-0000-0000521B0000}"/>
    <cellStyle name="Titles 7" xfId="2580" xr:uid="{00000000-0005-0000-0000-0000531B0000}"/>
    <cellStyle name="Titles 8" xfId="2581" xr:uid="{00000000-0005-0000-0000-0000541B0000}"/>
    <cellStyle name="Titles 9" xfId="2582" xr:uid="{00000000-0005-0000-0000-0000551B0000}"/>
    <cellStyle name="Titles_PNR working 21" xfId="2583" xr:uid="{00000000-0005-0000-0000-0000561B0000}"/>
    <cellStyle name="TitleSub" xfId="2584" xr:uid="{00000000-0005-0000-0000-0000571B0000}"/>
    <cellStyle name="Titre colonne" xfId="2585" xr:uid="{00000000-0005-0000-0000-0000581B0000}"/>
    <cellStyle name="Titre colonnes" xfId="2586" xr:uid="{00000000-0005-0000-0000-0000591B0000}"/>
    <cellStyle name="Titre general" xfId="2587" xr:uid="{00000000-0005-0000-0000-00005A1B0000}"/>
    <cellStyle name="Titre général" xfId="2588" xr:uid="{00000000-0005-0000-0000-00005B1B0000}"/>
    <cellStyle name="Titre ligne" xfId="2589" xr:uid="{00000000-0005-0000-0000-00005C1B0000}"/>
    <cellStyle name="Titre lignes" xfId="2590" xr:uid="{00000000-0005-0000-0000-00005D1B0000}"/>
    <cellStyle name="Titre tableau" xfId="2591" xr:uid="{00000000-0005-0000-0000-00005E1B0000}"/>
    <cellStyle name="tn" xfId="2592" xr:uid="{00000000-0005-0000-0000-00005F1B0000}"/>
    <cellStyle name="TOC 1" xfId="2593" xr:uid="{00000000-0005-0000-0000-0000601B0000}"/>
    <cellStyle name="TOC 2" xfId="2594" xr:uid="{00000000-0005-0000-0000-0000611B0000}"/>
    <cellStyle name="Total 2" xfId="2595" xr:uid="{00000000-0005-0000-0000-0000621B0000}"/>
    <cellStyle name="Total 2 2" xfId="2596" xr:uid="{00000000-0005-0000-0000-0000631B0000}"/>
    <cellStyle name="Total 3" xfId="2597" xr:uid="{00000000-0005-0000-0000-0000641B0000}"/>
    <cellStyle name="Total Currency" xfId="2598" xr:uid="{00000000-0005-0000-0000-0000651B0000}"/>
    <cellStyle name="Total Currency 2" xfId="2599" xr:uid="{00000000-0005-0000-0000-0000661B0000}"/>
    <cellStyle name="Total intermediaire" xfId="2600" xr:uid="{00000000-0005-0000-0000-0000671B0000}"/>
    <cellStyle name="Total intermediaire 0" xfId="2601" xr:uid="{00000000-0005-0000-0000-0000681B0000}"/>
    <cellStyle name="Total intermediaire 1" xfId="2602" xr:uid="{00000000-0005-0000-0000-0000691B0000}"/>
    <cellStyle name="Total intermediaire 2" xfId="2603" xr:uid="{00000000-0005-0000-0000-00006A1B0000}"/>
    <cellStyle name="Total intermediaire 3" xfId="2604" xr:uid="{00000000-0005-0000-0000-00006B1B0000}"/>
    <cellStyle name="Total intermediaire 4" xfId="2605" xr:uid="{00000000-0005-0000-0000-00006C1B0000}"/>
    <cellStyle name="Total Normal" xfId="2606" xr:uid="{00000000-0005-0000-0000-00006D1B0000}"/>
    <cellStyle name="Total Normal 2" xfId="2607" xr:uid="{00000000-0005-0000-0000-00006E1B0000}"/>
    <cellStyle name="Total tableau" xfId="2608" xr:uid="{00000000-0005-0000-0000-00006F1B0000}"/>
    <cellStyle name="TotalCurrency" xfId="2609" xr:uid="{00000000-0005-0000-0000-0000701B0000}"/>
    <cellStyle name="TotalCurrency 2" xfId="2610" xr:uid="{00000000-0005-0000-0000-0000711B0000}"/>
    <cellStyle name="TR 8" xfId="2611" xr:uid="{00000000-0005-0000-0000-0000721B0000}"/>
    <cellStyle name="TR 8 2" xfId="2612" xr:uid="{00000000-0005-0000-0000-0000731B0000}"/>
    <cellStyle name="TR 8B" xfId="2613" xr:uid="{00000000-0005-0000-0000-0000741B0000}"/>
    <cellStyle name="TR 8B 2" xfId="2614" xr:uid="{00000000-0005-0000-0000-0000751B0000}"/>
    <cellStyle name="TR 8B 3" xfId="2615" xr:uid="{00000000-0005-0000-0000-0000761B0000}"/>
    <cellStyle name="Twodig" xfId="2616" xr:uid="{00000000-0005-0000-0000-0000771B0000}"/>
    <cellStyle name="u" xfId="2617" xr:uid="{00000000-0005-0000-0000-0000781B0000}"/>
    <cellStyle name="Underline" xfId="2618" xr:uid="{00000000-0005-0000-0000-0000791B0000}"/>
    <cellStyle name="Underline 2" xfId="2968" xr:uid="{00000000-0005-0000-0000-00007A1B0000}"/>
    <cellStyle name="Underline(0)" xfId="2619" xr:uid="{00000000-0005-0000-0000-00007B1B0000}"/>
    <cellStyle name="Underline_Double" xfId="2620" xr:uid="{00000000-0005-0000-0000-00007C1B0000}"/>
    <cellStyle name="undernum" xfId="2621" xr:uid="{00000000-0005-0000-0000-00007D1B0000}"/>
    <cellStyle name="unm" xfId="2890" xr:uid="{00000000-0005-0000-0000-00007E1B0000}"/>
    <cellStyle name="Use_1dp" xfId="2622" xr:uid="{00000000-0005-0000-0000-00007F1B0000}"/>
    <cellStyle name="UseB_1dp" xfId="2623" xr:uid="{00000000-0005-0000-0000-0000801B0000}"/>
    <cellStyle name="Validation" xfId="2624" xr:uid="{00000000-0005-0000-0000-0000811B0000}"/>
    <cellStyle name="Validation 2" xfId="2625" xr:uid="{00000000-0005-0000-0000-0000821B0000}"/>
    <cellStyle name="Validation_PNR working 21" xfId="2626" xr:uid="{00000000-0005-0000-0000-0000831B0000}"/>
    <cellStyle name="Valuta (0)_Bourse" xfId="2627" xr:uid="{00000000-0005-0000-0000-0000841B0000}"/>
    <cellStyle name="Valuta_Bourse" xfId="2628" xr:uid="{00000000-0005-0000-0000-0000851B0000}"/>
    <cellStyle name="Warning Text 2" xfId="2629" xr:uid="{00000000-0005-0000-0000-0000861B0000}"/>
    <cellStyle name="Warning Text 2 2" xfId="2630" xr:uid="{00000000-0005-0000-0000-0000871B0000}"/>
    <cellStyle name="WhiteCells" xfId="2631" xr:uid="{00000000-0005-0000-0000-0000881B0000}"/>
    <cellStyle name="WhiteCells 2" xfId="2632" xr:uid="{00000000-0005-0000-0000-0000891B0000}"/>
    <cellStyle name="WholeNumber" xfId="2633" xr:uid="{00000000-0005-0000-0000-00008A1B0000}"/>
    <cellStyle name="WholeNumber 2" xfId="2634" xr:uid="{00000000-0005-0000-0000-00008B1B0000}"/>
    <cellStyle name="wild guess" xfId="2635" xr:uid="{00000000-0005-0000-0000-00008C1B0000}"/>
    <cellStyle name="Wildguess" xfId="2636" xr:uid="{00000000-0005-0000-0000-00008D1B0000}"/>
    <cellStyle name="x" xfId="2637" xr:uid="{00000000-0005-0000-0000-00008E1B0000}"/>
    <cellStyle name="x 2" xfId="2638" xr:uid="{00000000-0005-0000-0000-00008F1B0000}"/>
    <cellStyle name="x_AG" xfId="2639" xr:uid="{00000000-0005-0000-0000-0000901B0000}"/>
    <cellStyle name="x_CNH" xfId="2640" xr:uid="{00000000-0005-0000-0000-0000911B0000}"/>
    <cellStyle name="x_ETN" xfId="2641" xr:uid="{00000000-0005-0000-0000-0000921B0000}"/>
    <cellStyle name="x_Hist Summary" xfId="2642" xr:uid="{00000000-0005-0000-0000-0000931B0000}"/>
    <cellStyle name="x_JOYG" xfId="2643" xr:uid="{00000000-0005-0000-0000-0000941B0000}"/>
    <cellStyle name="x_Machinery group valuation" xfId="2644" xr:uid="{00000000-0005-0000-0000-0000951B0000}"/>
    <cellStyle name="x_MLM" xfId="2645" xr:uid="{00000000-0005-0000-0000-0000961B0000}"/>
    <cellStyle name="x_NAV" xfId="2646" xr:uid="{00000000-0005-0000-0000-0000971B0000}"/>
    <cellStyle name="x_OSK" xfId="2647" xr:uid="{00000000-0005-0000-0000-0000981B0000}"/>
    <cellStyle name="x_PCAR" xfId="2648" xr:uid="{00000000-0005-0000-0000-0000991B0000}"/>
    <cellStyle name="x_PH" xfId="2649" xr:uid="{00000000-0005-0000-0000-00009A1B0000}"/>
    <cellStyle name="Year" xfId="2650" xr:uid="{00000000-0005-0000-0000-00009B1B0000}"/>
    <cellStyle name="Year 2" xfId="2651" xr:uid="{00000000-0005-0000-0000-00009C1B0000}"/>
    <cellStyle name="Year Estimate" xfId="2652" xr:uid="{00000000-0005-0000-0000-00009D1B0000}"/>
    <cellStyle name="Year Estimate 2" xfId="2653" xr:uid="{00000000-0005-0000-0000-00009E1B0000}"/>
    <cellStyle name="Year Estimate 3" xfId="2654" xr:uid="{00000000-0005-0000-0000-00009F1B0000}"/>
    <cellStyle name="Year_Backup of IND_Val2" xfId="2655" xr:uid="{00000000-0005-0000-0000-0000A01B0000}"/>
    <cellStyle name="years" xfId="2656" xr:uid="{00000000-0005-0000-0000-0000A11B0000}"/>
    <cellStyle name="years 2" xfId="2657" xr:uid="{00000000-0005-0000-0000-0000A21B0000}"/>
    <cellStyle name="Years 3" xfId="3098" xr:uid="{00000000-0005-0000-0000-0000A31B0000}"/>
    <cellStyle name="yellow" xfId="2658" xr:uid="{00000000-0005-0000-0000-0000A41B0000}"/>
    <cellStyle name="yen" xfId="2659" xr:uid="{00000000-0005-0000-0000-0000A51B0000}"/>
    <cellStyle name="yen 2" xfId="2660" xr:uid="{00000000-0005-0000-0000-0000A61B0000}"/>
    <cellStyle name="yen 3" xfId="2661" xr:uid="{00000000-0005-0000-0000-0000A71B0000}"/>
    <cellStyle name="yen_PNR working 21" xfId="2662" xr:uid="{00000000-0005-0000-0000-0000A81B0000}"/>
    <cellStyle name="백분율_95" xfId="2663" xr:uid="{00000000-0005-0000-0000-0000A91B0000}"/>
    <cellStyle name="콤마 [0]_0120결과(이론)" xfId="2664" xr:uid="{00000000-0005-0000-0000-0000AA1B0000}"/>
    <cellStyle name="콤마_0120결과(이론)" xfId="2665" xr:uid="{00000000-0005-0000-0000-0000AB1B0000}"/>
    <cellStyle name="통화 [0]_0120결과(이론)" xfId="2666" xr:uid="{00000000-0005-0000-0000-0000AC1B0000}"/>
    <cellStyle name="통화_0120결과(이론)" xfId="2667" xr:uid="{00000000-0005-0000-0000-0000AD1B0000}"/>
    <cellStyle name="표준_0120결과(이론)" xfId="2668" xr:uid="{00000000-0005-0000-0000-0000AE1B0000}"/>
    <cellStyle name="常规_全进度数据" xfId="2669" xr:uid="{00000000-0005-0000-0000-0000AF1B0000}"/>
    <cellStyle name="標準_GQ Industrial Contribution Sheet_format" xfId="2670" xr:uid="{00000000-0005-0000-0000-0000B01B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E76AA"/>
      <rgbColor rgb="00CFD6E6"/>
      <rgbColor rgb="009EADCC"/>
      <rgbColor rgb="00EFF1F6"/>
      <rgbColor rgb="00BFC8DD"/>
      <rgbColor rgb="008E9FC4"/>
      <rgbColor rgb="00DFE4EE"/>
      <rgbColor rgb="00AEBAD5"/>
      <rgbColor rgb="00000000"/>
      <rgbColor rgb="00AAAAAA"/>
      <rgbColor rgb="00444444"/>
      <rgbColor rgb="00CCCCCC"/>
      <rgbColor rgb="00888888"/>
      <rgbColor rgb="00666666"/>
      <rgbColor rgb="00EEEEEE"/>
      <rgbColor rgb="0022222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7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2</xdr:col>
      <xdr:colOff>95162</xdr:colOff>
      <xdr:row>10</xdr:row>
      <xdr:rowOff>76112</xdr:rowOff>
    </xdr:to>
    <xdr:pic>
      <xdr:nvPicPr>
        <xdr:cNvPr id="4" name="Picture 3">
          <a:extLst>
            <a:ext uri="{FF2B5EF4-FFF2-40B4-BE49-F238E27FC236}">
              <a16:creationId xmlns:a16="http://schemas.microsoft.com/office/drawing/2014/main" id="{72B0E881-07E5-4358-8F1B-1C131A971ED3}"/>
            </a:ext>
          </a:extLst>
        </xdr:cNvPr>
        <xdr:cNvPicPr>
          <a:picLocks noChangeAspect="1"/>
        </xdr:cNvPicPr>
      </xdr:nvPicPr>
      <xdr:blipFill>
        <a:blip xmlns:r="http://schemas.openxmlformats.org/officeDocument/2006/relationships" r:embed="rId1"/>
        <a:stretch>
          <a:fillRect/>
        </a:stretch>
      </xdr:blipFill>
      <xdr:spPr>
        <a:xfrm>
          <a:off x="609600" y="914400"/>
          <a:ext cx="704762" cy="704762"/>
        </a:xfrm>
        <a:prstGeom prst="rect">
          <a:avLst/>
        </a:prstGeom>
      </xdr:spPr>
    </xdr:pic>
    <xdr:clientData/>
  </xdr:twoCellAnchor>
</xdr:wsDr>
</file>

<file path=xl/theme/theme1.xml><?xml version="1.0" encoding="utf-8"?>
<a:theme xmlns:a="http://schemas.openxmlformats.org/drawingml/2006/main" name="Office Theme">
  <a:themeElements>
    <a:clrScheme name="Equity">
      <a:dk1>
        <a:sysClr val="windowText" lastClr="000000"/>
      </a:dk1>
      <a:lt1>
        <a:sysClr val="window" lastClr="FFFFFF"/>
      </a:lt1>
      <a:dk2>
        <a:srgbClr val="AEBAD5"/>
      </a:dk2>
      <a:lt2>
        <a:srgbClr val="DFE4EE"/>
      </a:lt2>
      <a:accent1>
        <a:srgbClr val="5E76AA"/>
      </a:accent1>
      <a:accent2>
        <a:srgbClr val="CFD6E6"/>
      </a:accent2>
      <a:accent3>
        <a:srgbClr val="9EADCC"/>
      </a:accent3>
      <a:accent4>
        <a:srgbClr val="EFF1F6"/>
      </a:accent4>
      <a:accent5>
        <a:srgbClr val="BFC8DD"/>
      </a:accent5>
      <a:accent6>
        <a:srgbClr val="8E9FC4"/>
      </a:accent6>
      <a:hlink>
        <a:srgbClr val="0070C6"/>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6B22E1-C3A6-4210-B334-FF1F21BB0716}">
  <we:reference id="49825c50-e8d8-4c4a-9a2c-e6f24181e018"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onnor.dessert@gs.com" TargetMode="External"/><Relationship Id="rId7" Type="http://schemas.openxmlformats.org/officeDocument/2006/relationships/drawing" Target="../drawings/drawing1.xml"/><Relationship Id="rId2" Type="http://schemas.openxmlformats.org/officeDocument/2006/relationships/hyperlink" Target="mailto:anthony.valentini@gs.com" TargetMode="External"/><Relationship Id="rId1" Type="http://schemas.openxmlformats.org/officeDocument/2006/relationships/hyperlink" Target="mailto:noah.poponak@gs.com" TargetMode="External"/><Relationship Id="rId6" Type="http://schemas.openxmlformats.org/officeDocument/2006/relationships/customProperty" Target="../customProperty2.bin"/><Relationship Id="rId5" Type="http://schemas.openxmlformats.org/officeDocument/2006/relationships/printerSettings" Target="../printerSettings/printerSettings1.bin"/><Relationship Id="rId4" Type="http://schemas.openxmlformats.org/officeDocument/2006/relationships/hyperlink" Target="mailto:will.ortmayer@gs.com"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3.bin"/><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customProperty" Target="../customProperty4.bin"/><Relationship Id="rId1" Type="http://schemas.openxmlformats.org/officeDocument/2006/relationships/printerSettings" Target="../printerSettings/printerSettings3.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6.bin"/><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customProperty" Target="../customProperty7.bin"/><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customProperty" Target="../customProperty8.bin"/><Relationship Id="rId1" Type="http://schemas.openxmlformats.org/officeDocument/2006/relationships/printerSettings" Target="../printerSettings/printerSettings6.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7.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customProperty" Target="../customProperty12.bin"/><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43A25-6B83-47EF-870B-E525D7AD396E}">
  <dimension ref="A1:B2"/>
  <sheetViews>
    <sheetView workbookViewId="0"/>
  </sheetViews>
  <sheetFormatPr defaultRowHeight="12"/>
  <sheetData>
    <row r="1" spans="1:2">
      <c r="B1" t="s">
        <v>471</v>
      </c>
    </row>
    <row r="2" spans="1:2"/>
  </sheetData>
  <pageMargins left="0.7" right="0.7" top="0.75" bottom="0.75" header="0.3" footer="0.3"/>
  <customProperties>
    <customPr name="Qube.Worksheet.Visibility" r:id="rId1"/>
  </customPropertie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B7:D30"/>
  <sheetViews>
    <sheetView showGridLines="0" tabSelected="1" zoomScaleNormal="100" workbookViewId="0"/>
  </sheetViews>
  <sheetFormatPr defaultColWidth="9.140625" defaultRowHeight="12"/>
  <cols>
    <col min="1" max="2" width="9.140625" style="613"/>
    <col min="3" max="3" width="3.42578125" style="613" customWidth="1"/>
    <col min="4" max="4" width="10.140625" style="613" bestFit="1" customWidth="1"/>
    <col min="5" max="16384" width="9.140625" style="613"/>
  </cols>
  <sheetData>
    <row r="7" spans="2:4" ht="12.75">
      <c r="D7" s="831" t="s">
        <v>634</v>
      </c>
    </row>
    <row r="8" spans="2:4" ht="12.75">
      <c r="D8" s="832">
        <v>45951</v>
      </c>
    </row>
    <row r="16" spans="2:4">
      <c r="B16" s="612" t="s">
        <v>479</v>
      </c>
    </row>
    <row r="17" spans="2:2">
      <c r="B17" s="613" t="s">
        <v>480</v>
      </c>
    </row>
    <row r="18" spans="2:2">
      <c r="B18" s="614" t="s">
        <v>481</v>
      </c>
    </row>
    <row r="20" spans="2:2">
      <c r="B20" s="617" t="s">
        <v>621</v>
      </c>
    </row>
    <row r="21" spans="2:2">
      <c r="B21" s="3" t="s">
        <v>601</v>
      </c>
    </row>
    <row r="22" spans="2:2">
      <c r="B22" s="614" t="s">
        <v>602</v>
      </c>
    </row>
    <row r="24" spans="2:2">
      <c r="B24" s="828" t="s">
        <v>638</v>
      </c>
    </row>
    <row r="25" spans="2:2">
      <c r="B25" s="829" t="s">
        <v>646</v>
      </c>
    </row>
    <row r="26" spans="2:2">
      <c r="B26" s="830" t="s">
        <v>639</v>
      </c>
    </row>
    <row r="28" spans="2:2">
      <c r="B28" s="828" t="s">
        <v>647</v>
      </c>
    </row>
    <row r="29" spans="2:2">
      <c r="B29" s="829" t="s">
        <v>649</v>
      </c>
    </row>
    <row r="30" spans="2:2">
      <c r="B30" s="830" t="s">
        <v>648</v>
      </c>
    </row>
  </sheetData>
  <hyperlinks>
    <hyperlink ref="B18" r:id="rId1" xr:uid="{00000000-0004-0000-0200-000000000000}"/>
    <hyperlink ref="B22" r:id="rId2" xr:uid="{00000000-0004-0000-0200-000002000000}"/>
    <hyperlink ref="B26" r:id="rId3" xr:uid="{DC04871B-86B5-4F21-8373-45428F2E5CD3}"/>
    <hyperlink ref="B30" r:id="rId4" xr:uid="{B6F223D5-AF69-47CE-983A-FDF03AB5D9D3}"/>
  </hyperlinks>
  <pageMargins left="0.7" right="0.7" top="0.75" bottom="0.75" header="0.3" footer="0.3"/>
  <pageSetup paperSize="0" orientation="portrait" r:id="rId5"/>
  <customProperties>
    <customPr name="Qube.Worksheet.Visibility" r:id="rId6"/>
  </customProperties>
  <drawing r:id="rId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autoPageBreaks="0" fitToPage="1"/>
  </sheetPr>
  <dimension ref="A1:DV383"/>
  <sheetViews>
    <sheetView showGridLines="0" zoomScaleNormal="100" workbookViewId="0">
      <pane xSplit="2" ySplit="4" topLeftCell="C5" activePane="bottomRight" state="frozen"/>
      <selection activeCell="BQ104" sqref="BQ104"/>
      <selection pane="topRight" activeCell="BQ104" sqref="BQ104"/>
      <selection pane="bottomLeft" activeCell="BQ104" sqref="BQ104"/>
      <selection pane="bottomRight"/>
    </sheetView>
  </sheetViews>
  <sheetFormatPr defaultColWidth="9.140625" defaultRowHeight="12" outlineLevelRow="1" outlineLevelCol="1"/>
  <cols>
    <col min="1" max="1" width="1.7109375" customWidth="1"/>
    <col min="2" max="2" width="47.5703125" bestFit="1" customWidth="1"/>
    <col min="3" max="9" width="9.7109375" hidden="1" customWidth="1"/>
    <col min="10" max="12" width="9.7109375" hidden="1" customWidth="1" outlineLevel="1"/>
    <col min="13" max="13" width="8.140625" hidden="1" customWidth="1" outlineLevel="1"/>
    <col min="14" max="14" width="9.7109375" hidden="1" customWidth="1" collapsed="1"/>
    <col min="15" max="15" width="9.7109375" hidden="1" customWidth="1" outlineLevel="1"/>
    <col min="16" max="16" width="9.85546875" hidden="1" customWidth="1" outlineLevel="1"/>
    <col min="17"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5" width="9.85546875" hidden="1" customWidth="1" outlineLevel="1"/>
    <col min="46" max="46" width="9.7109375" hidden="1" customWidth="1" outlineLevel="1"/>
    <col min="47" max="47" width="9" hidden="1" customWidth="1" outlineLevel="1"/>
    <col min="48" max="48" width="9.7109375" hidden="1" customWidth="1" outlineLevel="1"/>
    <col min="49" max="49" width="9.7109375" hidden="1" customWidth="1" collapsed="1"/>
    <col min="50" max="53" width="9.7109375" hidden="1" customWidth="1" outlineLevel="1"/>
    <col min="54" max="54" width="9.7109375" customWidth="1" collapsed="1"/>
    <col min="55" max="58" width="9.7109375" hidden="1" customWidth="1" outlineLevel="1"/>
    <col min="59" max="59" width="9.7109375" customWidth="1" collapsed="1"/>
    <col min="60" max="63" width="9.7109375" hidden="1" customWidth="1" outlineLevel="1"/>
    <col min="64" max="64" width="9.7109375" customWidth="1" collapsed="1"/>
    <col min="65" max="68" width="9.7109375" hidden="1" customWidth="1" outlineLevel="1"/>
    <col min="69" max="69" width="9.140625" style="164" collapsed="1"/>
    <col min="70" max="73" width="9.7109375" hidden="1" customWidth="1" outlineLevel="1"/>
    <col min="74" max="74" width="9.140625" style="164" collapsed="1"/>
    <col min="75" max="78" width="9.7109375" hidden="1" customWidth="1" outlineLevel="1"/>
    <col min="79" max="79" width="9.140625" style="164" customWidth="1" collapsed="1"/>
    <col min="80" max="83" width="9.7109375" hidden="1" customWidth="1" outlineLevel="1"/>
    <col min="84" max="84" width="9.140625" style="164" collapsed="1"/>
    <col min="85" max="88" width="9.7109375" hidden="1" customWidth="1" outlineLevel="1"/>
    <col min="89" max="89" width="9.140625" style="164" collapsed="1"/>
    <col min="90" max="93" width="9.7109375" hidden="1" customWidth="1" outlineLevel="1"/>
    <col min="94" max="94" width="9.140625" style="164" collapsed="1"/>
    <col min="95" max="98" width="9.7109375" hidden="1" customWidth="1" outlineLevel="1"/>
    <col min="99" max="99" width="9.140625" style="164" collapsed="1"/>
    <col min="100" max="103" width="9.7109375" hidden="1" customWidth="1" outlineLevel="1"/>
    <col min="104" max="104" width="9.140625" style="164" collapsed="1"/>
    <col min="105" max="108" width="9.7109375" hidden="1" customWidth="1" outlineLevel="1"/>
    <col min="109" max="109" width="9.140625" style="164" collapsed="1"/>
    <col min="110" max="113" width="9.7109375" hidden="1" customWidth="1" outlineLevel="1"/>
    <col min="114" max="114" width="9.140625" style="164" collapsed="1"/>
    <col min="115" max="118" width="9.7109375" customWidth="1" outlineLevel="1"/>
    <col min="119" max="119" width="9.140625" style="164"/>
    <col min="120" max="123" width="9.140625" style="164" hidden="1" customWidth="1" outlineLevel="1"/>
    <col min="124" max="124" width="9.140625" style="164" collapsed="1"/>
    <col min="125" max="16384" width="9.140625" style="164"/>
  </cols>
  <sheetData>
    <row r="1" spans="1:126" ht="12" customHeight="1" thickBot="1">
      <c r="DP1"/>
      <c r="DQ1"/>
      <c r="DR1"/>
      <c r="DS1"/>
    </row>
    <row r="2" spans="1:126" ht="6" customHeight="1">
      <c r="A2" s="31"/>
      <c r="B2" s="31"/>
      <c r="C2" s="19"/>
      <c r="D2" s="19"/>
      <c r="E2" s="19"/>
      <c r="F2" s="19"/>
      <c r="G2" s="19"/>
      <c r="H2" s="19"/>
      <c r="I2" s="19"/>
      <c r="J2" s="164"/>
      <c r="K2" s="164"/>
      <c r="L2" s="164"/>
      <c r="M2" s="164"/>
      <c r="N2" s="19"/>
      <c r="O2" s="164"/>
      <c r="P2" s="164"/>
      <c r="Q2" s="164"/>
      <c r="R2" s="164"/>
      <c r="S2" s="19"/>
      <c r="T2" s="164"/>
      <c r="U2" s="164"/>
      <c r="V2" s="164"/>
      <c r="W2" s="164"/>
      <c r="X2" s="19"/>
      <c r="Y2" s="164"/>
      <c r="Z2" s="164"/>
      <c r="AA2" s="164"/>
      <c r="AB2" s="164"/>
      <c r="AC2" s="19"/>
      <c r="AD2" s="164"/>
      <c r="AE2" s="164"/>
      <c r="AF2" s="164"/>
      <c r="AG2" s="164"/>
      <c r="AH2" s="19"/>
      <c r="AI2" s="164"/>
      <c r="AJ2" s="164"/>
      <c r="AK2" s="164"/>
      <c r="AL2" s="164"/>
      <c r="AM2" s="19"/>
      <c r="AN2" s="164"/>
      <c r="AO2" s="164"/>
      <c r="AP2" s="164"/>
      <c r="AQ2" s="164"/>
      <c r="AR2" s="19"/>
      <c r="AS2" s="164"/>
      <c r="AT2" s="164"/>
      <c r="AV2" s="164"/>
      <c r="AW2" s="19"/>
      <c r="AX2" s="164"/>
      <c r="AY2" s="164"/>
      <c r="BB2" s="19"/>
      <c r="BC2" s="164"/>
      <c r="BG2" s="19"/>
      <c r="BL2" s="19"/>
      <c r="BQ2" s="19"/>
      <c r="BV2" s="19"/>
      <c r="CA2" s="19"/>
      <c r="CF2" s="19"/>
      <c r="CK2" s="19"/>
      <c r="CP2" s="19"/>
      <c r="CU2" s="19"/>
      <c r="CZ2" s="19"/>
      <c r="DE2" s="19"/>
      <c r="DJ2" s="19"/>
      <c r="DO2" s="19"/>
      <c r="DP2"/>
      <c r="DQ2"/>
      <c r="DR2"/>
      <c r="DS2"/>
      <c r="DT2" s="19"/>
      <c r="DU2" s="19"/>
      <c r="DV2" s="19"/>
    </row>
    <row r="3" spans="1:126" ht="15.75">
      <c r="B3" s="237" t="s">
        <v>553</v>
      </c>
      <c r="C3" s="467">
        <v>1997</v>
      </c>
      <c r="D3" s="467">
        <v>1998</v>
      </c>
      <c r="E3" s="467">
        <v>1999</v>
      </c>
      <c r="F3" s="467">
        <v>2000</v>
      </c>
      <c r="G3" s="467">
        <v>2001</v>
      </c>
      <c r="H3" s="467">
        <v>2002</v>
      </c>
      <c r="I3" s="467">
        <v>2003</v>
      </c>
      <c r="J3" s="216" t="s">
        <v>0</v>
      </c>
      <c r="K3" s="216" t="s">
        <v>1</v>
      </c>
      <c r="L3" s="216" t="s">
        <v>2</v>
      </c>
      <c r="M3" s="216" t="s">
        <v>3</v>
      </c>
      <c r="N3" s="467">
        <v>2004</v>
      </c>
      <c r="O3" s="216" t="s">
        <v>4</v>
      </c>
      <c r="P3" s="216" t="s">
        <v>5</v>
      </c>
      <c r="Q3" s="216" t="s">
        <v>6</v>
      </c>
      <c r="R3" s="216" t="s">
        <v>7</v>
      </c>
      <c r="S3" s="467">
        <v>2005</v>
      </c>
      <c r="T3" s="216" t="s">
        <v>8</v>
      </c>
      <c r="U3" s="216" t="s">
        <v>9</v>
      </c>
      <c r="V3" s="216" t="s">
        <v>10</v>
      </c>
      <c r="W3" s="216" t="s">
        <v>11</v>
      </c>
      <c r="X3" s="467">
        <v>2006</v>
      </c>
      <c r="Y3" s="216" t="s">
        <v>12</v>
      </c>
      <c r="Z3" s="216" t="s">
        <v>13</v>
      </c>
      <c r="AA3" s="216" t="s">
        <v>14</v>
      </c>
      <c r="AB3" s="216" t="s">
        <v>15</v>
      </c>
      <c r="AC3" s="467">
        <v>2007</v>
      </c>
      <c r="AD3" s="216" t="s">
        <v>16</v>
      </c>
      <c r="AE3" s="216" t="s">
        <v>17</v>
      </c>
      <c r="AF3" s="216" t="s">
        <v>18</v>
      </c>
      <c r="AG3" s="216" t="s">
        <v>19</v>
      </c>
      <c r="AH3" s="467">
        <v>2008</v>
      </c>
      <c r="AI3" s="216" t="s">
        <v>20</v>
      </c>
      <c r="AJ3" s="216" t="s">
        <v>21</v>
      </c>
      <c r="AK3" s="216" t="s">
        <v>22</v>
      </c>
      <c r="AL3" s="216" t="s">
        <v>23</v>
      </c>
      <c r="AM3" s="467">
        <v>2009</v>
      </c>
      <c r="AN3" s="216" t="s">
        <v>24</v>
      </c>
      <c r="AO3" s="216" t="s">
        <v>25</v>
      </c>
      <c r="AP3" s="216" t="s">
        <v>174</v>
      </c>
      <c r="AQ3" s="216" t="s">
        <v>175</v>
      </c>
      <c r="AR3" s="467">
        <v>2010</v>
      </c>
      <c r="AS3" s="216" t="s">
        <v>176</v>
      </c>
      <c r="AT3" s="216" t="s">
        <v>177</v>
      </c>
      <c r="AU3" s="20" t="s">
        <v>178</v>
      </c>
      <c r="AV3" s="216" t="s">
        <v>179</v>
      </c>
      <c r="AW3" s="467">
        <v>2011</v>
      </c>
      <c r="AX3" s="216" t="s">
        <v>181</v>
      </c>
      <c r="AY3" s="216" t="s">
        <v>182</v>
      </c>
      <c r="AZ3" s="20" t="s">
        <v>242</v>
      </c>
      <c r="BA3" s="20" t="s">
        <v>183</v>
      </c>
      <c r="BB3" s="467">
        <v>2012</v>
      </c>
      <c r="BC3" s="216"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461</v>
      </c>
      <c r="CH3" s="20" t="s">
        <v>462</v>
      </c>
      <c r="CI3" s="20" t="s">
        <v>463</v>
      </c>
      <c r="CJ3" s="20" t="s">
        <v>464</v>
      </c>
      <c r="CK3" s="467">
        <v>2019</v>
      </c>
      <c r="CL3" s="20" t="s">
        <v>470</v>
      </c>
      <c r="CM3" s="20" t="s">
        <v>469</v>
      </c>
      <c r="CN3" s="20" t="s">
        <v>468</v>
      </c>
      <c r="CO3" s="20" t="s">
        <v>467</v>
      </c>
      <c r="CP3" s="467">
        <v>2020</v>
      </c>
      <c r="CQ3" s="20" t="s">
        <v>597</v>
      </c>
      <c r="CR3" s="20" t="s">
        <v>598</v>
      </c>
      <c r="CS3" s="20" t="s">
        <v>599</v>
      </c>
      <c r="CT3" s="20" t="s">
        <v>600</v>
      </c>
      <c r="CU3" s="467">
        <v>2021</v>
      </c>
      <c r="CV3" s="20" t="s">
        <v>611</v>
      </c>
      <c r="CW3" s="20" t="s">
        <v>612</v>
      </c>
      <c r="CX3" s="20" t="s">
        <v>613</v>
      </c>
      <c r="CY3" s="20" t="s">
        <v>614</v>
      </c>
      <c r="CZ3" s="467">
        <v>2022</v>
      </c>
      <c r="DA3" s="20" t="s">
        <v>617</v>
      </c>
      <c r="DB3" s="20" t="s">
        <v>618</v>
      </c>
      <c r="DC3" s="20" t="s">
        <v>619</v>
      </c>
      <c r="DD3" s="20" t="s">
        <v>620</v>
      </c>
      <c r="DE3" s="467">
        <v>2023</v>
      </c>
      <c r="DF3" s="20" t="s">
        <v>625</v>
      </c>
      <c r="DG3" s="20" t="s">
        <v>626</v>
      </c>
      <c r="DH3" s="20" t="s">
        <v>627</v>
      </c>
      <c r="DI3" s="20" t="s">
        <v>628</v>
      </c>
      <c r="DJ3" s="467">
        <v>2024</v>
      </c>
      <c r="DK3" s="20" t="s">
        <v>642</v>
      </c>
      <c r="DL3" s="20" t="s">
        <v>643</v>
      </c>
      <c r="DM3" s="20" t="s">
        <v>644</v>
      </c>
      <c r="DN3" s="20" t="s">
        <v>645</v>
      </c>
      <c r="DO3" s="467">
        <v>2025</v>
      </c>
      <c r="DP3" s="20" t="s">
        <v>655</v>
      </c>
      <c r="DQ3" s="20" t="s">
        <v>656</v>
      </c>
      <c r="DR3" s="20" t="s">
        <v>657</v>
      </c>
      <c r="DS3" s="20" t="s">
        <v>658</v>
      </c>
      <c r="DT3" s="467">
        <v>2026</v>
      </c>
      <c r="DU3" s="467">
        <v>2027</v>
      </c>
      <c r="DV3" s="467">
        <v>2028</v>
      </c>
    </row>
    <row r="4" spans="1:126" ht="12.75">
      <c r="B4" s="215" t="s">
        <v>100</v>
      </c>
      <c r="C4" s="21">
        <v>35795</v>
      </c>
      <c r="D4" s="21">
        <v>36160</v>
      </c>
      <c r="E4" s="21">
        <v>36525</v>
      </c>
      <c r="F4" s="21">
        <v>36891</v>
      </c>
      <c r="G4" s="21">
        <v>37256</v>
      </c>
      <c r="H4" s="21">
        <v>37621</v>
      </c>
      <c r="I4" s="21">
        <v>37986</v>
      </c>
      <c r="J4" s="217">
        <v>38076</v>
      </c>
      <c r="K4" s="217">
        <v>38168</v>
      </c>
      <c r="L4" s="217">
        <v>38260</v>
      </c>
      <c r="M4" s="22">
        <v>38352</v>
      </c>
      <c r="N4" s="21">
        <v>38352</v>
      </c>
      <c r="O4" s="217">
        <v>38441</v>
      </c>
      <c r="P4" s="217">
        <v>38533</v>
      </c>
      <c r="Q4" s="217">
        <v>38625</v>
      </c>
      <c r="R4" s="22">
        <v>38717</v>
      </c>
      <c r="S4" s="21">
        <v>38717</v>
      </c>
      <c r="T4" s="217">
        <v>38806</v>
      </c>
      <c r="U4" s="217">
        <v>38898</v>
      </c>
      <c r="V4" s="217">
        <v>38990</v>
      </c>
      <c r="W4" s="22">
        <v>39082</v>
      </c>
      <c r="X4" s="21">
        <v>39082</v>
      </c>
      <c r="Y4" s="217">
        <v>39171</v>
      </c>
      <c r="Z4" s="217">
        <v>39263</v>
      </c>
      <c r="AA4" s="217">
        <v>39355</v>
      </c>
      <c r="AB4" s="22">
        <v>39447</v>
      </c>
      <c r="AC4" s="21">
        <v>39447</v>
      </c>
      <c r="AD4" s="217">
        <v>39537</v>
      </c>
      <c r="AE4" s="217">
        <v>39629</v>
      </c>
      <c r="AF4" s="217">
        <v>39721</v>
      </c>
      <c r="AG4" s="22">
        <v>39813</v>
      </c>
      <c r="AH4" s="21">
        <v>39813</v>
      </c>
      <c r="AI4" s="217">
        <v>39902</v>
      </c>
      <c r="AJ4" s="217">
        <v>39994</v>
      </c>
      <c r="AK4" s="217">
        <v>40086</v>
      </c>
      <c r="AL4" s="22">
        <v>40178</v>
      </c>
      <c r="AM4" s="21">
        <v>40178</v>
      </c>
      <c r="AN4" s="217">
        <v>40267</v>
      </c>
      <c r="AO4" s="217">
        <v>40359</v>
      </c>
      <c r="AP4" s="217">
        <v>40451</v>
      </c>
      <c r="AQ4" s="22">
        <v>40543</v>
      </c>
      <c r="AR4" s="21">
        <v>40543</v>
      </c>
      <c r="AS4" s="217">
        <v>40632</v>
      </c>
      <c r="AT4" s="217">
        <v>40724</v>
      </c>
      <c r="AU4" s="217">
        <v>40816</v>
      </c>
      <c r="AV4" s="22">
        <v>40908</v>
      </c>
      <c r="AW4" s="21">
        <v>40908</v>
      </c>
      <c r="AX4" s="217">
        <v>40998</v>
      </c>
      <c r="AY4" s="217">
        <v>41090</v>
      </c>
      <c r="AZ4" s="217">
        <v>41182</v>
      </c>
      <c r="BA4" s="217">
        <v>41274</v>
      </c>
      <c r="BB4" s="21">
        <v>41274</v>
      </c>
      <c r="BC4" s="217">
        <v>41363</v>
      </c>
      <c r="BD4" s="217">
        <v>41455</v>
      </c>
      <c r="BE4" s="217">
        <v>41547</v>
      </c>
      <c r="BF4" s="22">
        <v>41639</v>
      </c>
      <c r="BG4" s="21">
        <v>41639</v>
      </c>
      <c r="BH4" s="217">
        <v>41728</v>
      </c>
      <c r="BI4" s="217">
        <v>41820</v>
      </c>
      <c r="BJ4" s="217">
        <v>41912</v>
      </c>
      <c r="BK4" s="22">
        <v>42004</v>
      </c>
      <c r="BL4" s="21">
        <v>42004</v>
      </c>
      <c r="BM4" s="217">
        <v>42093</v>
      </c>
      <c r="BN4" s="217">
        <v>42185</v>
      </c>
      <c r="BO4" s="217">
        <v>42277</v>
      </c>
      <c r="BP4" s="22">
        <v>42369</v>
      </c>
      <c r="BQ4" s="21">
        <v>42369</v>
      </c>
      <c r="BR4" s="217">
        <v>42459</v>
      </c>
      <c r="BS4" s="217">
        <v>42551</v>
      </c>
      <c r="BT4" s="217">
        <v>42643</v>
      </c>
      <c r="BU4" s="22">
        <v>42735</v>
      </c>
      <c r="BV4" s="21">
        <v>42735</v>
      </c>
      <c r="BW4" s="217">
        <v>42824</v>
      </c>
      <c r="BX4" s="217">
        <v>42916</v>
      </c>
      <c r="BY4" s="217">
        <v>43008</v>
      </c>
      <c r="BZ4" s="22">
        <v>43100</v>
      </c>
      <c r="CA4" s="21">
        <v>43100</v>
      </c>
      <c r="CB4" s="217">
        <v>43189</v>
      </c>
      <c r="CC4" s="217">
        <v>43281</v>
      </c>
      <c r="CD4" s="217">
        <v>43373</v>
      </c>
      <c r="CE4" s="22">
        <v>43465</v>
      </c>
      <c r="CF4" s="21">
        <v>43465</v>
      </c>
      <c r="CG4" s="217">
        <v>43554</v>
      </c>
      <c r="CH4" s="217">
        <v>43646</v>
      </c>
      <c r="CI4" s="217">
        <v>43738</v>
      </c>
      <c r="CJ4" s="22">
        <v>43830</v>
      </c>
      <c r="CK4" s="21">
        <v>43830</v>
      </c>
      <c r="CL4" s="217">
        <v>43920</v>
      </c>
      <c r="CM4" s="217">
        <v>44012</v>
      </c>
      <c r="CN4" s="217">
        <v>44104</v>
      </c>
      <c r="CO4" s="22">
        <v>44196</v>
      </c>
      <c r="CP4" s="21">
        <v>44196</v>
      </c>
      <c r="CQ4" s="217">
        <v>44285</v>
      </c>
      <c r="CR4" s="217">
        <v>44377</v>
      </c>
      <c r="CS4" s="217">
        <v>44469</v>
      </c>
      <c r="CT4" s="22">
        <v>44561</v>
      </c>
      <c r="CU4" s="21">
        <v>44561</v>
      </c>
      <c r="CV4" s="217">
        <v>44650</v>
      </c>
      <c r="CW4" s="217">
        <v>44742</v>
      </c>
      <c r="CX4" s="217">
        <v>44834</v>
      </c>
      <c r="CY4" s="22">
        <v>44926</v>
      </c>
      <c r="CZ4" s="21">
        <v>44926</v>
      </c>
      <c r="DA4" s="217">
        <v>45015</v>
      </c>
      <c r="DB4" s="217">
        <v>45107</v>
      </c>
      <c r="DC4" s="217">
        <v>45199</v>
      </c>
      <c r="DD4" s="22">
        <v>45291</v>
      </c>
      <c r="DE4" s="21">
        <v>45291</v>
      </c>
      <c r="DF4" s="217">
        <v>45381</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
        <v>46752</v>
      </c>
      <c r="DV4" s="21">
        <v>47118</v>
      </c>
    </row>
    <row r="5" spans="1:126" s="189" customFormat="1" ht="12.75">
      <c r="A5" s="30"/>
      <c r="B5" s="59"/>
      <c r="C5" s="60"/>
      <c r="D5" s="60"/>
      <c r="E5" s="60"/>
      <c r="F5" s="60"/>
      <c r="G5" s="60"/>
      <c r="H5" s="60"/>
      <c r="I5" s="60"/>
      <c r="J5" s="218"/>
      <c r="K5" s="218"/>
      <c r="L5" s="218"/>
      <c r="M5" s="219"/>
      <c r="N5" s="60"/>
      <c r="O5" s="219"/>
      <c r="P5" s="219"/>
      <c r="Q5" s="219"/>
      <c r="R5" s="219"/>
      <c r="S5" s="60"/>
      <c r="T5" s="219"/>
      <c r="U5" s="219"/>
      <c r="V5" s="219"/>
      <c r="W5" s="219"/>
      <c r="X5" s="60"/>
      <c r="Y5" s="219"/>
      <c r="Z5" s="219"/>
      <c r="AA5" s="219"/>
      <c r="AB5" s="219"/>
      <c r="AC5" s="60"/>
      <c r="AD5" s="219"/>
      <c r="AE5" s="219"/>
      <c r="AF5" s="219"/>
      <c r="AG5" s="219"/>
      <c r="AH5" s="60"/>
      <c r="AI5" s="219"/>
      <c r="AJ5" s="219"/>
      <c r="AK5" s="219"/>
      <c r="AL5" s="219"/>
      <c r="AM5" s="60"/>
      <c r="AN5" s="219"/>
      <c r="AO5" s="219"/>
      <c r="AP5" s="219"/>
      <c r="AQ5" s="219"/>
      <c r="AR5" s="60"/>
      <c r="AS5" s="219"/>
      <c r="AT5" s="219"/>
      <c r="AU5" s="61"/>
      <c r="AV5" s="219"/>
      <c r="AW5" s="60"/>
      <c r="AX5" s="219"/>
      <c r="AY5" s="219"/>
      <c r="AZ5" s="61"/>
      <c r="BA5" s="61"/>
      <c r="BB5" s="60"/>
      <c r="BC5" s="219"/>
      <c r="BD5" s="61"/>
      <c r="BE5" s="61"/>
      <c r="BF5" s="61"/>
      <c r="BG5" s="60"/>
      <c r="BH5" s="61"/>
      <c r="BI5" s="61"/>
      <c r="BJ5" s="61"/>
      <c r="BK5" s="61"/>
      <c r="BL5" s="60"/>
      <c r="BM5" s="61"/>
      <c r="BN5" s="61"/>
      <c r="BO5" s="61"/>
      <c r="BP5" s="61"/>
      <c r="BQ5" s="60"/>
      <c r="BR5" s="61"/>
      <c r="BS5" s="61"/>
      <c r="BT5" s="61"/>
      <c r="BU5" s="61"/>
      <c r="BV5" s="60"/>
      <c r="BW5" s="61"/>
      <c r="BX5" s="61"/>
      <c r="BY5" s="61"/>
      <c r="BZ5" s="61"/>
      <c r="CA5" s="60"/>
      <c r="CB5" s="61"/>
      <c r="CC5" s="61"/>
      <c r="CD5" s="61"/>
      <c r="CE5" s="61"/>
      <c r="CF5" s="60"/>
      <c r="CG5" s="61"/>
      <c r="CH5" s="61"/>
      <c r="CI5" s="61"/>
      <c r="CJ5" s="61"/>
      <c r="CK5" s="60"/>
      <c r="CL5" s="61"/>
      <c r="CM5" s="61"/>
      <c r="CN5" s="61"/>
      <c r="CO5" s="61"/>
      <c r="CP5" s="60"/>
      <c r="CQ5" s="61"/>
      <c r="CR5" s="61"/>
      <c r="CS5" s="61"/>
      <c r="CT5" s="61"/>
      <c r="CU5" s="60"/>
      <c r="CV5" s="61"/>
      <c r="CW5" s="61"/>
      <c r="CX5" s="61"/>
      <c r="CY5" s="61"/>
      <c r="CZ5" s="60"/>
      <c r="DA5" s="61"/>
      <c r="DB5" s="61"/>
      <c r="DC5" s="61"/>
      <c r="DD5" s="61"/>
      <c r="DE5" s="60"/>
      <c r="DF5" s="61"/>
      <c r="DG5" s="61"/>
      <c r="DH5" s="61"/>
      <c r="DI5" s="61"/>
      <c r="DJ5" s="60"/>
      <c r="DK5" s="61"/>
      <c r="DL5" s="61"/>
      <c r="DM5" s="61"/>
      <c r="DN5" s="61"/>
      <c r="DO5" s="60"/>
      <c r="DP5" s="61"/>
      <c r="DQ5" s="61"/>
      <c r="DR5" s="61"/>
      <c r="DS5" s="61"/>
      <c r="DT5" s="60"/>
      <c r="DU5" s="60"/>
      <c r="DV5" s="60"/>
    </row>
    <row r="6" spans="1:126" s="13" customFormat="1">
      <c r="A6" s="32"/>
      <c r="B6" s="220" t="s">
        <v>86</v>
      </c>
      <c r="C6" s="17"/>
      <c r="D6" s="17"/>
      <c r="E6" s="17"/>
      <c r="F6" s="17"/>
      <c r="G6" s="17"/>
      <c r="H6" s="17"/>
      <c r="I6" s="17"/>
      <c r="N6" s="17"/>
      <c r="S6" s="17"/>
      <c r="X6" s="17"/>
      <c r="AC6" s="17"/>
      <c r="AH6" s="17"/>
      <c r="AM6" s="17"/>
      <c r="AR6" s="17"/>
      <c r="AU6" s="16"/>
      <c r="AW6" s="17"/>
      <c r="AZ6" s="16"/>
      <c r="BA6" s="16"/>
      <c r="BB6" s="17"/>
      <c r="BD6" s="16"/>
      <c r="BE6" s="16"/>
      <c r="BF6" s="16"/>
      <c r="BG6" s="17"/>
      <c r="BH6" s="16"/>
      <c r="BI6" s="16"/>
      <c r="BJ6" s="16"/>
      <c r="BK6" s="16"/>
      <c r="BL6" s="17"/>
      <c r="BM6" s="16"/>
      <c r="BN6" s="16"/>
      <c r="BO6" s="16"/>
      <c r="BP6" s="16"/>
      <c r="BQ6" s="17"/>
      <c r="BR6" s="16"/>
      <c r="BS6" s="16"/>
      <c r="BT6" s="16"/>
      <c r="BU6" s="16"/>
      <c r="BV6" s="17"/>
      <c r="BW6" s="16"/>
      <c r="BX6" s="16"/>
      <c r="BY6" s="16"/>
      <c r="BZ6" s="16"/>
      <c r="CA6" s="17"/>
      <c r="CB6" s="16"/>
      <c r="CC6" s="16"/>
      <c r="CD6" s="16"/>
      <c r="CE6" s="16"/>
      <c r="CF6" s="17"/>
      <c r="CG6" s="16"/>
      <c r="CH6" s="16"/>
      <c r="CI6" s="16"/>
      <c r="CJ6" s="16"/>
      <c r="CK6" s="17"/>
      <c r="CL6" s="16"/>
      <c r="CM6" s="16"/>
      <c r="CN6" s="16"/>
      <c r="CO6" s="16"/>
      <c r="CP6" s="17"/>
      <c r="CQ6" s="16"/>
      <c r="CR6" s="16"/>
      <c r="CS6" s="16"/>
      <c r="CT6" s="16"/>
      <c r="CU6" s="17"/>
      <c r="CV6" s="16"/>
      <c r="CW6" s="16"/>
      <c r="CX6" s="16"/>
      <c r="CY6" s="16"/>
      <c r="CZ6" s="17"/>
      <c r="DA6" s="16"/>
      <c r="DB6" s="16"/>
      <c r="DC6" s="16"/>
      <c r="DD6" s="16"/>
      <c r="DE6" s="17"/>
      <c r="DF6" s="16"/>
      <c r="DG6" s="16"/>
      <c r="DH6" s="16"/>
      <c r="DI6" s="16"/>
      <c r="DJ6" s="17"/>
      <c r="DK6" s="16"/>
      <c r="DL6" s="16"/>
      <c r="DM6" s="16"/>
      <c r="DN6" s="16"/>
      <c r="DO6" s="17"/>
      <c r="DP6" s="16"/>
      <c r="DQ6" s="16"/>
      <c r="DR6" s="16"/>
      <c r="DS6" s="16"/>
      <c r="DT6" s="17"/>
      <c r="DU6" s="17"/>
      <c r="DV6" s="17"/>
    </row>
    <row r="7" spans="1:126" s="13" customFormat="1">
      <c r="A7" s="32"/>
      <c r="B7" s="45" t="s">
        <v>217</v>
      </c>
      <c r="C7" s="17"/>
      <c r="D7" s="17"/>
      <c r="E7" s="17"/>
      <c r="F7" s="17"/>
      <c r="G7" s="17"/>
      <c r="H7" s="17"/>
      <c r="I7" s="17"/>
      <c r="N7" s="17"/>
      <c r="S7" s="17"/>
      <c r="X7" s="17"/>
      <c r="AC7" s="17"/>
      <c r="AH7" s="17"/>
      <c r="AM7" s="17"/>
      <c r="AO7" s="18"/>
      <c r="AP7" s="210"/>
      <c r="AR7" s="17"/>
      <c r="AU7" s="16"/>
      <c r="AW7" s="17"/>
      <c r="AZ7" s="16"/>
      <c r="BA7" s="16"/>
      <c r="BB7" s="17"/>
      <c r="BD7" s="18"/>
      <c r="BE7" s="16"/>
      <c r="BF7" s="16"/>
      <c r="BG7" s="17"/>
      <c r="BH7" s="16"/>
      <c r="BI7" s="18"/>
      <c r="BJ7" s="16"/>
      <c r="BK7" s="16"/>
      <c r="BL7" s="17"/>
      <c r="BM7" s="16"/>
      <c r="BN7" s="18"/>
      <c r="BO7" s="16"/>
      <c r="BP7" s="16"/>
      <c r="BQ7" s="17"/>
      <c r="BR7" s="16"/>
      <c r="BS7" s="18"/>
      <c r="BT7" s="16"/>
      <c r="BU7" s="16"/>
      <c r="BV7" s="17"/>
      <c r="BW7" s="16"/>
      <c r="BX7" s="18"/>
      <c r="BY7" s="16"/>
      <c r="BZ7" s="16"/>
      <c r="CA7" s="17"/>
      <c r="CB7" s="16"/>
      <c r="CC7" s="18"/>
      <c r="CD7" s="16"/>
      <c r="CE7" s="16"/>
      <c r="CF7" s="17">
        <v>53157</v>
      </c>
      <c r="CG7" s="16">
        <v>13651.4</v>
      </c>
      <c r="CH7" s="16">
        <v>14208.6</v>
      </c>
      <c r="CI7" s="16">
        <v>14350.14</v>
      </c>
      <c r="CJ7" s="16">
        <v>14935.86</v>
      </c>
      <c r="CK7" s="17"/>
      <c r="CL7" s="16"/>
      <c r="CM7" s="18"/>
      <c r="CN7" s="16">
        <v>11469</v>
      </c>
      <c r="CO7" s="16"/>
      <c r="CP7" s="17"/>
      <c r="CQ7" s="16">
        <v>11664</v>
      </c>
      <c r="CR7" s="16"/>
      <c r="CS7" s="16"/>
      <c r="CT7" s="16"/>
      <c r="CU7" s="17"/>
      <c r="CV7" s="16"/>
      <c r="CW7" s="16"/>
      <c r="CX7" s="16"/>
      <c r="CY7" s="16"/>
      <c r="CZ7" s="17"/>
      <c r="DA7" s="16"/>
      <c r="DB7" s="16"/>
      <c r="DC7" s="16"/>
      <c r="DD7" s="16"/>
      <c r="DE7" s="17"/>
      <c r="DF7" s="16"/>
      <c r="DG7" s="16"/>
      <c r="DH7" s="16"/>
      <c r="DI7" s="16"/>
      <c r="DJ7" s="17"/>
      <c r="DK7" s="16"/>
      <c r="DL7" s="16"/>
      <c r="DM7" s="16"/>
      <c r="DN7" s="16"/>
      <c r="DO7" s="17"/>
      <c r="DP7" s="16"/>
      <c r="DQ7" s="16"/>
      <c r="DR7" s="16"/>
      <c r="DS7" s="16"/>
      <c r="DT7" s="17"/>
      <c r="DU7" s="17"/>
      <c r="DV7" s="17"/>
    </row>
    <row r="8" spans="1:126" s="13" customFormat="1">
      <c r="A8" s="32"/>
      <c r="B8" s="45" t="s">
        <v>218</v>
      </c>
      <c r="C8" s="17"/>
      <c r="D8" s="17"/>
      <c r="E8" s="17"/>
      <c r="F8" s="17"/>
      <c r="G8" s="17"/>
      <c r="H8" s="17"/>
      <c r="I8" s="17"/>
      <c r="N8" s="17"/>
      <c r="S8" s="17"/>
      <c r="X8" s="17"/>
      <c r="Y8" s="191"/>
      <c r="Z8" s="191"/>
      <c r="AA8" s="191"/>
      <c r="AB8" s="191"/>
      <c r="AC8" s="85"/>
      <c r="AD8" s="191"/>
      <c r="AE8" s="191"/>
      <c r="AF8" s="191"/>
      <c r="AG8" s="191"/>
      <c r="AH8" s="85"/>
      <c r="AI8" s="191"/>
      <c r="AJ8" s="191"/>
      <c r="AK8" s="191"/>
      <c r="AL8" s="191"/>
      <c r="AM8" s="85"/>
      <c r="AN8" s="191"/>
      <c r="AO8" s="1"/>
      <c r="AP8" s="1"/>
      <c r="AQ8" s="191"/>
      <c r="AR8" s="85"/>
      <c r="AS8" s="191"/>
      <c r="AT8" s="191"/>
      <c r="AU8" s="86"/>
      <c r="AV8" s="191"/>
      <c r="AW8" s="85"/>
      <c r="AX8" s="191"/>
      <c r="AY8" s="191"/>
      <c r="AZ8" s="86"/>
      <c r="BA8" s="86"/>
      <c r="BB8" s="85"/>
      <c r="BC8" s="191"/>
      <c r="BD8" s="1"/>
      <c r="BE8" s="86"/>
      <c r="BF8" s="86"/>
      <c r="BG8" s="85"/>
      <c r="BH8" s="86"/>
      <c r="BI8" s="1"/>
      <c r="BJ8" s="1"/>
      <c r="BK8" s="86"/>
      <c r="BL8" s="85"/>
      <c r="BM8" s="86"/>
      <c r="BN8" s="1"/>
      <c r="BO8" s="1"/>
      <c r="BP8" s="16"/>
      <c r="BQ8" s="85"/>
      <c r="BR8" s="86"/>
      <c r="BS8" s="1"/>
      <c r="BT8" s="1"/>
      <c r="BU8" s="16"/>
      <c r="BV8" s="85"/>
      <c r="BW8" s="86"/>
      <c r="BX8" s="1"/>
      <c r="BY8" s="1"/>
      <c r="BZ8" s="16"/>
      <c r="CA8" s="85"/>
      <c r="CB8" s="86"/>
      <c r="CC8" s="1"/>
      <c r="CD8" s="1"/>
      <c r="CE8" s="16"/>
      <c r="CF8" s="17">
        <v>16015</v>
      </c>
      <c r="CG8" s="16">
        <v>4013.1</v>
      </c>
      <c r="CH8" s="16">
        <v>4176.8999999999996</v>
      </c>
      <c r="CI8" s="16">
        <v>4361.49</v>
      </c>
      <c r="CJ8" s="16">
        <v>4539.51</v>
      </c>
      <c r="CK8" s="17"/>
      <c r="CL8" s="86"/>
      <c r="CM8" s="1"/>
      <c r="CN8" s="1">
        <v>3278</v>
      </c>
      <c r="CO8" s="16"/>
      <c r="CP8" s="17"/>
      <c r="CQ8" s="16">
        <v>3587</v>
      </c>
      <c r="CR8" s="16"/>
      <c r="CS8" s="16"/>
      <c r="CT8" s="16"/>
      <c r="CU8" s="17"/>
      <c r="CV8" s="16"/>
      <c r="CW8" s="16"/>
      <c r="CX8" s="16"/>
      <c r="CY8" s="16"/>
      <c r="CZ8" s="17"/>
      <c r="DA8" s="16"/>
      <c r="DB8" s="16"/>
      <c r="DC8" s="16"/>
      <c r="DD8" s="16"/>
      <c r="DE8" s="17"/>
      <c r="DF8" s="16"/>
      <c r="DG8" s="16"/>
      <c r="DH8" s="16"/>
      <c r="DI8" s="16"/>
      <c r="DJ8" s="17"/>
      <c r="DK8" s="16"/>
      <c r="DL8" s="16"/>
      <c r="DM8" s="16"/>
      <c r="DN8" s="16"/>
      <c r="DO8" s="17"/>
      <c r="DP8" s="16"/>
      <c r="DQ8" s="16"/>
      <c r="DR8" s="16"/>
      <c r="DS8" s="16"/>
      <c r="DT8" s="17"/>
      <c r="DU8" s="17"/>
      <c r="DV8" s="17"/>
    </row>
    <row r="9" spans="1:126" s="190" customFormat="1">
      <c r="A9" s="37"/>
      <c r="B9" s="108" t="s">
        <v>26</v>
      </c>
      <c r="C9" s="75"/>
      <c r="D9" s="75"/>
      <c r="E9" s="75"/>
      <c r="F9" s="75"/>
      <c r="G9" s="75"/>
      <c r="H9" s="75"/>
      <c r="I9" s="75"/>
      <c r="N9" s="75"/>
      <c r="S9" s="75"/>
      <c r="X9" s="75"/>
      <c r="AC9" s="75"/>
      <c r="AH9" s="75"/>
      <c r="AM9" s="75"/>
      <c r="AN9" s="227"/>
      <c r="AO9" s="227"/>
      <c r="AP9" s="227"/>
      <c r="AQ9" s="227"/>
      <c r="AR9" s="75"/>
      <c r="AW9" s="75"/>
      <c r="BB9" s="75"/>
      <c r="BF9" s="76"/>
      <c r="BG9" s="75"/>
      <c r="BH9" s="76"/>
      <c r="BI9" s="227"/>
      <c r="BJ9" s="479"/>
      <c r="BK9" s="76"/>
      <c r="BL9" s="75"/>
      <c r="BM9" s="76"/>
      <c r="BN9" s="227"/>
      <c r="BO9" s="479"/>
      <c r="BP9" s="76"/>
      <c r="BQ9" s="75"/>
      <c r="BR9" s="76"/>
      <c r="BS9" s="227"/>
      <c r="BT9" s="479"/>
      <c r="BU9" s="76"/>
      <c r="BV9" s="75"/>
      <c r="BW9" s="76"/>
      <c r="BX9" s="227"/>
      <c r="BY9" s="479"/>
      <c r="BZ9" s="76"/>
      <c r="CA9" s="75"/>
      <c r="CB9" s="76"/>
      <c r="CC9" s="227"/>
      <c r="CD9" s="479"/>
      <c r="CE9" s="76"/>
      <c r="CF9" s="75">
        <f>CF7+CF8</f>
        <v>69172</v>
      </c>
      <c r="CG9" s="76">
        <v>17664.5</v>
      </c>
      <c r="CH9" s="76">
        <v>18385.5</v>
      </c>
      <c r="CI9" s="76">
        <v>18711.629999999997</v>
      </c>
      <c r="CJ9" s="76">
        <v>19475.370000000003</v>
      </c>
      <c r="CK9" s="75">
        <f>SUM(CG9:CJ9)</f>
        <v>74237</v>
      </c>
      <c r="CL9" s="76">
        <v>18451</v>
      </c>
      <c r="CM9" s="76">
        <v>14470</v>
      </c>
      <c r="CN9" s="76">
        <f t="shared" ref="CN9" si="0">CN7+CN8</f>
        <v>14747</v>
      </c>
      <c r="CO9" s="76">
        <v>16419</v>
      </c>
      <c r="CP9" s="75">
        <f>SUM(CL9:CO9)</f>
        <v>64087</v>
      </c>
      <c r="CQ9" s="76">
        <f t="shared" ref="CQ9" si="1">CQ7+CQ8</f>
        <v>15251</v>
      </c>
      <c r="CR9" s="76">
        <v>15880</v>
      </c>
      <c r="CS9" s="76">
        <v>16213</v>
      </c>
      <c r="CT9" s="76">
        <v>17044</v>
      </c>
      <c r="CU9" s="75"/>
      <c r="CV9" s="76">
        <v>15716</v>
      </c>
      <c r="CW9" s="76">
        <v>16314</v>
      </c>
      <c r="CX9" s="76">
        <v>16951</v>
      </c>
      <c r="CY9" s="76">
        <v>18093</v>
      </c>
      <c r="CZ9" s="75"/>
      <c r="DA9" s="76">
        <v>17214</v>
      </c>
      <c r="DB9" s="76">
        <v>18315</v>
      </c>
      <c r="DC9" s="76">
        <v>13464</v>
      </c>
      <c r="DD9" s="76">
        <v>19927</v>
      </c>
      <c r="DE9" s="75"/>
      <c r="DF9" s="76">
        <v>19305</v>
      </c>
      <c r="DG9" s="838">
        <v>19721</v>
      </c>
      <c r="DH9" s="838">
        <v>20089</v>
      </c>
      <c r="DI9" s="838">
        <v>21623</v>
      </c>
      <c r="DJ9" s="75"/>
      <c r="DK9" s="838">
        <v>20306</v>
      </c>
      <c r="DL9" s="838">
        <v>21581</v>
      </c>
      <c r="DM9" s="838">
        <v>22478</v>
      </c>
      <c r="DN9" s="76"/>
      <c r="DO9" s="75"/>
      <c r="DP9" s="838"/>
      <c r="DQ9" s="76"/>
      <c r="DR9" s="76"/>
      <c r="DS9" s="76"/>
      <c r="DT9" s="75"/>
      <c r="DU9" s="75"/>
      <c r="DV9" s="75"/>
    </row>
    <row r="10" spans="1:126" s="13" customFormat="1">
      <c r="A10" s="32"/>
      <c r="B10" s="165" t="s">
        <v>219</v>
      </c>
      <c r="C10" s="85"/>
      <c r="D10" s="85"/>
      <c r="E10" s="85"/>
      <c r="F10" s="85"/>
      <c r="G10" s="85"/>
      <c r="H10" s="85"/>
      <c r="I10" s="85"/>
      <c r="J10" s="191"/>
      <c r="K10" s="191"/>
      <c r="L10" s="191"/>
      <c r="M10" s="191"/>
      <c r="N10" s="85"/>
      <c r="O10" s="191"/>
      <c r="P10" s="191"/>
      <c r="Q10" s="191"/>
      <c r="R10" s="191"/>
      <c r="S10" s="85"/>
      <c r="T10" s="191"/>
      <c r="U10" s="191"/>
      <c r="V10" s="191"/>
      <c r="W10" s="191"/>
      <c r="X10" s="85"/>
      <c r="Y10" s="191"/>
      <c r="Z10" s="208"/>
      <c r="AA10" s="208"/>
      <c r="AC10" s="85"/>
      <c r="AD10" s="208"/>
      <c r="AE10" s="208"/>
      <c r="AF10" s="208"/>
      <c r="AH10" s="195"/>
      <c r="AI10" s="208"/>
      <c r="AJ10" s="208"/>
      <c r="AK10" s="208"/>
      <c r="AM10" s="195"/>
      <c r="AN10" s="208"/>
      <c r="AO10" s="210"/>
      <c r="AP10" s="210"/>
      <c r="AQ10" s="208"/>
      <c r="AR10" s="195"/>
      <c r="AS10" s="208"/>
      <c r="AT10" s="208"/>
      <c r="AU10" s="198"/>
      <c r="AV10" s="208"/>
      <c r="AW10" s="195"/>
      <c r="AY10" s="208"/>
      <c r="AZ10" s="198"/>
      <c r="BA10" s="198"/>
      <c r="BB10" s="195"/>
      <c r="BD10" s="18"/>
      <c r="BE10" s="198"/>
      <c r="BF10" s="16"/>
      <c r="BG10" s="195"/>
      <c r="BH10" s="198"/>
      <c r="BI10" s="18"/>
      <c r="BJ10" s="472"/>
      <c r="BK10" s="16"/>
      <c r="BL10" s="195"/>
      <c r="BM10" s="198"/>
      <c r="BN10" s="18"/>
      <c r="BO10" s="472"/>
      <c r="BP10" s="16"/>
      <c r="BQ10" s="195"/>
      <c r="BR10" s="198"/>
      <c r="BS10" s="18"/>
      <c r="BT10" s="472"/>
      <c r="BU10" s="16"/>
      <c r="BV10" s="195"/>
      <c r="BW10" s="198"/>
      <c r="BX10" s="18"/>
      <c r="BY10" s="472"/>
      <c r="BZ10" s="16"/>
      <c r="CA10" s="17"/>
      <c r="CB10" s="198"/>
      <c r="CC10" s="18"/>
      <c r="CD10" s="472"/>
      <c r="CE10" s="16"/>
      <c r="CF10" s="17">
        <v>42281</v>
      </c>
      <c r="CG10" s="16">
        <v>10703.07</v>
      </c>
      <c r="CH10" s="16">
        <v>11139.93</v>
      </c>
      <c r="CI10" s="16">
        <v>11715.41</v>
      </c>
      <c r="CJ10" s="16">
        <v>12193.59</v>
      </c>
      <c r="CK10" s="17"/>
      <c r="CL10" s="198"/>
      <c r="CM10" s="18">
        <v>9620</v>
      </c>
      <c r="CN10" s="472">
        <v>10322</v>
      </c>
      <c r="CO10" s="16"/>
      <c r="CP10" s="17"/>
      <c r="CQ10" s="16">
        <v>9974</v>
      </c>
      <c r="CR10" s="16"/>
      <c r="CS10" s="16"/>
      <c r="CT10" s="16"/>
      <c r="CU10" s="17"/>
      <c r="CV10" s="16"/>
      <c r="CW10" s="16"/>
      <c r="CX10" s="16"/>
      <c r="CY10" s="16"/>
      <c r="CZ10" s="17"/>
      <c r="DA10" s="16"/>
      <c r="DB10" s="16"/>
      <c r="DC10" s="16"/>
      <c r="DD10" s="16"/>
      <c r="DE10" s="17"/>
      <c r="DF10" s="16"/>
      <c r="DG10" s="16"/>
      <c r="DH10" s="16"/>
      <c r="DI10" s="16"/>
      <c r="DJ10" s="17"/>
      <c r="DK10" s="16"/>
      <c r="DL10" s="16"/>
      <c r="DM10" s="16"/>
      <c r="DN10" s="16"/>
      <c r="DO10" s="17"/>
      <c r="DP10" s="16"/>
      <c r="DQ10" s="16"/>
      <c r="DR10" s="16"/>
      <c r="DS10" s="16"/>
      <c r="DT10" s="17"/>
      <c r="DU10" s="17"/>
      <c r="DV10" s="17"/>
    </row>
    <row r="11" spans="1:126" s="13" customFormat="1">
      <c r="A11" s="32"/>
      <c r="B11" s="165" t="s">
        <v>220</v>
      </c>
      <c r="C11" s="85"/>
      <c r="D11" s="85"/>
      <c r="E11" s="85"/>
      <c r="F11" s="85"/>
      <c r="G11" s="85"/>
      <c r="H11" s="85"/>
      <c r="I11" s="85"/>
      <c r="J11" s="191"/>
      <c r="K11" s="191"/>
      <c r="L11" s="191"/>
      <c r="M11" s="191"/>
      <c r="N11" s="85"/>
      <c r="O11" s="191"/>
      <c r="P11" s="191"/>
      <c r="Q11" s="191"/>
      <c r="R11" s="191"/>
      <c r="S11" s="85"/>
      <c r="T11" s="191"/>
      <c r="U11" s="191"/>
      <c r="V11" s="191"/>
      <c r="W11" s="191"/>
      <c r="X11" s="85"/>
      <c r="Y11" s="191"/>
      <c r="Z11" s="191"/>
      <c r="AA11" s="191"/>
      <c r="AB11" s="191"/>
      <c r="AC11" s="85"/>
      <c r="AD11" s="191"/>
      <c r="AE11" s="191"/>
      <c r="AF11" s="191"/>
      <c r="AG11" s="191"/>
      <c r="AH11" s="85"/>
      <c r="AI11" s="191"/>
      <c r="AJ11" s="191"/>
      <c r="AK11" s="191"/>
      <c r="AM11" s="85"/>
      <c r="AN11" s="191"/>
      <c r="AO11" s="1"/>
      <c r="AP11" s="1"/>
      <c r="AQ11" s="191"/>
      <c r="AR11" s="85"/>
      <c r="AS11" s="191"/>
      <c r="AT11" s="191"/>
      <c r="AU11" s="86"/>
      <c r="AV11" s="191"/>
      <c r="AW11" s="85"/>
      <c r="AX11" s="191"/>
      <c r="AY11" s="191"/>
      <c r="AZ11" s="86"/>
      <c r="BA11" s="86"/>
      <c r="BB11" s="85"/>
      <c r="BC11" s="191"/>
      <c r="BD11" s="1"/>
      <c r="BE11" s="86"/>
      <c r="BF11" s="86"/>
      <c r="BG11" s="85"/>
      <c r="BH11" s="86"/>
      <c r="BI11" s="1"/>
      <c r="BJ11" s="484"/>
      <c r="BK11" s="86"/>
      <c r="BL11" s="85"/>
      <c r="BM11" s="86"/>
      <c r="BN11" s="1"/>
      <c r="BO11" s="484"/>
      <c r="BP11" s="16"/>
      <c r="BQ11" s="85"/>
      <c r="BR11" s="86"/>
      <c r="BS11" s="1"/>
      <c r="BT11" s="472"/>
      <c r="BU11" s="16"/>
      <c r="BV11" s="85"/>
      <c r="BW11" s="86"/>
      <c r="BX11" s="1"/>
      <c r="BY11" s="472"/>
      <c r="BZ11" s="16"/>
      <c r="CA11" s="17"/>
      <c r="CB11" s="86"/>
      <c r="CC11" s="1"/>
      <c r="CD11" s="472"/>
      <c r="CE11" s="16"/>
      <c r="CF11" s="17">
        <v>10602</v>
      </c>
      <c r="CG11" s="16">
        <v>2651.39</v>
      </c>
      <c r="CH11" s="16">
        <v>2759.61</v>
      </c>
      <c r="CI11" s="16">
        <v>2912.07</v>
      </c>
      <c r="CJ11" s="16">
        <v>3030.93</v>
      </c>
      <c r="CK11" s="17"/>
      <c r="CL11" s="86"/>
      <c r="CM11" s="1">
        <v>2594</v>
      </c>
      <c r="CN11" s="472">
        <v>2682</v>
      </c>
      <c r="CO11" s="16"/>
      <c r="CP11" s="17"/>
      <c r="CQ11" s="16">
        <v>2563</v>
      </c>
      <c r="CR11" s="16"/>
      <c r="CS11" s="16"/>
      <c r="CT11" s="16"/>
      <c r="CU11" s="17"/>
      <c r="CV11" s="16"/>
      <c r="CW11" s="16"/>
      <c r="CX11" s="16"/>
      <c r="CY11" s="16"/>
      <c r="CZ11" s="17"/>
      <c r="DA11" s="16"/>
      <c r="DB11" s="16"/>
      <c r="DC11" s="16"/>
      <c r="DD11" s="16"/>
      <c r="DE11" s="17"/>
      <c r="DF11" s="16"/>
      <c r="DG11" s="16"/>
      <c r="DH11" s="16"/>
      <c r="DI11" s="16"/>
      <c r="DJ11" s="17"/>
      <c r="DK11" s="16"/>
      <c r="DL11" s="16"/>
      <c r="DM11" s="16"/>
      <c r="DN11" s="16"/>
      <c r="DO11" s="17"/>
      <c r="DP11" s="16"/>
      <c r="DQ11" s="16"/>
      <c r="DR11" s="16"/>
      <c r="DS11" s="16"/>
      <c r="DT11" s="17"/>
      <c r="DU11" s="17"/>
      <c r="DV11" s="17"/>
    </row>
    <row r="12" spans="1:126" s="190" customFormat="1">
      <c r="A12" s="37"/>
      <c r="B12" s="179" t="s">
        <v>221</v>
      </c>
      <c r="C12" s="106"/>
      <c r="D12" s="106"/>
      <c r="E12" s="106"/>
      <c r="F12" s="106"/>
      <c r="G12" s="106"/>
      <c r="H12" s="106"/>
      <c r="I12" s="106"/>
      <c r="J12" s="223"/>
      <c r="K12" s="223"/>
      <c r="L12" s="223"/>
      <c r="M12" s="223"/>
      <c r="N12" s="106"/>
      <c r="O12" s="223"/>
      <c r="P12" s="223"/>
      <c r="Q12" s="223"/>
      <c r="R12" s="223"/>
      <c r="S12" s="75"/>
      <c r="T12" s="223"/>
      <c r="U12" s="223"/>
      <c r="V12" s="223"/>
      <c r="W12" s="223"/>
      <c r="X12" s="75"/>
      <c r="AC12" s="75"/>
      <c r="AH12" s="75"/>
      <c r="AM12" s="75"/>
      <c r="AR12" s="75"/>
      <c r="AW12" s="75"/>
      <c r="BB12" s="75"/>
      <c r="BD12" s="227"/>
      <c r="BF12" s="76"/>
      <c r="BG12" s="75"/>
      <c r="BH12" s="76"/>
      <c r="BI12" s="227"/>
      <c r="BJ12" s="479"/>
      <c r="BK12" s="76"/>
      <c r="BL12" s="75"/>
      <c r="BM12" s="76"/>
      <c r="BN12" s="227"/>
      <c r="BO12" s="479"/>
      <c r="BP12" s="76"/>
      <c r="BQ12" s="75"/>
      <c r="BR12" s="76"/>
      <c r="BS12" s="227"/>
      <c r="BT12" s="479"/>
      <c r="BU12" s="76"/>
      <c r="BV12" s="75"/>
      <c r="BW12" s="76"/>
      <c r="BX12" s="76"/>
      <c r="BY12" s="479"/>
      <c r="BZ12" s="76"/>
      <c r="CA12" s="75"/>
      <c r="CB12" s="76"/>
      <c r="CC12" s="227"/>
      <c r="CD12" s="479"/>
      <c r="CE12" s="76"/>
      <c r="CF12" s="75">
        <f>CF10+CF11</f>
        <v>52883</v>
      </c>
      <c r="CG12" s="76">
        <v>13354.46</v>
      </c>
      <c r="CH12" s="76">
        <v>13899.54</v>
      </c>
      <c r="CI12" s="76">
        <v>14627.48</v>
      </c>
      <c r="CJ12" s="76">
        <v>15224.52</v>
      </c>
      <c r="CK12" s="75">
        <f>SUM(CG12:CJ12)</f>
        <v>57106</v>
      </c>
      <c r="CL12" s="76"/>
      <c r="CM12" s="76">
        <f t="shared" ref="CM12:CQ12" si="2">CM10+CM11</f>
        <v>12214</v>
      </c>
      <c r="CN12" s="76">
        <f t="shared" si="2"/>
        <v>13004</v>
      </c>
      <c r="CO12" s="76">
        <v>14266</v>
      </c>
      <c r="CP12" s="75"/>
      <c r="CQ12" s="76">
        <f t="shared" si="2"/>
        <v>12537</v>
      </c>
      <c r="CR12" s="76">
        <v>12655</v>
      </c>
      <c r="CS12" s="76">
        <v>13089</v>
      </c>
      <c r="CT12" s="76">
        <v>13616</v>
      </c>
      <c r="CU12" s="75"/>
      <c r="CV12" s="76">
        <v>12560</v>
      </c>
      <c r="CW12" s="76">
        <v>12856</v>
      </c>
      <c r="CX12" s="76">
        <v>13464</v>
      </c>
      <c r="CY12" s="76">
        <v>14526</v>
      </c>
      <c r="CZ12" s="75"/>
      <c r="DA12" s="76">
        <v>13645</v>
      </c>
      <c r="DB12" s="76">
        <v>14518</v>
      </c>
      <c r="DC12" s="76">
        <v>12750</v>
      </c>
      <c r="DD12" s="76">
        <v>15918</v>
      </c>
      <c r="DE12" s="75"/>
      <c r="DF12" s="76">
        <v>15744</v>
      </c>
      <c r="DG12" s="838">
        <v>16141</v>
      </c>
      <c r="DH12" s="838">
        <v>16055</v>
      </c>
      <c r="DI12" s="838">
        <v>17388</v>
      </c>
      <c r="DJ12" s="75"/>
      <c r="DK12" s="838">
        <v>16190</v>
      </c>
      <c r="DL12" s="838">
        <v>17205</v>
      </c>
      <c r="DM12" s="838">
        <v>17898</v>
      </c>
      <c r="DN12" s="76"/>
      <c r="DO12" s="75"/>
      <c r="DP12" s="838"/>
      <c r="DQ12" s="76"/>
      <c r="DR12" s="76"/>
      <c r="DS12" s="76"/>
      <c r="DT12" s="75"/>
      <c r="DU12" s="75"/>
      <c r="DV12" s="75"/>
    </row>
    <row r="13" spans="1:126" s="208" customFormat="1">
      <c r="A13" s="3"/>
      <c r="B13" s="165" t="s">
        <v>192</v>
      </c>
      <c r="C13" s="195"/>
      <c r="D13" s="195"/>
      <c r="E13" s="195"/>
      <c r="F13" s="195"/>
      <c r="G13" s="195"/>
      <c r="H13" s="195"/>
      <c r="I13" s="195"/>
      <c r="N13" s="195"/>
      <c r="S13" s="195"/>
      <c r="X13" s="195"/>
      <c r="AC13" s="195"/>
      <c r="AH13" s="195"/>
      <c r="AM13" s="195"/>
      <c r="AR13" s="195"/>
      <c r="AU13" s="198"/>
      <c r="AW13" s="195"/>
      <c r="BB13" s="195"/>
      <c r="BD13" s="198"/>
      <c r="BF13" s="198"/>
      <c r="BG13" s="195"/>
      <c r="BI13" s="198"/>
      <c r="BJ13" s="472"/>
      <c r="BK13" s="198"/>
      <c r="BL13" s="195"/>
      <c r="BN13" s="198"/>
      <c r="BO13" s="472"/>
      <c r="BP13" s="472"/>
      <c r="BQ13" s="195"/>
      <c r="BS13" s="453"/>
      <c r="BT13" s="472"/>
      <c r="BU13" s="198"/>
      <c r="BV13" s="195"/>
      <c r="BX13" s="198"/>
      <c r="BY13" s="472"/>
      <c r="BZ13" s="198"/>
      <c r="CA13" s="195"/>
      <c r="CD13" s="472"/>
      <c r="CE13" s="198"/>
      <c r="CF13" s="195">
        <v>3252</v>
      </c>
      <c r="CG13" s="208">
        <v>779.1</v>
      </c>
      <c r="CH13" s="208">
        <v>810.9</v>
      </c>
      <c r="CI13" s="198">
        <v>782.04</v>
      </c>
      <c r="CJ13" s="198">
        <v>813.96</v>
      </c>
      <c r="CK13" s="195">
        <f>SUM(CG13:CJ13)</f>
        <v>3186</v>
      </c>
      <c r="CM13" s="761">
        <v>695</v>
      </c>
      <c r="CN13" s="472">
        <v>642</v>
      </c>
      <c r="CO13" s="198">
        <v>710</v>
      </c>
      <c r="CP13" s="195"/>
      <c r="CQ13" s="198">
        <v>589</v>
      </c>
      <c r="CR13" s="198">
        <v>657</v>
      </c>
      <c r="CS13" s="198">
        <v>676</v>
      </c>
      <c r="CT13" s="198">
        <v>810</v>
      </c>
      <c r="CU13" s="195"/>
      <c r="CV13" s="198">
        <v>635</v>
      </c>
      <c r="CW13" s="198">
        <v>698</v>
      </c>
      <c r="CX13" s="198">
        <v>662</v>
      </c>
      <c r="CY13" s="198">
        <v>716</v>
      </c>
      <c r="CZ13" s="195"/>
      <c r="DA13" s="198">
        <v>607</v>
      </c>
      <c r="DB13" s="198">
        <v>729</v>
      </c>
      <c r="DC13" s="198">
        <v>712</v>
      </c>
      <c r="DD13" s="198">
        <v>757</v>
      </c>
      <c r="DE13" s="195"/>
      <c r="DF13" s="198">
        <v>669</v>
      </c>
      <c r="DG13" s="443">
        <v>706</v>
      </c>
      <c r="DH13" s="443">
        <v>751</v>
      </c>
      <c r="DI13" s="443">
        <v>808</v>
      </c>
      <c r="DJ13" s="195"/>
      <c r="DK13" s="443">
        <v>637</v>
      </c>
      <c r="DL13" s="443">
        <v>697</v>
      </c>
      <c r="DM13" s="443">
        <v>684</v>
      </c>
      <c r="DN13" s="198"/>
      <c r="DO13" s="195"/>
      <c r="DP13" s="443"/>
      <c r="DQ13" s="198"/>
      <c r="DR13" s="198"/>
      <c r="DS13" s="198"/>
      <c r="DT13" s="195"/>
      <c r="DU13" s="195"/>
      <c r="DV13" s="195"/>
    </row>
    <row r="14" spans="1:126" s="13" customFormat="1">
      <c r="A14" s="32"/>
      <c r="B14" s="45" t="s">
        <v>28</v>
      </c>
      <c r="C14" s="85"/>
      <c r="D14" s="85"/>
      <c r="E14" s="85"/>
      <c r="F14" s="85"/>
      <c r="G14" s="85"/>
      <c r="H14" s="85"/>
      <c r="I14" s="85"/>
      <c r="J14" s="191"/>
      <c r="K14" s="191"/>
      <c r="L14" s="191"/>
      <c r="M14" s="191"/>
      <c r="N14" s="85"/>
      <c r="O14" s="191"/>
      <c r="P14" s="191"/>
      <c r="Q14" s="191"/>
      <c r="R14" s="191"/>
      <c r="S14" s="85"/>
      <c r="T14" s="191"/>
      <c r="U14" s="191"/>
      <c r="V14" s="191"/>
      <c r="W14" s="191"/>
      <c r="X14" s="85"/>
      <c r="Y14" s="208"/>
      <c r="Z14" s="208"/>
      <c r="AA14" s="208"/>
      <c r="AC14" s="195"/>
      <c r="AD14" s="208"/>
      <c r="AE14" s="208"/>
      <c r="AF14" s="208"/>
      <c r="AH14" s="195"/>
      <c r="AI14" s="208"/>
      <c r="AJ14" s="208"/>
      <c r="AK14" s="208"/>
      <c r="AM14" s="195"/>
      <c r="AN14" s="208"/>
      <c r="AO14" s="210"/>
      <c r="AP14" s="210"/>
      <c r="AQ14" s="208"/>
      <c r="AR14" s="195"/>
      <c r="AS14" s="208"/>
      <c r="AT14" s="208"/>
      <c r="AU14" s="198"/>
      <c r="AV14" s="208"/>
      <c r="AW14" s="195"/>
      <c r="AY14" s="208"/>
      <c r="AZ14" s="198"/>
      <c r="BA14" s="198"/>
      <c r="BB14" s="195"/>
      <c r="BD14" s="18"/>
      <c r="BE14" s="198"/>
      <c r="BF14" s="16"/>
      <c r="BG14" s="195"/>
      <c r="BH14" s="198"/>
      <c r="BI14" s="18"/>
      <c r="BJ14" s="472"/>
      <c r="BK14" s="16"/>
      <c r="BL14" s="195"/>
      <c r="BM14" s="198"/>
      <c r="BN14" s="18"/>
      <c r="BO14" s="472"/>
      <c r="BP14" s="16"/>
      <c r="BQ14" s="195"/>
      <c r="BR14" s="198"/>
      <c r="BS14" s="18"/>
      <c r="BT14" s="472"/>
      <c r="BU14" s="16"/>
      <c r="BV14" s="195"/>
      <c r="BW14" s="198"/>
      <c r="BX14" s="18"/>
      <c r="BY14" s="472"/>
      <c r="BZ14" s="16"/>
      <c r="CA14" s="17"/>
      <c r="CB14" s="198"/>
      <c r="CC14" s="198"/>
      <c r="CD14" s="472"/>
      <c r="CE14" s="16"/>
      <c r="CF14" s="17">
        <v>5553</v>
      </c>
      <c r="CG14" s="198">
        <v>1368.08</v>
      </c>
      <c r="CH14" s="198">
        <v>1423.92</v>
      </c>
      <c r="CI14" s="16">
        <v>1450.8899999999999</v>
      </c>
      <c r="CJ14" s="16">
        <v>1510.1100000000001</v>
      </c>
      <c r="CK14" s="195">
        <f>SUM(CG14:CJ14)</f>
        <v>5753</v>
      </c>
      <c r="CL14" s="198"/>
      <c r="CM14" s="803">
        <v>1811</v>
      </c>
      <c r="CN14" s="472">
        <v>1401</v>
      </c>
      <c r="CO14" s="16">
        <v>1351</v>
      </c>
      <c r="CP14" s="17"/>
      <c r="CQ14" s="16">
        <v>1220</v>
      </c>
      <c r="CR14" s="16">
        <v>1368</v>
      </c>
      <c r="CS14" s="16">
        <v>1229</v>
      </c>
      <c r="CT14" s="16">
        <v>1407</v>
      </c>
      <c r="CU14" s="17"/>
      <c r="CV14" s="16">
        <v>1469</v>
      </c>
      <c r="CW14" s="16">
        <v>1424</v>
      </c>
      <c r="CX14" s="16">
        <v>1391</v>
      </c>
      <c r="CY14" s="16">
        <v>1379</v>
      </c>
      <c r="CZ14" s="17"/>
      <c r="DA14" s="16">
        <v>1398</v>
      </c>
      <c r="DB14" s="16">
        <v>1635</v>
      </c>
      <c r="DC14" s="16">
        <v>1401</v>
      </c>
      <c r="DD14" s="16">
        <v>1445</v>
      </c>
      <c r="DE14" s="17"/>
      <c r="DF14" s="16">
        <v>1394</v>
      </c>
      <c r="DG14" s="443">
        <v>1449</v>
      </c>
      <c r="DH14" s="443">
        <v>1389</v>
      </c>
      <c r="DI14" s="443">
        <v>1574</v>
      </c>
      <c r="DJ14" s="17"/>
      <c r="DK14" s="443">
        <v>1448</v>
      </c>
      <c r="DL14" s="443">
        <v>1573</v>
      </c>
      <c r="DM14" s="443">
        <v>1436</v>
      </c>
      <c r="DN14" s="16"/>
      <c r="DO14" s="17"/>
      <c r="DP14" s="443"/>
      <c r="DQ14" s="16"/>
      <c r="DR14" s="16"/>
      <c r="DS14" s="16"/>
      <c r="DT14" s="17"/>
      <c r="DU14" s="17"/>
      <c r="DV14" s="17"/>
    </row>
    <row r="15" spans="1:126" s="13" customFormat="1">
      <c r="A15" s="32"/>
      <c r="B15" s="180" t="s">
        <v>582</v>
      </c>
      <c r="C15" s="85"/>
      <c r="D15" s="85"/>
      <c r="E15" s="85"/>
      <c r="F15" s="85"/>
      <c r="G15" s="85"/>
      <c r="H15" s="85"/>
      <c r="I15" s="85"/>
      <c r="J15" s="191"/>
      <c r="K15" s="191"/>
      <c r="L15" s="191"/>
      <c r="M15" s="191"/>
      <c r="N15" s="85"/>
      <c r="O15" s="191"/>
      <c r="P15" s="191"/>
      <c r="Q15" s="191"/>
      <c r="R15" s="191"/>
      <c r="S15" s="85"/>
      <c r="T15" s="191"/>
      <c r="U15" s="191"/>
      <c r="V15" s="191"/>
      <c r="W15" s="191"/>
      <c r="X15" s="85"/>
      <c r="Y15" s="208"/>
      <c r="Z15" s="208"/>
      <c r="AA15" s="208"/>
      <c r="AC15" s="195"/>
      <c r="AD15" s="208"/>
      <c r="AE15" s="208"/>
      <c r="AF15" s="208"/>
      <c r="AH15" s="195"/>
      <c r="AI15" s="208"/>
      <c r="AJ15" s="208"/>
      <c r="AK15" s="208"/>
      <c r="AM15" s="195"/>
      <c r="AN15" s="208"/>
      <c r="AO15" s="210"/>
      <c r="AP15" s="210"/>
      <c r="AQ15" s="208"/>
      <c r="AR15" s="195"/>
      <c r="AS15" s="208"/>
      <c r="AT15" s="208"/>
      <c r="AU15" s="198"/>
      <c r="AV15" s="208"/>
      <c r="AW15" s="195"/>
      <c r="AY15" s="208"/>
      <c r="AZ15" s="198"/>
      <c r="BA15" s="198"/>
      <c r="BB15" s="195"/>
      <c r="BD15" s="18"/>
      <c r="BE15" s="198"/>
      <c r="BF15" s="16"/>
      <c r="BG15" s="195"/>
      <c r="BH15" s="198"/>
      <c r="BI15" s="18"/>
      <c r="BJ15" s="472"/>
      <c r="BK15" s="16"/>
      <c r="BL15" s="195"/>
      <c r="BM15" s="198"/>
      <c r="BN15" s="18"/>
      <c r="BO15" s="472"/>
      <c r="BP15" s="16"/>
      <c r="BQ15" s="195"/>
      <c r="BR15" s="198"/>
      <c r="BS15" s="18"/>
      <c r="BT15" s="472"/>
      <c r="BU15" s="16"/>
      <c r="BV15" s="195"/>
      <c r="BW15" s="198"/>
      <c r="BX15" s="18"/>
      <c r="BY15" s="472"/>
      <c r="BZ15" s="16"/>
      <c r="CA15" s="17"/>
      <c r="CB15" s="198"/>
      <c r="CC15" s="198"/>
      <c r="CD15" s="472"/>
      <c r="CE15" s="16"/>
      <c r="CF15" s="17"/>
      <c r="CG15" s="198"/>
      <c r="CH15" s="198"/>
      <c r="CI15" s="16"/>
      <c r="CJ15" s="16"/>
      <c r="CK15" s="195"/>
      <c r="CL15" s="198"/>
      <c r="CM15" s="803">
        <v>-3183</v>
      </c>
      <c r="CN15" s="472"/>
      <c r="CO15" s="16"/>
      <c r="CP15" s="17"/>
      <c r="CQ15" s="16"/>
      <c r="CR15" s="16"/>
      <c r="CS15" s="16"/>
      <c r="CT15" s="16">
        <v>-617</v>
      </c>
      <c r="CU15" s="17"/>
      <c r="CV15" s="16"/>
      <c r="CW15" s="16"/>
      <c r="CX15" s="16"/>
      <c r="CY15" s="16"/>
      <c r="CZ15" s="17"/>
      <c r="DA15" s="16"/>
      <c r="DB15" s="16"/>
      <c r="DC15" s="16"/>
      <c r="DD15" s="16"/>
      <c r="DE15" s="17"/>
      <c r="DF15" s="16"/>
      <c r="DG15" s="16"/>
      <c r="DH15" s="16"/>
      <c r="DI15" s="16"/>
      <c r="DJ15" s="17"/>
      <c r="DK15" s="16"/>
      <c r="DL15" s="16"/>
      <c r="DM15" s="16"/>
      <c r="DN15" s="16"/>
      <c r="DO15" s="17"/>
      <c r="DP15" s="16"/>
      <c r="DQ15" s="16"/>
      <c r="DR15" s="16"/>
      <c r="DS15" s="16"/>
      <c r="DT15" s="17"/>
      <c r="DU15" s="17"/>
      <c r="DV15" s="17"/>
    </row>
    <row r="16" spans="1:126" s="13" customFormat="1">
      <c r="A16" s="32"/>
      <c r="B16" s="180" t="s">
        <v>484</v>
      </c>
      <c r="C16" s="85"/>
      <c r="D16" s="85"/>
      <c r="E16" s="85"/>
      <c r="F16" s="85"/>
      <c r="G16" s="85"/>
      <c r="H16" s="85"/>
      <c r="I16" s="85"/>
      <c r="J16" s="191"/>
      <c r="K16" s="191"/>
      <c r="L16" s="191"/>
      <c r="M16" s="191"/>
      <c r="N16" s="85"/>
      <c r="O16" s="191"/>
      <c r="P16" s="191"/>
      <c r="Q16" s="191"/>
      <c r="R16" s="191"/>
      <c r="S16" s="85"/>
      <c r="T16" s="191"/>
      <c r="U16" s="191"/>
      <c r="V16" s="191"/>
      <c r="W16" s="191"/>
      <c r="X16" s="85"/>
      <c r="AC16" s="17"/>
      <c r="AD16" s="208"/>
      <c r="AE16" s="208"/>
      <c r="AF16" s="208"/>
      <c r="AH16" s="17"/>
      <c r="AI16" s="191"/>
      <c r="AJ16" s="191"/>
      <c r="AK16" s="191"/>
      <c r="AL16" s="191"/>
      <c r="AM16" s="195"/>
      <c r="AN16" s="191"/>
      <c r="AO16" s="1"/>
      <c r="AP16" s="1"/>
      <c r="AQ16" s="191"/>
      <c r="AR16" s="195"/>
      <c r="AS16" s="191"/>
      <c r="AT16" s="191"/>
      <c r="AU16" s="86"/>
      <c r="AV16" s="191"/>
      <c r="AW16" s="195"/>
      <c r="AX16" s="191"/>
      <c r="AY16" s="191"/>
      <c r="AZ16" s="409"/>
      <c r="BA16" s="409"/>
      <c r="BB16" s="195"/>
      <c r="BC16" s="191"/>
      <c r="BD16" s="18"/>
      <c r="BE16" s="409"/>
      <c r="BF16" s="16"/>
      <c r="BG16" s="195"/>
      <c r="BH16" s="86"/>
      <c r="BI16" s="1"/>
      <c r="BJ16" s="472"/>
      <c r="BK16" s="16"/>
      <c r="BL16" s="195"/>
      <c r="BM16" s="86"/>
      <c r="BN16" s="1"/>
      <c r="BO16" s="484"/>
      <c r="BP16" s="484"/>
      <c r="BQ16" s="195"/>
      <c r="BR16" s="86"/>
      <c r="BS16" s="1"/>
      <c r="BT16" s="484"/>
      <c r="BU16" s="86"/>
      <c r="BV16" s="195"/>
      <c r="BW16" s="86"/>
      <c r="BX16" s="1"/>
      <c r="BY16" s="472"/>
      <c r="BZ16" s="16"/>
      <c r="CA16" s="17"/>
      <c r="CB16" s="86"/>
      <c r="CC16" s="86"/>
      <c r="CD16" s="484"/>
      <c r="CE16" s="86"/>
      <c r="CF16" s="85">
        <v>337</v>
      </c>
      <c r="CG16" s="86">
        <v>97.02</v>
      </c>
      <c r="CH16" s="86">
        <v>100.98</v>
      </c>
      <c r="CI16" s="86">
        <v>75.95</v>
      </c>
      <c r="CJ16" s="86">
        <v>79.05</v>
      </c>
      <c r="CK16" s="85">
        <f>SUM(CG16:CJ16)</f>
        <v>353</v>
      </c>
      <c r="CL16" s="86"/>
      <c r="CM16" s="804">
        <v>82</v>
      </c>
      <c r="CN16" s="472">
        <v>734</v>
      </c>
      <c r="CO16" s="16">
        <v>50</v>
      </c>
      <c r="CP16" s="17"/>
      <c r="CQ16" s="16">
        <v>108</v>
      </c>
      <c r="CR16" s="16">
        <v>82</v>
      </c>
      <c r="CS16" s="16">
        <v>124</v>
      </c>
      <c r="CT16" s="16">
        <f>109</f>
        <v>109</v>
      </c>
      <c r="CU16" s="17"/>
      <c r="CV16" s="16">
        <v>28</v>
      </c>
      <c r="CW16" s="16">
        <v>17</v>
      </c>
      <c r="CX16" s="16">
        <v>46</v>
      </c>
      <c r="CY16" s="16">
        <v>29</v>
      </c>
      <c r="CZ16" s="17"/>
      <c r="DA16" s="16">
        <v>88</v>
      </c>
      <c r="DB16" s="16">
        <v>25</v>
      </c>
      <c r="DC16" s="16">
        <v>3</v>
      </c>
      <c r="DD16" s="16">
        <v>-30</v>
      </c>
      <c r="DE16" s="17"/>
      <c r="DF16" s="16">
        <v>372</v>
      </c>
      <c r="DG16" s="443">
        <v>-896</v>
      </c>
      <c r="DH16" s="443">
        <v>134</v>
      </c>
      <c r="DI16" s="443">
        <v>258</v>
      </c>
      <c r="DJ16" s="17"/>
      <c r="DK16" s="443">
        <v>4</v>
      </c>
      <c r="DL16" s="443">
        <v>40</v>
      </c>
      <c r="DM16" s="443">
        <v>63</v>
      </c>
      <c r="DN16" s="16"/>
      <c r="DO16" s="17"/>
      <c r="DP16" s="443"/>
      <c r="DQ16" s="16"/>
      <c r="DR16" s="16"/>
      <c r="DS16" s="16"/>
      <c r="DT16" s="17"/>
      <c r="DU16" s="17"/>
      <c r="DV16" s="17"/>
    </row>
    <row r="17" spans="1:126" s="190" customFormat="1">
      <c r="A17" s="37"/>
      <c r="B17" s="108" t="s">
        <v>34</v>
      </c>
      <c r="C17" s="75"/>
      <c r="D17" s="75"/>
      <c r="E17" s="75"/>
      <c r="F17" s="75"/>
      <c r="G17" s="75"/>
      <c r="H17" s="75"/>
      <c r="I17" s="75"/>
      <c r="N17" s="75"/>
      <c r="S17" s="75"/>
      <c r="X17" s="75"/>
      <c r="AC17" s="75"/>
      <c r="AH17" s="75"/>
      <c r="AM17" s="75"/>
      <c r="AR17" s="75"/>
      <c r="AW17" s="75"/>
      <c r="BB17" s="75"/>
      <c r="BG17" s="75"/>
      <c r="BJ17" s="474"/>
      <c r="BK17" s="474"/>
      <c r="BL17" s="75"/>
      <c r="BM17" s="474"/>
      <c r="BN17" s="474"/>
      <c r="BO17" s="474"/>
      <c r="BP17" s="474"/>
      <c r="BQ17" s="75"/>
      <c r="BR17" s="474"/>
      <c r="BS17" s="227"/>
      <c r="BT17" s="227"/>
      <c r="BU17" s="227"/>
      <c r="BV17" s="75"/>
      <c r="BW17" s="227"/>
      <c r="BX17" s="227"/>
      <c r="BY17" s="227"/>
      <c r="BZ17" s="227"/>
      <c r="CA17" s="75"/>
      <c r="CB17" s="227"/>
      <c r="CC17" s="227"/>
      <c r="CD17" s="227"/>
      <c r="CE17" s="227"/>
      <c r="CF17" s="75">
        <f>CF9-CF12-CF13-CF14+CF16</f>
        <v>7821</v>
      </c>
      <c r="CG17" s="227">
        <v>2259.880000000001</v>
      </c>
      <c r="CH17" s="227">
        <v>2352.119999999999</v>
      </c>
      <c r="CI17" s="227">
        <v>1927.169999999998</v>
      </c>
      <c r="CJ17" s="227">
        <v>2005.830000000002</v>
      </c>
      <c r="CK17" s="75">
        <f t="shared" ref="CK17" si="3">CK9-CK12-CK13-CK14+CK16</f>
        <v>8545</v>
      </c>
      <c r="CL17" s="227">
        <v>2187</v>
      </c>
      <c r="CM17" s="227">
        <v>-3617</v>
      </c>
      <c r="CN17" s="227">
        <f>CN9-CN12-CN13-CN14+CN15+CN16</f>
        <v>434</v>
      </c>
      <c r="CO17" s="227">
        <f>CO9-CO12-CO13-CO14+CO15+CO16</f>
        <v>142</v>
      </c>
      <c r="CP17" s="75">
        <f>SUM(CL17:CO17)</f>
        <v>-854</v>
      </c>
      <c r="CQ17" s="76">
        <f>CQ9-CQ12-CQ13-CQ14+CQ15+CQ16</f>
        <v>1013</v>
      </c>
      <c r="CR17" s="76">
        <f>CR9-CR12-CR13-CR14+CR15+CR16</f>
        <v>1282</v>
      </c>
      <c r="CS17" s="76">
        <f>CS9-CS12-CS13-CS14+CS15+CS16</f>
        <v>1343</v>
      </c>
      <c r="CT17" s="76">
        <f>CT9-CT12-CT13-CT14+CT15+CT16</f>
        <v>703</v>
      </c>
      <c r="CU17" s="75"/>
      <c r="CV17" s="76">
        <f>CV9-CV12-CV13-CV14+CV15+CV16</f>
        <v>1080</v>
      </c>
      <c r="CW17" s="76">
        <f>CW9-CW12-CW13-CW14+CW15+CW16</f>
        <v>1353</v>
      </c>
      <c r="CX17" s="76">
        <f>CX9-CX12-CX13-CX14+CX15+CX16</f>
        <v>1480</v>
      </c>
      <c r="CY17" s="76">
        <f>CY9-CY12-CY13-CY14+CY15+CY16</f>
        <v>1501</v>
      </c>
      <c r="CZ17" s="75"/>
      <c r="DA17" s="76">
        <f>DA9-DA12-DA13-DA14+DA15+DA16</f>
        <v>1652</v>
      </c>
      <c r="DB17" s="76">
        <f>DB9-DB12-DB13-DB14+DB15+DB16</f>
        <v>1458</v>
      </c>
      <c r="DC17" s="76">
        <f>DC9-DC12-DC13-DC14+DC15+DC16</f>
        <v>-1396</v>
      </c>
      <c r="DD17" s="76">
        <f>DD9-DD12-DD13-DD14+DD15+DD16</f>
        <v>1777</v>
      </c>
      <c r="DE17" s="75"/>
      <c r="DF17" s="76">
        <f>DF9-DF12-DF13-DF14+DF15+DF16</f>
        <v>1870</v>
      </c>
      <c r="DG17" s="76">
        <f>DG9-DG12-DG13-DG14+DG15+DG16</f>
        <v>529</v>
      </c>
      <c r="DH17" s="76">
        <f>DH9-DH12-DH13-DH14+DH15+DH16</f>
        <v>2028</v>
      </c>
      <c r="DI17" s="76">
        <f>DI9-DI12-DI13-DI14+DI15+DI16</f>
        <v>2111</v>
      </c>
      <c r="DJ17" s="75"/>
      <c r="DK17" s="76">
        <f>DK9-DK12-DK13-DK14+DK15+DK16</f>
        <v>2035</v>
      </c>
      <c r="DL17" s="76">
        <f>DL9-DL12-DL13-DL14+DL15+DL16</f>
        <v>2146</v>
      </c>
      <c r="DM17" s="76">
        <f>DM9-DM12-DM13-DM14+DM15+DM16</f>
        <v>2523</v>
      </c>
      <c r="DN17" s="76"/>
      <c r="DO17" s="75"/>
      <c r="DP17" s="76"/>
      <c r="DQ17" s="76"/>
      <c r="DR17" s="76"/>
      <c r="DS17" s="76"/>
      <c r="DT17" s="75"/>
      <c r="DU17" s="75"/>
      <c r="DV17" s="75"/>
    </row>
    <row r="18" spans="1:126" s="13" customFormat="1">
      <c r="A18" s="32"/>
      <c r="B18" s="180" t="s">
        <v>485</v>
      </c>
      <c r="C18" s="17"/>
      <c r="D18" s="17"/>
      <c r="E18" s="17"/>
      <c r="F18" s="17"/>
      <c r="G18" s="17"/>
      <c r="H18" s="17"/>
      <c r="I18" s="17"/>
      <c r="N18" s="17"/>
      <c r="S18" s="17"/>
      <c r="X18" s="17"/>
      <c r="AC18" s="17"/>
      <c r="AH18" s="17"/>
      <c r="AM18" s="195"/>
      <c r="AO18" s="18"/>
      <c r="AP18" s="18"/>
      <c r="AR18" s="195"/>
      <c r="AU18" s="16"/>
      <c r="AW18" s="195"/>
      <c r="AZ18" s="16"/>
      <c r="BA18" s="16"/>
      <c r="BB18" s="195"/>
      <c r="BD18" s="18"/>
      <c r="BE18" s="16"/>
      <c r="BF18" s="16"/>
      <c r="BG18" s="195"/>
      <c r="BH18" s="16"/>
      <c r="BI18" s="18"/>
      <c r="BJ18" s="472"/>
      <c r="BK18" s="16"/>
      <c r="BL18" s="195"/>
      <c r="BM18" s="16"/>
      <c r="BN18" s="18"/>
      <c r="BO18" s="472"/>
      <c r="BP18" s="16"/>
      <c r="BQ18" s="195"/>
      <c r="BR18" s="16"/>
      <c r="BS18" s="18"/>
      <c r="BT18" s="472"/>
      <c r="BU18" s="16"/>
      <c r="BV18" s="195"/>
      <c r="BW18" s="16"/>
      <c r="BX18" s="16"/>
      <c r="BY18" s="472"/>
      <c r="BZ18" s="16"/>
      <c r="CA18" s="366"/>
      <c r="CB18" s="16"/>
      <c r="CC18" s="16"/>
      <c r="CD18" s="472"/>
      <c r="CE18" s="16"/>
      <c r="CF18" s="195">
        <v>-1305</v>
      </c>
      <c r="CG18" s="198">
        <v>-315.07</v>
      </c>
      <c r="CH18" s="198">
        <v>-327.93</v>
      </c>
      <c r="CI18" s="16">
        <v>-278.81</v>
      </c>
      <c r="CJ18" s="16">
        <v>-290.19</v>
      </c>
      <c r="CK18" s="195">
        <f>SUM(CG18:CJ18)</f>
        <v>-1212</v>
      </c>
      <c r="CL18" s="16">
        <v>-276</v>
      </c>
      <c r="CM18" s="18">
        <v>-225</v>
      </c>
      <c r="CN18" s="472">
        <v>-253</v>
      </c>
      <c r="CO18" s="16">
        <v>-244</v>
      </c>
      <c r="CP18" s="195">
        <f>SUM(CL18:CO18)</f>
        <v>-998</v>
      </c>
      <c r="CQ18" s="16">
        <v>-491</v>
      </c>
      <c r="CR18" s="16">
        <v>-490</v>
      </c>
      <c r="CS18" s="16">
        <v>-491</v>
      </c>
      <c r="CT18" s="16">
        <v>-472</v>
      </c>
      <c r="CU18" s="17"/>
      <c r="CV18" s="16">
        <v>-480</v>
      </c>
      <c r="CW18" s="16">
        <v>-474</v>
      </c>
      <c r="CX18" s="16">
        <v>-468</v>
      </c>
      <c r="CY18" s="16">
        <v>-467</v>
      </c>
      <c r="CZ18" s="17"/>
      <c r="DA18" s="16">
        <v>-444</v>
      </c>
      <c r="DB18" s="16">
        <v>-447</v>
      </c>
      <c r="DC18" s="16">
        <v>-443</v>
      </c>
      <c r="DD18" s="16">
        <v>-446</v>
      </c>
      <c r="DE18" s="17"/>
      <c r="DF18" s="16">
        <v>-386</v>
      </c>
      <c r="DG18" s="443">
        <v>-374</v>
      </c>
      <c r="DH18" s="443">
        <v>-374</v>
      </c>
      <c r="DI18" s="443">
        <v>-384</v>
      </c>
      <c r="DJ18" s="17"/>
      <c r="DK18" s="443">
        <v>-366</v>
      </c>
      <c r="DL18" s="443">
        <v>-351</v>
      </c>
      <c r="DM18" s="443">
        <v>-364</v>
      </c>
      <c r="DN18" s="16"/>
      <c r="DO18" s="17"/>
      <c r="DP18" s="443"/>
      <c r="DQ18" s="16"/>
      <c r="DR18" s="16"/>
      <c r="DS18" s="16"/>
      <c r="DT18" s="17"/>
      <c r="DU18" s="17"/>
      <c r="DV18" s="17"/>
    </row>
    <row r="19" spans="1:126" s="13" customFormat="1">
      <c r="A19" s="32"/>
      <c r="B19" s="165" t="s">
        <v>486</v>
      </c>
      <c r="C19" s="17"/>
      <c r="D19" s="17"/>
      <c r="E19" s="17"/>
      <c r="F19" s="17"/>
      <c r="G19" s="17"/>
      <c r="H19" s="17"/>
      <c r="I19" s="17"/>
      <c r="N19" s="17"/>
      <c r="S19" s="17"/>
      <c r="X19" s="17"/>
      <c r="AC19" s="17"/>
      <c r="AH19" s="17"/>
      <c r="AM19" s="195"/>
      <c r="AO19" s="18"/>
      <c r="AP19" s="18"/>
      <c r="AR19" s="195"/>
      <c r="AU19" s="16"/>
      <c r="AW19" s="195"/>
      <c r="AZ19" s="16"/>
      <c r="BA19" s="16"/>
      <c r="BB19" s="195"/>
      <c r="BD19" s="18"/>
      <c r="BE19" s="16"/>
      <c r="BF19" s="16"/>
      <c r="BG19" s="195"/>
      <c r="BH19" s="16"/>
      <c r="BI19" s="18"/>
      <c r="BJ19" s="472"/>
      <c r="BK19" s="16"/>
      <c r="BL19" s="195"/>
      <c r="BM19" s="16"/>
      <c r="BN19" s="18"/>
      <c r="BO19" s="472"/>
      <c r="BP19" s="16"/>
      <c r="BQ19" s="195"/>
      <c r="BR19" s="16"/>
      <c r="BS19" s="18"/>
      <c r="BT19" s="472"/>
      <c r="BU19" s="16"/>
      <c r="BV19" s="195"/>
      <c r="BW19" s="16"/>
      <c r="BX19" s="18"/>
      <c r="BY19" s="472"/>
      <c r="BZ19" s="16"/>
      <c r="CA19" s="195"/>
      <c r="CB19" s="16"/>
      <c r="CC19" s="16"/>
      <c r="CD19" s="472"/>
      <c r="CE19" s="16"/>
      <c r="CF19" s="195">
        <v>1001</v>
      </c>
      <c r="CG19" s="198">
        <v>253.82</v>
      </c>
      <c r="CH19" s="198">
        <v>264.18</v>
      </c>
      <c r="CI19" s="16">
        <v>274.89</v>
      </c>
      <c r="CJ19" s="16">
        <v>286.11</v>
      </c>
      <c r="CK19" s="195">
        <f>SUM(CG19:CJ19)</f>
        <v>1079</v>
      </c>
      <c r="CL19" s="16">
        <v>252</v>
      </c>
      <c r="CM19" s="18">
        <v>337</v>
      </c>
      <c r="CN19" s="472">
        <v>350</v>
      </c>
      <c r="CO19" s="16">
        <v>349</v>
      </c>
      <c r="CP19" s="195">
        <f>SUM(CL19:CO19)</f>
        <v>1288</v>
      </c>
      <c r="CQ19" s="16">
        <v>346</v>
      </c>
      <c r="CR19" s="16">
        <v>342</v>
      </c>
      <c r="CS19" s="16">
        <v>358</v>
      </c>
      <c r="CT19" s="16">
        <v>308</v>
      </c>
      <c r="CU19" s="17"/>
      <c r="CV19" s="16">
        <v>318</v>
      </c>
      <c r="CW19" s="16">
        <v>329</v>
      </c>
      <c r="CX19" s="16">
        <v>311</v>
      </c>
      <c r="CY19" s="16">
        <v>318</v>
      </c>
      <c r="CZ19" s="17"/>
      <c r="DA19" s="16">
        <v>315</v>
      </c>
      <c r="DB19" s="16">
        <v>333</v>
      </c>
      <c r="DC19" s="16">
        <v>369</v>
      </c>
      <c r="DD19" s="16">
        <v>488</v>
      </c>
      <c r="DE19" s="17"/>
      <c r="DF19" s="16">
        <v>405</v>
      </c>
      <c r="DG19" s="443">
        <v>475</v>
      </c>
      <c r="DH19" s="443">
        <v>496</v>
      </c>
      <c r="DI19" s="443">
        <v>486</v>
      </c>
      <c r="DJ19" s="17"/>
      <c r="DK19" s="443">
        <v>443</v>
      </c>
      <c r="DL19" s="443">
        <v>457</v>
      </c>
      <c r="DM19" s="443">
        <v>449</v>
      </c>
      <c r="DN19" s="16"/>
      <c r="DO19" s="17"/>
      <c r="DP19" s="443"/>
      <c r="DQ19" s="16"/>
      <c r="DR19" s="16"/>
      <c r="DS19" s="16"/>
      <c r="DT19" s="17"/>
      <c r="DU19" s="17"/>
      <c r="DV19" s="17"/>
    </row>
    <row r="20" spans="1:126" s="190" customFormat="1">
      <c r="A20" s="37"/>
      <c r="B20" s="108" t="s">
        <v>35</v>
      </c>
      <c r="C20" s="75"/>
      <c r="D20" s="75"/>
      <c r="E20" s="75"/>
      <c r="F20" s="75"/>
      <c r="G20" s="75"/>
      <c r="H20" s="75"/>
      <c r="I20" s="75"/>
      <c r="N20" s="75"/>
      <c r="S20" s="75"/>
      <c r="X20" s="75"/>
      <c r="AC20" s="75"/>
      <c r="AH20" s="75"/>
      <c r="AM20" s="75"/>
      <c r="AR20" s="75"/>
      <c r="AW20" s="75"/>
      <c r="BB20" s="75"/>
      <c r="BG20" s="75"/>
      <c r="BJ20" s="474"/>
      <c r="BK20" s="474"/>
      <c r="BL20" s="75"/>
      <c r="BM20" s="474"/>
      <c r="BN20" s="474"/>
      <c r="BO20" s="474"/>
      <c r="BP20" s="474"/>
      <c r="BQ20" s="75"/>
      <c r="BR20" s="474"/>
      <c r="BS20" s="227"/>
      <c r="BT20" s="227"/>
      <c r="BU20" s="227"/>
      <c r="BV20" s="75"/>
      <c r="BW20" s="227"/>
      <c r="BX20" s="227"/>
      <c r="BY20" s="227"/>
      <c r="BZ20" s="227"/>
      <c r="CA20" s="75"/>
      <c r="CB20" s="227"/>
      <c r="CC20" s="227"/>
      <c r="CD20" s="227"/>
      <c r="CE20" s="227"/>
      <c r="CF20" s="75">
        <f>CF17-CF18-CF19</f>
        <v>8125</v>
      </c>
      <c r="CG20" s="227">
        <v>2321.130000000001</v>
      </c>
      <c r="CH20" s="227">
        <v>2415.869999999999</v>
      </c>
      <c r="CI20" s="227">
        <v>1931.0899999999983</v>
      </c>
      <c r="CJ20" s="227">
        <v>2009.9100000000017</v>
      </c>
      <c r="CK20" s="75">
        <f t="shared" ref="CK20:DF20" si="4">CK17-CK18-CK19</f>
        <v>8678</v>
      </c>
      <c r="CL20" s="227">
        <f t="shared" si="4"/>
        <v>2211</v>
      </c>
      <c r="CM20" s="227">
        <f t="shared" si="4"/>
        <v>-3729</v>
      </c>
      <c r="CN20" s="227">
        <f t="shared" si="4"/>
        <v>337</v>
      </c>
      <c r="CO20" s="227">
        <f t="shared" si="4"/>
        <v>37</v>
      </c>
      <c r="CP20" s="75">
        <f>SUM(CL20:CO20)</f>
        <v>-1144</v>
      </c>
      <c r="CQ20" s="227">
        <f t="shared" si="4"/>
        <v>1158</v>
      </c>
      <c r="CR20" s="227">
        <f t="shared" si="4"/>
        <v>1430</v>
      </c>
      <c r="CS20" s="227">
        <f t="shared" si="4"/>
        <v>1476</v>
      </c>
      <c r="CT20" s="227">
        <f t="shared" si="4"/>
        <v>867</v>
      </c>
      <c r="CU20" s="75"/>
      <c r="CV20" s="227">
        <f t="shared" si="4"/>
        <v>1242</v>
      </c>
      <c r="CW20" s="227">
        <f t="shared" si="4"/>
        <v>1498</v>
      </c>
      <c r="CX20" s="227">
        <f t="shared" si="4"/>
        <v>1637</v>
      </c>
      <c r="CY20" s="227">
        <f t="shared" si="4"/>
        <v>1650</v>
      </c>
      <c r="CZ20" s="75"/>
      <c r="DA20" s="227">
        <f t="shared" si="4"/>
        <v>1781</v>
      </c>
      <c r="DB20" s="227">
        <f t="shared" si="4"/>
        <v>1572</v>
      </c>
      <c r="DC20" s="227">
        <f t="shared" si="4"/>
        <v>-1322</v>
      </c>
      <c r="DD20" s="76">
        <f t="shared" si="4"/>
        <v>1735</v>
      </c>
      <c r="DE20" s="75"/>
      <c r="DF20" s="227">
        <f t="shared" si="4"/>
        <v>1851</v>
      </c>
      <c r="DG20" s="227">
        <f t="shared" ref="DG20:DI20" si="5">DG17-DG18-DG19</f>
        <v>428</v>
      </c>
      <c r="DH20" s="227">
        <f t="shared" si="5"/>
        <v>1906</v>
      </c>
      <c r="DI20" s="227">
        <f t="shared" si="5"/>
        <v>2009</v>
      </c>
      <c r="DJ20" s="75"/>
      <c r="DK20" s="76">
        <f t="shared" ref="DK20:DL20" si="6">DK17-DK18-DK19</f>
        <v>1958</v>
      </c>
      <c r="DL20" s="227">
        <f t="shared" si="6"/>
        <v>2040</v>
      </c>
      <c r="DM20" s="227">
        <f t="shared" ref="DM20" si="7">DM17-DM18-DM19</f>
        <v>2438</v>
      </c>
      <c r="DN20" s="76"/>
      <c r="DO20" s="75"/>
      <c r="DP20" s="76"/>
      <c r="DQ20" s="76"/>
      <c r="DR20" s="76"/>
      <c r="DS20" s="76"/>
      <c r="DT20" s="75"/>
      <c r="DU20" s="75"/>
      <c r="DV20" s="75"/>
    </row>
    <row r="21" spans="1:126" s="13" customFormat="1">
      <c r="A21" s="32"/>
      <c r="B21" s="165" t="s">
        <v>487</v>
      </c>
      <c r="C21" s="17"/>
      <c r="D21" s="17"/>
      <c r="E21" s="17"/>
      <c r="F21" s="17"/>
      <c r="G21" s="17"/>
      <c r="H21" s="17"/>
      <c r="I21" s="17"/>
      <c r="N21" s="17"/>
      <c r="S21" s="17"/>
      <c r="X21" s="17"/>
      <c r="AC21" s="17"/>
      <c r="AH21" s="17"/>
      <c r="AM21" s="195"/>
      <c r="AO21" s="18"/>
      <c r="AP21" s="18"/>
      <c r="AR21" s="195"/>
      <c r="AS21" s="191"/>
      <c r="AT21" s="191"/>
      <c r="AU21" s="86"/>
      <c r="AW21" s="195"/>
      <c r="AX21" s="208"/>
      <c r="AY21" s="208"/>
      <c r="AZ21" s="16"/>
      <c r="BA21" s="16"/>
      <c r="BB21" s="195"/>
      <c r="BC21" s="208"/>
      <c r="BD21" s="18"/>
      <c r="BE21" s="16"/>
      <c r="BF21" s="16"/>
      <c r="BG21" s="195"/>
      <c r="BH21" s="16"/>
      <c r="BI21" s="18"/>
      <c r="BJ21" s="472"/>
      <c r="BK21" s="16"/>
      <c r="BL21" s="195"/>
      <c r="BM21" s="16"/>
      <c r="BN21" s="18"/>
      <c r="BO21" s="472"/>
      <c r="BP21" s="16"/>
      <c r="BQ21" s="195"/>
      <c r="BR21" s="16"/>
      <c r="BS21" s="18"/>
      <c r="BT21" s="472"/>
      <c r="BU21" s="16"/>
      <c r="BV21" s="195"/>
      <c r="BW21" s="16"/>
      <c r="BX21" s="18"/>
      <c r="BY21" s="472"/>
      <c r="BZ21" s="16"/>
      <c r="CA21" s="195"/>
      <c r="CB21" s="16"/>
      <c r="CC21" s="16"/>
      <c r="CD21" s="472"/>
      <c r="CE21" s="16"/>
      <c r="CF21" s="195">
        <v>1808</v>
      </c>
      <c r="CG21" s="198">
        <v>296.94</v>
      </c>
      <c r="CH21" s="198">
        <v>309.06</v>
      </c>
      <c r="CI21" s="16">
        <v>299.88</v>
      </c>
      <c r="CJ21" s="16">
        <v>312.12</v>
      </c>
      <c r="CK21" s="195">
        <f>SUM(CG21:CJ21)</f>
        <v>1218</v>
      </c>
      <c r="CL21" s="16">
        <v>419</v>
      </c>
      <c r="CM21" s="18">
        <v>-23</v>
      </c>
      <c r="CN21" s="472">
        <v>152</v>
      </c>
      <c r="CO21" s="16">
        <v>-178</v>
      </c>
      <c r="CP21" s="195">
        <f>SUM(CL21:CO21)</f>
        <v>370</v>
      </c>
      <c r="CQ21" s="16">
        <v>345</v>
      </c>
      <c r="CR21" s="16">
        <v>342</v>
      </c>
      <c r="CS21" s="16">
        <v>3</v>
      </c>
      <c r="CT21" s="16">
        <v>96</v>
      </c>
      <c r="CU21" s="17"/>
      <c r="CV21" s="16">
        <v>116</v>
      </c>
      <c r="CW21" s="16">
        <v>160</v>
      </c>
      <c r="CX21" s="16">
        <v>242</v>
      </c>
      <c r="CY21" s="16">
        <v>182</v>
      </c>
      <c r="CZ21" s="17"/>
      <c r="DA21" s="16">
        <v>300</v>
      </c>
      <c r="DB21" s="16">
        <v>213</v>
      </c>
      <c r="DC21" s="16">
        <v>-389</v>
      </c>
      <c r="DD21" s="16">
        <v>262</v>
      </c>
      <c r="DE21" s="17"/>
      <c r="DF21" s="16">
        <v>108</v>
      </c>
      <c r="DG21" s="443">
        <v>253</v>
      </c>
      <c r="DH21" s="443">
        <v>371</v>
      </c>
      <c r="DI21" s="443">
        <v>449</v>
      </c>
      <c r="DJ21" s="17"/>
      <c r="DK21" s="443">
        <v>333</v>
      </c>
      <c r="DL21" s="443">
        <v>315</v>
      </c>
      <c r="DM21" s="443">
        <v>432</v>
      </c>
      <c r="DN21" s="16"/>
      <c r="DO21" s="17"/>
      <c r="DP21" s="443"/>
      <c r="DQ21" s="16"/>
      <c r="DR21" s="16"/>
      <c r="DS21" s="16"/>
      <c r="DT21" s="17"/>
      <c r="DU21" s="17"/>
      <c r="DV21" s="17"/>
    </row>
    <row r="22" spans="1:126" s="208" customFormat="1">
      <c r="A22" s="3"/>
      <c r="B22" s="165" t="s">
        <v>37</v>
      </c>
      <c r="C22" s="195"/>
      <c r="D22" s="195"/>
      <c r="E22" s="195"/>
      <c r="F22" s="195"/>
      <c r="G22" s="195"/>
      <c r="H22" s="195"/>
      <c r="I22" s="195"/>
      <c r="N22" s="195"/>
      <c r="S22" s="195"/>
      <c r="X22" s="195"/>
      <c r="AB22" s="13"/>
      <c r="AC22" s="195"/>
      <c r="AG22" s="13"/>
      <c r="AH22" s="195"/>
      <c r="AL22" s="13"/>
      <c r="AM22" s="195"/>
      <c r="AR22" s="195"/>
      <c r="AW22" s="195"/>
      <c r="BB22" s="195"/>
      <c r="BG22" s="195"/>
      <c r="BJ22" s="480"/>
      <c r="BK22" s="480"/>
      <c r="BL22" s="195"/>
      <c r="BM22" s="480"/>
      <c r="BN22" s="480"/>
      <c r="BO22" s="480"/>
      <c r="BP22" s="480"/>
      <c r="BQ22" s="195"/>
      <c r="BR22" s="480"/>
      <c r="BS22" s="210"/>
      <c r="BT22" s="210"/>
      <c r="BU22" s="210"/>
      <c r="BV22" s="195"/>
      <c r="BW22" s="210"/>
      <c r="BX22" s="210"/>
      <c r="BY22" s="210"/>
      <c r="BZ22" s="210"/>
      <c r="CA22" s="195"/>
      <c r="CB22" s="210"/>
      <c r="CC22" s="210"/>
      <c r="CD22" s="210"/>
      <c r="CE22" s="210"/>
      <c r="CF22" s="195"/>
      <c r="CG22" s="210"/>
      <c r="CH22" s="210"/>
      <c r="CI22" s="210"/>
      <c r="CJ22" s="210"/>
      <c r="CK22" s="195"/>
      <c r="CL22" s="210"/>
      <c r="CM22" s="480"/>
      <c r="CN22" s="480"/>
      <c r="CO22" s="198"/>
      <c r="CP22" s="195"/>
      <c r="CQ22" s="198"/>
      <c r="CR22" s="198"/>
      <c r="CS22" s="198"/>
      <c r="CT22" s="198"/>
      <c r="CU22" s="195"/>
      <c r="CV22" s="198"/>
      <c r="CW22" s="198"/>
      <c r="CX22" s="198"/>
      <c r="CY22" s="198"/>
      <c r="CZ22" s="195"/>
      <c r="DA22" s="198"/>
      <c r="DB22" s="198"/>
      <c r="DC22" s="198"/>
      <c r="DD22" s="198"/>
      <c r="DE22" s="195"/>
      <c r="DF22" s="198"/>
      <c r="DG22" s="198"/>
      <c r="DH22" s="198"/>
      <c r="DI22" s="198"/>
      <c r="DJ22" s="195"/>
      <c r="DK22" s="198"/>
      <c r="DL22" s="198"/>
      <c r="DM22" s="198"/>
      <c r="DN22" s="198"/>
      <c r="DO22" s="195"/>
      <c r="DP22" s="198"/>
      <c r="DQ22" s="198"/>
      <c r="DR22" s="198"/>
      <c r="DS22" s="198"/>
      <c r="DT22" s="195"/>
      <c r="DU22" s="195"/>
      <c r="DV22" s="195"/>
    </row>
    <row r="23" spans="1:126" s="208" customFormat="1">
      <c r="A23" s="3"/>
      <c r="B23" s="165" t="s">
        <v>196</v>
      </c>
      <c r="C23" s="195"/>
      <c r="D23" s="195"/>
      <c r="E23" s="195"/>
      <c r="F23" s="195"/>
      <c r="G23" s="195"/>
      <c r="H23" s="195"/>
      <c r="I23" s="195"/>
      <c r="N23" s="195"/>
      <c r="S23" s="195"/>
      <c r="X23" s="195"/>
      <c r="AC23" s="195"/>
      <c r="AH23" s="195"/>
      <c r="AM23" s="195"/>
      <c r="AR23" s="195"/>
      <c r="AS23" s="191"/>
      <c r="AT23" s="191"/>
      <c r="AU23" s="198"/>
      <c r="AV23" s="763"/>
      <c r="AW23" s="195"/>
      <c r="AX23" s="191"/>
      <c r="AY23" s="191"/>
      <c r="AZ23" s="191"/>
      <c r="BA23" s="191"/>
      <c r="BB23" s="195"/>
      <c r="BC23" s="191"/>
      <c r="BD23" s="198"/>
      <c r="BE23" s="191"/>
      <c r="BF23" s="198"/>
      <c r="BG23" s="195"/>
      <c r="BI23" s="198"/>
      <c r="BJ23" s="472"/>
      <c r="BK23" s="198"/>
      <c r="BL23" s="195"/>
      <c r="BN23" s="198"/>
      <c r="BO23" s="472"/>
      <c r="BP23" s="198"/>
      <c r="BQ23" s="195"/>
      <c r="BS23" s="453"/>
      <c r="BT23" s="472"/>
      <c r="BU23" s="198"/>
      <c r="BV23" s="195"/>
      <c r="BX23" s="198"/>
      <c r="BY23" s="472"/>
      <c r="BZ23" s="472"/>
      <c r="CA23" s="195"/>
      <c r="CC23" s="198"/>
      <c r="CD23" s="472"/>
      <c r="CE23" s="198"/>
      <c r="CF23" s="195"/>
      <c r="CI23" s="472"/>
      <c r="CJ23" s="198"/>
      <c r="CK23" s="195"/>
      <c r="CM23" s="198">
        <v>9</v>
      </c>
      <c r="CN23" s="472">
        <f>13-100</f>
        <v>-87</v>
      </c>
      <c r="CO23" s="198">
        <f>-14+3</f>
        <v>-11</v>
      </c>
      <c r="CP23" s="195">
        <f>SUM(CL23:CO23)</f>
        <v>-89</v>
      </c>
      <c r="CQ23" s="198">
        <v>-20</v>
      </c>
      <c r="CR23" s="198">
        <v>-8</v>
      </c>
      <c r="CS23" s="198">
        <v>-73</v>
      </c>
      <c r="CT23" s="198">
        <v>-21</v>
      </c>
      <c r="CU23" s="195"/>
      <c r="CV23" s="198"/>
      <c r="CW23" s="198"/>
      <c r="CX23" s="198"/>
      <c r="CY23" s="198"/>
      <c r="CZ23" s="195"/>
      <c r="DA23" s="198"/>
      <c r="DB23" s="198"/>
      <c r="DC23" s="198"/>
      <c r="DD23" s="198"/>
      <c r="DE23" s="195"/>
      <c r="DF23" s="198"/>
      <c r="DG23" s="198"/>
      <c r="DH23" s="198"/>
      <c r="DI23" s="198"/>
      <c r="DJ23" s="195"/>
      <c r="DK23" s="198"/>
      <c r="DL23" s="198"/>
      <c r="DM23" s="198"/>
      <c r="DN23" s="198"/>
      <c r="DO23" s="195"/>
      <c r="DP23" s="198"/>
      <c r="DQ23" s="198"/>
      <c r="DR23" s="198"/>
      <c r="DS23" s="198"/>
      <c r="DT23" s="195"/>
      <c r="DU23" s="195"/>
      <c r="DV23" s="195"/>
    </row>
    <row r="24" spans="1:126" s="190" customFormat="1">
      <c r="A24" s="37"/>
      <c r="B24" s="108" t="s">
        <v>224</v>
      </c>
      <c r="C24" s="75"/>
      <c r="D24" s="75"/>
      <c r="E24" s="75"/>
      <c r="F24" s="75"/>
      <c r="G24" s="75"/>
      <c r="H24" s="75"/>
      <c r="I24" s="75"/>
      <c r="J24" s="223"/>
      <c r="K24" s="223"/>
      <c r="L24" s="223"/>
      <c r="M24" s="223"/>
      <c r="N24" s="75"/>
      <c r="O24" s="223"/>
      <c r="P24" s="223"/>
      <c r="Q24" s="223"/>
      <c r="R24" s="223"/>
      <c r="S24" s="75"/>
      <c r="T24" s="223"/>
      <c r="U24" s="223"/>
      <c r="V24" s="223"/>
      <c r="W24" s="223"/>
      <c r="X24" s="75"/>
      <c r="AC24" s="75"/>
      <c r="AH24" s="75"/>
      <c r="AM24" s="75"/>
      <c r="AR24" s="75"/>
      <c r="AW24" s="75"/>
      <c r="BB24" s="75"/>
      <c r="BG24" s="75"/>
      <c r="BJ24" s="474"/>
      <c r="BK24" s="474"/>
      <c r="BL24" s="75"/>
      <c r="BM24" s="474"/>
      <c r="BN24" s="474"/>
      <c r="BO24" s="474"/>
      <c r="BP24" s="474"/>
      <c r="BQ24" s="75"/>
      <c r="BR24" s="474"/>
      <c r="BS24" s="227"/>
      <c r="BT24" s="227"/>
      <c r="BU24" s="227"/>
      <c r="BV24" s="75"/>
      <c r="BW24" s="227"/>
      <c r="BX24" s="227"/>
      <c r="BY24" s="227"/>
      <c r="BZ24" s="227"/>
      <c r="CA24" s="75"/>
      <c r="CB24" s="227"/>
      <c r="CC24" s="227"/>
      <c r="CD24" s="227"/>
      <c r="CE24" s="227"/>
      <c r="CF24" s="75">
        <f>CF20-CF21</f>
        <v>6317</v>
      </c>
      <c r="CG24" s="227">
        <v>2024.190000000001</v>
      </c>
      <c r="CH24" s="227">
        <v>2106.809999999999</v>
      </c>
      <c r="CI24" s="227">
        <v>1631.2099999999982</v>
      </c>
      <c r="CJ24" s="227">
        <v>1697.7900000000018</v>
      </c>
      <c r="CK24" s="75">
        <f t="shared" ref="CK24" si="8">CK20-CK21</f>
        <v>7460</v>
      </c>
      <c r="CL24" s="227">
        <f t="shared" ref="CL24:DF24" si="9">CL20-CL21</f>
        <v>1792</v>
      </c>
      <c r="CM24" s="227">
        <f t="shared" si="9"/>
        <v>-3706</v>
      </c>
      <c r="CN24" s="227">
        <f t="shared" si="9"/>
        <v>185</v>
      </c>
      <c r="CO24" s="227">
        <f t="shared" si="9"/>
        <v>215</v>
      </c>
      <c r="CP24" s="75">
        <f>SUM(CL24:CO24)</f>
        <v>-1514</v>
      </c>
      <c r="CQ24" s="227">
        <f t="shared" si="9"/>
        <v>813</v>
      </c>
      <c r="CR24" s="227">
        <f t="shared" si="9"/>
        <v>1088</v>
      </c>
      <c r="CS24" s="227">
        <f t="shared" si="9"/>
        <v>1473</v>
      </c>
      <c r="CT24" s="227">
        <f t="shared" si="9"/>
        <v>771</v>
      </c>
      <c r="CU24" s="75"/>
      <c r="CV24" s="227">
        <f t="shared" si="9"/>
        <v>1126</v>
      </c>
      <c r="CW24" s="227">
        <f t="shared" si="9"/>
        <v>1338</v>
      </c>
      <c r="CX24" s="227">
        <f t="shared" si="9"/>
        <v>1395</v>
      </c>
      <c r="CY24" s="227">
        <f t="shared" si="9"/>
        <v>1468</v>
      </c>
      <c r="CZ24" s="75"/>
      <c r="DA24" s="227">
        <f t="shared" si="9"/>
        <v>1481</v>
      </c>
      <c r="DB24" s="227">
        <f t="shared" si="9"/>
        <v>1359</v>
      </c>
      <c r="DC24" s="227">
        <f t="shared" si="9"/>
        <v>-933</v>
      </c>
      <c r="DD24" s="76">
        <f t="shared" si="9"/>
        <v>1473</v>
      </c>
      <c r="DE24" s="75"/>
      <c r="DF24" s="227">
        <f t="shared" si="9"/>
        <v>1743</v>
      </c>
      <c r="DG24" s="227">
        <f t="shared" ref="DG24:DI24" si="10">DG20-DG21</f>
        <v>175</v>
      </c>
      <c r="DH24" s="227">
        <f t="shared" si="10"/>
        <v>1535</v>
      </c>
      <c r="DI24" s="227">
        <f t="shared" si="10"/>
        <v>1560</v>
      </c>
      <c r="DJ24" s="75"/>
      <c r="DK24" s="76">
        <f t="shared" ref="DK24:DL24" si="11">DK20-DK21</f>
        <v>1625</v>
      </c>
      <c r="DL24" s="227">
        <f t="shared" si="11"/>
        <v>1725</v>
      </c>
      <c r="DM24" s="227">
        <f t="shared" ref="DM24" si="12">DM20-DM21</f>
        <v>2006</v>
      </c>
      <c r="DN24" s="76"/>
      <c r="DO24" s="75"/>
      <c r="DP24" s="76"/>
      <c r="DQ24" s="76"/>
      <c r="DR24" s="76"/>
      <c r="DS24" s="76"/>
      <c r="DT24" s="75"/>
      <c r="DU24" s="75"/>
      <c r="DV24" s="75"/>
    </row>
    <row r="25" spans="1:126" s="13" customFormat="1">
      <c r="A25" s="3"/>
      <c r="B25" s="165" t="s">
        <v>223</v>
      </c>
      <c r="C25" s="85"/>
      <c r="D25" s="85"/>
      <c r="E25" s="85"/>
      <c r="F25" s="85"/>
      <c r="G25" s="85"/>
      <c r="H25" s="85"/>
      <c r="I25" s="85"/>
      <c r="J25" s="191"/>
      <c r="K25" s="191"/>
      <c r="L25" s="191"/>
      <c r="M25" s="191"/>
      <c r="N25" s="85"/>
      <c r="O25" s="191"/>
      <c r="P25" s="191"/>
      <c r="Q25" s="191"/>
      <c r="R25" s="191"/>
      <c r="S25" s="85"/>
      <c r="T25" s="191"/>
      <c r="U25" s="191"/>
      <c r="V25" s="191"/>
      <c r="W25" s="191"/>
      <c r="X25" s="85"/>
      <c r="Y25" s="191"/>
      <c r="Z25" s="191"/>
      <c r="AA25" s="191"/>
      <c r="AB25" s="191"/>
      <c r="AC25" s="85"/>
      <c r="AD25" s="191"/>
      <c r="AE25" s="191"/>
      <c r="AF25" s="191"/>
      <c r="AG25" s="191"/>
      <c r="AH25" s="85"/>
      <c r="AI25" s="191"/>
      <c r="AJ25" s="191"/>
      <c r="AK25" s="191"/>
      <c r="AM25" s="85"/>
      <c r="AN25" s="191"/>
      <c r="AO25" s="1"/>
      <c r="AP25" s="1"/>
      <c r="AQ25" s="191"/>
      <c r="AR25" s="85"/>
      <c r="AS25" s="191"/>
      <c r="AT25" s="191"/>
      <c r="AU25" s="86"/>
      <c r="AV25" s="191"/>
      <c r="AW25" s="85"/>
      <c r="AX25" s="191"/>
      <c r="AY25" s="191"/>
      <c r="AZ25" s="86"/>
      <c r="BA25" s="86"/>
      <c r="BB25" s="85"/>
      <c r="BC25" s="191"/>
      <c r="BD25" s="18"/>
      <c r="BE25" s="86"/>
      <c r="BF25" s="16"/>
      <c r="BG25" s="85"/>
      <c r="BH25" s="16"/>
      <c r="BI25" s="18"/>
      <c r="BJ25" s="472"/>
      <c r="BK25" s="16"/>
      <c r="BL25" s="85"/>
      <c r="BM25" s="16"/>
      <c r="BN25" s="18"/>
      <c r="BO25" s="472"/>
      <c r="BP25" s="16"/>
      <c r="BQ25" s="85"/>
      <c r="BR25" s="16"/>
      <c r="BS25" s="18"/>
      <c r="BT25" s="472"/>
      <c r="BU25" s="16"/>
      <c r="BV25" s="85"/>
      <c r="BW25" s="16"/>
      <c r="BX25" s="18"/>
      <c r="BY25" s="472"/>
      <c r="BZ25" s="16"/>
      <c r="CA25" s="85"/>
      <c r="CB25" s="16"/>
      <c r="CC25" s="18"/>
      <c r="CD25" s="472"/>
      <c r="CE25" s="16"/>
      <c r="CF25" s="85">
        <v>163</v>
      </c>
      <c r="CG25" s="86">
        <v>41.16</v>
      </c>
      <c r="CH25" s="86">
        <v>42.84</v>
      </c>
      <c r="CI25" s="86">
        <v>60.269999999999996</v>
      </c>
      <c r="CJ25" s="86">
        <v>62.730000000000004</v>
      </c>
      <c r="CK25" s="85">
        <f>SUM(CG25:CJ25)</f>
        <v>207</v>
      </c>
      <c r="CL25" s="16">
        <v>56</v>
      </c>
      <c r="CM25" s="18">
        <v>24</v>
      </c>
      <c r="CN25" s="472">
        <v>34</v>
      </c>
      <c r="CO25" s="16">
        <v>69</v>
      </c>
      <c r="CP25" s="195">
        <f>SUM(CL25:CO25)</f>
        <v>183</v>
      </c>
      <c r="CQ25" s="16">
        <v>41</v>
      </c>
      <c r="CR25" s="16">
        <v>48</v>
      </c>
      <c r="CS25" s="16">
        <v>73</v>
      </c>
      <c r="CT25" s="16">
        <v>86</v>
      </c>
      <c r="CU25" s="17"/>
      <c r="CV25" s="16">
        <v>23</v>
      </c>
      <c r="CW25" s="16">
        <v>34</v>
      </c>
      <c r="CX25" s="16">
        <v>8</v>
      </c>
      <c r="CY25" s="16">
        <v>46</v>
      </c>
      <c r="CZ25" s="17"/>
      <c r="DA25" s="16">
        <v>55</v>
      </c>
      <c r="DB25" s="16">
        <v>32</v>
      </c>
      <c r="DC25" s="16">
        <v>51</v>
      </c>
      <c r="DD25" s="16">
        <v>47</v>
      </c>
      <c r="DE25" s="17"/>
      <c r="DF25" s="16">
        <v>34</v>
      </c>
      <c r="DG25" s="443">
        <v>64</v>
      </c>
      <c r="DH25" s="443">
        <v>63</v>
      </c>
      <c r="DI25" s="443">
        <v>78</v>
      </c>
      <c r="DJ25" s="17"/>
      <c r="DK25" s="443">
        <v>90</v>
      </c>
      <c r="DL25" s="443">
        <v>68</v>
      </c>
      <c r="DM25" s="443">
        <v>88</v>
      </c>
      <c r="DN25" s="16"/>
      <c r="DO25" s="17"/>
      <c r="DP25" s="443"/>
      <c r="DQ25" s="16"/>
      <c r="DR25" s="16"/>
      <c r="DS25" s="16"/>
      <c r="DT25" s="17"/>
      <c r="DU25" s="17"/>
      <c r="DV25" s="17"/>
    </row>
    <row r="26" spans="1:126" s="190" customFormat="1">
      <c r="A26" s="37"/>
      <c r="B26" s="108" t="s">
        <v>225</v>
      </c>
      <c r="C26" s="75"/>
      <c r="D26" s="75"/>
      <c r="E26" s="75"/>
      <c r="F26" s="75"/>
      <c r="G26" s="75"/>
      <c r="H26" s="75"/>
      <c r="I26" s="75"/>
      <c r="J26" s="223"/>
      <c r="K26" s="223"/>
      <c r="L26" s="223"/>
      <c r="M26" s="223"/>
      <c r="N26" s="75"/>
      <c r="O26" s="223"/>
      <c r="P26" s="223"/>
      <c r="Q26" s="223"/>
      <c r="R26" s="223"/>
      <c r="S26" s="75"/>
      <c r="T26" s="223"/>
      <c r="U26" s="223"/>
      <c r="V26" s="223"/>
      <c r="W26" s="223"/>
      <c r="X26" s="75"/>
      <c r="AC26" s="75"/>
      <c r="AH26" s="75"/>
      <c r="AM26" s="75"/>
      <c r="AR26" s="75"/>
      <c r="AW26" s="75"/>
      <c r="BB26" s="75"/>
      <c r="BG26" s="75"/>
      <c r="BJ26" s="474"/>
      <c r="BK26" s="474"/>
      <c r="BL26" s="75"/>
      <c r="BM26" s="474"/>
      <c r="BN26" s="474"/>
      <c r="BO26" s="474"/>
      <c r="BP26" s="474"/>
      <c r="BQ26" s="75"/>
      <c r="BR26" s="474"/>
      <c r="BS26" s="227"/>
      <c r="BT26" s="227"/>
      <c r="BU26" s="227"/>
      <c r="BV26" s="75"/>
      <c r="BW26" s="227"/>
      <c r="BX26" s="227"/>
      <c r="BY26" s="227"/>
      <c r="BZ26" s="227"/>
      <c r="CA26" s="75"/>
      <c r="CB26" s="227"/>
      <c r="CC26" s="227"/>
      <c r="CD26" s="227"/>
      <c r="CE26" s="227"/>
      <c r="CF26" s="75">
        <f>CF24-CF25</f>
        <v>6154</v>
      </c>
      <c r="CG26" s="227">
        <v>1983.0300000000009</v>
      </c>
      <c r="CH26" s="227">
        <v>2063.9699999999989</v>
      </c>
      <c r="CI26" s="227">
        <v>1570.9399999999982</v>
      </c>
      <c r="CJ26" s="227">
        <v>1635.0600000000018</v>
      </c>
      <c r="CK26" s="75">
        <f t="shared" ref="CK26:DF26" si="13">CK24-CK25</f>
        <v>7253</v>
      </c>
      <c r="CL26" s="227">
        <f t="shared" si="13"/>
        <v>1736</v>
      </c>
      <c r="CM26" s="227">
        <f t="shared" si="13"/>
        <v>-3730</v>
      </c>
      <c r="CN26" s="227">
        <f t="shared" si="13"/>
        <v>151</v>
      </c>
      <c r="CO26" s="227">
        <f t="shared" si="13"/>
        <v>146</v>
      </c>
      <c r="CP26" s="75">
        <f>SUM(CL26:CO26)</f>
        <v>-1697</v>
      </c>
      <c r="CQ26" s="227">
        <f t="shared" si="13"/>
        <v>772</v>
      </c>
      <c r="CR26" s="227">
        <f t="shared" si="13"/>
        <v>1040</v>
      </c>
      <c r="CS26" s="227">
        <f t="shared" si="13"/>
        <v>1400</v>
      </c>
      <c r="CT26" s="227">
        <f t="shared" si="13"/>
        <v>685</v>
      </c>
      <c r="CU26" s="75"/>
      <c r="CV26" s="227">
        <f t="shared" si="13"/>
        <v>1103</v>
      </c>
      <c r="CW26" s="227">
        <f t="shared" si="13"/>
        <v>1304</v>
      </c>
      <c r="CX26" s="227">
        <f t="shared" si="13"/>
        <v>1387</v>
      </c>
      <c r="CY26" s="227">
        <f t="shared" si="13"/>
        <v>1422</v>
      </c>
      <c r="CZ26" s="75"/>
      <c r="DA26" s="227">
        <f t="shared" si="13"/>
        <v>1426</v>
      </c>
      <c r="DB26" s="227">
        <f t="shared" si="13"/>
        <v>1327</v>
      </c>
      <c r="DC26" s="227">
        <f t="shared" si="13"/>
        <v>-984</v>
      </c>
      <c r="DD26" s="76">
        <f t="shared" si="13"/>
        <v>1426</v>
      </c>
      <c r="DE26" s="75"/>
      <c r="DF26" s="227">
        <f t="shared" si="13"/>
        <v>1709</v>
      </c>
      <c r="DG26" s="227">
        <f t="shared" ref="DG26:DI26" si="14">DG24-DG25</f>
        <v>111</v>
      </c>
      <c r="DH26" s="227">
        <f t="shared" si="14"/>
        <v>1472</v>
      </c>
      <c r="DI26" s="227">
        <f t="shared" si="14"/>
        <v>1482</v>
      </c>
      <c r="DJ26" s="75"/>
      <c r="DK26" s="76">
        <f t="shared" ref="DK26:DL26" si="15">DK24-DK25</f>
        <v>1535</v>
      </c>
      <c r="DL26" s="227">
        <f t="shared" si="15"/>
        <v>1657</v>
      </c>
      <c r="DM26" s="227">
        <f t="shared" ref="DM26" si="16">DM24-DM25</f>
        <v>1918</v>
      </c>
      <c r="DN26" s="76"/>
      <c r="DO26" s="75"/>
      <c r="DP26" s="76"/>
      <c r="DQ26" s="76"/>
      <c r="DR26" s="76"/>
      <c r="DS26" s="76"/>
      <c r="DT26" s="75"/>
      <c r="DU26" s="75"/>
      <c r="DV26" s="75"/>
    </row>
    <row r="27" spans="1:126" s="13" customFormat="1">
      <c r="A27" s="3"/>
      <c r="B27" s="165"/>
      <c r="C27" s="17"/>
      <c r="D27" s="17"/>
      <c r="E27" s="17"/>
      <c r="F27" s="17"/>
      <c r="G27" s="17"/>
      <c r="H27" s="17"/>
      <c r="I27" s="17"/>
      <c r="N27" s="17"/>
      <c r="S27" s="17"/>
      <c r="X27" s="17"/>
      <c r="AC27" s="17"/>
      <c r="AH27" s="17"/>
      <c r="AM27" s="17"/>
      <c r="AR27" s="17"/>
      <c r="AU27" s="16"/>
      <c r="AW27" s="17"/>
      <c r="BB27" s="17"/>
      <c r="BD27" s="16"/>
      <c r="BF27" s="16"/>
      <c r="BG27" s="17"/>
      <c r="BI27" s="16"/>
      <c r="BJ27" s="472"/>
      <c r="BK27" s="16"/>
      <c r="BL27" s="17"/>
      <c r="BN27" s="16"/>
      <c r="BO27" s="472"/>
      <c r="BP27" s="16"/>
      <c r="BQ27" s="17"/>
      <c r="BS27" s="368"/>
      <c r="BT27" s="472"/>
      <c r="BU27" s="16"/>
      <c r="BV27" s="17"/>
      <c r="BX27" s="16"/>
      <c r="BY27" s="472"/>
      <c r="BZ27" s="16"/>
      <c r="CA27" s="17"/>
      <c r="CC27" s="16"/>
      <c r="CD27" s="472"/>
      <c r="CE27" s="16"/>
      <c r="CF27" s="17"/>
      <c r="CI27" s="472"/>
      <c r="CJ27" s="16"/>
      <c r="CK27" s="17"/>
      <c r="CM27" s="16"/>
      <c r="CN27" s="472"/>
      <c r="CO27" s="16"/>
      <c r="CP27" s="17"/>
      <c r="CQ27" s="16"/>
      <c r="CR27" s="16"/>
      <c r="CS27" s="16"/>
      <c r="CT27" s="16"/>
      <c r="CU27" s="17"/>
      <c r="CV27" s="16"/>
      <c r="CW27" s="16"/>
      <c r="CX27" s="16"/>
      <c r="CY27" s="16"/>
      <c r="CZ27" s="17"/>
      <c r="DA27" s="16"/>
      <c r="DB27" s="16"/>
      <c r="DC27" s="16"/>
      <c r="DD27" s="16"/>
      <c r="DE27" s="17"/>
      <c r="DF27" s="16"/>
      <c r="DG27" s="16"/>
      <c r="DH27" s="16"/>
      <c r="DI27" s="16"/>
      <c r="DJ27" s="17"/>
      <c r="DK27" s="16"/>
      <c r="DL27" s="16"/>
      <c r="DM27" s="16"/>
      <c r="DN27" s="16"/>
      <c r="DO27" s="17"/>
      <c r="DP27" s="16"/>
      <c r="DQ27" s="16"/>
      <c r="DR27" s="16"/>
      <c r="DS27" s="16"/>
      <c r="DT27" s="17"/>
      <c r="DU27" s="17"/>
      <c r="DV27" s="17"/>
    </row>
    <row r="28" spans="1:126" s="13" customFormat="1">
      <c r="A28" s="3"/>
      <c r="B28" s="165" t="s">
        <v>222</v>
      </c>
      <c r="C28" s="17"/>
      <c r="D28" s="17"/>
      <c r="E28" s="17"/>
      <c r="F28" s="17"/>
      <c r="G28" s="17"/>
      <c r="H28" s="17"/>
      <c r="I28" s="17"/>
      <c r="N28" s="17"/>
      <c r="S28" s="17"/>
      <c r="X28" s="17"/>
      <c r="AC28" s="17"/>
      <c r="AH28" s="17"/>
      <c r="AM28" s="17"/>
      <c r="AR28" s="17"/>
      <c r="AW28" s="17"/>
      <c r="BB28" s="17"/>
      <c r="BG28" s="17"/>
      <c r="BJ28" s="442"/>
      <c r="BK28" s="442"/>
      <c r="BL28" s="17"/>
      <c r="BM28" s="442"/>
      <c r="BN28" s="442"/>
      <c r="BO28" s="442"/>
      <c r="BP28" s="442"/>
      <c r="BQ28" s="17"/>
      <c r="BR28" s="442"/>
      <c r="BS28" s="18"/>
      <c r="BT28" s="18"/>
      <c r="BU28" s="18"/>
      <c r="BV28" s="17"/>
      <c r="BW28" s="18"/>
      <c r="BX28" s="18"/>
      <c r="BY28" s="18"/>
      <c r="BZ28" s="18"/>
      <c r="CA28" s="17"/>
      <c r="CB28" s="18"/>
      <c r="CC28" s="18"/>
      <c r="CD28" s="18"/>
      <c r="CE28" s="18"/>
      <c r="CF28" s="17"/>
      <c r="CG28" s="18"/>
      <c r="CH28" s="18"/>
      <c r="CI28" s="18"/>
      <c r="CJ28" s="18"/>
      <c r="CK28" s="17"/>
      <c r="CL28" s="18"/>
      <c r="CM28" s="442"/>
      <c r="CN28" s="442"/>
      <c r="CO28" s="16"/>
      <c r="CP28" s="17"/>
      <c r="CQ28" s="16"/>
      <c r="CR28" s="16"/>
      <c r="CS28" s="16"/>
      <c r="CT28" s="16"/>
      <c r="CU28" s="17"/>
      <c r="CV28" s="16"/>
      <c r="CW28" s="16"/>
      <c r="CX28" s="16"/>
      <c r="CY28" s="16"/>
      <c r="CZ28" s="17"/>
      <c r="DA28" s="16"/>
      <c r="DB28" s="16"/>
      <c r="DC28" s="16"/>
      <c r="DD28" s="16"/>
      <c r="DE28" s="17"/>
      <c r="DF28" s="16"/>
      <c r="DG28" s="16"/>
      <c r="DH28" s="16"/>
      <c r="DI28" s="16"/>
      <c r="DJ28" s="17"/>
      <c r="DK28" s="16"/>
      <c r="DL28" s="16"/>
      <c r="DM28" s="16"/>
      <c r="DN28" s="16"/>
      <c r="DO28" s="17"/>
      <c r="DP28" s="16"/>
      <c r="DQ28" s="16"/>
      <c r="DR28" s="16"/>
      <c r="DS28" s="16"/>
      <c r="DT28" s="17"/>
      <c r="DU28" s="17"/>
      <c r="DV28" s="17"/>
    </row>
    <row r="29" spans="1:126" s="13" customFormat="1">
      <c r="A29" s="3"/>
      <c r="B29" s="165" t="str">
        <f t="shared" ref="B29" si="17">+B23</f>
        <v>Discontinued ops. &amp; non recurring items:</v>
      </c>
      <c r="C29" s="17"/>
      <c r="D29" s="17"/>
      <c r="E29" s="17"/>
      <c r="F29" s="17"/>
      <c r="G29" s="17"/>
      <c r="H29" s="17"/>
      <c r="I29" s="17"/>
      <c r="N29" s="17"/>
      <c r="S29" s="17"/>
      <c r="X29" s="17"/>
      <c r="AC29" s="17"/>
      <c r="AH29" s="17"/>
      <c r="AM29" s="17"/>
      <c r="AR29" s="17"/>
      <c r="AW29" s="17"/>
      <c r="BB29" s="17"/>
      <c r="BF29" s="16"/>
      <c r="BG29" s="17"/>
      <c r="BI29" s="16"/>
      <c r="BJ29" s="472"/>
      <c r="BK29" s="16"/>
      <c r="BL29" s="17"/>
      <c r="BM29" s="16"/>
      <c r="BN29" s="16"/>
      <c r="BO29" s="472"/>
      <c r="BP29" s="16"/>
      <c r="BQ29" s="17"/>
      <c r="BR29" s="16"/>
      <c r="BS29" s="368"/>
      <c r="BT29" s="472"/>
      <c r="BU29" s="16"/>
      <c r="BV29" s="17"/>
      <c r="BW29" s="16"/>
      <c r="BX29" s="16"/>
      <c r="BY29" s="16"/>
      <c r="BZ29" s="16"/>
      <c r="CA29" s="17"/>
      <c r="CB29" s="16"/>
      <c r="CC29" s="16"/>
      <c r="CD29" s="472"/>
      <c r="CE29" s="472"/>
      <c r="CF29" s="17"/>
      <c r="CG29" s="472"/>
      <c r="CH29" s="472"/>
      <c r="CI29" s="472"/>
      <c r="CJ29" s="16"/>
      <c r="CK29" s="17"/>
      <c r="CL29" s="16"/>
      <c r="CM29" s="16"/>
      <c r="CN29" s="472"/>
      <c r="CO29" s="16"/>
      <c r="CP29" s="17"/>
      <c r="CQ29" s="16"/>
      <c r="CR29" s="16"/>
      <c r="CS29" s="16"/>
      <c r="CT29" s="16"/>
      <c r="CU29" s="17"/>
      <c r="CV29" s="16"/>
      <c r="CW29" s="16"/>
      <c r="CX29" s="16"/>
      <c r="CY29" s="16"/>
      <c r="CZ29" s="17"/>
      <c r="DA29" s="16"/>
      <c r="DB29" s="16"/>
      <c r="DC29" s="16"/>
      <c r="DD29" s="16"/>
      <c r="DE29" s="17"/>
      <c r="DF29" s="16"/>
      <c r="DG29" s="16"/>
      <c r="DH29" s="16"/>
      <c r="DI29" s="16"/>
      <c r="DJ29" s="17"/>
      <c r="DK29" s="16"/>
      <c r="DL29" s="16"/>
      <c r="DM29" s="16"/>
      <c r="DN29" s="16"/>
      <c r="DO29" s="17"/>
      <c r="DP29" s="16"/>
      <c r="DQ29" s="16"/>
      <c r="DR29" s="16"/>
      <c r="DS29" s="16"/>
      <c r="DT29" s="17"/>
      <c r="DU29" s="17"/>
      <c r="DV29" s="17"/>
    </row>
    <row r="30" spans="1:126" s="13" customFormat="1">
      <c r="A30" s="32"/>
      <c r="B30" s="165" t="str">
        <f t="shared" ref="B30" si="18">+B26</f>
        <v>Net income  attributable to shareholders</v>
      </c>
      <c r="C30" s="17"/>
      <c r="D30" s="17"/>
      <c r="E30" s="17"/>
      <c r="F30" s="17"/>
      <c r="G30" s="17"/>
      <c r="H30" s="17"/>
      <c r="I30" s="17"/>
      <c r="N30" s="17"/>
      <c r="S30" s="17"/>
      <c r="X30" s="17"/>
      <c r="AC30" s="17"/>
      <c r="AH30" s="17"/>
      <c r="AM30" s="17"/>
      <c r="AR30" s="17"/>
      <c r="AW30" s="9"/>
      <c r="BB30" s="9"/>
      <c r="BG30" s="9"/>
      <c r="BJ30" s="442"/>
      <c r="BK30" s="442"/>
      <c r="BL30" s="17"/>
      <c r="BM30" s="442"/>
      <c r="BN30" s="442"/>
      <c r="BO30" s="442"/>
      <c r="BP30" s="442"/>
      <c r="BQ30" s="17"/>
      <c r="BR30" s="442"/>
      <c r="BS30" s="18"/>
      <c r="BT30" s="18"/>
      <c r="BU30" s="18"/>
      <c r="BV30" s="17"/>
      <c r="BW30" s="18"/>
      <c r="BX30" s="18"/>
      <c r="BY30" s="18"/>
      <c r="BZ30" s="18"/>
      <c r="CA30" s="17"/>
      <c r="CB30" s="18"/>
      <c r="CC30" s="18"/>
      <c r="CD30" s="18"/>
      <c r="CE30" s="18"/>
      <c r="CF30" s="17"/>
      <c r="CG30" s="18"/>
      <c r="CH30" s="18"/>
      <c r="CI30" s="18"/>
      <c r="CJ30" s="18"/>
      <c r="CK30" s="17"/>
      <c r="CL30" s="18"/>
      <c r="CM30" s="442"/>
      <c r="CN30" s="442"/>
      <c r="CO30" s="16"/>
      <c r="CP30" s="17"/>
      <c r="CQ30" s="16"/>
      <c r="CR30" s="16"/>
      <c r="CS30" s="16"/>
      <c r="CT30" s="16"/>
      <c r="CU30" s="17"/>
      <c r="CV30" s="16"/>
      <c r="CW30" s="16"/>
      <c r="CX30" s="16"/>
      <c r="CY30" s="16"/>
      <c r="CZ30" s="17"/>
      <c r="DA30" s="16"/>
      <c r="DB30" s="16"/>
      <c r="DC30" s="16"/>
      <c r="DD30" s="16"/>
      <c r="DE30" s="17"/>
      <c r="DF30" s="16"/>
      <c r="DG30" s="16"/>
      <c r="DH30" s="16"/>
      <c r="DI30" s="16"/>
      <c r="DJ30" s="17"/>
      <c r="DK30" s="16"/>
      <c r="DL30" s="16"/>
      <c r="DM30" s="16"/>
      <c r="DN30" s="16"/>
      <c r="DO30" s="17"/>
      <c r="DP30" s="16"/>
      <c r="DQ30" s="16"/>
      <c r="DR30" s="16"/>
      <c r="DS30" s="16"/>
      <c r="DT30" s="17"/>
      <c r="DU30" s="17"/>
      <c r="DV30" s="17"/>
    </row>
    <row r="31" spans="1:126" s="13" customFormat="1">
      <c r="A31" s="32"/>
      <c r="B31" s="45"/>
      <c r="C31" s="17"/>
      <c r="D31" s="17"/>
      <c r="E31" s="17"/>
      <c r="F31" s="17"/>
      <c r="G31" s="17"/>
      <c r="H31" s="17"/>
      <c r="I31" s="17"/>
      <c r="N31" s="17"/>
      <c r="S31" s="17"/>
      <c r="X31" s="17"/>
      <c r="AC31" s="17"/>
      <c r="AH31" s="17"/>
      <c r="AM31" s="17"/>
      <c r="AR31" s="17"/>
      <c r="AW31" s="17"/>
      <c r="AZ31" s="16"/>
      <c r="BA31" s="16"/>
      <c r="BB31" s="17"/>
      <c r="BE31" s="16"/>
      <c r="BF31" s="16"/>
      <c r="BG31" s="17"/>
      <c r="BH31" s="8"/>
      <c r="BI31" s="16"/>
      <c r="BJ31" s="472"/>
      <c r="BK31" s="16"/>
      <c r="BL31" s="17"/>
      <c r="BM31" s="8"/>
      <c r="BN31" s="16"/>
      <c r="BO31" s="472"/>
      <c r="BP31" s="16"/>
      <c r="BQ31" s="17"/>
      <c r="BR31" s="8"/>
      <c r="BS31" s="368"/>
      <c r="BT31" s="472"/>
      <c r="BU31" s="16"/>
      <c r="BV31" s="17"/>
      <c r="BW31" s="8"/>
      <c r="BX31" s="16"/>
      <c r="BY31" s="472"/>
      <c r="BZ31" s="16"/>
      <c r="CA31" s="17"/>
      <c r="CB31" s="16"/>
      <c r="CC31" s="16"/>
      <c r="CD31" s="472"/>
      <c r="CE31" s="472"/>
      <c r="CF31" s="17"/>
      <c r="CG31" s="472"/>
      <c r="CH31" s="472"/>
      <c r="CI31" s="472"/>
      <c r="CJ31" s="16"/>
      <c r="CK31" s="17"/>
      <c r="CL31" s="16"/>
      <c r="CM31" s="16"/>
      <c r="CN31" s="472"/>
      <c r="CO31" s="16"/>
      <c r="CP31" s="17"/>
      <c r="CQ31" s="16"/>
      <c r="CR31" s="16"/>
      <c r="CS31" s="16"/>
      <c r="CT31" s="16"/>
      <c r="CU31" s="17"/>
      <c r="CV31" s="16"/>
      <c r="CW31" s="16"/>
      <c r="CX31" s="16"/>
      <c r="CY31" s="16"/>
      <c r="CZ31" s="17"/>
      <c r="DA31" s="16"/>
      <c r="DB31" s="16"/>
      <c r="DC31" s="16"/>
      <c r="DD31" s="16"/>
      <c r="DE31" s="17"/>
      <c r="DF31" s="16"/>
      <c r="DG31" s="16"/>
      <c r="DH31" s="16"/>
      <c r="DI31" s="16"/>
      <c r="DJ31" s="17"/>
      <c r="DK31" s="16"/>
      <c r="DL31" s="16"/>
      <c r="DM31" s="16"/>
      <c r="DN31" s="16"/>
      <c r="DO31" s="17"/>
      <c r="DP31" s="16"/>
      <c r="DQ31" s="16"/>
      <c r="DR31" s="16"/>
      <c r="DS31" s="16"/>
      <c r="DT31" s="17"/>
      <c r="DU31" s="17"/>
      <c r="DV31" s="17"/>
    </row>
    <row r="32" spans="1:126" s="13" customFormat="1">
      <c r="A32" s="3"/>
      <c r="B32" s="165" t="s">
        <v>39</v>
      </c>
      <c r="C32" s="11"/>
      <c r="D32" s="11"/>
      <c r="E32" s="11"/>
      <c r="F32" s="11"/>
      <c r="G32" s="11"/>
      <c r="H32" s="11"/>
      <c r="I32" s="11"/>
      <c r="J32" s="192"/>
      <c r="K32" s="192"/>
      <c r="L32" s="192"/>
      <c r="M32" s="192"/>
      <c r="N32" s="11"/>
      <c r="O32" s="192"/>
      <c r="P32" s="192"/>
      <c r="Q32" s="192"/>
      <c r="R32" s="192"/>
      <c r="S32" s="11"/>
      <c r="T32" s="192"/>
      <c r="U32" s="192"/>
      <c r="V32" s="192"/>
      <c r="W32" s="192"/>
      <c r="X32" s="11"/>
      <c r="Y32" s="192"/>
      <c r="Z32" s="192"/>
      <c r="AA32" s="192"/>
      <c r="AB32" s="192"/>
      <c r="AC32" s="11"/>
      <c r="AD32" s="192"/>
      <c r="AE32" s="192"/>
      <c r="AF32" s="192"/>
      <c r="AG32" s="192"/>
      <c r="AH32" s="11"/>
      <c r="AI32" s="192"/>
      <c r="AJ32" s="192"/>
      <c r="AK32" s="192"/>
      <c r="AL32" s="192"/>
      <c r="AM32" s="11"/>
      <c r="AN32" s="192"/>
      <c r="AO32" s="192"/>
      <c r="AP32" s="192"/>
      <c r="AQ32" s="192"/>
      <c r="AR32" s="11"/>
      <c r="AS32" s="192"/>
      <c r="AT32" s="192"/>
      <c r="AU32" s="192"/>
      <c r="AV32" s="192"/>
      <c r="AW32" s="11"/>
      <c r="AX32" s="192"/>
      <c r="AY32" s="192"/>
      <c r="AZ32" s="192"/>
      <c r="BA32" s="192"/>
      <c r="BB32" s="11"/>
      <c r="BC32" s="192"/>
      <c r="BD32" s="192"/>
      <c r="BE32" s="192"/>
      <c r="BF32" s="192"/>
      <c r="BG32" s="11"/>
      <c r="BH32" s="192"/>
      <c r="BI32" s="192"/>
      <c r="BJ32" s="481"/>
      <c r="BK32" s="481"/>
      <c r="BL32" s="11"/>
      <c r="BM32" s="481"/>
      <c r="BN32" s="481"/>
      <c r="BO32" s="481"/>
      <c r="BP32" s="481"/>
      <c r="BQ32" s="11"/>
      <c r="BR32" s="481"/>
      <c r="BS32" s="499"/>
      <c r="BT32" s="499"/>
      <c r="BU32" s="499"/>
      <c r="BV32" s="11"/>
      <c r="BW32" s="499"/>
      <c r="BX32" s="499"/>
      <c r="BY32" s="499"/>
      <c r="BZ32" s="499"/>
      <c r="CA32" s="11"/>
      <c r="CB32" s="499"/>
      <c r="CC32" s="499"/>
      <c r="CD32" s="499"/>
      <c r="CE32" s="499"/>
      <c r="CF32" s="11">
        <f>CF26/CF41</f>
        <v>4.2491196575295174</v>
      </c>
      <c r="CG32" s="499">
        <v>1.32</v>
      </c>
      <c r="CH32" s="499">
        <v>1.37</v>
      </c>
      <c r="CI32" s="499">
        <v>1.04</v>
      </c>
      <c r="CJ32" s="499">
        <v>1.0900000000000001</v>
      </c>
      <c r="CK32" s="11">
        <f>CK26/CK41</f>
        <v>4.8237563181697265</v>
      </c>
      <c r="CL32" s="499">
        <f t="shared" ref="CL32" si="19">CL26/CL41</f>
        <v>1.1521868985199442</v>
      </c>
      <c r="CM32" s="499">
        <f t="shared" ref="CM32:CN32" si="20">CM26/CM41</f>
        <v>-2.4845134217011924</v>
      </c>
      <c r="CN32" s="499">
        <f t="shared" si="20"/>
        <v>9.9900760833608993E-2</v>
      </c>
      <c r="CO32" s="499">
        <f t="shared" ref="CO32:CR32" si="21">CO26/CO41</f>
        <v>9.6541691463333995E-2</v>
      </c>
      <c r="CP32" s="11">
        <f>CP26/CP41</f>
        <v>-1.1225772309320632</v>
      </c>
      <c r="CQ32" s="499">
        <f t="shared" si="21"/>
        <v>0.51088610945668722</v>
      </c>
      <c r="CR32" s="499">
        <f t="shared" si="21"/>
        <v>0.69038767923526279</v>
      </c>
      <c r="CS32" s="499">
        <f t="shared" ref="CS32:CT32" si="22">CS26/CS41</f>
        <v>0.93464183189799044</v>
      </c>
      <c r="CT32" s="499">
        <f t="shared" si="22"/>
        <v>0.45957732304595772</v>
      </c>
      <c r="CU32" s="17"/>
      <c r="CV32" s="499">
        <f t="shared" ref="CV32:CW32" si="23">CV26/CV41</f>
        <v>0.7418617164379876</v>
      </c>
      <c r="CW32" s="499">
        <f t="shared" si="23"/>
        <v>0.88155759870200101</v>
      </c>
      <c r="CX32" s="499">
        <f t="shared" ref="CX32:CY32" si="24">CX26/CX41</f>
        <v>0.94347323311339371</v>
      </c>
      <c r="CY32" s="499">
        <f t="shared" si="24"/>
        <v>0.97031729785056298</v>
      </c>
      <c r="CZ32" s="17"/>
      <c r="DA32" s="499">
        <f t="shared" ref="DA32:DB32" si="25">DA26/DA41</f>
        <v>0.97524278484475446</v>
      </c>
      <c r="DB32" s="499">
        <f t="shared" si="25"/>
        <v>0.91046312178387645</v>
      </c>
      <c r="DC32" s="499">
        <f t="shared" ref="DC32:DD32" si="26">DC26/DC41</f>
        <v>-0.67951108348870937</v>
      </c>
      <c r="DD32" s="499">
        <f t="shared" si="26"/>
        <v>1.0524761975053509</v>
      </c>
      <c r="DE32" s="17"/>
      <c r="DF32" s="499">
        <f t="shared" ref="DF32:DI32" si="27">DF26/DF41</f>
        <v>1.2855423499323002</v>
      </c>
      <c r="DG32" s="499">
        <f t="shared" si="27"/>
        <v>8.3345847724883612E-2</v>
      </c>
      <c r="DH32" s="499">
        <f t="shared" si="27"/>
        <v>1.104110411041104</v>
      </c>
      <c r="DI32" s="499">
        <f t="shared" si="27"/>
        <v>1.1106115107913668</v>
      </c>
      <c r="DJ32" s="17"/>
      <c r="DK32" s="499">
        <f t="shared" ref="DK32:DL32" si="28">DK26/DK41</f>
        <v>1.1480068805624113</v>
      </c>
      <c r="DL32" s="499">
        <f t="shared" si="28"/>
        <v>1.2360137251976728</v>
      </c>
      <c r="DM32" s="499">
        <f t="shared" ref="DM32" si="29">DM26/DM41</f>
        <v>1.4280396098577919</v>
      </c>
      <c r="DN32" s="16"/>
      <c r="DO32" s="17"/>
      <c r="DP32" s="499"/>
      <c r="DQ32" s="16"/>
      <c r="DR32" s="16"/>
      <c r="DS32" s="16"/>
      <c r="DT32" s="17"/>
      <c r="DU32" s="17"/>
      <c r="DV32" s="17"/>
    </row>
    <row r="33" spans="1:126" s="13" customFormat="1">
      <c r="A33" s="32"/>
      <c r="B33" s="45" t="s">
        <v>38</v>
      </c>
      <c r="C33" s="105"/>
      <c r="D33" s="105"/>
      <c r="E33" s="105"/>
      <c r="F33" s="105"/>
      <c r="G33" s="105"/>
      <c r="H33" s="105"/>
      <c r="I33" s="105"/>
      <c r="J33" s="221"/>
      <c r="K33" s="221"/>
      <c r="L33" s="221"/>
      <c r="M33" s="221"/>
      <c r="N33" s="105"/>
      <c r="O33" s="221"/>
      <c r="P33" s="221"/>
      <c r="Q33" s="221"/>
      <c r="R33" s="221"/>
      <c r="S33" s="105"/>
      <c r="T33" s="221"/>
      <c r="U33" s="221"/>
      <c r="V33" s="221"/>
      <c r="W33" s="221"/>
      <c r="X33" s="105"/>
      <c r="Y33" s="221"/>
      <c r="Z33" s="221"/>
      <c r="AA33" s="221"/>
      <c r="AB33" s="221"/>
      <c r="AC33" s="105"/>
      <c r="AD33" s="221"/>
      <c r="AE33" s="221"/>
      <c r="AF33" s="221"/>
      <c r="AG33" s="221"/>
      <c r="AH33" s="105"/>
      <c r="AI33" s="221"/>
      <c r="AJ33" s="221"/>
      <c r="AK33" s="221"/>
      <c r="AL33" s="221"/>
      <c r="AM33" s="105"/>
      <c r="AN33" s="221"/>
      <c r="AO33" s="221"/>
      <c r="AP33" s="221"/>
      <c r="AQ33" s="221"/>
      <c r="AR33" s="105"/>
      <c r="AS33" s="221"/>
      <c r="AT33" s="221"/>
      <c r="AU33" s="221"/>
      <c r="AV33" s="221"/>
      <c r="AW33" s="105"/>
      <c r="AX33" s="221"/>
      <c r="AY33" s="221"/>
      <c r="AZ33" s="221"/>
      <c r="BA33" s="221"/>
      <c r="BB33" s="105"/>
      <c r="BC33" s="221"/>
      <c r="BD33" s="221"/>
      <c r="BE33" s="221"/>
      <c r="BF33" s="221"/>
      <c r="BG33" s="105"/>
      <c r="BH33" s="221"/>
      <c r="BI33" s="221"/>
      <c r="BJ33" s="482"/>
      <c r="BK33" s="482"/>
      <c r="BL33" s="105"/>
      <c r="BM33" s="482"/>
      <c r="BN33" s="482"/>
      <c r="BO33" s="482"/>
      <c r="BP33" s="482"/>
      <c r="BQ33" s="105"/>
      <c r="BR33" s="482"/>
      <c r="BS33" s="500"/>
      <c r="BT33" s="500"/>
      <c r="BU33" s="500"/>
      <c r="BV33" s="105"/>
      <c r="BW33" s="500"/>
      <c r="BX33" s="500"/>
      <c r="BY33" s="500"/>
      <c r="BZ33" s="500"/>
      <c r="CA33" s="105"/>
      <c r="CB33" s="500"/>
      <c r="CC33" s="500"/>
      <c r="CD33" s="500"/>
      <c r="CE33" s="500"/>
      <c r="CF33" s="105"/>
      <c r="CG33" s="500"/>
      <c r="CH33" s="500"/>
      <c r="CI33" s="500"/>
      <c r="CJ33" s="500"/>
      <c r="CK33" s="105"/>
      <c r="CL33" s="500"/>
      <c r="CM33" s="500"/>
      <c r="CN33" s="482"/>
      <c r="CO33" s="482"/>
      <c r="CP33" s="105"/>
      <c r="CQ33" s="482"/>
      <c r="CR33" s="16"/>
      <c r="CS33" s="16"/>
      <c r="CT33" s="16"/>
      <c r="CU33" s="17"/>
      <c r="CV33" s="16"/>
      <c r="CW33" s="16"/>
      <c r="CX33" s="16"/>
      <c r="CY33" s="16"/>
      <c r="CZ33" s="17"/>
      <c r="DA33" s="16"/>
      <c r="DB33" s="16"/>
      <c r="DC33" s="16"/>
      <c r="DD33" s="16"/>
      <c r="DE33" s="17"/>
      <c r="DF33" s="16"/>
      <c r="DG33" s="16"/>
      <c r="DH33" s="16"/>
      <c r="DI33" s="16"/>
      <c r="DJ33" s="17"/>
      <c r="DK33" s="16"/>
      <c r="DL33" s="16"/>
      <c r="DM33" s="16"/>
      <c r="DN33" s="16"/>
      <c r="DO33" s="17"/>
      <c r="DP33" s="16"/>
      <c r="DQ33" s="16"/>
      <c r="DR33" s="16"/>
      <c r="DS33" s="16"/>
      <c r="DT33" s="17"/>
      <c r="DU33" s="17"/>
      <c r="DV33" s="17"/>
    </row>
    <row r="34" spans="1:126" s="13" customFormat="1">
      <c r="A34" s="32"/>
      <c r="B34" s="45" t="s">
        <v>40</v>
      </c>
      <c r="C34" s="11"/>
      <c r="D34" s="11"/>
      <c r="E34" s="11"/>
      <c r="F34" s="11"/>
      <c r="G34" s="11"/>
      <c r="H34" s="11"/>
      <c r="I34" s="11"/>
      <c r="J34" s="192"/>
      <c r="K34" s="192"/>
      <c r="L34" s="192"/>
      <c r="M34" s="192"/>
      <c r="N34" s="11"/>
      <c r="O34" s="192"/>
      <c r="P34" s="192"/>
      <c r="Q34" s="192"/>
      <c r="R34" s="192"/>
      <c r="S34" s="11"/>
      <c r="T34" s="192"/>
      <c r="U34" s="192"/>
      <c r="V34" s="192"/>
      <c r="W34" s="192"/>
      <c r="X34" s="11"/>
      <c r="Y34" s="192"/>
      <c r="Z34" s="192"/>
      <c r="AA34" s="192"/>
      <c r="AB34" s="192"/>
      <c r="AC34" s="11"/>
      <c r="AD34" s="192"/>
      <c r="AE34" s="192"/>
      <c r="AF34" s="192"/>
      <c r="AG34" s="192"/>
      <c r="AH34" s="11"/>
      <c r="AI34" s="192"/>
      <c r="AJ34" s="192"/>
      <c r="AK34" s="192"/>
      <c r="AL34" s="192"/>
      <c r="AM34" s="11"/>
      <c r="AN34" s="192"/>
      <c r="AO34" s="192"/>
      <c r="AP34" s="192"/>
      <c r="AQ34" s="192"/>
      <c r="AR34" s="11"/>
      <c r="AS34" s="192"/>
      <c r="AT34" s="192"/>
      <c r="AU34" s="192"/>
      <c r="AV34" s="192"/>
      <c r="AW34" s="11"/>
      <c r="AX34" s="192"/>
      <c r="AY34" s="192"/>
      <c r="AZ34" s="192"/>
      <c r="BA34" s="192"/>
      <c r="BB34" s="11"/>
      <c r="BC34" s="192"/>
      <c r="BD34" s="192"/>
      <c r="BE34" s="192"/>
      <c r="BF34" s="192"/>
      <c r="BG34" s="11"/>
      <c r="BH34" s="192"/>
      <c r="BI34" s="192"/>
      <c r="BJ34" s="481"/>
      <c r="BK34" s="481"/>
      <c r="BL34" s="11"/>
      <c r="BM34" s="481"/>
      <c r="BN34" s="481"/>
      <c r="BO34" s="481"/>
      <c r="BP34" s="481"/>
      <c r="BQ34" s="11"/>
      <c r="BR34" s="481"/>
      <c r="BS34" s="499"/>
      <c r="BT34" s="499"/>
      <c r="BU34" s="499"/>
      <c r="BV34" s="11"/>
      <c r="BW34" s="499"/>
      <c r="BX34" s="499"/>
      <c r="BY34" s="499"/>
      <c r="BZ34" s="499"/>
      <c r="CA34" s="11"/>
      <c r="CB34" s="499"/>
      <c r="CC34" s="499"/>
      <c r="CD34" s="499"/>
      <c r="CE34" s="499"/>
      <c r="CF34" s="11"/>
      <c r="CG34" s="499"/>
      <c r="CH34" s="499"/>
      <c r="CI34" s="499"/>
      <c r="CJ34" s="499"/>
      <c r="CK34" s="11"/>
      <c r="CL34" s="499"/>
      <c r="CM34" s="499"/>
      <c r="CN34" s="481"/>
      <c r="CO34" s="481"/>
      <c r="CP34" s="11"/>
      <c r="CQ34" s="481"/>
      <c r="CR34" s="16"/>
      <c r="CS34" s="16"/>
      <c r="CT34" s="16"/>
      <c r="CU34" s="17"/>
      <c r="CV34" s="16"/>
      <c r="CW34" s="16"/>
      <c r="CX34" s="16"/>
      <c r="CY34" s="16"/>
      <c r="CZ34" s="17"/>
      <c r="DA34" s="16"/>
      <c r="DB34" s="16"/>
      <c r="DC34" s="16"/>
      <c r="DD34" s="16"/>
      <c r="DE34" s="17"/>
      <c r="DF34" s="16"/>
      <c r="DG34" s="16"/>
      <c r="DH34" s="16"/>
      <c r="DI34" s="16"/>
      <c r="DJ34" s="17"/>
      <c r="DK34" s="16"/>
      <c r="DL34" s="16"/>
      <c r="DM34" s="16"/>
      <c r="DN34" s="16"/>
      <c r="DO34" s="17"/>
      <c r="DP34" s="16"/>
      <c r="DQ34" s="16"/>
      <c r="DR34" s="16"/>
      <c r="DS34" s="16"/>
      <c r="DT34" s="17"/>
      <c r="DU34" s="17"/>
      <c r="DV34" s="17"/>
    </row>
    <row r="35" spans="1:126" s="13" customFormat="1">
      <c r="A35" s="32"/>
      <c r="B35" s="45"/>
      <c r="C35" s="11"/>
      <c r="D35" s="11"/>
      <c r="E35" s="11"/>
      <c r="F35" s="11"/>
      <c r="G35" s="11"/>
      <c r="H35" s="11"/>
      <c r="I35" s="11"/>
      <c r="J35" s="192"/>
      <c r="K35" s="192"/>
      <c r="L35" s="192"/>
      <c r="M35" s="192"/>
      <c r="N35" s="11"/>
      <c r="O35" s="192"/>
      <c r="P35" s="192"/>
      <c r="Q35" s="192"/>
      <c r="R35" s="192"/>
      <c r="S35" s="11"/>
      <c r="T35" s="192"/>
      <c r="U35" s="192"/>
      <c r="V35" s="192"/>
      <c r="W35" s="192"/>
      <c r="X35" s="11"/>
      <c r="Y35" s="192"/>
      <c r="Z35" s="192"/>
      <c r="AA35" s="192"/>
      <c r="AB35" s="192"/>
      <c r="AC35" s="11"/>
      <c r="AD35" s="192"/>
      <c r="AE35" s="192"/>
      <c r="AF35" s="192"/>
      <c r="AG35" s="192"/>
      <c r="AH35" s="11"/>
      <c r="AI35" s="192"/>
      <c r="AJ35" s="192"/>
      <c r="AK35" s="192"/>
      <c r="AL35" s="192"/>
      <c r="AM35" s="11"/>
      <c r="AN35" s="192"/>
      <c r="AO35" s="192"/>
      <c r="AP35" s="192"/>
      <c r="AQ35" s="192"/>
      <c r="AR35" s="11"/>
      <c r="AS35" s="192"/>
      <c r="AT35" s="192"/>
      <c r="AU35" s="192"/>
      <c r="AV35" s="192"/>
      <c r="AW35" s="11"/>
      <c r="AX35" s="192"/>
      <c r="AY35" s="192"/>
      <c r="AZ35" s="192"/>
      <c r="BA35" s="192"/>
      <c r="BB35" s="11"/>
      <c r="BC35" s="192"/>
      <c r="BD35" s="192"/>
      <c r="BE35" s="192"/>
      <c r="BF35" s="16"/>
      <c r="BG35" s="11"/>
      <c r="BH35" s="16"/>
      <c r="BI35" s="16"/>
      <c r="BJ35" s="471"/>
      <c r="BK35" s="471"/>
      <c r="BL35" s="11"/>
      <c r="BM35" s="471"/>
      <c r="BN35" s="471"/>
      <c r="BO35" s="471"/>
      <c r="BP35" s="471"/>
      <c r="BQ35" s="11"/>
      <c r="BR35" s="471"/>
      <c r="BS35" s="368"/>
      <c r="BT35" s="471"/>
      <c r="BU35" s="471"/>
      <c r="BV35" s="11"/>
      <c r="BW35" s="471"/>
      <c r="BX35" s="471"/>
      <c r="BY35" s="471"/>
      <c r="BZ35" s="471"/>
      <c r="CA35" s="17"/>
      <c r="CB35" s="471"/>
      <c r="CC35" s="471"/>
      <c r="CD35" s="471"/>
      <c r="CE35" s="471"/>
      <c r="CF35" s="17"/>
      <c r="CG35" s="471"/>
      <c r="CH35" s="471"/>
      <c r="CI35" s="471"/>
      <c r="CJ35" s="471"/>
      <c r="CK35" s="17"/>
      <c r="CL35" s="471"/>
      <c r="CM35" s="471"/>
      <c r="CN35" s="471"/>
      <c r="CO35" s="471"/>
      <c r="CP35" s="17"/>
      <c r="CQ35" s="471"/>
      <c r="CR35" s="16"/>
      <c r="CS35" s="16"/>
      <c r="CT35" s="16"/>
      <c r="CU35" s="17"/>
      <c r="CV35" s="16"/>
      <c r="CW35" s="16"/>
      <c r="CX35" s="16"/>
      <c r="CY35" s="16"/>
      <c r="CZ35" s="17"/>
      <c r="DA35" s="16"/>
      <c r="DB35" s="16"/>
      <c r="DC35" s="16"/>
      <c r="DD35" s="16"/>
      <c r="DE35" s="17"/>
      <c r="DF35" s="16"/>
      <c r="DG35" s="16"/>
      <c r="DH35" s="16"/>
      <c r="DI35" s="16"/>
      <c r="DJ35" s="17"/>
      <c r="DK35" s="16"/>
      <c r="DL35" s="16"/>
      <c r="DM35" s="16"/>
      <c r="DN35" s="16"/>
      <c r="DO35" s="17"/>
      <c r="DP35" s="16"/>
      <c r="DQ35" s="16"/>
      <c r="DR35" s="16"/>
      <c r="DS35" s="16"/>
      <c r="DT35" s="17"/>
      <c r="DU35" s="17"/>
      <c r="DV35" s="17"/>
    </row>
    <row r="36" spans="1:126" s="13" customFormat="1">
      <c r="A36" s="32"/>
      <c r="B36" s="108" t="s">
        <v>41</v>
      </c>
      <c r="C36" s="62"/>
      <c r="D36" s="62"/>
      <c r="E36" s="62"/>
      <c r="F36" s="62"/>
      <c r="G36" s="62"/>
      <c r="H36" s="62"/>
      <c r="I36" s="62"/>
      <c r="J36" s="222"/>
      <c r="K36" s="222"/>
      <c r="L36" s="222"/>
      <c r="M36" s="222"/>
      <c r="N36" s="62"/>
      <c r="O36" s="222"/>
      <c r="P36" s="222"/>
      <c r="Q36" s="222"/>
      <c r="R36" s="222"/>
      <c r="S36" s="62"/>
      <c r="T36" s="222"/>
      <c r="U36" s="222"/>
      <c r="V36" s="222"/>
      <c r="W36" s="222"/>
      <c r="X36" s="62"/>
      <c r="Y36" s="222"/>
      <c r="Z36" s="222"/>
      <c r="AA36" s="222"/>
      <c r="AB36" s="222"/>
      <c r="AC36" s="62"/>
      <c r="AD36" s="222"/>
      <c r="AE36" s="222"/>
      <c r="AF36" s="222"/>
      <c r="AG36" s="222"/>
      <c r="AH36" s="62"/>
      <c r="AI36" s="222"/>
      <c r="AJ36" s="222"/>
      <c r="AK36" s="222"/>
      <c r="AL36" s="222"/>
      <c r="AM36" s="62"/>
      <c r="AN36" s="222"/>
      <c r="AO36" s="222"/>
      <c r="AP36" s="222"/>
      <c r="AQ36" s="222"/>
      <c r="AR36" s="62"/>
      <c r="AS36" s="222"/>
      <c r="AT36" s="222"/>
      <c r="AU36" s="222"/>
      <c r="AV36" s="222"/>
      <c r="AW36" s="62"/>
      <c r="AX36" s="222"/>
      <c r="AY36" s="222"/>
      <c r="AZ36" s="222"/>
      <c r="BA36" s="222"/>
      <c r="BB36" s="62"/>
      <c r="BC36" s="222"/>
      <c r="BD36" s="222"/>
      <c r="BE36" s="222"/>
      <c r="BF36" s="222"/>
      <c r="BG36" s="62"/>
      <c r="BH36" s="222"/>
      <c r="BI36" s="222"/>
      <c r="BJ36" s="483"/>
      <c r="BK36" s="483"/>
      <c r="BL36" s="62"/>
      <c r="BM36" s="483"/>
      <c r="BN36" s="483"/>
      <c r="BO36" s="483"/>
      <c r="BP36" s="483"/>
      <c r="BQ36" s="62"/>
      <c r="BR36" s="483"/>
      <c r="BS36" s="501"/>
      <c r="BT36" s="501"/>
      <c r="BU36" s="501"/>
      <c r="BV36" s="62"/>
      <c r="BW36" s="501"/>
      <c r="BX36" s="501"/>
      <c r="BY36" s="501"/>
      <c r="BZ36" s="501"/>
      <c r="CA36" s="62"/>
      <c r="CB36" s="501"/>
      <c r="CC36" s="501"/>
      <c r="CD36" s="501"/>
      <c r="CE36" s="501"/>
      <c r="CF36" s="62">
        <f>CF26/CF42</f>
        <v>4.2173793859649118</v>
      </c>
      <c r="CG36" s="501">
        <v>1.31</v>
      </c>
      <c r="CH36" s="501">
        <v>1.36</v>
      </c>
      <c r="CI36" s="501">
        <v>1.03</v>
      </c>
      <c r="CJ36" s="501">
        <v>1.08</v>
      </c>
      <c r="CK36" s="62">
        <f>CK26/CK42</f>
        <v>4.7849320490829923</v>
      </c>
      <c r="CL36" s="501">
        <f t="shared" ref="CL36" si="30">CL26/CL42</f>
        <v>1.1436853547664536</v>
      </c>
      <c r="CM36" s="501">
        <f t="shared" ref="CM36:CN36" si="31">CM26/CM42</f>
        <v>-2.4845134217011924</v>
      </c>
      <c r="CN36" s="501">
        <f t="shared" si="31"/>
        <v>9.972262580900805E-2</v>
      </c>
      <c r="CO36" s="501">
        <f t="shared" ref="CO36:CR36" si="32">CO26/CO42</f>
        <v>9.6344199551273588E-2</v>
      </c>
      <c r="CP36" s="62">
        <f>CP26/CP42</f>
        <v>-1.1225772309320632</v>
      </c>
      <c r="CQ36" s="501">
        <f t="shared" si="32"/>
        <v>0.50987385245360284</v>
      </c>
      <c r="CR36" s="501">
        <f t="shared" si="32"/>
        <v>0.6871489924017179</v>
      </c>
      <c r="CS36" s="501">
        <f t="shared" ref="CS36:CT36" si="33">CS26/CS42</f>
        <v>0.92967660535228103</v>
      </c>
      <c r="CT36" s="501">
        <f t="shared" si="33"/>
        <v>0.45660578589521394</v>
      </c>
      <c r="CU36" s="17"/>
      <c r="CV36" s="501">
        <f t="shared" ref="CV36:CW36" si="34">CV26/CV42</f>
        <v>0.73636424327391681</v>
      </c>
      <c r="CW36" s="501">
        <f t="shared" si="34"/>
        <v>0.87540279269602583</v>
      </c>
      <c r="CX36" s="501">
        <f t="shared" ref="CX36:CY36" si="35">CX26/CX42</f>
        <v>0.93760562428175487</v>
      </c>
      <c r="CY36" s="501">
        <f t="shared" si="35"/>
        <v>0.96321885795570006</v>
      </c>
      <c r="CZ36" s="17"/>
      <c r="DA36" s="501">
        <f t="shared" ref="DA36:DB36" si="36">DA26/DA42</f>
        <v>0.96730430063763395</v>
      </c>
      <c r="DB36" s="501">
        <f t="shared" si="36"/>
        <v>0.90352011983386671</v>
      </c>
      <c r="DC36" s="501">
        <f t="shared" ref="DC36:DD36" si="37">DC26/DC42</f>
        <v>-0.67596345400838087</v>
      </c>
      <c r="DD36" s="501">
        <f t="shared" si="37"/>
        <v>1.0472203862818534</v>
      </c>
      <c r="DE36" s="17"/>
      <c r="DF36" s="501">
        <f t="shared" ref="DF36:DI36" si="38">DF26/DF42</f>
        <v>1.2779481043894414</v>
      </c>
      <c r="DG36" s="501">
        <f t="shared" si="38"/>
        <v>8.2706206691006631E-2</v>
      </c>
      <c r="DH36" s="501">
        <f t="shared" si="38"/>
        <v>1.0934482246322983</v>
      </c>
      <c r="DI36" s="501">
        <f t="shared" si="38"/>
        <v>1.0986729928089554</v>
      </c>
      <c r="DJ36" s="17"/>
      <c r="DK36" s="501">
        <f t="shared" ref="DK36:DL36" si="39">DK26/DK42</f>
        <v>1.135523006361888</v>
      </c>
      <c r="DL36" s="501">
        <f t="shared" si="39"/>
        <v>1.223781388478582</v>
      </c>
      <c r="DM36" s="501">
        <f t="shared" ref="DM36" si="40">DM26/DM42</f>
        <v>1.4119552414605416</v>
      </c>
      <c r="DN36" s="16"/>
      <c r="DO36" s="17"/>
      <c r="DP36" s="501"/>
      <c r="DQ36" s="16"/>
      <c r="DR36" s="16"/>
      <c r="DS36" s="16"/>
      <c r="DT36" s="17"/>
      <c r="DU36" s="17"/>
      <c r="DV36" s="17"/>
    </row>
    <row r="37" spans="1:126" s="13" customFormat="1">
      <c r="A37" s="32"/>
      <c r="B37" s="45" t="s">
        <v>38</v>
      </c>
      <c r="C37" s="243"/>
      <c r="D37" s="243"/>
      <c r="E37" s="243"/>
      <c r="F37" s="243"/>
      <c r="G37" s="243"/>
      <c r="H37" s="243"/>
      <c r="I37" s="243"/>
      <c r="J37" s="221"/>
      <c r="K37" s="221"/>
      <c r="L37" s="221"/>
      <c r="M37" s="221"/>
      <c r="N37" s="243"/>
      <c r="O37" s="221"/>
      <c r="P37" s="221"/>
      <c r="Q37" s="221"/>
      <c r="R37" s="221"/>
      <c r="S37" s="243"/>
      <c r="T37" s="221"/>
      <c r="U37" s="221"/>
      <c r="V37" s="221"/>
      <c r="W37" s="221"/>
      <c r="X37" s="243"/>
      <c r="Y37" s="222"/>
      <c r="Z37" s="222"/>
      <c r="AA37" s="222"/>
      <c r="AB37" s="222"/>
      <c r="AC37" s="243"/>
      <c r="AD37" s="222"/>
      <c r="AE37" s="222"/>
      <c r="AF37" s="222"/>
      <c r="AG37" s="222"/>
      <c r="AH37" s="243"/>
      <c r="AI37" s="222"/>
      <c r="AJ37" s="222"/>
      <c r="AK37" s="222"/>
      <c r="AL37" s="222"/>
      <c r="AM37" s="243"/>
      <c r="AN37" s="222"/>
      <c r="AO37" s="222"/>
      <c r="AP37" s="222"/>
      <c r="AQ37" s="222"/>
      <c r="AR37" s="243"/>
      <c r="AS37" s="222"/>
      <c r="AT37" s="222"/>
      <c r="AU37" s="222"/>
      <c r="AV37" s="222"/>
      <c r="AW37" s="243"/>
      <c r="AX37" s="222"/>
      <c r="AY37" s="222"/>
      <c r="AZ37" s="222"/>
      <c r="BA37" s="222"/>
      <c r="BB37" s="243"/>
      <c r="BC37" s="222"/>
      <c r="BD37" s="222"/>
      <c r="BE37" s="222"/>
      <c r="BF37" s="222"/>
      <c r="BG37" s="243"/>
      <c r="BH37" s="222"/>
      <c r="BI37" s="222"/>
      <c r="BJ37" s="483"/>
      <c r="BK37" s="483"/>
      <c r="BL37" s="243"/>
      <c r="BM37" s="483"/>
      <c r="BN37" s="483"/>
      <c r="BO37" s="483"/>
      <c r="BP37" s="483"/>
      <c r="BQ37" s="243"/>
      <c r="BR37" s="483"/>
      <c r="BS37" s="501"/>
      <c r="BT37" s="501"/>
      <c r="BU37" s="501"/>
      <c r="BV37" s="243"/>
      <c r="BW37" s="501"/>
      <c r="BX37" s="501"/>
      <c r="BY37" s="501"/>
      <c r="BZ37" s="501"/>
      <c r="CA37" s="243"/>
      <c r="CB37" s="501"/>
      <c r="CC37" s="501"/>
      <c r="CD37" s="501"/>
      <c r="CE37" s="501"/>
      <c r="CF37" s="243"/>
      <c r="CG37" s="501"/>
      <c r="CH37" s="501"/>
      <c r="CI37" s="501"/>
      <c r="CJ37" s="501"/>
      <c r="CK37" s="243"/>
      <c r="CL37" s="501"/>
      <c r="CM37" s="483"/>
      <c r="CN37" s="483"/>
      <c r="CO37" s="16"/>
      <c r="CP37" s="17"/>
      <c r="CQ37" s="16"/>
      <c r="CR37" s="16"/>
      <c r="CS37" s="16"/>
      <c r="CT37" s="16"/>
      <c r="CU37" s="17"/>
      <c r="CV37" s="16"/>
      <c r="CW37" s="16"/>
      <c r="CX37" s="16"/>
      <c r="CY37" s="16"/>
      <c r="CZ37" s="17"/>
      <c r="DA37" s="16"/>
      <c r="DB37" s="16"/>
      <c r="DC37" s="16"/>
      <c r="DD37" s="16"/>
      <c r="DE37" s="17"/>
      <c r="DF37" s="16"/>
      <c r="DG37" s="16"/>
      <c r="DH37" s="16"/>
      <c r="DI37" s="16"/>
      <c r="DJ37" s="17"/>
      <c r="DK37" s="16"/>
      <c r="DL37" s="16"/>
      <c r="DM37" s="16"/>
      <c r="DN37" s="16"/>
      <c r="DO37" s="17"/>
      <c r="DP37" s="16"/>
      <c r="DQ37" s="16"/>
      <c r="DR37" s="16"/>
      <c r="DS37" s="16"/>
      <c r="DT37" s="17"/>
      <c r="DU37" s="17"/>
      <c r="DV37" s="17"/>
    </row>
    <row r="38" spans="1:126" s="13" customFormat="1">
      <c r="A38" s="32"/>
      <c r="B38" s="45" t="s">
        <v>42</v>
      </c>
      <c r="C38" s="62"/>
      <c r="D38" s="62"/>
      <c r="E38" s="62"/>
      <c r="F38" s="62"/>
      <c r="G38" s="62"/>
      <c r="H38" s="62"/>
      <c r="I38" s="62"/>
      <c r="J38" s="192"/>
      <c r="K38" s="192"/>
      <c r="L38" s="192"/>
      <c r="M38" s="192"/>
      <c r="N38" s="62"/>
      <c r="O38" s="192"/>
      <c r="P38" s="192"/>
      <c r="Q38" s="192"/>
      <c r="R38" s="192"/>
      <c r="S38" s="62"/>
      <c r="T38" s="192"/>
      <c r="U38" s="192"/>
      <c r="V38" s="192"/>
      <c r="W38" s="192"/>
      <c r="X38" s="62"/>
      <c r="Y38" s="222"/>
      <c r="Z38" s="222"/>
      <c r="AA38" s="222"/>
      <c r="AB38" s="222"/>
      <c r="AC38" s="62"/>
      <c r="AD38" s="222"/>
      <c r="AE38" s="222"/>
      <c r="AF38" s="222"/>
      <c r="AG38" s="222"/>
      <c r="AH38" s="62"/>
      <c r="AI38" s="222"/>
      <c r="AJ38" s="222"/>
      <c r="AK38" s="222"/>
      <c r="AL38" s="222"/>
      <c r="AM38" s="62"/>
      <c r="AN38" s="222"/>
      <c r="AO38" s="222"/>
      <c r="AP38" s="222"/>
      <c r="AQ38" s="222"/>
      <c r="AR38" s="62"/>
      <c r="AS38" s="222"/>
      <c r="AT38" s="222"/>
      <c r="AU38" s="222"/>
      <c r="AV38" s="222"/>
      <c r="AW38" s="62"/>
      <c r="AX38" s="222"/>
      <c r="AY38" s="222"/>
      <c r="AZ38" s="222"/>
      <c r="BA38" s="222"/>
      <c r="BB38" s="62"/>
      <c r="BC38" s="222"/>
      <c r="BD38" s="222"/>
      <c r="BE38" s="222"/>
      <c r="BF38" s="222"/>
      <c r="BG38" s="62"/>
      <c r="BH38" s="222"/>
      <c r="BI38" s="222"/>
      <c r="BJ38" s="483"/>
      <c r="BK38" s="483"/>
      <c r="BL38" s="62"/>
      <c r="BM38" s="483"/>
      <c r="BN38" s="483"/>
      <c r="BO38" s="483"/>
      <c r="BP38" s="483"/>
      <c r="BQ38" s="62"/>
      <c r="BR38" s="483"/>
      <c r="BS38" s="501"/>
      <c r="BT38" s="501"/>
      <c r="BU38" s="501"/>
      <c r="BV38" s="62"/>
      <c r="BW38" s="501"/>
      <c r="BX38" s="501"/>
      <c r="BY38" s="501"/>
      <c r="BZ38" s="501"/>
      <c r="CA38" s="62"/>
      <c r="CB38" s="501"/>
      <c r="CC38" s="501"/>
      <c r="CD38" s="501"/>
      <c r="CE38" s="501"/>
      <c r="CF38" s="62"/>
      <c r="CG38" s="501"/>
      <c r="CH38" s="501"/>
      <c r="CI38" s="501"/>
      <c r="CJ38" s="501"/>
      <c r="CK38" s="62"/>
      <c r="CL38" s="501"/>
      <c r="CM38" s="483"/>
      <c r="CN38" s="483"/>
      <c r="CO38" s="16"/>
      <c r="CP38" s="17"/>
      <c r="CQ38" s="16"/>
      <c r="CR38" s="16"/>
      <c r="CS38" s="16"/>
      <c r="CT38" s="16"/>
      <c r="CU38" s="17"/>
      <c r="CV38" s="16"/>
      <c r="CW38" s="16"/>
      <c r="CX38" s="16"/>
      <c r="CY38" s="16"/>
      <c r="CZ38" s="17"/>
      <c r="DA38" s="16"/>
      <c r="DB38" s="16"/>
      <c r="DC38" s="16"/>
      <c r="DD38" s="16"/>
      <c r="DE38" s="17"/>
      <c r="DF38" s="16"/>
      <c r="DG38" s="16"/>
      <c r="DH38" s="16"/>
      <c r="DI38" s="16"/>
      <c r="DJ38" s="17"/>
      <c r="DK38" s="16"/>
      <c r="DL38" s="16"/>
      <c r="DM38" s="16"/>
      <c r="DN38" s="16"/>
      <c r="DO38" s="17"/>
      <c r="DP38" s="16"/>
      <c r="DQ38" s="16"/>
      <c r="DR38" s="16"/>
      <c r="DS38" s="16"/>
      <c r="DT38" s="17"/>
      <c r="DU38" s="17"/>
      <c r="DV38" s="17"/>
    </row>
    <row r="39" spans="1:126" s="13" customFormat="1">
      <c r="A39" s="32"/>
      <c r="B39" s="45"/>
      <c r="C39" s="17"/>
      <c r="D39" s="17"/>
      <c r="E39" s="17"/>
      <c r="F39" s="17"/>
      <c r="G39" s="17"/>
      <c r="H39" s="17"/>
      <c r="I39" s="17"/>
      <c r="N39" s="17"/>
      <c r="S39" s="17"/>
      <c r="X39" s="17"/>
      <c r="AC39" s="17"/>
      <c r="AH39" s="17"/>
      <c r="AM39" s="17"/>
      <c r="AR39" s="17"/>
      <c r="AU39" s="16"/>
      <c r="AW39" s="17"/>
      <c r="BB39" s="17"/>
      <c r="BD39" s="16"/>
      <c r="BF39" s="16"/>
      <c r="BG39" s="17"/>
      <c r="BH39" s="8"/>
      <c r="BI39" s="16"/>
      <c r="BJ39" s="472"/>
      <c r="BK39" s="16"/>
      <c r="BL39" s="17"/>
      <c r="BM39" s="8"/>
      <c r="BN39" s="16"/>
      <c r="BO39" s="472"/>
      <c r="BP39" s="16"/>
      <c r="BQ39" s="17"/>
      <c r="BR39" s="8"/>
      <c r="BS39" s="368"/>
      <c r="BT39" s="472"/>
      <c r="BU39" s="16"/>
      <c r="BV39" s="17"/>
      <c r="BW39" s="8"/>
      <c r="BX39" s="16"/>
      <c r="BY39" s="472"/>
      <c r="BZ39" s="16"/>
      <c r="CA39" s="17"/>
      <c r="CB39" s="8"/>
      <c r="CC39" s="8"/>
      <c r="CD39" s="472"/>
      <c r="CE39" s="16"/>
      <c r="CF39" s="17"/>
      <c r="CG39" s="8"/>
      <c r="CH39" s="8"/>
      <c r="CI39" s="472"/>
      <c r="CJ39" s="16"/>
      <c r="CK39" s="17"/>
      <c r="CL39" s="8"/>
      <c r="CM39" s="16"/>
      <c r="CN39" s="472"/>
      <c r="CO39" s="16"/>
      <c r="CP39" s="17"/>
      <c r="CQ39" s="16"/>
      <c r="CR39" s="16"/>
      <c r="CS39" s="16"/>
      <c r="CT39" s="16"/>
      <c r="CU39" s="17"/>
      <c r="CV39" s="16"/>
      <c r="CW39" s="16"/>
      <c r="CX39" s="16"/>
      <c r="CY39" s="16"/>
      <c r="CZ39" s="17"/>
      <c r="DA39" s="16"/>
      <c r="DB39" s="16"/>
      <c r="DC39" s="16"/>
      <c r="DD39" s="16"/>
      <c r="DE39" s="17"/>
      <c r="DF39" s="16"/>
      <c r="DG39" s="16"/>
      <c r="DH39" s="16"/>
      <c r="DI39" s="16"/>
      <c r="DJ39" s="17"/>
      <c r="DK39" s="16"/>
      <c r="DL39" s="16"/>
      <c r="DM39" s="16"/>
      <c r="DN39" s="16"/>
      <c r="DO39" s="17"/>
      <c r="DP39" s="16"/>
      <c r="DQ39" s="16"/>
      <c r="DR39" s="16"/>
      <c r="DS39" s="16"/>
      <c r="DT39" s="17"/>
      <c r="DU39" s="17"/>
      <c r="DV39" s="17"/>
    </row>
    <row r="40" spans="1:126" s="13" customFormat="1">
      <c r="A40" s="32"/>
      <c r="B40" s="108" t="s">
        <v>140</v>
      </c>
      <c r="C40" s="17"/>
      <c r="D40" s="17"/>
      <c r="E40" s="17"/>
      <c r="F40" s="17"/>
      <c r="G40" s="17"/>
      <c r="H40" s="17"/>
      <c r="I40" s="17"/>
      <c r="N40" s="17"/>
      <c r="S40" s="17"/>
      <c r="X40" s="17"/>
      <c r="AC40" s="17"/>
      <c r="AH40" s="17"/>
      <c r="AM40" s="17"/>
      <c r="AR40" s="17"/>
      <c r="AU40" s="16"/>
      <c r="AW40" s="17"/>
      <c r="BB40" s="17"/>
      <c r="BD40" s="16"/>
      <c r="BF40" s="16"/>
      <c r="BG40" s="17"/>
      <c r="BH40" s="8"/>
      <c r="BI40" s="16"/>
      <c r="BJ40" s="472"/>
      <c r="BK40" s="16"/>
      <c r="BL40" s="17"/>
      <c r="BM40" s="8"/>
      <c r="BN40" s="16"/>
      <c r="BO40" s="472"/>
      <c r="BP40" s="16"/>
      <c r="BQ40" s="17"/>
      <c r="BR40" s="8"/>
      <c r="BS40" s="368"/>
      <c r="BT40" s="472"/>
      <c r="BU40" s="16"/>
      <c r="BV40" s="17"/>
      <c r="BW40" s="8"/>
      <c r="BX40" s="16"/>
      <c r="BY40" s="472"/>
      <c r="BZ40" s="16"/>
      <c r="CA40" s="17"/>
      <c r="CB40" s="8"/>
      <c r="CC40" s="16"/>
      <c r="CD40" s="472"/>
      <c r="CE40" s="16"/>
      <c r="CF40" s="17"/>
      <c r="CG40" s="8"/>
      <c r="CH40" s="8"/>
      <c r="CI40" s="472"/>
      <c r="CJ40" s="16"/>
      <c r="CK40" s="17"/>
      <c r="CL40" s="8"/>
      <c r="CM40" s="16"/>
      <c r="CN40" s="472"/>
      <c r="CO40" s="16"/>
      <c r="CP40" s="17"/>
      <c r="CQ40" s="16"/>
      <c r="CR40" s="16"/>
      <c r="CS40" s="16"/>
      <c r="CT40" s="16"/>
      <c r="CU40" s="17"/>
      <c r="CV40" s="16"/>
      <c r="CW40" s="16"/>
      <c r="CX40" s="16"/>
      <c r="CY40" s="16"/>
      <c r="CZ40" s="17"/>
      <c r="DA40" s="16"/>
      <c r="DB40" s="16"/>
      <c r="DC40" s="16"/>
      <c r="DD40" s="16"/>
      <c r="DE40" s="17"/>
      <c r="DF40" s="16"/>
      <c r="DG40" s="16"/>
      <c r="DH40" s="16"/>
      <c r="DI40" s="16"/>
      <c r="DJ40" s="17"/>
      <c r="DK40" s="16"/>
      <c r="DL40" s="16"/>
      <c r="DM40" s="16"/>
      <c r="DN40" s="16"/>
      <c r="DO40" s="17"/>
      <c r="DP40" s="16"/>
      <c r="DQ40" s="16"/>
      <c r="DR40" s="16"/>
      <c r="DS40" s="16"/>
      <c r="DT40" s="17"/>
      <c r="DU40" s="17"/>
      <c r="DV40" s="17"/>
    </row>
    <row r="41" spans="1:126" s="166" customFormat="1" ht="12.75">
      <c r="A41" s="764"/>
      <c r="B41" s="765" t="s">
        <v>31</v>
      </c>
      <c r="C41" s="9"/>
      <c r="D41" s="9"/>
      <c r="E41" s="9"/>
      <c r="F41" s="9"/>
      <c r="G41" s="9"/>
      <c r="H41" s="9"/>
      <c r="I41" s="9"/>
      <c r="N41" s="9"/>
      <c r="S41" s="9"/>
      <c r="X41" s="9"/>
      <c r="AC41" s="9"/>
      <c r="AH41" s="9"/>
      <c r="AM41" s="9"/>
      <c r="AR41" s="9"/>
      <c r="AS41" s="766"/>
      <c r="AU41" s="8"/>
      <c r="AW41" s="9"/>
      <c r="BB41" s="9"/>
      <c r="BG41" s="9"/>
      <c r="BH41" s="8"/>
      <c r="BI41" s="8"/>
      <c r="BJ41" s="767"/>
      <c r="BK41" s="8"/>
      <c r="BL41" s="9"/>
      <c r="BM41" s="8"/>
      <c r="BN41" s="8"/>
      <c r="BO41" s="767"/>
      <c r="BP41" s="8"/>
      <c r="BQ41" s="9"/>
      <c r="BR41" s="8"/>
      <c r="BS41" s="768"/>
      <c r="BT41" s="767"/>
      <c r="BU41" s="8"/>
      <c r="BV41" s="9"/>
      <c r="BW41" s="8"/>
      <c r="BX41" s="8"/>
      <c r="BY41" s="767"/>
      <c r="BZ41" s="8"/>
      <c r="CA41" s="9"/>
      <c r="CB41" s="8"/>
      <c r="CC41" s="8"/>
      <c r="CD41" s="767"/>
      <c r="CE41" s="8"/>
      <c r="CF41" s="9">
        <v>1448.3</v>
      </c>
      <c r="CG41" s="166">
        <v>1501.7</v>
      </c>
      <c r="CH41" s="166">
        <v>1501.7</v>
      </c>
      <c r="CI41" s="166">
        <v>1505.4999999999998</v>
      </c>
      <c r="CJ41" s="166">
        <v>1505.4999999999998</v>
      </c>
      <c r="CK41" s="9">
        <v>1503.6</v>
      </c>
      <c r="CL41" s="8">
        <v>1506.7</v>
      </c>
      <c r="CM41" s="8">
        <v>1501.3</v>
      </c>
      <c r="CN41" s="767">
        <v>1511.5</v>
      </c>
      <c r="CO41" s="8">
        <v>1512.3</v>
      </c>
      <c r="CP41" s="9">
        <v>1511.7</v>
      </c>
      <c r="CQ41" s="8">
        <v>1511.1</v>
      </c>
      <c r="CR41" s="8">
        <v>1506.4</v>
      </c>
      <c r="CS41" s="8">
        <v>1497.9</v>
      </c>
      <c r="CT41" s="8">
        <v>1490.5</v>
      </c>
      <c r="CU41" s="9"/>
      <c r="CV41" s="8">
        <v>1486.8</v>
      </c>
      <c r="CW41" s="8">
        <v>1479.2</v>
      </c>
      <c r="CX41" s="8">
        <v>1470.1</v>
      </c>
      <c r="CY41" s="8">
        <v>1465.5</v>
      </c>
      <c r="CZ41" s="9"/>
      <c r="DA41" s="8">
        <v>1462.2</v>
      </c>
      <c r="DB41" s="8">
        <v>1457.5</v>
      </c>
      <c r="DC41" s="8">
        <v>1448.1</v>
      </c>
      <c r="DD41" s="8">
        <v>1354.9</v>
      </c>
      <c r="DE41" s="9"/>
      <c r="DF41" s="8">
        <v>1329.4</v>
      </c>
      <c r="DG41" s="839">
        <v>1331.8</v>
      </c>
      <c r="DH41" s="839">
        <v>1333.2</v>
      </c>
      <c r="DI41" s="839">
        <v>1334.4</v>
      </c>
      <c r="DJ41" s="9"/>
      <c r="DK41" s="839">
        <v>1337.1</v>
      </c>
      <c r="DL41" s="839">
        <v>1340.6</v>
      </c>
      <c r="DM41" s="839">
        <v>1343.1</v>
      </c>
      <c r="DN41" s="8"/>
      <c r="DO41" s="9"/>
      <c r="DP41" s="839"/>
      <c r="DQ41" s="8"/>
      <c r="DR41" s="8"/>
      <c r="DS41" s="8"/>
      <c r="DT41" s="9"/>
      <c r="DU41" s="9"/>
      <c r="DV41" s="9"/>
    </row>
    <row r="42" spans="1:126" s="166" customFormat="1" ht="12.75">
      <c r="A42" s="764"/>
      <c r="B42" s="765" t="s">
        <v>32</v>
      </c>
      <c r="C42" s="9"/>
      <c r="D42" s="9"/>
      <c r="E42" s="9"/>
      <c r="F42" s="9"/>
      <c r="G42" s="9"/>
      <c r="H42" s="9"/>
      <c r="I42" s="9"/>
      <c r="N42" s="9"/>
      <c r="S42" s="9"/>
      <c r="X42" s="9"/>
      <c r="AC42" s="9"/>
      <c r="AH42" s="9"/>
      <c r="AM42" s="9"/>
      <c r="AR42" s="9"/>
      <c r="AS42" s="769"/>
      <c r="AU42" s="8"/>
      <c r="AW42" s="9"/>
      <c r="BB42" s="9"/>
      <c r="BG42" s="9"/>
      <c r="BH42" s="8"/>
      <c r="BI42" s="8"/>
      <c r="BJ42" s="767"/>
      <c r="BK42" s="8"/>
      <c r="BL42" s="9"/>
      <c r="BM42" s="8"/>
      <c r="BN42" s="8"/>
      <c r="BO42" s="767"/>
      <c r="BP42" s="8"/>
      <c r="BQ42" s="9"/>
      <c r="BR42" s="8"/>
      <c r="BS42" s="768"/>
      <c r="BT42" s="767"/>
      <c r="BU42" s="8"/>
      <c r="BV42" s="9"/>
      <c r="BW42" s="8"/>
      <c r="BX42" s="8"/>
      <c r="BY42" s="767"/>
      <c r="BZ42" s="8"/>
      <c r="CA42" s="9"/>
      <c r="CB42" s="8"/>
      <c r="CC42" s="8"/>
      <c r="CD42" s="767"/>
      <c r="CE42" s="8"/>
      <c r="CF42" s="9">
        <v>1459.2</v>
      </c>
      <c r="CG42" s="166">
        <v>1512.5</v>
      </c>
      <c r="CH42" s="166">
        <v>1512.5</v>
      </c>
      <c r="CI42" s="166">
        <v>1519.1</v>
      </c>
      <c r="CJ42" s="166">
        <v>1519.1</v>
      </c>
      <c r="CK42" s="9">
        <v>1515.8</v>
      </c>
      <c r="CL42" s="8">
        <v>1517.9</v>
      </c>
      <c r="CM42" s="8">
        <v>1501.3</v>
      </c>
      <c r="CN42" s="767">
        <v>1514.2</v>
      </c>
      <c r="CO42" s="8">
        <v>1515.4</v>
      </c>
      <c r="CP42" s="9">
        <v>1511.7</v>
      </c>
      <c r="CQ42" s="8">
        <v>1514.1</v>
      </c>
      <c r="CR42" s="8">
        <v>1513.5</v>
      </c>
      <c r="CS42" s="8">
        <v>1505.9</v>
      </c>
      <c r="CT42" s="8">
        <v>1500.2</v>
      </c>
      <c r="CU42" s="9"/>
      <c r="CV42" s="8">
        <v>1497.9</v>
      </c>
      <c r="CW42" s="8">
        <v>1489.6</v>
      </c>
      <c r="CX42" s="8">
        <v>1479.3</v>
      </c>
      <c r="CY42" s="8">
        <v>1476.3</v>
      </c>
      <c r="CZ42" s="9"/>
      <c r="DA42" s="8">
        <v>1474.2</v>
      </c>
      <c r="DB42" s="8">
        <v>1468.7</v>
      </c>
      <c r="DC42" s="8">
        <v>1455.7</v>
      </c>
      <c r="DD42" s="8">
        <v>1361.7</v>
      </c>
      <c r="DE42" s="9"/>
      <c r="DF42" s="8">
        <v>1337.3</v>
      </c>
      <c r="DG42" s="839">
        <v>1342.1</v>
      </c>
      <c r="DH42" s="839">
        <v>1346.2</v>
      </c>
      <c r="DI42" s="839">
        <v>1348.9</v>
      </c>
      <c r="DJ42" s="9"/>
      <c r="DK42" s="839">
        <v>1351.8</v>
      </c>
      <c r="DL42" s="839">
        <v>1354</v>
      </c>
      <c r="DM42" s="839">
        <v>1358.4</v>
      </c>
      <c r="DN42" s="8"/>
      <c r="DO42" s="9"/>
      <c r="DP42" s="839"/>
      <c r="DQ42" s="8"/>
      <c r="DR42" s="8"/>
      <c r="DS42" s="8"/>
      <c r="DT42" s="9"/>
      <c r="DU42" s="9"/>
      <c r="DV42" s="9"/>
    </row>
    <row r="43" spans="1:126" s="13" customFormat="1" ht="3.75" customHeight="1">
      <c r="A43" s="38"/>
      <c r="B43" s="38"/>
      <c r="C43" s="15"/>
      <c r="D43" s="15"/>
      <c r="E43" s="15"/>
      <c r="F43" s="15"/>
      <c r="G43" s="15"/>
      <c r="H43" s="15"/>
      <c r="I43" s="15"/>
      <c r="J43" s="14"/>
      <c r="K43" s="14"/>
      <c r="L43" s="14"/>
      <c r="M43" s="14"/>
      <c r="N43" s="15"/>
      <c r="O43" s="14"/>
      <c r="P43" s="14"/>
      <c r="Q43" s="14"/>
      <c r="R43" s="14"/>
      <c r="S43" s="15"/>
      <c r="T43" s="14"/>
      <c r="U43" s="14"/>
      <c r="V43" s="14"/>
      <c r="W43" s="14"/>
      <c r="X43" s="15"/>
      <c r="Y43" s="14"/>
      <c r="Z43" s="14"/>
      <c r="AA43" s="14"/>
      <c r="AB43" s="14"/>
      <c r="AC43" s="15"/>
      <c r="AD43" s="14"/>
      <c r="AE43" s="14"/>
      <c r="AF43" s="14"/>
      <c r="AG43" s="14"/>
      <c r="AH43" s="15"/>
      <c r="AI43" s="14"/>
      <c r="AJ43" s="14"/>
      <c r="AK43" s="14"/>
      <c r="AL43" s="14"/>
      <c r="AM43" s="15"/>
      <c r="AN43" s="14"/>
      <c r="AO43" s="14"/>
      <c r="AP43" s="14"/>
      <c r="AQ43" s="14"/>
      <c r="AR43" s="15"/>
      <c r="AS43" s="14"/>
      <c r="AT43" s="14"/>
      <c r="AU43" s="14"/>
      <c r="AV43" s="14"/>
      <c r="AW43" s="15"/>
      <c r="AX43" s="14"/>
      <c r="AY43" s="14"/>
      <c r="AZ43" s="14"/>
      <c r="BA43" s="14"/>
      <c r="BB43" s="15"/>
      <c r="BC43" s="14"/>
      <c r="BD43" s="14"/>
      <c r="BE43" s="14"/>
      <c r="BF43" s="14"/>
      <c r="BG43" s="15"/>
      <c r="BH43" s="14"/>
      <c r="BI43" s="14"/>
      <c r="BJ43" s="14"/>
      <c r="BK43" s="14"/>
      <c r="BL43" s="15"/>
      <c r="BM43" s="14"/>
      <c r="BN43" s="14"/>
      <c r="BO43" s="14"/>
      <c r="BP43" s="14"/>
      <c r="BQ43" s="15"/>
      <c r="BR43" s="14"/>
      <c r="BS43" s="14"/>
      <c r="BT43" s="14"/>
      <c r="BU43" s="14"/>
      <c r="BV43" s="15"/>
      <c r="BW43" s="14"/>
      <c r="BX43" s="14"/>
      <c r="BY43" s="14"/>
      <c r="BZ43" s="14"/>
      <c r="CA43" s="15"/>
      <c r="CB43" s="14"/>
      <c r="CC43" s="14"/>
      <c r="CD43" s="14"/>
      <c r="CE43" s="14"/>
      <c r="CF43" s="15"/>
      <c r="CG43" s="14"/>
      <c r="CH43" s="14"/>
      <c r="CI43" s="14"/>
      <c r="CJ43" s="14"/>
      <c r="CK43" s="15"/>
      <c r="CL43" s="14"/>
      <c r="CM43" s="14"/>
      <c r="CN43" s="14"/>
      <c r="CO43" s="14"/>
      <c r="CP43" s="15"/>
      <c r="CQ43" s="14"/>
      <c r="CR43" s="14"/>
      <c r="CS43" s="14"/>
      <c r="CT43" s="14"/>
      <c r="CU43" s="15"/>
      <c r="CV43" s="14"/>
      <c r="CW43" s="14"/>
      <c r="CX43" s="14"/>
      <c r="CY43" s="14"/>
      <c r="CZ43" s="15"/>
      <c r="DA43" s="14"/>
      <c r="DB43" s="14"/>
      <c r="DC43" s="14"/>
      <c r="DD43" s="14"/>
      <c r="DE43" s="15"/>
      <c r="DF43" s="14"/>
      <c r="DG43" s="14"/>
      <c r="DH43" s="14"/>
      <c r="DI43" s="14"/>
      <c r="DJ43" s="15"/>
      <c r="DK43" s="14"/>
      <c r="DL43" s="14"/>
      <c r="DM43" s="14"/>
      <c r="DN43" s="14"/>
      <c r="DO43" s="15"/>
      <c r="DP43" s="14"/>
      <c r="DQ43" s="14"/>
      <c r="DR43" s="14"/>
      <c r="DS43" s="14"/>
      <c r="DT43" s="15"/>
      <c r="DU43" s="15"/>
      <c r="DV43" s="15"/>
    </row>
    <row r="44" spans="1:126" s="13" customFormat="1">
      <c r="A44" s="32"/>
      <c r="B44" s="45"/>
      <c r="C44" s="17"/>
      <c r="D44" s="17"/>
      <c r="E44" s="17"/>
      <c r="F44" s="17"/>
      <c r="G44" s="17"/>
      <c r="H44" s="17"/>
      <c r="I44" s="17"/>
      <c r="N44" s="17"/>
      <c r="S44" s="17"/>
      <c r="X44" s="17"/>
      <c r="AC44" s="17"/>
      <c r="AH44" s="17"/>
      <c r="AM44" s="17"/>
      <c r="AR44" s="17"/>
      <c r="AU44" s="16"/>
      <c r="AW44" s="17"/>
      <c r="AZ44" s="16"/>
      <c r="BA44" s="16"/>
      <c r="BB44" s="17"/>
      <c r="BD44" s="16"/>
      <c r="BE44" s="16"/>
      <c r="BF44" s="16"/>
      <c r="BG44" s="17"/>
      <c r="BH44" s="16"/>
      <c r="BI44" s="16"/>
      <c r="BJ44" s="16"/>
      <c r="BK44" s="16"/>
      <c r="BL44" s="17"/>
      <c r="BM44" s="16"/>
      <c r="BN44" s="16"/>
      <c r="BO44" s="16"/>
      <c r="BP44" s="16"/>
      <c r="BQ44" s="17"/>
      <c r="BR44" s="16"/>
      <c r="BS44" s="16"/>
      <c r="BT44" s="16"/>
      <c r="BU44" s="16"/>
      <c r="BV44" s="17"/>
      <c r="BW44" s="16"/>
      <c r="BX44" s="16"/>
      <c r="BY44" s="16"/>
      <c r="BZ44" s="16"/>
      <c r="CA44" s="17"/>
      <c r="CB44" s="16"/>
      <c r="CC44" s="16"/>
      <c r="CD44" s="16"/>
      <c r="CE44" s="16"/>
      <c r="CF44" s="17"/>
      <c r="CG44" s="16"/>
      <c r="CH44" s="16"/>
      <c r="CI44" s="16"/>
      <c r="CJ44" s="16"/>
      <c r="CK44" s="17"/>
      <c r="CL44" s="16"/>
      <c r="CM44" s="16"/>
      <c r="CN44" s="16"/>
      <c r="CO44" s="16"/>
      <c r="CP44" s="17"/>
      <c r="CQ44" s="16"/>
      <c r="CR44" s="16"/>
      <c r="CS44" s="16"/>
      <c r="CT44" s="16"/>
      <c r="CU44" s="17"/>
      <c r="CV44" s="16"/>
      <c r="CW44" s="16"/>
      <c r="CX44" s="16"/>
      <c r="CY44" s="16"/>
      <c r="CZ44" s="17"/>
      <c r="DA44" s="16"/>
      <c r="DB44" s="16"/>
      <c r="DC44" s="16"/>
      <c r="DD44" s="16"/>
      <c r="DE44" s="17"/>
      <c r="DF44" s="16"/>
      <c r="DG44" s="16"/>
      <c r="DH44" s="16"/>
      <c r="DI44" s="16"/>
      <c r="DJ44" s="17"/>
      <c r="DK44" s="16"/>
      <c r="DL44" s="16"/>
      <c r="DM44" s="16"/>
      <c r="DN44" s="16"/>
      <c r="DO44" s="17"/>
      <c r="DP44" s="16"/>
      <c r="DQ44" s="16"/>
      <c r="DR44" s="16"/>
      <c r="DS44" s="16"/>
      <c r="DT44" s="17"/>
      <c r="DU44" s="17"/>
      <c r="DV44" s="17"/>
    </row>
    <row r="45" spans="1:126" s="13" customFormat="1">
      <c r="A45" s="32"/>
      <c r="B45" s="45"/>
      <c r="C45" s="17"/>
      <c r="D45" s="17"/>
      <c r="E45" s="17"/>
      <c r="F45" s="17"/>
      <c r="G45" s="17"/>
      <c r="H45" s="17"/>
      <c r="I45" s="17"/>
      <c r="N45" s="17"/>
      <c r="S45" s="17"/>
      <c r="X45" s="17"/>
      <c r="AC45" s="17"/>
      <c r="AH45" s="17"/>
      <c r="AM45" s="17"/>
      <c r="AR45" s="17"/>
      <c r="AU45" s="16"/>
      <c r="AW45" s="17"/>
      <c r="AZ45" s="16"/>
      <c r="BA45" s="16"/>
      <c r="BB45" s="17"/>
      <c r="BD45" s="16"/>
      <c r="BE45" s="16"/>
      <c r="BF45" s="16"/>
      <c r="BG45" s="17"/>
      <c r="BH45" s="16"/>
      <c r="BI45" s="16"/>
      <c r="BJ45" s="16"/>
      <c r="BK45" s="16"/>
      <c r="BL45" s="17"/>
      <c r="BM45" s="16"/>
      <c r="BN45" s="16"/>
      <c r="BO45" s="16"/>
      <c r="BP45" s="16"/>
      <c r="BQ45" s="17"/>
      <c r="BR45" s="16"/>
      <c r="BS45" s="16"/>
      <c r="BT45" s="16"/>
      <c r="BU45" s="16"/>
      <c r="BV45" s="17"/>
      <c r="BW45" s="16"/>
      <c r="BX45" s="16"/>
      <c r="BY45" s="16"/>
      <c r="BZ45" s="16"/>
      <c r="CA45" s="17"/>
      <c r="CB45" s="16"/>
      <c r="CC45" s="16"/>
      <c r="CD45" s="16"/>
      <c r="CE45" s="16"/>
      <c r="CF45" s="17"/>
      <c r="CG45" s="16"/>
      <c r="CH45" s="16"/>
      <c r="CI45" s="16"/>
      <c r="CJ45" s="16"/>
      <c r="CK45" s="17"/>
      <c r="CL45" s="16"/>
      <c r="CM45" s="16"/>
      <c r="CN45" s="16"/>
      <c r="CO45" s="16"/>
      <c r="CP45" s="17"/>
      <c r="CQ45" s="16"/>
      <c r="CR45" s="16"/>
      <c r="CS45" s="16"/>
      <c r="CT45" s="16"/>
      <c r="CU45" s="17"/>
      <c r="CV45" s="16"/>
      <c r="CW45" s="16">
        <f>71-53</f>
        <v>18</v>
      </c>
      <c r="CX45" s="16"/>
      <c r="CY45" s="16"/>
      <c r="CZ45" s="17"/>
      <c r="DA45" s="16"/>
      <c r="DB45" s="16"/>
      <c r="DC45" s="16"/>
      <c r="DD45" s="16"/>
      <c r="DE45" s="17"/>
      <c r="DF45" s="16"/>
      <c r="DG45" s="16"/>
      <c r="DH45" s="16"/>
      <c r="DI45" s="16"/>
      <c r="DJ45" s="17"/>
      <c r="DK45" s="16"/>
      <c r="DL45" s="16"/>
      <c r="DM45" s="16"/>
      <c r="DN45" s="16"/>
      <c r="DO45" s="17"/>
      <c r="DP45" s="16"/>
      <c r="DQ45" s="16"/>
      <c r="DR45" s="16"/>
      <c r="DS45" s="16"/>
      <c r="DT45" s="17"/>
      <c r="DU45" s="17"/>
      <c r="DV45" s="17"/>
    </row>
    <row r="46" spans="1:126" s="13" customFormat="1">
      <c r="A46" s="32"/>
      <c r="B46" s="220" t="s">
        <v>99</v>
      </c>
      <c r="C46" s="17"/>
      <c r="D46" s="17"/>
      <c r="E46" s="17"/>
      <c r="F46" s="17"/>
      <c r="G46" s="17"/>
      <c r="H46" s="17"/>
      <c r="I46" s="17"/>
      <c r="N46" s="17"/>
      <c r="S46" s="17"/>
      <c r="X46" s="17"/>
      <c r="AC46" s="17"/>
      <c r="AH46" s="17"/>
      <c r="AM46" s="17"/>
      <c r="AR46" s="17"/>
      <c r="AU46" s="16"/>
      <c r="AW46" s="17"/>
      <c r="AZ46" s="16"/>
      <c r="BA46" s="16"/>
      <c r="BB46" s="17"/>
      <c r="BD46" s="16"/>
      <c r="BE46" s="16"/>
      <c r="BF46" s="16"/>
      <c r="BG46" s="17"/>
      <c r="BH46" s="16"/>
      <c r="BI46" s="16"/>
      <c r="BJ46" s="16"/>
      <c r="BK46" s="16"/>
      <c r="BL46" s="17"/>
      <c r="BM46" s="16"/>
      <c r="BN46" s="16"/>
      <c r="BO46" s="16"/>
      <c r="BP46" s="16"/>
      <c r="BQ46" s="17"/>
      <c r="BR46" s="16"/>
      <c r="BS46" s="16"/>
      <c r="BT46" s="16"/>
      <c r="BU46" s="16"/>
      <c r="BV46" s="17"/>
      <c r="BW46" s="16"/>
      <c r="BX46" s="16"/>
      <c r="BY46" s="16"/>
      <c r="BZ46" s="16"/>
      <c r="CA46" s="17"/>
      <c r="CB46" s="16"/>
      <c r="CC46" s="16"/>
      <c r="CD46" s="16"/>
      <c r="CE46" s="16"/>
      <c r="CF46" s="17"/>
      <c r="CG46" s="16"/>
      <c r="CH46" s="16"/>
      <c r="CI46" s="16"/>
      <c r="CJ46" s="16"/>
      <c r="CK46" s="17"/>
      <c r="CL46" s="16"/>
      <c r="CM46" s="16"/>
      <c r="CN46" s="16"/>
      <c r="CO46" s="16"/>
      <c r="CP46" s="17"/>
      <c r="CQ46" s="16"/>
      <c r="CR46" s="16"/>
      <c r="CS46" s="16"/>
      <c r="CT46" s="16"/>
      <c r="CU46" s="17"/>
      <c r="CV46" s="16"/>
      <c r="CW46" s="16"/>
      <c r="CX46" s="16"/>
      <c r="CY46" s="16"/>
      <c r="CZ46" s="17"/>
      <c r="DA46" s="16"/>
      <c r="DB46" s="16"/>
      <c r="DC46" s="16"/>
      <c r="DD46" s="16"/>
      <c r="DE46" s="17"/>
      <c r="DF46" s="16"/>
      <c r="DG46" s="16"/>
      <c r="DH46" s="16"/>
      <c r="DI46" s="16"/>
      <c r="DJ46" s="17"/>
      <c r="DK46" s="16"/>
      <c r="DL46" s="16"/>
      <c r="DM46" s="16"/>
      <c r="DN46" s="16"/>
      <c r="DO46" s="17"/>
      <c r="DP46" s="16"/>
      <c r="DQ46" s="16"/>
      <c r="DR46" s="16"/>
      <c r="DS46" s="16"/>
      <c r="DT46" s="17"/>
      <c r="DU46" s="17"/>
      <c r="DV46" s="17"/>
    </row>
    <row r="47" spans="1:126" s="13" customFormat="1">
      <c r="A47" s="32"/>
      <c r="B47" s="45"/>
      <c r="C47" s="17"/>
      <c r="D47" s="17"/>
      <c r="E47" s="17"/>
      <c r="F47" s="17"/>
      <c r="G47" s="17"/>
      <c r="H47" s="17"/>
      <c r="I47" s="17"/>
      <c r="N47" s="17"/>
      <c r="S47" s="17"/>
      <c r="X47" s="17"/>
      <c r="AC47" s="17"/>
      <c r="AH47" s="17"/>
      <c r="AM47" s="17"/>
      <c r="AR47" s="17"/>
      <c r="AU47" s="16"/>
      <c r="AW47" s="17"/>
      <c r="AZ47" s="16"/>
      <c r="BA47" s="16"/>
      <c r="BB47" s="17"/>
      <c r="BD47" s="16"/>
      <c r="BE47" s="16"/>
      <c r="BF47" s="16"/>
      <c r="BG47" s="17"/>
      <c r="BH47" s="16"/>
      <c r="BI47" s="16"/>
      <c r="BJ47" s="16"/>
      <c r="BK47" s="16"/>
      <c r="BL47" s="17"/>
      <c r="BM47" s="16"/>
      <c r="BN47" s="16"/>
      <c r="BO47" s="16"/>
      <c r="BP47" s="16"/>
      <c r="BQ47" s="17"/>
      <c r="BR47" s="16"/>
      <c r="BS47" s="16"/>
      <c r="BT47" s="16"/>
      <c r="BU47" s="16"/>
      <c r="BV47" s="17"/>
      <c r="BW47" s="16"/>
      <c r="BX47" s="16"/>
      <c r="BY47" s="16"/>
      <c r="BZ47" s="16"/>
      <c r="CA47" s="17"/>
      <c r="CB47" s="16"/>
      <c r="CC47" s="16"/>
      <c r="CD47" s="16"/>
      <c r="CE47" s="16"/>
      <c r="CF47" s="17"/>
      <c r="CG47" s="16"/>
      <c r="CH47" s="16"/>
      <c r="CI47" s="16"/>
      <c r="CJ47" s="16"/>
      <c r="CK47" s="17"/>
      <c r="CL47" s="16"/>
      <c r="CM47" s="16"/>
      <c r="CN47" s="16"/>
      <c r="CO47" s="16"/>
      <c r="CP47" s="17"/>
      <c r="CQ47" s="16"/>
      <c r="CR47" s="16"/>
      <c r="CS47" s="16"/>
      <c r="CT47" s="16"/>
      <c r="CU47" s="17"/>
      <c r="CV47" s="16"/>
      <c r="CW47" s="16"/>
      <c r="CX47" s="16"/>
      <c r="CY47" s="16"/>
      <c r="CZ47" s="17"/>
      <c r="DA47" s="16"/>
      <c r="DB47" s="16"/>
      <c r="DC47" s="16"/>
      <c r="DD47" s="16"/>
      <c r="DE47" s="17"/>
      <c r="DF47" s="16"/>
      <c r="DG47" s="16"/>
      <c r="DH47" s="16"/>
      <c r="DI47" s="16"/>
      <c r="DJ47" s="17"/>
      <c r="DK47" s="16"/>
      <c r="DL47" s="16"/>
      <c r="DM47" s="16"/>
      <c r="DN47" s="16"/>
      <c r="DO47" s="17"/>
      <c r="DP47" s="16"/>
      <c r="DQ47" s="16"/>
      <c r="DR47" s="16"/>
      <c r="DS47" s="16"/>
      <c r="DT47" s="17"/>
      <c r="DU47" s="17"/>
      <c r="DV47" s="17"/>
    </row>
    <row r="48" spans="1:126" s="13" customFormat="1">
      <c r="A48" s="32"/>
      <c r="B48" s="39" t="s">
        <v>43</v>
      </c>
      <c r="C48" s="17"/>
      <c r="D48" s="17"/>
      <c r="E48" s="17"/>
      <c r="F48" s="17"/>
      <c r="G48" s="17"/>
      <c r="H48" s="17"/>
      <c r="I48" s="17"/>
      <c r="N48" s="17"/>
      <c r="S48" s="17"/>
      <c r="X48" s="17"/>
      <c r="AC48" s="17"/>
      <c r="AH48" s="17"/>
      <c r="AM48" s="17"/>
      <c r="AR48" s="17"/>
      <c r="AU48" s="16"/>
      <c r="AW48" s="244"/>
      <c r="AZ48" s="16"/>
      <c r="BA48" s="16"/>
      <c r="BB48" s="244"/>
      <c r="BD48" s="16"/>
      <c r="BE48" s="16"/>
      <c r="BF48" s="16"/>
      <c r="BG48" s="17"/>
      <c r="BH48" s="16"/>
      <c r="BI48" s="16"/>
      <c r="BJ48" s="16"/>
      <c r="BK48" s="16"/>
      <c r="BL48" s="17"/>
      <c r="BM48" s="16"/>
      <c r="BN48" s="16"/>
      <c r="BO48" s="16"/>
      <c r="BP48" s="16"/>
      <c r="BQ48" s="17"/>
      <c r="BR48" s="16"/>
      <c r="BS48" s="16"/>
      <c r="BT48" s="16"/>
      <c r="BU48" s="16"/>
      <c r="BV48" s="17"/>
      <c r="BW48" s="16"/>
      <c r="BX48" s="16"/>
      <c r="BY48" s="16"/>
      <c r="BZ48" s="16"/>
      <c r="CA48" s="17"/>
      <c r="CB48" s="16"/>
      <c r="CC48" s="16"/>
      <c r="CD48" s="16"/>
      <c r="CE48" s="16"/>
      <c r="CF48" s="17"/>
      <c r="CG48" s="16"/>
      <c r="CH48" s="16"/>
      <c r="CI48" s="16"/>
      <c r="CJ48" s="16"/>
      <c r="CK48" s="17"/>
      <c r="CL48" s="16"/>
      <c r="CM48" s="16"/>
      <c r="CN48" s="16"/>
      <c r="CO48" s="16"/>
      <c r="CP48" s="17"/>
      <c r="CQ48" s="16"/>
      <c r="CR48" s="16"/>
      <c r="CS48" s="16"/>
      <c r="CT48" s="16"/>
      <c r="CU48" s="17"/>
      <c r="CV48" s="16"/>
      <c r="CW48" s="16"/>
      <c r="CX48" s="16"/>
      <c r="CY48" s="16"/>
      <c r="CZ48" s="17"/>
      <c r="DA48" s="16"/>
      <c r="DB48" s="16"/>
      <c r="DC48" s="16"/>
      <c r="DD48" s="16"/>
      <c r="DE48" s="17"/>
      <c r="DF48" s="16"/>
      <c r="DG48" s="16"/>
      <c r="DH48" s="16"/>
      <c r="DI48" s="16"/>
      <c r="DJ48" s="17"/>
      <c r="DK48" s="16"/>
      <c r="DL48" s="16"/>
      <c r="DM48" s="16"/>
      <c r="DN48" s="16"/>
      <c r="DO48" s="17"/>
      <c r="DP48" s="16"/>
      <c r="DQ48" s="16"/>
      <c r="DR48" s="16"/>
      <c r="DS48" s="16"/>
      <c r="DT48" s="17"/>
      <c r="DU48" s="17"/>
      <c r="DV48" s="17"/>
    </row>
    <row r="49" spans="1:126" s="13" customFormat="1">
      <c r="A49" s="32"/>
      <c r="B49" s="41" t="s">
        <v>44</v>
      </c>
      <c r="C49" s="272"/>
      <c r="D49" s="272"/>
      <c r="E49" s="272"/>
      <c r="F49" s="272"/>
      <c r="G49" s="272"/>
      <c r="H49" s="272"/>
      <c r="I49" s="272"/>
      <c r="N49" s="283"/>
      <c r="O49" s="276"/>
      <c r="P49" s="276"/>
      <c r="Q49" s="276"/>
      <c r="S49" s="17"/>
      <c r="T49" s="287"/>
      <c r="U49" s="287"/>
      <c r="V49" s="287"/>
      <c r="X49" s="17"/>
      <c r="Y49" s="292"/>
      <c r="Z49" s="292"/>
      <c r="AA49" s="292"/>
      <c r="AC49" s="17"/>
      <c r="AD49" s="297"/>
      <c r="AE49" s="297"/>
      <c r="AF49" s="297"/>
      <c r="AH49" s="17"/>
      <c r="AI49" s="302"/>
      <c r="AJ49" s="302"/>
      <c r="AK49" s="302"/>
      <c r="AM49" s="17"/>
      <c r="AO49" s="18"/>
      <c r="AP49" s="18"/>
      <c r="AQ49" s="18"/>
      <c r="AR49" s="17"/>
      <c r="AV49" s="18"/>
      <c r="AW49" s="17"/>
      <c r="AZ49" s="16"/>
      <c r="BA49" s="16"/>
      <c r="BB49" s="17"/>
      <c r="BD49" s="18"/>
      <c r="BE49" s="16"/>
      <c r="BF49" s="16"/>
      <c r="BG49" s="17"/>
      <c r="BH49" s="16"/>
      <c r="BI49" s="18"/>
      <c r="BJ49" s="472"/>
      <c r="BK49" s="16"/>
      <c r="BL49" s="17"/>
      <c r="BM49" s="16"/>
      <c r="BN49" s="18"/>
      <c r="BO49" s="472"/>
      <c r="BP49" s="16"/>
      <c r="BQ49" s="17"/>
      <c r="BR49" s="16"/>
      <c r="BS49" s="18"/>
      <c r="BT49" s="472"/>
      <c r="BU49" s="16"/>
      <c r="BV49" s="17"/>
      <c r="BW49" s="198"/>
      <c r="BX49" s="18"/>
      <c r="BY49" s="472"/>
      <c r="BZ49" s="16"/>
      <c r="CA49" s="17"/>
      <c r="CB49" s="16"/>
      <c r="CC49" s="18"/>
      <c r="CD49" s="472"/>
      <c r="CE49" s="16"/>
      <c r="CF49" s="17"/>
      <c r="CG49" s="471"/>
      <c r="CH49" s="18">
        <v>6480</v>
      </c>
      <c r="CI49" s="472"/>
      <c r="CJ49" s="16">
        <v>4937</v>
      </c>
      <c r="CK49" s="17">
        <f>CJ49</f>
        <v>4937</v>
      </c>
      <c r="CL49" s="16"/>
      <c r="CM49" s="18">
        <v>6975</v>
      </c>
      <c r="CN49" s="472">
        <v>10001</v>
      </c>
      <c r="CO49" s="16">
        <v>8802</v>
      </c>
      <c r="CP49" s="17">
        <f>CO49</f>
        <v>8802</v>
      </c>
      <c r="CQ49" s="16">
        <v>8579</v>
      </c>
      <c r="CR49" s="16">
        <v>8051</v>
      </c>
      <c r="CS49" s="16">
        <v>7476</v>
      </c>
      <c r="CT49" s="16">
        <v>7832</v>
      </c>
      <c r="CU49" s="17">
        <f>CT49</f>
        <v>7832</v>
      </c>
      <c r="CV49" s="16">
        <v>6040</v>
      </c>
      <c r="CW49" s="16">
        <v>4767</v>
      </c>
      <c r="CX49" s="16">
        <v>5381</v>
      </c>
      <c r="CY49" s="16">
        <v>6220</v>
      </c>
      <c r="CZ49" s="17">
        <f>CY49</f>
        <v>6220</v>
      </c>
      <c r="DA49" s="16">
        <v>5893</v>
      </c>
      <c r="DB49" s="16">
        <v>5391</v>
      </c>
      <c r="DC49" s="16">
        <v>5456</v>
      </c>
      <c r="DD49" s="16">
        <v>6587</v>
      </c>
      <c r="DE49" s="17">
        <f>DD49</f>
        <v>6587</v>
      </c>
      <c r="DF49" s="16">
        <v>5607</v>
      </c>
      <c r="DG49" s="443">
        <v>6011</v>
      </c>
      <c r="DH49" s="443">
        <v>6682</v>
      </c>
      <c r="DI49" s="443">
        <v>5578</v>
      </c>
      <c r="DJ49" s="17">
        <f>DI49</f>
        <v>5578</v>
      </c>
      <c r="DK49" s="443">
        <v>5157</v>
      </c>
      <c r="DL49" s="443">
        <v>4782</v>
      </c>
      <c r="DM49" s="443">
        <v>5966</v>
      </c>
      <c r="DN49" s="16"/>
      <c r="DO49" s="17"/>
      <c r="DP49" s="443"/>
      <c r="DQ49" s="16"/>
      <c r="DR49" s="16"/>
      <c r="DS49" s="16"/>
      <c r="DT49" s="17"/>
      <c r="DU49" s="17"/>
      <c r="DV49" s="17"/>
    </row>
    <row r="50" spans="1:126" s="13" customFormat="1">
      <c r="A50" s="32"/>
      <c r="B50" s="41" t="s">
        <v>197</v>
      </c>
      <c r="C50" s="272"/>
      <c r="D50" s="272"/>
      <c r="E50" s="272"/>
      <c r="F50" s="272"/>
      <c r="G50" s="272"/>
      <c r="H50" s="272"/>
      <c r="I50" s="272"/>
      <c r="N50" s="283"/>
      <c r="O50" s="276"/>
      <c r="P50" s="276"/>
      <c r="Q50" s="276"/>
      <c r="S50" s="17"/>
      <c r="T50" s="287"/>
      <c r="U50" s="287"/>
      <c r="V50" s="287"/>
      <c r="X50" s="17"/>
      <c r="Y50" s="292"/>
      <c r="Z50" s="292"/>
      <c r="AA50" s="292"/>
      <c r="AC50" s="17"/>
      <c r="AD50" s="297"/>
      <c r="AE50" s="297"/>
      <c r="AF50" s="297"/>
      <c r="AH50" s="17"/>
      <c r="AI50" s="302"/>
      <c r="AJ50" s="302"/>
      <c r="AK50" s="302"/>
      <c r="AM50" s="17"/>
      <c r="AO50" s="18"/>
      <c r="AP50" s="18"/>
      <c r="AQ50" s="18"/>
      <c r="AR50" s="17"/>
      <c r="AV50" s="18"/>
      <c r="AW50" s="17"/>
      <c r="AZ50" s="16"/>
      <c r="BA50" s="16"/>
      <c r="BB50" s="17"/>
      <c r="BD50" s="18"/>
      <c r="BE50" s="16"/>
      <c r="BF50" s="16"/>
      <c r="BG50" s="17"/>
      <c r="BH50" s="16"/>
      <c r="BI50" s="18"/>
      <c r="BJ50" s="472"/>
      <c r="BK50" s="16"/>
      <c r="BL50" s="17"/>
      <c r="BM50" s="16"/>
      <c r="BN50" s="18"/>
      <c r="BO50" s="472"/>
      <c r="BP50" s="16"/>
      <c r="BQ50" s="17"/>
      <c r="BR50" s="16"/>
      <c r="BS50" s="18"/>
      <c r="BT50" s="472"/>
      <c r="BU50" s="16"/>
      <c r="BV50" s="17"/>
      <c r="BW50" s="16"/>
      <c r="BX50" s="18"/>
      <c r="BY50" s="472"/>
      <c r="BZ50" s="16"/>
      <c r="CA50" s="17"/>
      <c r="CB50" s="16"/>
      <c r="CC50" s="18"/>
      <c r="CD50" s="472"/>
      <c r="CE50" s="16"/>
      <c r="CF50" s="17"/>
      <c r="CG50" s="471"/>
      <c r="CH50" s="18">
        <v>9633</v>
      </c>
      <c r="CI50" s="472"/>
      <c r="CJ50" s="16">
        <v>8743</v>
      </c>
      <c r="CK50" s="17">
        <f t="shared" ref="CK50:CK85" si="41">CJ50</f>
        <v>8743</v>
      </c>
      <c r="CL50" s="16"/>
      <c r="CM50" s="18">
        <v>9496</v>
      </c>
      <c r="CN50" s="472">
        <v>10115</v>
      </c>
      <c r="CO50" s="16">
        <v>9254</v>
      </c>
      <c r="CP50" s="17">
        <f t="shared" ref="CP50:CP85" si="42">CO50</f>
        <v>9254</v>
      </c>
      <c r="CQ50" s="16">
        <v>10037</v>
      </c>
      <c r="CR50" s="16">
        <v>8912</v>
      </c>
      <c r="CS50" s="16">
        <v>9538</v>
      </c>
      <c r="CT50" s="16">
        <v>9661</v>
      </c>
      <c r="CU50" s="17">
        <f t="shared" ref="CU50:CU85" si="43">CT50</f>
        <v>9661</v>
      </c>
      <c r="CV50" s="16">
        <v>9076</v>
      </c>
      <c r="CW50" s="16">
        <v>10394</v>
      </c>
      <c r="CX50" s="16">
        <v>9233</v>
      </c>
      <c r="CY50" s="16">
        <v>9108</v>
      </c>
      <c r="CZ50" s="17">
        <f t="shared" ref="CZ50:CZ85" si="44">CY50</f>
        <v>9108</v>
      </c>
      <c r="DA50" s="16">
        <v>10069</v>
      </c>
      <c r="DB50" s="16">
        <v>9903</v>
      </c>
      <c r="DC50" s="16">
        <v>10058</v>
      </c>
      <c r="DD50" s="16">
        <v>10838</v>
      </c>
      <c r="DE50" s="17">
        <f t="shared" ref="DE50:DE85" si="45">DD50</f>
        <v>10838</v>
      </c>
      <c r="DF50" s="16">
        <v>10280</v>
      </c>
      <c r="DG50" s="443">
        <v>10252</v>
      </c>
      <c r="DH50" s="443">
        <v>10097</v>
      </c>
      <c r="DI50" s="443">
        <v>10976</v>
      </c>
      <c r="DJ50" s="17">
        <f t="shared" ref="DJ50:DJ62" si="46">DI50</f>
        <v>10976</v>
      </c>
      <c r="DK50" s="443">
        <v>11426</v>
      </c>
      <c r="DL50" s="443">
        <v>12385</v>
      </c>
      <c r="DM50" s="443">
        <v>12837</v>
      </c>
      <c r="DN50" s="16"/>
      <c r="DO50" s="17"/>
      <c r="DP50" s="443"/>
      <c r="DQ50" s="16"/>
      <c r="DR50" s="16"/>
      <c r="DS50" s="16"/>
      <c r="DT50" s="17"/>
      <c r="DU50" s="17"/>
      <c r="DV50" s="17"/>
    </row>
    <row r="51" spans="1:126" s="13" customFormat="1">
      <c r="A51" s="32"/>
      <c r="B51" s="41" t="s">
        <v>482</v>
      </c>
      <c r="C51" s="272"/>
      <c r="D51" s="272"/>
      <c r="E51" s="272"/>
      <c r="F51" s="272"/>
      <c r="G51" s="272"/>
      <c r="H51" s="272"/>
      <c r="I51" s="272"/>
      <c r="N51" s="283"/>
      <c r="O51" s="276"/>
      <c r="P51" s="276"/>
      <c r="Q51" s="276"/>
      <c r="S51" s="17"/>
      <c r="T51" s="287"/>
      <c r="U51" s="287"/>
      <c r="V51" s="287"/>
      <c r="X51" s="17"/>
      <c r="Y51" s="292"/>
      <c r="Z51" s="292"/>
      <c r="AA51" s="292"/>
      <c r="AC51" s="17"/>
      <c r="AD51" s="297"/>
      <c r="AE51" s="297"/>
      <c r="AF51" s="297"/>
      <c r="AH51" s="17"/>
      <c r="AI51" s="302"/>
      <c r="AJ51" s="302"/>
      <c r="AK51" s="302"/>
      <c r="AM51" s="17"/>
      <c r="AO51" s="18"/>
      <c r="AP51" s="18"/>
      <c r="AQ51" s="18"/>
      <c r="AR51" s="17"/>
      <c r="AV51" s="18"/>
      <c r="AW51" s="17"/>
      <c r="AZ51" s="16"/>
      <c r="BA51" s="16"/>
      <c r="BB51" s="17"/>
      <c r="BD51" s="18"/>
      <c r="BE51" s="16"/>
      <c r="BF51" s="16"/>
      <c r="BG51" s="17"/>
      <c r="BH51" s="16"/>
      <c r="BI51" s="18"/>
      <c r="BJ51" s="472"/>
      <c r="BK51" s="16"/>
      <c r="BL51" s="17"/>
      <c r="BM51" s="16"/>
      <c r="BN51" s="18"/>
      <c r="BO51" s="472"/>
      <c r="BP51" s="16"/>
      <c r="BQ51" s="17"/>
      <c r="BR51" s="16"/>
      <c r="BS51" s="18"/>
      <c r="BT51" s="472"/>
      <c r="BU51" s="16"/>
      <c r="BV51" s="17"/>
      <c r="BW51" s="16"/>
      <c r="BX51" s="18"/>
      <c r="BY51" s="472"/>
      <c r="BZ51" s="16"/>
      <c r="CA51" s="17"/>
      <c r="CB51" s="16"/>
      <c r="CC51" s="18"/>
      <c r="CD51" s="472"/>
      <c r="CE51" s="16"/>
      <c r="CF51" s="17"/>
      <c r="CG51" s="471"/>
      <c r="CH51" s="18">
        <v>8969</v>
      </c>
      <c r="CI51" s="472"/>
      <c r="CJ51" s="16">
        <v>4462</v>
      </c>
      <c r="CK51" s="17">
        <f t="shared" si="41"/>
        <v>4462</v>
      </c>
      <c r="CL51" s="16"/>
      <c r="CM51" s="18">
        <v>9943</v>
      </c>
      <c r="CN51" s="472">
        <v>9617</v>
      </c>
      <c r="CO51" s="16">
        <v>9931</v>
      </c>
      <c r="CP51" s="17">
        <f t="shared" si="42"/>
        <v>9931</v>
      </c>
      <c r="CQ51" s="16">
        <v>10238</v>
      </c>
      <c r="CR51" s="16">
        <v>10485</v>
      </c>
      <c r="CS51" s="16">
        <v>10899</v>
      </c>
      <c r="CT51" s="16">
        <v>11361</v>
      </c>
      <c r="CU51" s="17">
        <f t="shared" si="43"/>
        <v>11361</v>
      </c>
      <c r="CV51" s="16">
        <v>11566</v>
      </c>
      <c r="CW51" s="16">
        <v>11836</v>
      </c>
      <c r="CX51" s="16">
        <v>12297</v>
      </c>
      <c r="CY51" s="16">
        <v>11534</v>
      </c>
      <c r="CZ51" s="17">
        <f t="shared" si="44"/>
        <v>11534</v>
      </c>
      <c r="DA51" s="16">
        <v>12729</v>
      </c>
      <c r="DB51" s="16">
        <v>12970</v>
      </c>
      <c r="DC51" s="16">
        <v>12696</v>
      </c>
      <c r="DD51" s="16">
        <v>12139</v>
      </c>
      <c r="DE51" s="17">
        <f t="shared" si="45"/>
        <v>12139</v>
      </c>
      <c r="DF51" s="16">
        <v>13104</v>
      </c>
      <c r="DG51" s="443">
        <v>13581</v>
      </c>
      <c r="DH51" s="443">
        <v>14684</v>
      </c>
      <c r="DI51" s="443">
        <v>14570</v>
      </c>
      <c r="DJ51" s="17">
        <f t="shared" si="46"/>
        <v>14570</v>
      </c>
      <c r="DK51" s="443">
        <v>15241</v>
      </c>
      <c r="DL51" s="443">
        <v>15686</v>
      </c>
      <c r="DM51" s="443">
        <v>16604</v>
      </c>
      <c r="DN51" s="16"/>
      <c r="DO51" s="17"/>
      <c r="DP51" s="443"/>
      <c r="DQ51" s="16"/>
      <c r="DR51" s="16"/>
      <c r="DS51" s="16"/>
      <c r="DT51" s="17"/>
      <c r="DU51" s="17"/>
      <c r="DV51" s="17"/>
    </row>
    <row r="52" spans="1:126" s="13" customFormat="1">
      <c r="A52" s="32"/>
      <c r="B52" s="41" t="s">
        <v>198</v>
      </c>
      <c r="C52" s="272"/>
      <c r="D52" s="272"/>
      <c r="E52" s="272"/>
      <c r="F52" s="272"/>
      <c r="G52" s="272"/>
      <c r="H52" s="272"/>
      <c r="I52" s="272"/>
      <c r="N52" s="283"/>
      <c r="O52" s="276"/>
      <c r="P52" s="276"/>
      <c r="Q52" s="276"/>
      <c r="S52" s="17"/>
      <c r="T52" s="287"/>
      <c r="U52" s="287"/>
      <c r="V52" s="287"/>
      <c r="X52" s="17"/>
      <c r="Y52" s="292"/>
      <c r="Z52" s="292"/>
      <c r="AA52" s="292"/>
      <c r="AC52" s="17"/>
      <c r="AD52" s="297"/>
      <c r="AE52" s="297"/>
      <c r="AF52" s="297"/>
      <c r="AH52" s="17"/>
      <c r="AI52" s="302"/>
      <c r="AJ52" s="302"/>
      <c r="AK52" s="302"/>
      <c r="AM52" s="17"/>
      <c r="AO52" s="18"/>
      <c r="AP52" s="18"/>
      <c r="AQ52" s="18"/>
      <c r="AR52" s="17"/>
      <c r="AV52" s="18"/>
      <c r="AW52" s="17"/>
      <c r="AZ52" s="16"/>
      <c r="BA52" s="16"/>
      <c r="BB52" s="17"/>
      <c r="BD52" s="18"/>
      <c r="BE52" s="16"/>
      <c r="BF52" s="16"/>
      <c r="BG52" s="17"/>
      <c r="BH52" s="16"/>
      <c r="BI52" s="18"/>
      <c r="BJ52" s="472"/>
      <c r="BK52" s="16"/>
      <c r="BL52" s="17"/>
      <c r="BM52" s="16"/>
      <c r="BN52" s="18"/>
      <c r="BO52" s="472"/>
      <c r="BP52" s="16"/>
      <c r="BQ52" s="17"/>
      <c r="BR52" s="16"/>
      <c r="BS52" s="18"/>
      <c r="BT52" s="472"/>
      <c r="BU52" s="16"/>
      <c r="BV52" s="17"/>
      <c r="BW52" s="16"/>
      <c r="BX52" s="18"/>
      <c r="BY52" s="472"/>
      <c r="BZ52" s="16"/>
      <c r="CA52" s="17"/>
      <c r="CB52" s="16"/>
      <c r="CC52" s="18"/>
      <c r="CD52" s="472"/>
      <c r="CE52" s="16"/>
      <c r="CF52" s="17"/>
      <c r="CG52" s="471"/>
      <c r="CH52" s="18">
        <v>9554</v>
      </c>
      <c r="CI52" s="472"/>
      <c r="CJ52" s="16">
        <v>9047</v>
      </c>
      <c r="CK52" s="17">
        <f t="shared" si="41"/>
        <v>9047</v>
      </c>
      <c r="CL52" s="16"/>
      <c r="CM52" s="18">
        <v>10256</v>
      </c>
      <c r="CN52" s="472">
        <v>9843</v>
      </c>
      <c r="CO52" s="16">
        <v>9411</v>
      </c>
      <c r="CP52" s="17">
        <f t="shared" si="42"/>
        <v>9411</v>
      </c>
      <c r="CQ52" s="16">
        <v>9498</v>
      </c>
      <c r="CR52" s="16">
        <v>9548</v>
      </c>
      <c r="CS52" s="16">
        <v>9426</v>
      </c>
      <c r="CT52" s="16">
        <v>9178</v>
      </c>
      <c r="CU52" s="17">
        <f t="shared" si="43"/>
        <v>9178</v>
      </c>
      <c r="CV52" s="16">
        <v>9749</v>
      </c>
      <c r="CW52" s="16">
        <v>10142</v>
      </c>
      <c r="CX52" s="16">
        <v>10443</v>
      </c>
      <c r="CY52" s="16">
        <v>10617</v>
      </c>
      <c r="CZ52" s="17">
        <f t="shared" si="44"/>
        <v>10617</v>
      </c>
      <c r="DA52" s="16">
        <v>11327</v>
      </c>
      <c r="DB52" s="16">
        <v>11997</v>
      </c>
      <c r="DC52" s="16">
        <v>12050</v>
      </c>
      <c r="DD52" s="16">
        <v>11777</v>
      </c>
      <c r="DE52" s="17">
        <f t="shared" si="45"/>
        <v>11777</v>
      </c>
      <c r="DF52" s="16">
        <v>12386</v>
      </c>
      <c r="DG52" s="443">
        <v>13047</v>
      </c>
      <c r="DH52" s="443">
        <v>13465</v>
      </c>
      <c r="DI52" s="443">
        <v>12768</v>
      </c>
      <c r="DJ52" s="17">
        <f t="shared" si="46"/>
        <v>12768</v>
      </c>
      <c r="DK52" s="443">
        <v>13618</v>
      </c>
      <c r="DL52" s="443">
        <v>14012</v>
      </c>
      <c r="DM52" s="443">
        <v>13806</v>
      </c>
      <c r="DN52" s="16"/>
      <c r="DO52" s="17"/>
      <c r="DP52" s="443"/>
      <c r="DQ52" s="16"/>
      <c r="DR52" s="16"/>
      <c r="DS52" s="16"/>
      <c r="DT52" s="17"/>
      <c r="DU52" s="17"/>
      <c r="DV52" s="17"/>
    </row>
    <row r="53" spans="1:126" s="13" customFormat="1">
      <c r="A53" s="32"/>
      <c r="B53" s="41" t="s">
        <v>199</v>
      </c>
      <c r="C53" s="272"/>
      <c r="D53" s="272"/>
      <c r="E53" s="272"/>
      <c r="F53" s="272"/>
      <c r="G53" s="272"/>
      <c r="H53" s="272"/>
      <c r="I53" s="272"/>
      <c r="N53" s="283"/>
      <c r="O53" s="276"/>
      <c r="P53" s="276"/>
      <c r="Q53" s="276"/>
      <c r="S53" s="17"/>
      <c r="T53" s="287"/>
      <c r="U53" s="287"/>
      <c r="V53" s="287"/>
      <c r="X53" s="17"/>
      <c r="Y53" s="292"/>
      <c r="Z53" s="292"/>
      <c r="AA53" s="292"/>
      <c r="AC53" s="17"/>
      <c r="AD53" s="297"/>
      <c r="AE53" s="297"/>
      <c r="AF53" s="297"/>
      <c r="AH53" s="17"/>
      <c r="AI53" s="302"/>
      <c r="AJ53" s="302"/>
      <c r="AK53" s="302"/>
      <c r="AM53" s="17"/>
      <c r="AR53" s="17"/>
      <c r="AW53" s="17"/>
      <c r="AZ53" s="16"/>
      <c r="BA53" s="16"/>
      <c r="BB53" s="17"/>
      <c r="BD53" s="16"/>
      <c r="BE53" s="16"/>
      <c r="BF53" s="16"/>
      <c r="BG53" s="17"/>
      <c r="BH53" s="16"/>
      <c r="BI53" s="16"/>
      <c r="BJ53" s="472"/>
      <c r="BK53" s="16"/>
      <c r="BL53" s="17"/>
      <c r="BM53" s="16"/>
      <c r="BN53" s="16"/>
      <c r="BO53" s="472"/>
      <c r="BP53" s="16"/>
      <c r="BQ53" s="17"/>
      <c r="BR53" s="16"/>
      <c r="BS53" s="16"/>
      <c r="BT53" s="472"/>
      <c r="BU53" s="16"/>
      <c r="BV53" s="17"/>
      <c r="BW53" s="198"/>
      <c r="BX53" s="16"/>
      <c r="BY53" s="472"/>
      <c r="BZ53" s="16"/>
      <c r="CA53" s="17"/>
      <c r="CB53" s="16"/>
      <c r="CC53" s="16"/>
      <c r="CD53" s="472"/>
      <c r="CE53" s="16"/>
      <c r="CF53" s="17"/>
      <c r="CG53" s="471"/>
      <c r="CH53" s="16">
        <v>1450</v>
      </c>
      <c r="CI53" s="472"/>
      <c r="CJ53" s="16">
        <f>31823+2565</f>
        <v>34388</v>
      </c>
      <c r="CK53" s="195">
        <f t="shared" si="41"/>
        <v>34388</v>
      </c>
      <c r="CL53" s="16"/>
      <c r="CM53" s="16">
        <f>135+5469</f>
        <v>5604</v>
      </c>
      <c r="CN53" s="472">
        <f>56+3879</f>
        <v>3935</v>
      </c>
      <c r="CO53" s="16">
        <f>64+5914</f>
        <v>5978</v>
      </c>
      <c r="CP53" s="195">
        <f t="shared" si="42"/>
        <v>5978</v>
      </c>
      <c r="CQ53" s="16">
        <v>4200</v>
      </c>
      <c r="CR53" s="16">
        <v>3883</v>
      </c>
      <c r="CS53" s="16">
        <v>4653</v>
      </c>
      <c r="CT53" s="16">
        <v>4018</v>
      </c>
      <c r="CU53" s="195">
        <f t="shared" si="43"/>
        <v>4018</v>
      </c>
      <c r="CV53" s="16">
        <v>4309</v>
      </c>
      <c r="CW53" s="16">
        <v>4323</v>
      </c>
      <c r="CX53" s="16">
        <v>4467</v>
      </c>
      <c r="CY53" s="16">
        <v>4964</v>
      </c>
      <c r="CZ53" s="195">
        <f t="shared" si="44"/>
        <v>4964</v>
      </c>
      <c r="DA53" s="16">
        <v>5486</v>
      </c>
      <c r="DB53" s="16">
        <v>5654</v>
      </c>
      <c r="DC53" s="16">
        <v>6258</v>
      </c>
      <c r="DD53" s="16">
        <v>7076</v>
      </c>
      <c r="DE53" s="195">
        <f t="shared" si="45"/>
        <v>7076</v>
      </c>
      <c r="DF53" s="16">
        <v>6646</v>
      </c>
      <c r="DG53" s="443">
        <v>6334</v>
      </c>
      <c r="DH53" s="443">
        <v>6836</v>
      </c>
      <c r="DI53" s="443">
        <v>7241</v>
      </c>
      <c r="DJ53" s="195">
        <f t="shared" si="46"/>
        <v>7241</v>
      </c>
      <c r="DK53" s="443">
        <v>7474</v>
      </c>
      <c r="DL53" s="443">
        <v>7792</v>
      </c>
      <c r="DM53" s="443">
        <v>7905</v>
      </c>
      <c r="DN53" s="16"/>
      <c r="DO53" s="17"/>
      <c r="DP53" s="443"/>
      <c r="DQ53" s="16"/>
      <c r="DR53" s="16"/>
      <c r="DS53" s="16"/>
      <c r="DT53" s="17"/>
      <c r="DU53" s="17"/>
      <c r="DV53" s="17"/>
    </row>
    <row r="54" spans="1:126" s="190" customFormat="1">
      <c r="A54" s="37"/>
      <c r="B54" s="108" t="s">
        <v>46</v>
      </c>
      <c r="C54" s="274"/>
      <c r="D54" s="274"/>
      <c r="E54" s="274"/>
      <c r="F54" s="274"/>
      <c r="G54" s="274"/>
      <c r="H54" s="274"/>
      <c r="I54" s="274"/>
      <c r="M54" s="13"/>
      <c r="N54" s="285"/>
      <c r="O54" s="278"/>
      <c r="P54" s="278"/>
      <c r="Q54" s="278"/>
      <c r="R54" s="13"/>
      <c r="S54" s="75"/>
      <c r="T54" s="289"/>
      <c r="U54" s="289"/>
      <c r="V54" s="289"/>
      <c r="X54" s="75"/>
      <c r="Y54" s="294"/>
      <c r="Z54" s="294"/>
      <c r="AA54" s="294"/>
      <c r="AC54" s="17"/>
      <c r="AD54" s="299"/>
      <c r="AE54" s="299"/>
      <c r="AF54" s="299"/>
      <c r="AH54" s="75"/>
      <c r="AI54" s="304"/>
      <c r="AJ54" s="304"/>
      <c r="AK54" s="304"/>
      <c r="AM54" s="75"/>
      <c r="AR54" s="75"/>
      <c r="AW54" s="75"/>
      <c r="BB54" s="75"/>
      <c r="BG54" s="17"/>
      <c r="BJ54" s="474"/>
      <c r="BK54" s="474"/>
      <c r="BL54" s="17"/>
      <c r="BM54" s="474"/>
      <c r="BN54" s="474"/>
      <c r="BO54" s="474"/>
      <c r="BP54" s="474"/>
      <c r="BQ54" s="17"/>
      <c r="BR54" s="474"/>
      <c r="BS54" s="474"/>
      <c r="BT54" s="474"/>
      <c r="BU54" s="474"/>
      <c r="BV54" s="75"/>
      <c r="BW54" s="474"/>
      <c r="BX54" s="474"/>
      <c r="BY54" s="474"/>
      <c r="BZ54" s="474"/>
      <c r="CA54" s="75"/>
      <c r="CB54" s="474"/>
      <c r="CC54" s="474"/>
      <c r="CD54" s="474"/>
      <c r="CE54" s="474"/>
      <c r="CF54" s="75"/>
      <c r="CG54" s="474"/>
      <c r="CH54" s="474">
        <f>SUM(CH49:CH53)</f>
        <v>36086</v>
      </c>
      <c r="CI54" s="474"/>
      <c r="CJ54" s="474">
        <f>SUM(CJ49:CJ53)</f>
        <v>61577</v>
      </c>
      <c r="CK54" s="75">
        <f t="shared" si="41"/>
        <v>61577</v>
      </c>
      <c r="CL54" s="474"/>
      <c r="CM54" s="474">
        <f>SUM(CM49:CM53)</f>
        <v>42274</v>
      </c>
      <c r="CN54" s="474">
        <f>SUM(CN49:CN53)</f>
        <v>43511</v>
      </c>
      <c r="CO54" s="474">
        <f>SUM(CO49:CO53)</f>
        <v>43376</v>
      </c>
      <c r="CP54" s="75">
        <f t="shared" si="42"/>
        <v>43376</v>
      </c>
      <c r="CQ54" s="474">
        <f>SUM(CQ49:CQ53)</f>
        <v>42552</v>
      </c>
      <c r="CR54" s="474">
        <f>SUM(CR49:CR53)</f>
        <v>40879</v>
      </c>
      <c r="CS54" s="474">
        <f>SUM(CS49:CS53)</f>
        <v>41992</v>
      </c>
      <c r="CT54" s="474">
        <f>SUM(CT49:CT53)</f>
        <v>42050</v>
      </c>
      <c r="CU54" s="75">
        <f t="shared" si="43"/>
        <v>42050</v>
      </c>
      <c r="CV54" s="474">
        <f>SUM(CV49:CV53)</f>
        <v>40740</v>
      </c>
      <c r="CW54" s="474">
        <f>SUM(CW49:CW53)</f>
        <v>41462</v>
      </c>
      <c r="CX54" s="474">
        <f>SUM(CX49:CX53)</f>
        <v>41821</v>
      </c>
      <c r="CY54" s="474">
        <f>SUM(CY49:CY53)</f>
        <v>42443</v>
      </c>
      <c r="CZ54" s="75">
        <f t="shared" si="44"/>
        <v>42443</v>
      </c>
      <c r="DA54" s="474">
        <f>SUM(DA49:DA53)</f>
        <v>45504</v>
      </c>
      <c r="DB54" s="474">
        <f>SUM(DB49:DB53)</f>
        <v>45915</v>
      </c>
      <c r="DC54" s="474">
        <f>SUM(DC49:DC53)</f>
        <v>46518</v>
      </c>
      <c r="DD54" s="76">
        <f>SUM(DD49:DD53)</f>
        <v>48417</v>
      </c>
      <c r="DE54" s="75">
        <f t="shared" si="45"/>
        <v>48417</v>
      </c>
      <c r="DF54" s="474">
        <f>SUM(DF49:DF53)</f>
        <v>48023</v>
      </c>
      <c r="DG54" s="76">
        <f>SUM(DG49:DG53)</f>
        <v>49225</v>
      </c>
      <c r="DH54" s="76">
        <f>SUM(DH49:DH53)</f>
        <v>51764</v>
      </c>
      <c r="DI54" s="76">
        <f>SUM(DI49:DI53)</f>
        <v>51133</v>
      </c>
      <c r="DJ54" s="75">
        <f t="shared" si="46"/>
        <v>51133</v>
      </c>
      <c r="DK54" s="474">
        <f>SUM(DK49:DK53)</f>
        <v>52916</v>
      </c>
      <c r="DL54" s="76">
        <f>SUM(DL49:DL53)</f>
        <v>54657</v>
      </c>
      <c r="DM54" s="76">
        <f>SUM(DM49:DM53)</f>
        <v>57118</v>
      </c>
      <c r="DN54" s="76"/>
      <c r="DO54" s="75"/>
      <c r="DP54" s="474"/>
      <c r="DQ54" s="76"/>
      <c r="DR54" s="76"/>
      <c r="DS54" s="76"/>
      <c r="DT54" s="75"/>
      <c r="DU54" s="75"/>
      <c r="DV54" s="75"/>
    </row>
    <row r="55" spans="1:126" s="208" customFormat="1">
      <c r="A55" s="3"/>
      <c r="B55" s="165" t="s">
        <v>488</v>
      </c>
      <c r="C55" s="272"/>
      <c r="D55" s="272"/>
      <c r="E55" s="272"/>
      <c r="F55" s="272"/>
      <c r="G55" s="272"/>
      <c r="H55" s="272"/>
      <c r="I55" s="272"/>
      <c r="M55" s="13"/>
      <c r="N55" s="283"/>
      <c r="O55" s="276"/>
      <c r="P55" s="276"/>
      <c r="Q55" s="276"/>
      <c r="S55" s="195"/>
      <c r="T55" s="287"/>
      <c r="U55" s="287"/>
      <c r="V55" s="287"/>
      <c r="X55" s="195"/>
      <c r="Y55" s="292"/>
      <c r="Z55" s="292"/>
      <c r="AA55" s="292"/>
      <c r="AC55" s="195"/>
      <c r="AD55" s="297"/>
      <c r="AE55" s="297"/>
      <c r="AF55" s="297"/>
      <c r="AH55" s="195"/>
      <c r="AI55" s="302"/>
      <c r="AJ55" s="302"/>
      <c r="AK55" s="302"/>
      <c r="AM55" s="195"/>
      <c r="AR55" s="195"/>
      <c r="AW55" s="195"/>
      <c r="BB55" s="195"/>
      <c r="BD55" s="198"/>
      <c r="BF55" s="198"/>
      <c r="BG55" s="195"/>
      <c r="BH55" s="198"/>
      <c r="BI55" s="198"/>
      <c r="BJ55" s="472"/>
      <c r="BK55" s="198"/>
      <c r="BL55" s="195"/>
      <c r="BM55" s="198"/>
      <c r="BN55" s="198"/>
      <c r="BO55" s="472"/>
      <c r="BP55" s="198"/>
      <c r="BQ55" s="195"/>
      <c r="BR55" s="198"/>
      <c r="BS55" s="198"/>
      <c r="BT55" s="472"/>
      <c r="BU55" s="198"/>
      <c r="BV55" s="195"/>
      <c r="BW55" s="198"/>
      <c r="BX55" s="198"/>
      <c r="BY55" s="472"/>
      <c r="BZ55" s="198"/>
      <c r="CA55" s="195"/>
      <c r="CB55" s="198"/>
      <c r="CC55" s="198"/>
      <c r="CD55" s="472"/>
      <c r="CE55" s="198"/>
      <c r="CF55" s="195"/>
      <c r="CG55" s="475"/>
      <c r="CH55" s="198">
        <v>3281</v>
      </c>
      <c r="CI55" s="472"/>
      <c r="CJ55" s="453">
        <v>3463</v>
      </c>
      <c r="CK55" s="17">
        <f t="shared" si="41"/>
        <v>3463</v>
      </c>
      <c r="CL55" s="198"/>
      <c r="CM55" s="198">
        <v>3363</v>
      </c>
      <c r="CN55" s="472">
        <v>3314</v>
      </c>
      <c r="CO55" s="198">
        <v>3144</v>
      </c>
      <c r="CP55" s="17">
        <f t="shared" si="42"/>
        <v>3144</v>
      </c>
      <c r="CQ55" s="198">
        <v>3079</v>
      </c>
      <c r="CR55" s="198">
        <v>3063</v>
      </c>
      <c r="CS55" s="198">
        <v>2960</v>
      </c>
      <c r="CT55" s="198">
        <v>2848</v>
      </c>
      <c r="CU55" s="17">
        <f t="shared" si="43"/>
        <v>2848</v>
      </c>
      <c r="CV55" s="198">
        <v>2766</v>
      </c>
      <c r="CW55" s="198">
        <v>2675</v>
      </c>
      <c r="CX55" s="198">
        <v>2618</v>
      </c>
      <c r="CY55" s="198">
        <v>2603</v>
      </c>
      <c r="CZ55" s="17">
        <f t="shared" si="44"/>
        <v>2603</v>
      </c>
      <c r="DA55" s="198">
        <v>2543</v>
      </c>
      <c r="DB55" s="198">
        <v>2457</v>
      </c>
      <c r="DC55" s="198">
        <v>2452</v>
      </c>
      <c r="DD55" s="198">
        <v>2392</v>
      </c>
      <c r="DE55" s="17">
        <f t="shared" si="45"/>
        <v>2392</v>
      </c>
      <c r="DF55" s="198">
        <v>2359</v>
      </c>
      <c r="DG55" s="443">
        <v>2320</v>
      </c>
      <c r="DH55" s="443">
        <v>2306</v>
      </c>
      <c r="DI55" s="443">
        <v>2246</v>
      </c>
      <c r="DJ55" s="17">
        <f t="shared" si="46"/>
        <v>2246</v>
      </c>
      <c r="DK55" s="443">
        <v>2135</v>
      </c>
      <c r="DL55" s="443">
        <v>2104</v>
      </c>
      <c r="DM55" s="443">
        <v>2071</v>
      </c>
      <c r="DN55" s="198"/>
      <c r="DO55" s="195"/>
      <c r="DP55" s="443"/>
      <c r="DQ55" s="198"/>
      <c r="DR55" s="198"/>
      <c r="DS55" s="198"/>
      <c r="DT55" s="195"/>
      <c r="DU55" s="195"/>
      <c r="DV55" s="195"/>
    </row>
    <row r="56" spans="1:126" s="208" customFormat="1">
      <c r="A56" s="3"/>
      <c r="B56" s="233" t="s">
        <v>489</v>
      </c>
      <c r="C56" s="272"/>
      <c r="D56" s="272"/>
      <c r="E56" s="272"/>
      <c r="F56" s="272"/>
      <c r="G56" s="272"/>
      <c r="H56" s="272"/>
      <c r="I56" s="272"/>
      <c r="M56" s="13"/>
      <c r="N56" s="283"/>
      <c r="O56" s="276"/>
      <c r="P56" s="276"/>
      <c r="Q56" s="276"/>
      <c r="S56" s="195"/>
      <c r="T56" s="287"/>
      <c r="U56" s="287"/>
      <c r="V56" s="287"/>
      <c r="X56" s="195"/>
      <c r="Y56" s="292"/>
      <c r="Z56" s="292"/>
      <c r="AA56" s="292"/>
      <c r="AC56" s="195"/>
      <c r="AD56" s="297"/>
      <c r="AE56" s="297"/>
      <c r="AF56" s="297"/>
      <c r="AH56" s="195"/>
      <c r="AI56" s="302"/>
      <c r="AJ56" s="302"/>
      <c r="AK56" s="302"/>
      <c r="AM56" s="195"/>
      <c r="AR56" s="195"/>
      <c r="AW56" s="195"/>
      <c r="BB56" s="195"/>
      <c r="BD56" s="198"/>
      <c r="BF56" s="198"/>
      <c r="BG56" s="195"/>
      <c r="BH56" s="198"/>
      <c r="BI56" s="198"/>
      <c r="BJ56" s="472"/>
      <c r="BK56" s="198"/>
      <c r="BL56" s="195"/>
      <c r="BM56" s="198"/>
      <c r="BN56" s="198"/>
      <c r="BO56" s="472"/>
      <c r="BP56" s="198"/>
      <c r="BQ56" s="195"/>
      <c r="BR56" s="198"/>
      <c r="BS56" s="198"/>
      <c r="BT56" s="472"/>
      <c r="BU56" s="198"/>
      <c r="BV56" s="195"/>
      <c r="BW56" s="198"/>
      <c r="BX56" s="198"/>
      <c r="BY56" s="472"/>
      <c r="BZ56" s="198"/>
      <c r="CA56" s="195"/>
      <c r="CB56" s="198"/>
      <c r="CC56" s="198"/>
      <c r="CD56" s="472"/>
      <c r="CE56" s="198"/>
      <c r="CF56" s="195"/>
      <c r="CG56" s="475"/>
      <c r="CH56" s="198">
        <v>930</v>
      </c>
      <c r="CI56" s="472"/>
      <c r="CJ56" s="453">
        <v>0</v>
      </c>
      <c r="CK56" s="17">
        <f t="shared" si="41"/>
        <v>0</v>
      </c>
      <c r="CL56" s="198"/>
      <c r="CM56" s="198">
        <v>732</v>
      </c>
      <c r="CN56" s="472">
        <v>699</v>
      </c>
      <c r="CO56" s="198"/>
      <c r="CP56" s="17">
        <f t="shared" si="42"/>
        <v>0</v>
      </c>
      <c r="CQ56" s="198"/>
      <c r="CR56" s="198"/>
      <c r="CS56" s="198"/>
      <c r="CT56" s="198"/>
      <c r="CU56" s="17">
        <f t="shared" si="43"/>
        <v>0</v>
      </c>
      <c r="CV56" s="198"/>
      <c r="CW56" s="198"/>
      <c r="CX56" s="198"/>
      <c r="CY56" s="198"/>
      <c r="CZ56" s="17">
        <f t="shared" si="44"/>
        <v>0</v>
      </c>
      <c r="DA56" s="198"/>
      <c r="DB56" s="198"/>
      <c r="DC56" s="198"/>
      <c r="DD56" s="198"/>
      <c r="DE56" s="17">
        <f t="shared" si="45"/>
        <v>0</v>
      </c>
      <c r="DF56" s="198">
        <v>0</v>
      </c>
      <c r="DG56" s="198"/>
      <c r="DH56" s="198"/>
      <c r="DI56" s="198"/>
      <c r="DJ56" s="17">
        <f t="shared" si="46"/>
        <v>0</v>
      </c>
      <c r="DK56" s="443"/>
      <c r="DL56" s="198"/>
      <c r="DM56" s="198"/>
      <c r="DN56" s="198"/>
      <c r="DO56" s="195"/>
      <c r="DP56" s="443"/>
      <c r="DQ56" s="198"/>
      <c r="DR56" s="198"/>
      <c r="DS56" s="198"/>
      <c r="DT56" s="195"/>
      <c r="DU56" s="195"/>
      <c r="DV56" s="195"/>
    </row>
    <row r="57" spans="1:126" s="13" customFormat="1">
      <c r="A57" s="32"/>
      <c r="B57" s="41" t="s">
        <v>200</v>
      </c>
      <c r="C57" s="272"/>
      <c r="D57" s="272"/>
      <c r="E57" s="272"/>
      <c r="F57" s="272"/>
      <c r="G57" s="272"/>
      <c r="H57" s="272"/>
      <c r="I57" s="272"/>
      <c r="N57" s="283"/>
      <c r="O57" s="276"/>
      <c r="P57" s="276"/>
      <c r="Q57" s="276"/>
      <c r="S57" s="17"/>
      <c r="T57" s="287"/>
      <c r="U57" s="287"/>
      <c r="V57" s="287"/>
      <c r="X57" s="17"/>
      <c r="Y57" s="292"/>
      <c r="Z57" s="292"/>
      <c r="AA57" s="292"/>
      <c r="AC57" s="17"/>
      <c r="AD57" s="297"/>
      <c r="AE57" s="297"/>
      <c r="AF57" s="297"/>
      <c r="AH57" s="17"/>
      <c r="AI57" s="302"/>
      <c r="AJ57" s="302"/>
      <c r="AK57" s="302"/>
      <c r="AM57" s="17"/>
      <c r="AR57" s="17"/>
      <c r="AW57" s="17"/>
      <c r="BB57" s="17"/>
      <c r="BD57" s="16"/>
      <c r="BF57" s="16"/>
      <c r="BG57" s="17"/>
      <c r="BH57" s="16"/>
      <c r="BI57" s="16"/>
      <c r="BJ57" s="472"/>
      <c r="BK57" s="16"/>
      <c r="BL57" s="17"/>
      <c r="BM57" s="16"/>
      <c r="BN57" s="16"/>
      <c r="BO57" s="472"/>
      <c r="BP57" s="16"/>
      <c r="BQ57" s="17"/>
      <c r="BR57" s="16"/>
      <c r="BS57" s="16"/>
      <c r="BT57" s="472"/>
      <c r="BU57" s="16"/>
      <c r="BV57" s="17"/>
      <c r="BW57" s="16"/>
      <c r="BX57" s="16"/>
      <c r="BY57" s="472"/>
      <c r="BZ57" s="16"/>
      <c r="CA57" s="17"/>
      <c r="CB57" s="16"/>
      <c r="CC57" s="16"/>
      <c r="CD57" s="472"/>
      <c r="CE57" s="16"/>
      <c r="CF57" s="17"/>
      <c r="CG57" s="471"/>
      <c r="CH57" s="16">
        <v>14596</v>
      </c>
      <c r="CI57" s="472"/>
      <c r="CJ57" s="368">
        <v>10322</v>
      </c>
      <c r="CK57" s="17">
        <f t="shared" si="41"/>
        <v>10322</v>
      </c>
      <c r="CL57" s="16"/>
      <c r="CM57" s="16">
        <v>14805</v>
      </c>
      <c r="CN57" s="472">
        <v>14730</v>
      </c>
      <c r="CO57" s="16">
        <v>14962</v>
      </c>
      <c r="CP57" s="17">
        <f t="shared" si="42"/>
        <v>14962</v>
      </c>
      <c r="CQ57" s="16">
        <v>14742</v>
      </c>
      <c r="CR57" s="16">
        <v>14665</v>
      </c>
      <c r="CS57" s="16">
        <v>14517</v>
      </c>
      <c r="CT57" s="16">
        <v>14972</v>
      </c>
      <c r="CU57" s="17">
        <f t="shared" si="43"/>
        <v>14972</v>
      </c>
      <c r="CV57" s="16">
        <v>14837</v>
      </c>
      <c r="CW57" s="16">
        <v>14741</v>
      </c>
      <c r="CX57" s="16">
        <v>14668</v>
      </c>
      <c r="CY57" s="16">
        <v>15170</v>
      </c>
      <c r="CZ57" s="17">
        <f t="shared" si="44"/>
        <v>15170</v>
      </c>
      <c r="DA57" s="16">
        <v>15149</v>
      </c>
      <c r="DB57" s="16">
        <v>15295</v>
      </c>
      <c r="DC57" s="16">
        <v>15347</v>
      </c>
      <c r="DD57" s="16">
        <v>15748</v>
      </c>
      <c r="DE57" s="17">
        <f t="shared" si="45"/>
        <v>15748</v>
      </c>
      <c r="DF57" s="16">
        <v>15638</v>
      </c>
      <c r="DG57" s="443">
        <v>15693</v>
      </c>
      <c r="DH57" s="443">
        <v>15886</v>
      </c>
      <c r="DI57" s="443">
        <v>16089</v>
      </c>
      <c r="DJ57" s="17">
        <f t="shared" si="46"/>
        <v>16089</v>
      </c>
      <c r="DK57" s="443">
        <v>16135</v>
      </c>
      <c r="DL57" s="443">
        <v>16205</v>
      </c>
      <c r="DM57" s="443">
        <v>16325</v>
      </c>
      <c r="DN57" s="16"/>
      <c r="DO57" s="17"/>
      <c r="DP57" s="443"/>
      <c r="DQ57" s="16"/>
      <c r="DR57" s="16"/>
      <c r="DS57" s="16"/>
      <c r="DT57" s="17"/>
      <c r="DU57" s="17"/>
      <c r="DV57" s="17"/>
    </row>
    <row r="58" spans="1:126" s="13" customFormat="1">
      <c r="A58" s="32"/>
      <c r="B58" s="41" t="s">
        <v>478</v>
      </c>
      <c r="C58" s="272"/>
      <c r="D58" s="272"/>
      <c r="E58" s="272"/>
      <c r="F58" s="272"/>
      <c r="G58" s="272"/>
      <c r="H58" s="272"/>
      <c r="I58" s="272"/>
      <c r="N58" s="283"/>
      <c r="O58" s="276"/>
      <c r="P58" s="276"/>
      <c r="Q58" s="276"/>
      <c r="S58" s="17"/>
      <c r="T58" s="287"/>
      <c r="U58" s="287"/>
      <c r="V58" s="287"/>
      <c r="X58" s="17"/>
      <c r="Y58" s="292"/>
      <c r="Z58" s="292"/>
      <c r="AA58" s="292"/>
      <c r="AC58" s="17"/>
      <c r="AD58" s="297"/>
      <c r="AE58" s="297"/>
      <c r="AF58" s="297"/>
      <c r="AH58" s="17"/>
      <c r="AI58" s="302"/>
      <c r="AJ58" s="302"/>
      <c r="AK58" s="302"/>
      <c r="AM58" s="17"/>
      <c r="AR58" s="17"/>
      <c r="AW58" s="17"/>
      <c r="BB58" s="17"/>
      <c r="BD58" s="16"/>
      <c r="BF58" s="16"/>
      <c r="BG58" s="17"/>
      <c r="BH58" s="16"/>
      <c r="BI58" s="16"/>
      <c r="BJ58" s="472"/>
      <c r="BK58" s="16"/>
      <c r="BL58" s="17"/>
      <c r="BM58" s="16"/>
      <c r="BN58" s="16"/>
      <c r="BO58" s="472"/>
      <c r="BP58" s="16"/>
      <c r="BQ58" s="17"/>
      <c r="BR58" s="16"/>
      <c r="BS58" s="16"/>
      <c r="BT58" s="472"/>
      <c r="BU58" s="16"/>
      <c r="BV58" s="17"/>
      <c r="BW58" s="16"/>
      <c r="BX58" s="16"/>
      <c r="BY58" s="472"/>
      <c r="BZ58" s="16"/>
      <c r="CA58" s="17"/>
      <c r="CB58" s="16"/>
      <c r="CC58" s="16"/>
      <c r="CD58" s="472"/>
      <c r="CE58" s="16"/>
      <c r="CF58" s="17"/>
      <c r="CG58" s="471"/>
      <c r="CH58" s="16">
        <v>2150</v>
      </c>
      <c r="CI58" s="472"/>
      <c r="CJ58" s="368">
        <v>1252</v>
      </c>
      <c r="CK58" s="17">
        <f t="shared" si="41"/>
        <v>1252</v>
      </c>
      <c r="CL58" s="16"/>
      <c r="CM58" s="16">
        <v>2102</v>
      </c>
      <c r="CN58" s="472">
        <v>2027</v>
      </c>
      <c r="CO58" s="16">
        <v>1880</v>
      </c>
      <c r="CP58" s="17">
        <f t="shared" si="42"/>
        <v>1880</v>
      </c>
      <c r="CQ58" s="16">
        <v>1913</v>
      </c>
      <c r="CR58" s="16">
        <v>1900</v>
      </c>
      <c r="CS58" s="16">
        <v>1876</v>
      </c>
      <c r="CT58" s="16">
        <v>1958</v>
      </c>
      <c r="CU58" s="17">
        <f t="shared" si="43"/>
        <v>1958</v>
      </c>
      <c r="CV58" s="16">
        <v>1911</v>
      </c>
      <c r="CW58" s="16">
        <v>1866</v>
      </c>
      <c r="CX58" s="16">
        <v>1802</v>
      </c>
      <c r="CY58" s="16">
        <v>1829</v>
      </c>
      <c r="CZ58" s="17">
        <f t="shared" si="44"/>
        <v>1829</v>
      </c>
      <c r="DA58" s="16">
        <v>1844</v>
      </c>
      <c r="DB58" s="16">
        <v>1812</v>
      </c>
      <c r="DC58" s="16">
        <v>1755</v>
      </c>
      <c r="DD58" s="16">
        <v>1638</v>
      </c>
      <c r="DE58" s="17">
        <f t="shared" si="45"/>
        <v>1638</v>
      </c>
      <c r="DF58" s="16">
        <v>1639</v>
      </c>
      <c r="DG58" s="443">
        <v>1664</v>
      </c>
      <c r="DH58" s="443">
        <v>1846</v>
      </c>
      <c r="DI58" s="443">
        <v>1864</v>
      </c>
      <c r="DJ58" s="17">
        <f t="shared" si="46"/>
        <v>1864</v>
      </c>
      <c r="DK58" s="443">
        <v>1899</v>
      </c>
      <c r="DL58" s="443">
        <v>1869</v>
      </c>
      <c r="DM58" s="443">
        <v>1899</v>
      </c>
      <c r="DN58" s="16"/>
      <c r="DO58" s="17"/>
      <c r="DP58" s="443"/>
      <c r="DQ58" s="16"/>
      <c r="DR58" s="16"/>
      <c r="DS58" s="16"/>
      <c r="DT58" s="17"/>
      <c r="DU58" s="17"/>
      <c r="DV58" s="17"/>
    </row>
    <row r="59" spans="1:126" s="13" customFormat="1">
      <c r="A59" s="32"/>
      <c r="B59" s="41" t="s">
        <v>48</v>
      </c>
      <c r="C59" s="272"/>
      <c r="D59" s="272"/>
      <c r="E59" s="272"/>
      <c r="F59" s="272"/>
      <c r="G59" s="272"/>
      <c r="H59" s="272"/>
      <c r="I59" s="272"/>
      <c r="N59" s="283"/>
      <c r="O59" s="276"/>
      <c r="P59" s="276"/>
      <c r="Q59" s="276"/>
      <c r="S59" s="17"/>
      <c r="T59" s="287"/>
      <c r="U59" s="287"/>
      <c r="V59" s="287"/>
      <c r="X59" s="17"/>
      <c r="Y59" s="292"/>
      <c r="Z59" s="292"/>
      <c r="AA59" s="292"/>
      <c r="AC59" s="17"/>
      <c r="AD59" s="297"/>
      <c r="AE59" s="297"/>
      <c r="AF59" s="297"/>
      <c r="AH59" s="17"/>
      <c r="AI59" s="302"/>
      <c r="AJ59" s="302"/>
      <c r="AK59" s="302"/>
      <c r="AM59" s="17"/>
      <c r="AR59" s="17"/>
      <c r="AW59" s="17"/>
      <c r="AZ59" s="16"/>
      <c r="BA59" s="16"/>
      <c r="BB59" s="17"/>
      <c r="BD59" s="16"/>
      <c r="BE59" s="16"/>
      <c r="BF59" s="16"/>
      <c r="BG59" s="17"/>
      <c r="BH59" s="16"/>
      <c r="BI59" s="16"/>
      <c r="BJ59" s="472"/>
      <c r="BK59" s="16"/>
      <c r="BL59" s="17"/>
      <c r="BM59" s="16"/>
      <c r="BN59" s="16"/>
      <c r="BO59" s="472"/>
      <c r="BP59" s="16"/>
      <c r="BQ59" s="17"/>
      <c r="BR59" s="16"/>
      <c r="BS59" s="16"/>
      <c r="BT59" s="472"/>
      <c r="BU59" s="16"/>
      <c r="BV59" s="17"/>
      <c r="BW59" s="16"/>
      <c r="BX59" s="16"/>
      <c r="BY59" s="472"/>
      <c r="BZ59" s="16"/>
      <c r="CA59" s="17"/>
      <c r="CB59" s="16"/>
      <c r="CC59" s="16"/>
      <c r="CD59" s="472"/>
      <c r="CE59" s="16"/>
      <c r="CF59" s="17"/>
      <c r="CG59" s="16"/>
      <c r="CH59" s="16">
        <v>76652</v>
      </c>
      <c r="CI59" s="472"/>
      <c r="CJ59" s="368">
        <v>36609</v>
      </c>
      <c r="CK59" s="17">
        <f t="shared" si="41"/>
        <v>36609</v>
      </c>
      <c r="CL59" s="16"/>
      <c r="CM59" s="16">
        <v>53269</v>
      </c>
      <c r="CN59" s="472">
        <v>53524</v>
      </c>
      <c r="CO59" s="16">
        <v>54285</v>
      </c>
      <c r="CP59" s="17">
        <f t="shared" si="42"/>
        <v>54285</v>
      </c>
      <c r="CQ59" s="16">
        <v>54265</v>
      </c>
      <c r="CR59" s="16">
        <v>54394</v>
      </c>
      <c r="CS59" s="16">
        <v>53789</v>
      </c>
      <c r="CT59" s="16">
        <v>54436</v>
      </c>
      <c r="CU59" s="17">
        <f t="shared" si="43"/>
        <v>54436</v>
      </c>
      <c r="CV59" s="16">
        <v>54316</v>
      </c>
      <c r="CW59" s="16">
        <v>53806</v>
      </c>
      <c r="CX59" s="16">
        <v>53168</v>
      </c>
      <c r="CY59" s="16">
        <v>53840</v>
      </c>
      <c r="CZ59" s="17">
        <f t="shared" si="44"/>
        <v>53840</v>
      </c>
      <c r="DA59" s="16">
        <v>53904</v>
      </c>
      <c r="DB59" s="16">
        <v>54122</v>
      </c>
      <c r="DC59" s="16">
        <v>53883</v>
      </c>
      <c r="DD59" s="16">
        <v>53699</v>
      </c>
      <c r="DE59" s="17">
        <f t="shared" si="45"/>
        <v>53699</v>
      </c>
      <c r="DF59" s="16">
        <v>53644</v>
      </c>
      <c r="DG59" s="443">
        <v>53347</v>
      </c>
      <c r="DH59" s="443">
        <v>53759</v>
      </c>
      <c r="DI59" s="443">
        <v>52789</v>
      </c>
      <c r="DJ59" s="17">
        <f t="shared" si="46"/>
        <v>52789</v>
      </c>
      <c r="DK59" s="443">
        <v>53045</v>
      </c>
      <c r="DL59" s="443">
        <v>53327</v>
      </c>
      <c r="DM59" s="443">
        <v>53311</v>
      </c>
      <c r="DN59" s="16"/>
      <c r="DO59" s="17"/>
      <c r="DP59" s="443"/>
      <c r="DQ59" s="16"/>
      <c r="DR59" s="16"/>
      <c r="DS59" s="16"/>
      <c r="DT59" s="17"/>
      <c r="DU59" s="17"/>
      <c r="DV59" s="17"/>
    </row>
    <row r="60" spans="1:126" s="13" customFormat="1">
      <c r="A60" s="32"/>
      <c r="B60" s="41" t="s">
        <v>201</v>
      </c>
      <c r="C60" s="272"/>
      <c r="D60" s="272"/>
      <c r="E60" s="272"/>
      <c r="F60" s="272"/>
      <c r="G60" s="272"/>
      <c r="H60" s="272"/>
      <c r="I60" s="272"/>
      <c r="N60" s="283"/>
      <c r="O60" s="276"/>
      <c r="P60" s="276"/>
      <c r="Q60" s="276"/>
      <c r="S60" s="17"/>
      <c r="T60" s="287"/>
      <c r="U60" s="287"/>
      <c r="V60" s="287"/>
      <c r="X60" s="17"/>
      <c r="Y60" s="292"/>
      <c r="Z60" s="292"/>
      <c r="AA60" s="292"/>
      <c r="AC60" s="17"/>
      <c r="AD60" s="297"/>
      <c r="AE60" s="297"/>
      <c r="AF60" s="297"/>
      <c r="AH60" s="17"/>
      <c r="AI60" s="302"/>
      <c r="AJ60" s="302"/>
      <c r="AK60" s="302"/>
      <c r="AM60" s="17"/>
      <c r="AR60" s="17"/>
      <c r="AW60" s="17"/>
      <c r="AZ60" s="16"/>
      <c r="BA60" s="16"/>
      <c r="BB60" s="17"/>
      <c r="BD60" s="16"/>
      <c r="BE60" s="16"/>
      <c r="BF60" s="16"/>
      <c r="BG60" s="17"/>
      <c r="BH60" s="16"/>
      <c r="BI60" s="16"/>
      <c r="BJ60" s="472"/>
      <c r="BK60" s="16"/>
      <c r="BL60" s="17"/>
      <c r="BM60" s="16"/>
      <c r="BN60" s="16"/>
      <c r="BO60" s="472"/>
      <c r="BP60" s="16"/>
      <c r="BQ60" s="17"/>
      <c r="BR60" s="16"/>
      <c r="BS60" s="16"/>
      <c r="BT60" s="472"/>
      <c r="BU60" s="16"/>
      <c r="BV60" s="17"/>
      <c r="BW60" s="16"/>
      <c r="BX60" s="16"/>
      <c r="BY60" s="472"/>
      <c r="BZ60" s="16"/>
      <c r="CA60" s="17"/>
      <c r="CB60" s="16"/>
      <c r="CC60" s="16"/>
      <c r="CD60" s="472"/>
      <c r="CE60" s="16"/>
      <c r="CF60" s="17"/>
      <c r="CG60" s="16"/>
      <c r="CH60" s="16">
        <v>44184</v>
      </c>
      <c r="CI60" s="472"/>
      <c r="CJ60" s="368">
        <v>24473</v>
      </c>
      <c r="CK60" s="17">
        <f t="shared" si="41"/>
        <v>24473</v>
      </c>
      <c r="CL60" s="16"/>
      <c r="CM60" s="16">
        <v>42003</v>
      </c>
      <c r="CN60" s="472">
        <v>41564</v>
      </c>
      <c r="CO60" s="16">
        <v>40539</v>
      </c>
      <c r="CP60" s="17">
        <f t="shared" si="42"/>
        <v>40539</v>
      </c>
      <c r="CQ60" s="16">
        <v>39999</v>
      </c>
      <c r="CR60" s="16">
        <v>39523</v>
      </c>
      <c r="CS60" s="16">
        <v>38842</v>
      </c>
      <c r="CT60" s="16">
        <v>38516</v>
      </c>
      <c r="CU60" s="17">
        <f t="shared" si="43"/>
        <v>38516</v>
      </c>
      <c r="CV60" s="16">
        <v>38118</v>
      </c>
      <c r="CW60" s="16">
        <v>37562</v>
      </c>
      <c r="CX60" s="16">
        <v>37046</v>
      </c>
      <c r="CY60" s="16">
        <v>36823</v>
      </c>
      <c r="CZ60" s="17">
        <f t="shared" si="44"/>
        <v>36823</v>
      </c>
      <c r="DA60" s="16">
        <v>36477</v>
      </c>
      <c r="DB60" s="16">
        <v>36234</v>
      </c>
      <c r="DC60" s="16">
        <v>35865</v>
      </c>
      <c r="DD60" s="16">
        <v>35399</v>
      </c>
      <c r="DE60" s="17">
        <f t="shared" si="45"/>
        <v>35399</v>
      </c>
      <c r="DF60" s="16">
        <v>34960</v>
      </c>
      <c r="DG60" s="443">
        <v>34503</v>
      </c>
      <c r="DH60" s="443">
        <v>34159</v>
      </c>
      <c r="DI60" s="443">
        <v>33443</v>
      </c>
      <c r="DJ60" s="17">
        <f t="shared" si="46"/>
        <v>33443</v>
      </c>
      <c r="DK60" s="443">
        <v>33116</v>
      </c>
      <c r="DL60" s="443">
        <v>32748</v>
      </c>
      <c r="DM60" s="443">
        <v>32260</v>
      </c>
      <c r="DN60" s="16"/>
      <c r="DO60" s="17"/>
      <c r="DP60" s="443"/>
      <c r="DQ60" s="16"/>
      <c r="DR60" s="16"/>
      <c r="DS60" s="16"/>
      <c r="DT60" s="17"/>
      <c r="DU60" s="17"/>
      <c r="DV60" s="17"/>
    </row>
    <row r="61" spans="1:126" s="13" customFormat="1">
      <c r="A61" s="32"/>
      <c r="B61" s="41" t="s">
        <v>49</v>
      </c>
      <c r="C61" s="272"/>
      <c r="D61" s="273"/>
      <c r="E61" s="273"/>
      <c r="F61" s="273"/>
      <c r="G61" s="273"/>
      <c r="H61" s="273"/>
      <c r="I61" s="273"/>
      <c r="J61" s="282"/>
      <c r="K61" s="191"/>
      <c r="L61" s="191"/>
      <c r="N61" s="284"/>
      <c r="O61" s="277"/>
      <c r="P61" s="277"/>
      <c r="Q61" s="277"/>
      <c r="S61" s="85"/>
      <c r="T61" s="288"/>
      <c r="U61" s="288"/>
      <c r="V61" s="288"/>
      <c r="W61" s="191"/>
      <c r="X61" s="85"/>
      <c r="Y61" s="293"/>
      <c r="Z61" s="293"/>
      <c r="AA61" s="293"/>
      <c r="AB61" s="191"/>
      <c r="AC61" s="17"/>
      <c r="AD61" s="298"/>
      <c r="AE61" s="298"/>
      <c r="AF61" s="298"/>
      <c r="AG61" s="191"/>
      <c r="AH61" s="85"/>
      <c r="AI61" s="303"/>
      <c r="AJ61" s="303"/>
      <c r="AK61" s="303"/>
      <c r="AL61" s="191"/>
      <c r="AM61" s="85"/>
      <c r="AN61" s="191"/>
      <c r="AO61" s="191"/>
      <c r="AP61" s="191"/>
      <c r="AQ61" s="191"/>
      <c r="AR61" s="85"/>
      <c r="AS61" s="191"/>
      <c r="AT61" s="191"/>
      <c r="AU61" s="191"/>
      <c r="AV61" s="191"/>
      <c r="AW61" s="85"/>
      <c r="AX61" s="191"/>
      <c r="AY61" s="191"/>
      <c r="AZ61" s="86"/>
      <c r="BA61" s="86"/>
      <c r="BB61" s="85"/>
      <c r="BC61" s="191"/>
      <c r="BD61" s="86"/>
      <c r="BE61" s="86"/>
      <c r="BF61" s="86"/>
      <c r="BG61" s="85"/>
      <c r="BH61" s="86"/>
      <c r="BI61" s="86"/>
      <c r="BJ61" s="484"/>
      <c r="BK61" s="86"/>
      <c r="BL61" s="85"/>
      <c r="BM61" s="86"/>
      <c r="BN61" s="86"/>
      <c r="BO61" s="484"/>
      <c r="BP61" s="86"/>
      <c r="BQ61" s="85"/>
      <c r="BR61" s="86"/>
      <c r="BS61" s="86"/>
      <c r="BT61" s="484"/>
      <c r="BU61" s="86"/>
      <c r="BV61" s="85"/>
      <c r="BW61" s="86"/>
      <c r="BX61" s="86"/>
      <c r="BY61" s="484"/>
      <c r="BZ61" s="86"/>
      <c r="CA61" s="85"/>
      <c r="CB61" s="86"/>
      <c r="CC61" s="86"/>
      <c r="CD61" s="86"/>
      <c r="CE61" s="86"/>
      <c r="CF61" s="85"/>
      <c r="CG61" s="86"/>
      <c r="CH61" s="86">
        <v>6799</v>
      </c>
      <c r="CI61" s="484"/>
      <c r="CJ61" s="676">
        <v>1919</v>
      </c>
      <c r="CK61" s="85">
        <f t="shared" si="41"/>
        <v>1919</v>
      </c>
      <c r="CL61" s="86"/>
      <c r="CM61" s="86">
        <v>2969</v>
      </c>
      <c r="CN61" s="472">
        <v>3030</v>
      </c>
      <c r="CO61" s="16">
        <v>3967</v>
      </c>
      <c r="CP61" s="85">
        <f t="shared" si="42"/>
        <v>3967</v>
      </c>
      <c r="CQ61" s="16">
        <v>4058</v>
      </c>
      <c r="CR61" s="16">
        <v>4414</v>
      </c>
      <c r="CS61" s="16">
        <v>4796</v>
      </c>
      <c r="CT61" s="16">
        <v>6624</v>
      </c>
      <c r="CU61" s="85">
        <f t="shared" si="43"/>
        <v>6624</v>
      </c>
      <c r="CV61" s="16">
        <v>6678</v>
      </c>
      <c r="CW61" s="16">
        <v>6905</v>
      </c>
      <c r="CX61" s="16">
        <v>7102</v>
      </c>
      <c r="CY61" s="16">
        <v>6156</v>
      </c>
      <c r="CZ61" s="85">
        <f t="shared" si="44"/>
        <v>6156</v>
      </c>
      <c r="DA61" s="16">
        <v>6215</v>
      </c>
      <c r="DB61" s="16">
        <v>6326</v>
      </c>
      <c r="DC61" s="16">
        <v>6623</v>
      </c>
      <c r="DD61" s="16">
        <v>4576</v>
      </c>
      <c r="DE61" s="85">
        <f t="shared" si="45"/>
        <v>4576</v>
      </c>
      <c r="DF61" s="16">
        <v>3924</v>
      </c>
      <c r="DG61" s="443">
        <v>4417</v>
      </c>
      <c r="DH61" s="443">
        <v>5102</v>
      </c>
      <c r="DI61" s="443">
        <v>5297</v>
      </c>
      <c r="DJ61" s="85">
        <f t="shared" si="46"/>
        <v>5297</v>
      </c>
      <c r="DK61" s="443">
        <v>5618</v>
      </c>
      <c r="DL61" s="443">
        <v>6229</v>
      </c>
      <c r="DM61" s="443">
        <v>5688</v>
      </c>
      <c r="DN61" s="16"/>
      <c r="DO61" s="17"/>
      <c r="DP61" s="443"/>
      <c r="DQ61" s="16"/>
      <c r="DR61" s="16"/>
      <c r="DS61" s="16"/>
      <c r="DT61" s="17"/>
      <c r="DU61" s="17"/>
      <c r="DV61" s="17"/>
    </row>
    <row r="62" spans="1:126" s="190" customFormat="1">
      <c r="A62" s="37"/>
      <c r="B62" s="39" t="s">
        <v>57</v>
      </c>
      <c r="C62" s="274"/>
      <c r="D62" s="274"/>
      <c r="E62" s="274"/>
      <c r="F62" s="274"/>
      <c r="G62" s="274"/>
      <c r="H62" s="274"/>
      <c r="I62" s="274"/>
      <c r="J62" s="239"/>
      <c r="M62" s="13"/>
      <c r="N62" s="285"/>
      <c r="O62" s="280"/>
      <c r="P62" s="278"/>
      <c r="Q62" s="278"/>
      <c r="R62" s="13"/>
      <c r="S62" s="75"/>
      <c r="T62" s="291"/>
      <c r="U62" s="289"/>
      <c r="V62" s="289"/>
      <c r="X62" s="75"/>
      <c r="Y62" s="296"/>
      <c r="Z62" s="294"/>
      <c r="AA62" s="294"/>
      <c r="AB62" s="238"/>
      <c r="AC62" s="17"/>
      <c r="AD62" s="301"/>
      <c r="AE62" s="299"/>
      <c r="AF62" s="299"/>
      <c r="AG62" s="238"/>
      <c r="AH62" s="75"/>
      <c r="AI62" s="306"/>
      <c r="AJ62" s="304"/>
      <c r="AK62" s="304"/>
      <c r="AM62" s="75"/>
      <c r="AR62" s="75"/>
      <c r="AW62" s="75"/>
      <c r="BB62" s="75"/>
      <c r="BG62" s="17"/>
      <c r="BJ62" s="474"/>
      <c r="BK62" s="474"/>
      <c r="BL62" s="17"/>
      <c r="BM62" s="474"/>
      <c r="BN62" s="474"/>
      <c r="BO62" s="474"/>
      <c r="BP62" s="474"/>
      <c r="BQ62" s="17"/>
      <c r="BR62" s="474"/>
      <c r="BS62" s="474"/>
      <c r="BT62" s="474"/>
      <c r="BU62" s="474"/>
      <c r="BV62" s="17"/>
      <c r="BW62" s="474"/>
      <c r="BX62" s="474"/>
      <c r="BY62" s="474"/>
      <c r="BZ62" s="474"/>
      <c r="CA62" s="75"/>
      <c r="CB62" s="474"/>
      <c r="CC62" s="474"/>
      <c r="CD62" s="474"/>
      <c r="CE62" s="474"/>
      <c r="CF62" s="75"/>
      <c r="CG62" s="474"/>
      <c r="CH62" s="474">
        <f>SUM(CH54:CH61)</f>
        <v>184678</v>
      </c>
      <c r="CI62" s="474"/>
      <c r="CJ62" s="474">
        <f>SUM(CJ54:CJ61)</f>
        <v>139615</v>
      </c>
      <c r="CK62" s="75">
        <f t="shared" si="41"/>
        <v>139615</v>
      </c>
      <c r="CL62" s="474"/>
      <c r="CM62" s="474">
        <f>SUM(CM54:CM61)</f>
        <v>161517</v>
      </c>
      <c r="CN62" s="474">
        <f>SUM(CN54:CN61)</f>
        <v>162399</v>
      </c>
      <c r="CO62" s="474">
        <f>SUM(CO54:CO61)</f>
        <v>162153</v>
      </c>
      <c r="CP62" s="75">
        <f t="shared" si="42"/>
        <v>162153</v>
      </c>
      <c r="CQ62" s="474">
        <f>SUM(CQ54:CQ61)</f>
        <v>160608</v>
      </c>
      <c r="CR62" s="474">
        <f>SUM(CR54:CR61)</f>
        <v>158838</v>
      </c>
      <c r="CS62" s="474">
        <f>SUM(CS54:CS61)</f>
        <v>158772</v>
      </c>
      <c r="CT62" s="474">
        <f>SUM(CT54:CT61)</f>
        <v>161404</v>
      </c>
      <c r="CU62" s="75">
        <f t="shared" si="43"/>
        <v>161404</v>
      </c>
      <c r="CV62" s="474">
        <f>SUM(CV54:CV61)</f>
        <v>159366</v>
      </c>
      <c r="CW62" s="474">
        <f>SUM(CW54:CW61)</f>
        <v>159017</v>
      </c>
      <c r="CX62" s="474">
        <f>SUM(CX54:CX61)</f>
        <v>158225</v>
      </c>
      <c r="CY62" s="474">
        <f>SUM(CY54:CY61)</f>
        <v>158864</v>
      </c>
      <c r="CZ62" s="75">
        <f t="shared" si="44"/>
        <v>158864</v>
      </c>
      <c r="DA62" s="474">
        <f>SUM(DA54:DA61)</f>
        <v>161636</v>
      </c>
      <c r="DB62" s="474">
        <f>SUM(DB54:DB61)</f>
        <v>162161</v>
      </c>
      <c r="DC62" s="474">
        <f>SUM(DC54:DC61)</f>
        <v>162443</v>
      </c>
      <c r="DD62" s="76">
        <f>SUM(DD54:DD61)</f>
        <v>161869</v>
      </c>
      <c r="DE62" s="75">
        <f t="shared" si="45"/>
        <v>161869</v>
      </c>
      <c r="DF62" s="474">
        <f>SUM(DF54:DF61)</f>
        <v>160187</v>
      </c>
      <c r="DG62" s="76">
        <f>SUM(DG54:DG61)</f>
        <v>161169</v>
      </c>
      <c r="DH62" s="76">
        <f>SUM(DH54:DH61)</f>
        <v>164822</v>
      </c>
      <c r="DI62" s="76">
        <f>SUM(DI54:DI61)</f>
        <v>162861</v>
      </c>
      <c r="DJ62" s="75">
        <f t="shared" si="46"/>
        <v>162861</v>
      </c>
      <c r="DK62" s="474">
        <f>SUM(DK54:DK61)</f>
        <v>164864</v>
      </c>
      <c r="DL62" s="76">
        <f>SUM(DL54:DL61)</f>
        <v>167139</v>
      </c>
      <c r="DM62" s="76">
        <f>SUM(DM54:DM61)</f>
        <v>168672</v>
      </c>
      <c r="DN62" s="76"/>
      <c r="DO62" s="75"/>
      <c r="DP62" s="474"/>
      <c r="DQ62" s="76"/>
      <c r="DR62" s="76"/>
      <c r="DS62" s="76"/>
      <c r="DT62" s="75"/>
      <c r="DU62" s="75"/>
      <c r="DV62" s="75"/>
    </row>
    <row r="63" spans="1:126" s="13" customFormat="1">
      <c r="A63" s="32"/>
      <c r="B63" s="108" t="s">
        <v>136</v>
      </c>
      <c r="C63" s="272"/>
      <c r="D63" s="272"/>
      <c r="E63" s="272"/>
      <c r="F63" s="272"/>
      <c r="G63" s="272"/>
      <c r="H63" s="272"/>
      <c r="I63" s="272"/>
      <c r="J63" s="281"/>
      <c r="N63" s="283"/>
      <c r="O63" s="276"/>
      <c r="P63" s="276"/>
      <c r="Q63" s="276"/>
      <c r="S63" s="17"/>
      <c r="T63" s="287"/>
      <c r="U63" s="287"/>
      <c r="V63" s="287"/>
      <c r="X63" s="17"/>
      <c r="Y63" s="292"/>
      <c r="Z63" s="292"/>
      <c r="AA63" s="292"/>
      <c r="AC63" s="17"/>
      <c r="AD63" s="297"/>
      <c r="AE63" s="297"/>
      <c r="AF63" s="297"/>
      <c r="AH63" s="17"/>
      <c r="AI63" s="302"/>
      <c r="AJ63" s="302"/>
      <c r="AK63" s="302"/>
      <c r="AM63" s="17"/>
      <c r="AR63" s="17"/>
      <c r="AW63" s="17"/>
      <c r="AZ63" s="16"/>
      <c r="BA63" s="16"/>
      <c r="BB63" s="17"/>
      <c r="BD63" s="16"/>
      <c r="BE63" s="16"/>
      <c r="BF63" s="16"/>
      <c r="BG63" s="17"/>
      <c r="BH63" s="16"/>
      <c r="BI63" s="16"/>
      <c r="BJ63" s="472"/>
      <c r="BK63" s="16"/>
      <c r="BL63" s="17"/>
      <c r="BM63" s="16"/>
      <c r="BN63" s="16"/>
      <c r="BO63" s="472"/>
      <c r="BP63" s="16"/>
      <c r="BQ63" s="17"/>
      <c r="BR63" s="16"/>
      <c r="BS63" s="16"/>
      <c r="BT63" s="472"/>
      <c r="BU63" s="16"/>
      <c r="BV63" s="17"/>
      <c r="BW63" s="16"/>
      <c r="BX63" s="16"/>
      <c r="BY63" s="472"/>
      <c r="BZ63" s="16"/>
      <c r="CA63" s="17"/>
      <c r="CB63" s="16"/>
      <c r="CC63" s="16"/>
      <c r="CD63" s="472"/>
      <c r="CE63" s="16"/>
      <c r="CF63" s="17"/>
      <c r="CG63" s="16"/>
      <c r="CH63" s="16"/>
      <c r="CI63" s="472"/>
      <c r="CJ63" s="368"/>
      <c r="CK63" s="17"/>
      <c r="CL63" s="16"/>
      <c r="CM63" s="16"/>
      <c r="CN63" s="472"/>
      <c r="CO63" s="16"/>
      <c r="CP63" s="17"/>
      <c r="CQ63" s="16"/>
      <c r="CR63" s="16"/>
      <c r="CS63" s="16"/>
      <c r="CT63" s="16"/>
      <c r="CU63" s="17"/>
      <c r="CV63" s="16"/>
      <c r="CW63" s="16"/>
      <c r="CX63" s="16"/>
      <c r="CY63" s="16"/>
      <c r="CZ63" s="17"/>
      <c r="DA63" s="16"/>
      <c r="DB63" s="16"/>
      <c r="DC63" s="16"/>
      <c r="DD63" s="16"/>
      <c r="DE63" s="17"/>
      <c r="DF63" s="16"/>
      <c r="DG63" s="16"/>
      <c r="DH63" s="16"/>
      <c r="DI63" s="16"/>
      <c r="DJ63" s="17"/>
      <c r="DK63" s="16"/>
      <c r="DL63" s="16"/>
      <c r="DM63" s="16"/>
      <c r="DN63" s="16"/>
      <c r="DO63" s="17"/>
      <c r="DP63" s="16"/>
      <c r="DQ63" s="16"/>
      <c r="DR63" s="16"/>
      <c r="DS63" s="16"/>
      <c r="DT63" s="17"/>
      <c r="DU63" s="17"/>
      <c r="DV63" s="17"/>
    </row>
    <row r="64" spans="1:126" s="13" customFormat="1">
      <c r="A64" s="32"/>
      <c r="B64" s="41" t="s">
        <v>70</v>
      </c>
      <c r="C64" s="272"/>
      <c r="D64" s="272"/>
      <c r="E64" s="272"/>
      <c r="F64" s="272"/>
      <c r="G64" s="272"/>
      <c r="H64" s="272"/>
      <c r="I64" s="272"/>
      <c r="J64" s="281"/>
      <c r="N64" s="283"/>
      <c r="O64" s="276"/>
      <c r="P64" s="276"/>
      <c r="Q64" s="276"/>
      <c r="S64" s="17"/>
      <c r="T64" s="287"/>
      <c r="U64" s="287"/>
      <c r="V64" s="287"/>
      <c r="X64" s="17"/>
      <c r="Y64" s="292"/>
      <c r="Z64" s="292"/>
      <c r="AA64" s="292"/>
      <c r="AC64" s="17"/>
      <c r="AD64" s="297"/>
      <c r="AE64" s="297"/>
      <c r="AF64" s="297"/>
      <c r="AH64" s="17"/>
      <c r="AI64" s="302"/>
      <c r="AJ64" s="302"/>
      <c r="AK64" s="302"/>
      <c r="AM64" s="17"/>
      <c r="AR64" s="17"/>
      <c r="AW64" s="17"/>
      <c r="AZ64" s="16"/>
      <c r="BA64" s="16"/>
      <c r="BB64" s="17"/>
      <c r="BD64" s="16"/>
      <c r="BE64" s="16"/>
      <c r="BF64" s="16"/>
      <c r="BG64" s="17"/>
      <c r="BH64" s="16"/>
      <c r="BI64" s="16"/>
      <c r="BJ64" s="472"/>
      <c r="BK64" s="16"/>
      <c r="BL64" s="17"/>
      <c r="BM64" s="16"/>
      <c r="BN64" s="16"/>
      <c r="BO64" s="472"/>
      <c r="BP64" s="16"/>
      <c r="BQ64" s="17"/>
      <c r="BR64" s="16"/>
      <c r="BS64" s="16"/>
      <c r="BT64" s="472"/>
      <c r="BU64" s="16"/>
      <c r="BV64" s="17"/>
      <c r="BW64" s="16"/>
      <c r="BX64" s="16"/>
      <c r="BY64" s="472"/>
      <c r="BZ64" s="16"/>
      <c r="CA64" s="17"/>
      <c r="CB64" s="16"/>
      <c r="CC64" s="16"/>
      <c r="CD64" s="472"/>
      <c r="CE64" s="16"/>
      <c r="CF64" s="17"/>
      <c r="CG64" s="16"/>
      <c r="CH64" s="16">
        <v>1095</v>
      </c>
      <c r="CI64" s="472"/>
      <c r="CJ64" s="368">
        <v>2293</v>
      </c>
      <c r="CK64" s="17">
        <f t="shared" si="41"/>
        <v>2293</v>
      </c>
      <c r="CL64" s="16"/>
      <c r="CM64" s="16">
        <v>243</v>
      </c>
      <c r="CN64" s="472">
        <v>228</v>
      </c>
      <c r="CO64" s="16">
        <v>247</v>
      </c>
      <c r="CP64" s="17">
        <f t="shared" si="42"/>
        <v>247</v>
      </c>
      <c r="CQ64" s="16">
        <v>234</v>
      </c>
      <c r="CR64" s="16">
        <v>196</v>
      </c>
      <c r="CS64" s="16">
        <v>206</v>
      </c>
      <c r="CT64" s="16">
        <v>134</v>
      </c>
      <c r="CU64" s="17">
        <f t="shared" si="43"/>
        <v>134</v>
      </c>
      <c r="CV64" s="16">
        <v>140</v>
      </c>
      <c r="CW64" s="16">
        <v>113</v>
      </c>
      <c r="CX64" s="16">
        <v>2195</v>
      </c>
      <c r="CY64" s="16">
        <v>625</v>
      </c>
      <c r="CZ64" s="17">
        <f t="shared" si="44"/>
        <v>625</v>
      </c>
      <c r="DA64" s="16">
        <v>224</v>
      </c>
      <c r="DB64" s="16">
        <v>1076</v>
      </c>
      <c r="DC64" s="16">
        <v>1170</v>
      </c>
      <c r="DD64" s="16">
        <v>189</v>
      </c>
      <c r="DE64" s="17">
        <f t="shared" si="45"/>
        <v>189</v>
      </c>
      <c r="DF64" s="16">
        <v>166</v>
      </c>
      <c r="DG64" s="443">
        <v>231</v>
      </c>
      <c r="DH64" s="443">
        <v>220</v>
      </c>
      <c r="DI64" s="443">
        <v>183</v>
      </c>
      <c r="DJ64" s="17">
        <f t="shared" ref="DJ64:DJ68" si="47">DI64</f>
        <v>183</v>
      </c>
      <c r="DK64" s="443">
        <v>212</v>
      </c>
      <c r="DL64" s="443">
        <v>1635</v>
      </c>
      <c r="DM64" s="443">
        <f>215</f>
        <v>215</v>
      </c>
      <c r="DN64" s="16"/>
      <c r="DO64" s="17"/>
      <c r="DP64" s="443"/>
      <c r="DQ64" s="16"/>
      <c r="DR64" s="16"/>
      <c r="DS64" s="16"/>
      <c r="DT64" s="17"/>
      <c r="DU64" s="17"/>
      <c r="DV64" s="17"/>
    </row>
    <row r="65" spans="1:126" s="13" customFormat="1">
      <c r="A65" s="32"/>
      <c r="B65" s="41" t="s">
        <v>50</v>
      </c>
      <c r="C65" s="272"/>
      <c r="D65" s="272"/>
      <c r="E65" s="272"/>
      <c r="F65" s="272"/>
      <c r="G65" s="272"/>
      <c r="H65" s="272"/>
      <c r="I65" s="272"/>
      <c r="J65" s="281"/>
      <c r="N65" s="283"/>
      <c r="O65" s="276"/>
      <c r="P65" s="276"/>
      <c r="Q65" s="276"/>
      <c r="S65" s="17"/>
      <c r="T65" s="287"/>
      <c r="U65" s="287"/>
      <c r="V65" s="287"/>
      <c r="X65" s="17"/>
      <c r="Y65" s="292"/>
      <c r="Z65" s="292"/>
      <c r="AA65" s="292"/>
      <c r="AC65" s="17"/>
      <c r="AD65" s="297"/>
      <c r="AE65" s="297"/>
      <c r="AF65" s="297"/>
      <c r="AH65" s="17"/>
      <c r="AI65" s="302"/>
      <c r="AJ65" s="302"/>
      <c r="AK65" s="302"/>
      <c r="AM65" s="17"/>
      <c r="AR65" s="17"/>
      <c r="AW65" s="17"/>
      <c r="AZ65" s="16"/>
      <c r="BA65" s="16"/>
      <c r="BB65" s="17"/>
      <c r="BD65" s="16"/>
      <c r="BE65" s="16"/>
      <c r="BF65" s="16"/>
      <c r="BG65" s="17"/>
      <c r="BH65" s="16"/>
      <c r="BI65" s="16"/>
      <c r="BJ65" s="472"/>
      <c r="BK65" s="16"/>
      <c r="BL65" s="17"/>
      <c r="BM65" s="16"/>
      <c r="BN65" s="16"/>
      <c r="BO65" s="472"/>
      <c r="BP65" s="16"/>
      <c r="BQ65" s="17"/>
      <c r="BR65" s="16"/>
      <c r="BS65" s="16"/>
      <c r="BT65" s="472"/>
      <c r="BU65" s="16"/>
      <c r="BV65" s="17"/>
      <c r="BW65" s="16"/>
      <c r="BX65" s="16"/>
      <c r="BY65" s="472"/>
      <c r="BZ65" s="16"/>
      <c r="CA65" s="17"/>
      <c r="CB65" s="16"/>
      <c r="CC65" s="16"/>
      <c r="CD65" s="472"/>
      <c r="CE65" s="16"/>
      <c r="CF65" s="17"/>
      <c r="CG65" s="16"/>
      <c r="CH65" s="16">
        <v>9198</v>
      </c>
      <c r="CI65" s="472"/>
      <c r="CJ65" s="368">
        <v>7816</v>
      </c>
      <c r="CK65" s="17">
        <f t="shared" si="41"/>
        <v>7816</v>
      </c>
      <c r="CL65" s="16"/>
      <c r="CM65" s="16">
        <v>7182</v>
      </c>
      <c r="CN65" s="472">
        <v>8143</v>
      </c>
      <c r="CO65" s="16">
        <v>8639</v>
      </c>
      <c r="CP65" s="17">
        <f t="shared" si="42"/>
        <v>8639</v>
      </c>
      <c r="CQ65" s="16">
        <v>9182</v>
      </c>
      <c r="CR65" s="16">
        <v>8043</v>
      </c>
      <c r="CS65" s="16">
        <v>8667</v>
      </c>
      <c r="CT65" s="16">
        <v>8751</v>
      </c>
      <c r="CU65" s="17">
        <f t="shared" si="43"/>
        <v>8751</v>
      </c>
      <c r="CV65" s="16">
        <v>8270</v>
      </c>
      <c r="CW65" s="16">
        <v>9732</v>
      </c>
      <c r="CX65" s="16">
        <v>9017</v>
      </c>
      <c r="CY65" s="16">
        <v>9896</v>
      </c>
      <c r="CZ65" s="17">
        <f t="shared" si="44"/>
        <v>9896</v>
      </c>
      <c r="DA65" s="16">
        <v>10060</v>
      </c>
      <c r="DB65" s="16">
        <v>10128</v>
      </c>
      <c r="DC65" s="16">
        <v>10315</v>
      </c>
      <c r="DD65" s="16">
        <v>10698</v>
      </c>
      <c r="DE65" s="17">
        <f t="shared" si="45"/>
        <v>10698</v>
      </c>
      <c r="DF65" s="16">
        <v>10522</v>
      </c>
      <c r="DG65" s="443">
        <v>10939</v>
      </c>
      <c r="DH65" s="443">
        <v>11834</v>
      </c>
      <c r="DI65" s="443">
        <v>12897</v>
      </c>
      <c r="DJ65" s="17">
        <f t="shared" si="47"/>
        <v>12897</v>
      </c>
      <c r="DK65" s="443">
        <v>13444</v>
      </c>
      <c r="DL65" s="443">
        <v>13433</v>
      </c>
      <c r="DM65" s="443">
        <v>14552</v>
      </c>
      <c r="DN65" s="16"/>
      <c r="DO65" s="17"/>
      <c r="DP65" s="443"/>
      <c r="DQ65" s="16"/>
      <c r="DR65" s="16"/>
      <c r="DS65" s="16"/>
      <c r="DT65" s="17"/>
      <c r="DU65" s="17"/>
      <c r="DV65" s="17"/>
    </row>
    <row r="66" spans="1:126" s="13" customFormat="1">
      <c r="A66" s="32"/>
      <c r="B66" s="41" t="s">
        <v>608</v>
      </c>
      <c r="C66" s="272"/>
      <c r="D66" s="272"/>
      <c r="E66" s="272"/>
      <c r="F66" s="272"/>
      <c r="G66" s="272"/>
      <c r="H66" s="272"/>
      <c r="I66" s="272"/>
      <c r="N66" s="283"/>
      <c r="O66" s="276"/>
      <c r="P66" s="276"/>
      <c r="Q66" s="276"/>
      <c r="S66" s="17"/>
      <c r="T66" s="287"/>
      <c r="U66" s="287"/>
      <c r="V66" s="287"/>
      <c r="X66" s="17"/>
      <c r="Y66" s="292"/>
      <c r="Z66" s="292"/>
      <c r="AA66" s="292"/>
      <c r="AC66" s="17"/>
      <c r="AD66" s="297"/>
      <c r="AE66" s="297"/>
      <c r="AF66" s="297"/>
      <c r="AH66" s="17"/>
      <c r="AI66" s="302"/>
      <c r="AJ66" s="302"/>
      <c r="AK66" s="302"/>
      <c r="AM66" s="17"/>
      <c r="AR66" s="17"/>
      <c r="AW66" s="17"/>
      <c r="AZ66" s="16"/>
      <c r="BA66" s="16"/>
      <c r="BB66" s="17"/>
      <c r="BD66" s="16"/>
      <c r="BE66" s="16"/>
      <c r="BF66" s="16"/>
      <c r="BG66" s="17"/>
      <c r="BH66" s="16"/>
      <c r="BI66" s="16"/>
      <c r="BJ66" s="472"/>
      <c r="BK66" s="16"/>
      <c r="BL66" s="17"/>
      <c r="BM66" s="16"/>
      <c r="BN66" s="16"/>
      <c r="BO66" s="472"/>
      <c r="BP66" s="16"/>
      <c r="BQ66" s="17"/>
      <c r="BR66" s="16"/>
      <c r="BS66" s="16"/>
      <c r="BT66" s="472"/>
      <c r="BU66" s="16"/>
      <c r="BV66" s="17"/>
      <c r="BW66" s="16"/>
      <c r="BX66" s="16"/>
      <c r="BY66" s="472"/>
      <c r="BZ66" s="16"/>
      <c r="CA66" s="17"/>
      <c r="CB66" s="16"/>
      <c r="CC66" s="16"/>
      <c r="CD66" s="472"/>
      <c r="CE66" s="16"/>
      <c r="CF66" s="17"/>
      <c r="CG66" s="16"/>
      <c r="CH66" s="16"/>
      <c r="CI66" s="472"/>
      <c r="CJ66" s="368">
        <v>1353</v>
      </c>
      <c r="CK66" s="17">
        <f t="shared" si="41"/>
        <v>1353</v>
      </c>
      <c r="CL66" s="16"/>
      <c r="CM66" s="16"/>
      <c r="CN66" s="472"/>
      <c r="CO66" s="16">
        <v>3006</v>
      </c>
      <c r="CP66" s="17">
        <f t="shared" si="42"/>
        <v>3006</v>
      </c>
      <c r="CQ66" s="16">
        <v>2511</v>
      </c>
      <c r="CR66" s="16">
        <v>2233</v>
      </c>
      <c r="CS66" s="16">
        <v>2756</v>
      </c>
      <c r="CT66" s="16">
        <v>2658</v>
      </c>
      <c r="CU66" s="17">
        <f t="shared" si="43"/>
        <v>2658</v>
      </c>
      <c r="CV66" s="16">
        <v>1880</v>
      </c>
      <c r="CW66" s="16">
        <v>2028</v>
      </c>
      <c r="CX66" s="16">
        <v>2390</v>
      </c>
      <c r="CY66" s="16">
        <v>2401</v>
      </c>
      <c r="CZ66" s="17">
        <f t="shared" si="44"/>
        <v>2401</v>
      </c>
      <c r="DA66" s="16">
        <v>1856</v>
      </c>
      <c r="DB66" s="16">
        <v>2121</v>
      </c>
      <c r="DC66" s="16">
        <v>2597</v>
      </c>
      <c r="DD66" s="16">
        <v>2491</v>
      </c>
      <c r="DE66" s="17">
        <f t="shared" si="45"/>
        <v>2491</v>
      </c>
      <c r="DF66" s="16">
        <v>1862</v>
      </c>
      <c r="DG66" s="443">
        <v>2065</v>
      </c>
      <c r="DH66" s="443">
        <v>2673</v>
      </c>
      <c r="DI66" s="443">
        <v>2620</v>
      </c>
      <c r="DJ66" s="17">
        <f t="shared" si="47"/>
        <v>2620</v>
      </c>
      <c r="DK66" s="443">
        <v>1867</v>
      </c>
      <c r="DL66" s="443">
        <v>2133</v>
      </c>
      <c r="DM66" s="443">
        <v>2937</v>
      </c>
      <c r="DN66" s="16"/>
      <c r="DO66" s="17"/>
      <c r="DP66" s="443"/>
      <c r="DQ66" s="16"/>
      <c r="DR66" s="16"/>
      <c r="DS66" s="16"/>
      <c r="DT66" s="17"/>
      <c r="DU66" s="17"/>
      <c r="DV66" s="17"/>
    </row>
    <row r="67" spans="1:126" s="13" customFormat="1">
      <c r="A67" s="32"/>
      <c r="B67" s="41" t="s">
        <v>51</v>
      </c>
      <c r="C67" s="272"/>
      <c r="D67" s="272"/>
      <c r="E67" s="272"/>
      <c r="F67" s="272"/>
      <c r="G67" s="272"/>
      <c r="H67" s="272"/>
      <c r="I67" s="272"/>
      <c r="N67" s="283"/>
      <c r="O67" s="276"/>
      <c r="P67" s="276"/>
      <c r="Q67" s="276"/>
      <c r="S67" s="17"/>
      <c r="T67" s="287"/>
      <c r="U67" s="287"/>
      <c r="V67" s="287"/>
      <c r="X67" s="17"/>
      <c r="Y67" s="292"/>
      <c r="Z67" s="292"/>
      <c r="AA67" s="292"/>
      <c r="AC67" s="17"/>
      <c r="AD67" s="297"/>
      <c r="AE67" s="297"/>
      <c r="AF67" s="297"/>
      <c r="AH67" s="17"/>
      <c r="AI67" s="302"/>
      <c r="AJ67" s="302"/>
      <c r="AK67" s="302"/>
      <c r="AM67" s="17"/>
      <c r="AR67" s="17"/>
      <c r="AW67" s="17"/>
      <c r="AZ67" s="16"/>
      <c r="BA67" s="16"/>
      <c r="BB67" s="17"/>
      <c r="BD67" s="16"/>
      <c r="BE67" s="16"/>
      <c r="BF67" s="16"/>
      <c r="BG67" s="17"/>
      <c r="BH67" s="16"/>
      <c r="BI67" s="16"/>
      <c r="BJ67" s="472"/>
      <c r="BK67" s="16"/>
      <c r="BL67" s="17"/>
      <c r="BM67" s="16"/>
      <c r="BN67" s="16"/>
      <c r="BO67" s="472"/>
      <c r="BP67" s="16"/>
      <c r="BQ67" s="17"/>
      <c r="BR67" s="16"/>
      <c r="BS67" s="16"/>
      <c r="BT67" s="472"/>
      <c r="BU67" s="16"/>
      <c r="BV67" s="17"/>
      <c r="BW67" s="16"/>
      <c r="BX67" s="16"/>
      <c r="BY67" s="472"/>
      <c r="BZ67" s="16"/>
      <c r="CA67" s="17"/>
      <c r="CB67" s="198"/>
      <c r="CC67" s="198"/>
      <c r="CD67" s="472"/>
      <c r="CE67" s="16"/>
      <c r="CF67" s="17"/>
      <c r="CG67" s="198"/>
      <c r="CH67" s="16">
        <v>12451</v>
      </c>
      <c r="CI67" s="472"/>
      <c r="CJ67" s="368">
        <v>8417</v>
      </c>
      <c r="CK67" s="17">
        <f t="shared" si="41"/>
        <v>8417</v>
      </c>
      <c r="CL67" s="198"/>
      <c r="CM67" s="16">
        <v>14253</v>
      </c>
      <c r="CN67" s="472">
        <v>13558</v>
      </c>
      <c r="CO67" s="16">
        <f>10401</f>
        <v>10401</v>
      </c>
      <c r="CP67" s="17">
        <f t="shared" si="42"/>
        <v>10401</v>
      </c>
      <c r="CQ67" s="16">
        <v>10184</v>
      </c>
      <c r="CR67" s="16">
        <v>10361</v>
      </c>
      <c r="CS67" s="16">
        <v>9685</v>
      </c>
      <c r="CT67" s="16">
        <v>10162</v>
      </c>
      <c r="CU67" s="17">
        <f t="shared" si="43"/>
        <v>10162</v>
      </c>
      <c r="CV67" s="16">
        <v>11004</v>
      </c>
      <c r="CW67" s="16">
        <v>12459</v>
      </c>
      <c r="CX67" s="16">
        <v>11210</v>
      </c>
      <c r="CY67" s="16">
        <v>10999</v>
      </c>
      <c r="CZ67" s="17">
        <f t="shared" si="44"/>
        <v>10999</v>
      </c>
      <c r="DA67" s="16">
        <v>11573</v>
      </c>
      <c r="DB67" s="16">
        <v>11719</v>
      </c>
      <c r="DC67" s="16">
        <v>14283</v>
      </c>
      <c r="DD67" s="16">
        <v>14917</v>
      </c>
      <c r="DE67" s="17">
        <f t="shared" si="45"/>
        <v>14917</v>
      </c>
      <c r="DF67" s="16">
        <v>15006</v>
      </c>
      <c r="DG67" s="443">
        <v>17048</v>
      </c>
      <c r="DH67" s="443">
        <v>15971</v>
      </c>
      <c r="DI67" s="443">
        <v>14831</v>
      </c>
      <c r="DJ67" s="17">
        <f t="shared" si="47"/>
        <v>14831</v>
      </c>
      <c r="DK67" s="443">
        <v>15219</v>
      </c>
      <c r="DL67" s="443">
        <v>15861</v>
      </c>
      <c r="DM67" s="443">
        <v>14835</v>
      </c>
      <c r="DN67" s="16"/>
      <c r="DO67" s="17"/>
      <c r="DP67" s="443"/>
      <c r="DQ67" s="16"/>
      <c r="DR67" s="16"/>
      <c r="DS67" s="16"/>
      <c r="DT67" s="17"/>
      <c r="DU67" s="17"/>
      <c r="DV67" s="17"/>
    </row>
    <row r="68" spans="1:126" s="13" customFormat="1">
      <c r="A68" s="32"/>
      <c r="B68" s="41" t="s">
        <v>473</v>
      </c>
      <c r="C68" s="272"/>
      <c r="D68" s="272"/>
      <c r="E68" s="272"/>
      <c r="F68" s="272"/>
      <c r="G68" s="272"/>
      <c r="H68" s="272"/>
      <c r="I68" s="272"/>
      <c r="N68" s="283"/>
      <c r="O68" s="276"/>
      <c r="P68" s="276"/>
      <c r="Q68" s="276"/>
      <c r="S68" s="17"/>
      <c r="T68" s="287"/>
      <c r="U68" s="287"/>
      <c r="V68" s="287"/>
      <c r="X68" s="17"/>
      <c r="Y68" s="292"/>
      <c r="Z68" s="292"/>
      <c r="AA68" s="292"/>
      <c r="AC68" s="17"/>
      <c r="AD68" s="297"/>
      <c r="AE68" s="297"/>
      <c r="AF68" s="297"/>
      <c r="AH68" s="17"/>
      <c r="AI68" s="302"/>
      <c r="AJ68" s="302"/>
      <c r="AK68" s="302"/>
      <c r="AM68" s="17"/>
      <c r="AR68" s="17"/>
      <c r="AW68" s="17"/>
      <c r="AZ68" s="16"/>
      <c r="BA68" s="16"/>
      <c r="BB68" s="17"/>
      <c r="BD68" s="16"/>
      <c r="BE68" s="16"/>
      <c r="BF68" s="16"/>
      <c r="BG68" s="17"/>
      <c r="BH68" s="16"/>
      <c r="BI68" s="16"/>
      <c r="BJ68" s="472"/>
      <c r="BK68" s="16"/>
      <c r="BL68" s="17"/>
      <c r="BM68" s="16"/>
      <c r="BN68" s="16"/>
      <c r="BO68" s="472"/>
      <c r="BP68" s="16"/>
      <c r="BQ68" s="17"/>
      <c r="BR68" s="16"/>
      <c r="BS68" s="16"/>
      <c r="BT68" s="472"/>
      <c r="BU68" s="16"/>
      <c r="BV68" s="17"/>
      <c r="BW68" s="16"/>
      <c r="BX68" s="16"/>
      <c r="BY68" s="472"/>
      <c r="BZ68" s="16"/>
      <c r="CA68" s="17"/>
      <c r="CB68" s="16"/>
      <c r="CC68" s="16"/>
      <c r="CD68" s="472"/>
      <c r="CE68" s="16"/>
      <c r="CF68" s="17"/>
      <c r="CG68" s="16"/>
      <c r="CH68" s="16">
        <v>4774</v>
      </c>
      <c r="CI68" s="472"/>
      <c r="CJ68" s="368">
        <v>9014</v>
      </c>
      <c r="CK68" s="17">
        <f t="shared" si="41"/>
        <v>9014</v>
      </c>
      <c r="CL68" s="16"/>
      <c r="CM68" s="16">
        <v>11997</v>
      </c>
      <c r="CN68" s="472">
        <v>12208</v>
      </c>
      <c r="CO68" s="16">
        <v>12889</v>
      </c>
      <c r="CP68" s="17">
        <f t="shared" si="42"/>
        <v>12889</v>
      </c>
      <c r="CQ68" s="16">
        <v>12879</v>
      </c>
      <c r="CR68" s="16">
        <v>12591</v>
      </c>
      <c r="CS68" s="16">
        <v>12543</v>
      </c>
      <c r="CT68" s="16">
        <v>13720</v>
      </c>
      <c r="CU68" s="17">
        <f t="shared" si="43"/>
        <v>13720</v>
      </c>
      <c r="CV68" s="16">
        <v>13739</v>
      </c>
      <c r="CW68" s="16">
        <v>13430</v>
      </c>
      <c r="CX68" s="16">
        <v>13368</v>
      </c>
      <c r="CY68" s="16">
        <v>14598</v>
      </c>
      <c r="CZ68" s="17">
        <f t="shared" si="44"/>
        <v>14598</v>
      </c>
      <c r="DA68" s="16">
        <v>14870</v>
      </c>
      <c r="DB68" s="16">
        <v>15162</v>
      </c>
      <c r="DC68" s="16">
        <v>15248</v>
      </c>
      <c r="DD68" s="16">
        <v>17183</v>
      </c>
      <c r="DE68" s="17">
        <f t="shared" si="45"/>
        <v>17183</v>
      </c>
      <c r="DF68" s="16">
        <v>17119</v>
      </c>
      <c r="DG68" s="443">
        <v>17665</v>
      </c>
      <c r="DH68" s="443">
        <v>18436</v>
      </c>
      <c r="DI68" s="443">
        <v>18616</v>
      </c>
      <c r="DJ68" s="17">
        <f t="shared" si="47"/>
        <v>18616</v>
      </c>
      <c r="DK68" s="443">
        <v>19038</v>
      </c>
      <c r="DL68" s="443">
        <v>19186</v>
      </c>
      <c r="DM68" s="443">
        <f>20111</f>
        <v>20111</v>
      </c>
      <c r="DN68" s="16"/>
      <c r="DO68" s="17"/>
      <c r="DP68" s="443"/>
      <c r="DQ68" s="16"/>
      <c r="DR68" s="16"/>
      <c r="DS68" s="16"/>
      <c r="DT68" s="17"/>
      <c r="DU68" s="17"/>
      <c r="DV68" s="17"/>
    </row>
    <row r="69" spans="1:126" s="13" customFormat="1">
      <c r="A69" s="32"/>
      <c r="B69" s="41" t="s">
        <v>583</v>
      </c>
      <c r="C69" s="272"/>
      <c r="D69" s="272"/>
      <c r="E69" s="272"/>
      <c r="F69" s="272"/>
      <c r="G69" s="272"/>
      <c r="H69" s="272"/>
      <c r="I69" s="272"/>
      <c r="N69" s="283"/>
      <c r="O69" s="276"/>
      <c r="P69" s="276"/>
      <c r="Q69" s="276"/>
      <c r="S69" s="17"/>
      <c r="T69" s="287"/>
      <c r="U69" s="287"/>
      <c r="V69" s="287"/>
      <c r="X69" s="17"/>
      <c r="Y69" s="292"/>
      <c r="Z69" s="292"/>
      <c r="AA69" s="292"/>
      <c r="AC69" s="17"/>
      <c r="AD69" s="297"/>
      <c r="AE69" s="297"/>
      <c r="AF69" s="297"/>
      <c r="AH69" s="17"/>
      <c r="AI69" s="302"/>
      <c r="AJ69" s="302"/>
      <c r="AK69" s="302"/>
      <c r="AM69" s="17"/>
      <c r="AR69" s="17"/>
      <c r="AW69" s="17"/>
      <c r="AZ69" s="16"/>
      <c r="BA69" s="16"/>
      <c r="BB69" s="17"/>
      <c r="BD69" s="16"/>
      <c r="BE69" s="16"/>
      <c r="BF69" s="16"/>
      <c r="BG69" s="17"/>
      <c r="BH69" s="16"/>
      <c r="BI69" s="16"/>
      <c r="BJ69" s="472"/>
      <c r="BK69" s="16"/>
      <c r="BL69" s="17"/>
      <c r="BM69" s="16"/>
      <c r="BN69" s="16"/>
      <c r="BO69" s="472"/>
      <c r="BP69" s="16"/>
      <c r="BQ69" s="17"/>
      <c r="BR69" s="16"/>
      <c r="BS69" s="16"/>
      <c r="BT69" s="472"/>
      <c r="BU69" s="16"/>
      <c r="BV69" s="17"/>
      <c r="BW69" s="16"/>
      <c r="BX69" s="16"/>
      <c r="BY69" s="472"/>
      <c r="BZ69" s="16"/>
      <c r="CA69" s="17"/>
      <c r="CB69" s="16"/>
      <c r="CC69" s="16"/>
      <c r="CD69" s="472"/>
      <c r="CE69" s="16"/>
      <c r="CF69" s="17"/>
      <c r="CG69" s="16"/>
      <c r="CH69" s="16"/>
      <c r="CI69" s="472"/>
      <c r="CJ69" s="368">
        <v>14443</v>
      </c>
      <c r="CK69" s="17">
        <f t="shared" si="41"/>
        <v>14443</v>
      </c>
      <c r="CL69" s="16"/>
      <c r="CM69" s="16">
        <v>319</v>
      </c>
      <c r="CN69" s="472">
        <v>118</v>
      </c>
      <c r="CO69" s="16">
        <v>116</v>
      </c>
      <c r="CP69" s="17">
        <f t="shared" si="42"/>
        <v>116</v>
      </c>
      <c r="CQ69" s="16"/>
      <c r="CR69" s="16"/>
      <c r="CS69" s="16"/>
      <c r="CT69" s="16"/>
      <c r="CU69" s="17"/>
      <c r="CV69" s="16"/>
      <c r="CW69" s="16"/>
      <c r="CX69" s="16"/>
      <c r="CY69" s="16"/>
      <c r="CZ69" s="17"/>
      <c r="DA69" s="16"/>
      <c r="DB69" s="16"/>
      <c r="DC69" s="16"/>
      <c r="DD69" s="16"/>
      <c r="DE69" s="17"/>
      <c r="DF69" s="16"/>
      <c r="DG69" s="16"/>
      <c r="DH69" s="16"/>
      <c r="DI69" s="16"/>
      <c r="DJ69" s="17"/>
      <c r="DK69" s="16"/>
      <c r="DL69" s="16"/>
      <c r="DM69" s="16"/>
      <c r="DN69" s="16"/>
      <c r="DO69" s="17"/>
      <c r="DP69" s="16"/>
      <c r="DQ69" s="16"/>
      <c r="DR69" s="16"/>
      <c r="DS69" s="16"/>
      <c r="DT69" s="17"/>
      <c r="DU69" s="17"/>
      <c r="DV69" s="17"/>
    </row>
    <row r="70" spans="1:126" s="13" customFormat="1">
      <c r="A70" s="32"/>
      <c r="B70" s="41" t="s">
        <v>490</v>
      </c>
      <c r="C70" s="272"/>
      <c r="D70" s="272"/>
      <c r="E70" s="272"/>
      <c r="F70" s="272"/>
      <c r="G70" s="272"/>
      <c r="H70" s="272"/>
      <c r="I70" s="272"/>
      <c r="N70" s="283"/>
      <c r="O70" s="276"/>
      <c r="P70" s="276"/>
      <c r="Q70" s="276"/>
      <c r="S70" s="85"/>
      <c r="T70" s="287"/>
      <c r="U70" s="287"/>
      <c r="V70" s="287"/>
      <c r="X70" s="85"/>
      <c r="Y70" s="292"/>
      <c r="Z70" s="292"/>
      <c r="AA70" s="292"/>
      <c r="AC70" s="17"/>
      <c r="AD70" s="297"/>
      <c r="AE70" s="297"/>
      <c r="AF70" s="297"/>
      <c r="AH70" s="17"/>
      <c r="AI70" s="302"/>
      <c r="AJ70" s="302"/>
      <c r="AK70" s="302"/>
      <c r="AM70" s="17"/>
      <c r="AR70" s="17"/>
      <c r="AW70" s="17"/>
      <c r="AZ70" s="16"/>
      <c r="BA70" s="16"/>
      <c r="BB70" s="17"/>
      <c r="BD70" s="16"/>
      <c r="BE70" s="16"/>
      <c r="BF70" s="16"/>
      <c r="BG70" s="17"/>
      <c r="BH70" s="16"/>
      <c r="BI70" s="16"/>
      <c r="BJ70" s="472"/>
      <c r="BK70" s="16"/>
      <c r="BL70" s="17"/>
      <c r="BM70" s="16"/>
      <c r="BN70" s="16"/>
      <c r="BO70" s="472"/>
      <c r="BP70" s="16"/>
      <c r="BQ70" s="17"/>
      <c r="BR70" s="16"/>
      <c r="BS70" s="16"/>
      <c r="BT70" s="472"/>
      <c r="BU70" s="16"/>
      <c r="BV70" s="17"/>
      <c r="BW70" s="16"/>
      <c r="BX70" s="16"/>
      <c r="BY70" s="472"/>
      <c r="BZ70" s="16"/>
      <c r="CA70" s="17"/>
      <c r="CB70" s="16"/>
      <c r="CC70" s="16"/>
      <c r="CD70" s="472"/>
      <c r="CE70" s="16"/>
      <c r="CF70" s="17"/>
      <c r="CG70" s="16"/>
      <c r="CH70" s="16">
        <v>7002</v>
      </c>
      <c r="CI70" s="472"/>
      <c r="CJ70" s="368">
        <v>3258</v>
      </c>
      <c r="CK70" s="17">
        <f t="shared" si="41"/>
        <v>3258</v>
      </c>
      <c r="CL70" s="16"/>
      <c r="CM70" s="16">
        <v>1297</v>
      </c>
      <c r="CN70" s="472">
        <v>1307</v>
      </c>
      <c r="CO70" s="16">
        <v>550</v>
      </c>
      <c r="CP70" s="17">
        <f t="shared" si="42"/>
        <v>550</v>
      </c>
      <c r="CQ70" s="16">
        <v>1369</v>
      </c>
      <c r="CR70" s="16">
        <v>1370</v>
      </c>
      <c r="CS70" s="16">
        <v>274</v>
      </c>
      <c r="CT70" s="16">
        <v>24</v>
      </c>
      <c r="CU70" s="17">
        <f t="shared" si="43"/>
        <v>24</v>
      </c>
      <c r="CV70" s="16">
        <v>24</v>
      </c>
      <c r="CW70" s="16">
        <v>26</v>
      </c>
      <c r="CX70" s="16">
        <v>193</v>
      </c>
      <c r="CY70" s="16">
        <v>595</v>
      </c>
      <c r="CZ70" s="17">
        <f t="shared" si="44"/>
        <v>595</v>
      </c>
      <c r="DA70" s="16">
        <v>1545</v>
      </c>
      <c r="DB70" s="16">
        <v>1554</v>
      </c>
      <c r="DC70" s="16">
        <v>1389</v>
      </c>
      <c r="DD70" s="16">
        <v>1283</v>
      </c>
      <c r="DE70" s="17">
        <f t="shared" si="45"/>
        <v>1283</v>
      </c>
      <c r="DF70" s="16">
        <v>344</v>
      </c>
      <c r="DG70" s="443">
        <v>1617</v>
      </c>
      <c r="DH70" s="443">
        <v>3113</v>
      </c>
      <c r="DI70" s="443">
        <v>2352</v>
      </c>
      <c r="DJ70" s="17">
        <f t="shared" ref="DJ70:DJ85" si="48">DI70</f>
        <v>2352</v>
      </c>
      <c r="DK70" s="443">
        <v>2844</v>
      </c>
      <c r="DL70" s="443">
        <v>2084</v>
      </c>
      <c r="DM70" s="443">
        <v>584</v>
      </c>
      <c r="DN70" s="16"/>
      <c r="DO70" s="17"/>
      <c r="DP70" s="443"/>
      <c r="DQ70" s="16"/>
      <c r="DR70" s="16"/>
      <c r="DS70" s="16"/>
      <c r="DT70" s="17"/>
      <c r="DU70" s="17"/>
      <c r="DV70" s="17"/>
    </row>
    <row r="71" spans="1:126" s="190" customFormat="1">
      <c r="A71" s="37"/>
      <c r="B71" s="39" t="s">
        <v>52</v>
      </c>
      <c r="C71" s="274"/>
      <c r="D71" s="274"/>
      <c r="E71" s="274"/>
      <c r="F71" s="274"/>
      <c r="G71" s="274"/>
      <c r="H71" s="274"/>
      <c r="I71" s="274"/>
      <c r="M71" s="13"/>
      <c r="N71" s="285"/>
      <c r="O71" s="278"/>
      <c r="P71" s="278"/>
      <c r="Q71" s="278"/>
      <c r="R71" s="13"/>
      <c r="S71" s="75"/>
      <c r="T71" s="289"/>
      <c r="U71" s="289"/>
      <c r="V71" s="289"/>
      <c r="X71" s="75"/>
      <c r="Y71" s="294"/>
      <c r="Z71" s="294"/>
      <c r="AA71" s="294"/>
      <c r="AC71" s="17"/>
      <c r="AD71" s="299"/>
      <c r="AE71" s="299"/>
      <c r="AF71" s="299"/>
      <c r="AH71" s="75"/>
      <c r="AI71" s="304"/>
      <c r="AJ71" s="304"/>
      <c r="AK71" s="304"/>
      <c r="AM71" s="75"/>
      <c r="AR71" s="75"/>
      <c r="AW71" s="75"/>
      <c r="BB71" s="75"/>
      <c r="BG71" s="17"/>
      <c r="BJ71" s="474"/>
      <c r="BK71" s="474"/>
      <c r="BL71" s="17"/>
      <c r="BM71" s="474"/>
      <c r="BN71" s="474"/>
      <c r="BO71" s="474"/>
      <c r="BP71" s="474"/>
      <c r="BQ71" s="17"/>
      <c r="BR71" s="474"/>
      <c r="BS71" s="474"/>
      <c r="BT71" s="474"/>
      <c r="BU71" s="474"/>
      <c r="BV71" s="17"/>
      <c r="BW71" s="474"/>
      <c r="BX71" s="474"/>
      <c r="BY71" s="474"/>
      <c r="BZ71" s="474"/>
      <c r="CA71" s="75"/>
      <c r="CB71" s="474"/>
      <c r="CC71" s="474"/>
      <c r="CD71" s="474"/>
      <c r="CE71" s="474"/>
      <c r="CF71" s="75"/>
      <c r="CG71" s="474"/>
      <c r="CH71" s="474">
        <f>SUM(CH64:CH70)</f>
        <v>34520</v>
      </c>
      <c r="CI71" s="474"/>
      <c r="CJ71" s="474">
        <f>SUM(CJ64:CJ70)</f>
        <v>46594</v>
      </c>
      <c r="CK71" s="75">
        <f t="shared" si="41"/>
        <v>46594</v>
      </c>
      <c r="CL71" s="474"/>
      <c r="CM71" s="474">
        <f>SUM(CM64:CM70)</f>
        <v>35291</v>
      </c>
      <c r="CN71" s="474">
        <f>SUM(CN64:CN70)</f>
        <v>35562</v>
      </c>
      <c r="CO71" s="474">
        <f>SUM(CO64:CO70)</f>
        <v>35848</v>
      </c>
      <c r="CP71" s="75">
        <f t="shared" si="42"/>
        <v>35848</v>
      </c>
      <c r="CQ71" s="474">
        <f>SUM(CQ64:CQ70)</f>
        <v>36359</v>
      </c>
      <c r="CR71" s="474">
        <f>SUM(CR64:CR70)</f>
        <v>34794</v>
      </c>
      <c r="CS71" s="474">
        <f>SUM(CS64:CS70)</f>
        <v>34131</v>
      </c>
      <c r="CT71" s="474">
        <f>SUM(CT64:CT70)</f>
        <v>35449</v>
      </c>
      <c r="CU71" s="75">
        <f t="shared" si="43"/>
        <v>35449</v>
      </c>
      <c r="CV71" s="474">
        <f>SUM(CV64:CV70)</f>
        <v>35057</v>
      </c>
      <c r="CW71" s="474">
        <f>SUM(CW64:CW70)</f>
        <v>37788</v>
      </c>
      <c r="CX71" s="474">
        <f>SUM(CX64:CX70)</f>
        <v>38373</v>
      </c>
      <c r="CY71" s="474">
        <f>SUM(CY64:CY70)</f>
        <v>39114</v>
      </c>
      <c r="CZ71" s="75">
        <f t="shared" si="44"/>
        <v>39114</v>
      </c>
      <c r="DA71" s="474">
        <f>SUM(DA64:DA70)</f>
        <v>40128</v>
      </c>
      <c r="DB71" s="474">
        <f>SUM(DB64:DB70)</f>
        <v>41760</v>
      </c>
      <c r="DC71" s="474">
        <f>SUM(DC64:DC70)</f>
        <v>45002</v>
      </c>
      <c r="DD71" s="76">
        <f>SUM(DD64:DD70)</f>
        <v>46761</v>
      </c>
      <c r="DE71" s="75">
        <f t="shared" si="45"/>
        <v>46761</v>
      </c>
      <c r="DF71" s="474">
        <f>SUM(DF64:DF70)</f>
        <v>45019</v>
      </c>
      <c r="DG71" s="76">
        <f>SUM(DG64:DG70)</f>
        <v>49565</v>
      </c>
      <c r="DH71" s="76">
        <f>SUM(DH64:DH70)</f>
        <v>52247</v>
      </c>
      <c r="DI71" s="76">
        <f>SUM(DI64:DI70)</f>
        <v>51499</v>
      </c>
      <c r="DJ71" s="75">
        <f t="shared" si="48"/>
        <v>51499</v>
      </c>
      <c r="DK71" s="474">
        <f>SUM(DK64:DK70)</f>
        <v>52624</v>
      </c>
      <c r="DL71" s="76">
        <f>SUM(DL64:DL70)</f>
        <v>54332</v>
      </c>
      <c r="DM71" s="76">
        <f>SUM(DM64:DM70)</f>
        <v>53234</v>
      </c>
      <c r="DN71" s="76"/>
      <c r="DO71" s="75"/>
      <c r="DP71" s="474"/>
      <c r="DQ71" s="76"/>
      <c r="DR71" s="76"/>
      <c r="DS71" s="76"/>
      <c r="DT71" s="75"/>
      <c r="DU71" s="75"/>
      <c r="DV71" s="75"/>
    </row>
    <row r="72" spans="1:126" s="13" customFormat="1">
      <c r="A72" s="32"/>
      <c r="B72" s="41" t="s">
        <v>53</v>
      </c>
      <c r="C72" s="272"/>
      <c r="D72" s="272"/>
      <c r="E72" s="272"/>
      <c r="F72" s="272"/>
      <c r="G72" s="272"/>
      <c r="H72" s="272"/>
      <c r="I72" s="272"/>
      <c r="N72" s="283"/>
      <c r="O72" s="276"/>
      <c r="P72" s="276"/>
      <c r="Q72" s="276"/>
      <c r="S72" s="17"/>
      <c r="T72" s="287"/>
      <c r="U72" s="287"/>
      <c r="V72" s="287"/>
      <c r="X72" s="17"/>
      <c r="Y72" s="292"/>
      <c r="Z72" s="292"/>
      <c r="AA72" s="292"/>
      <c r="AC72" s="17"/>
      <c r="AD72" s="297"/>
      <c r="AE72" s="297"/>
      <c r="AF72" s="297"/>
      <c r="AH72" s="17"/>
      <c r="AI72" s="302"/>
      <c r="AJ72" s="302"/>
      <c r="AK72" s="302"/>
      <c r="AM72" s="17"/>
      <c r="AR72" s="17"/>
      <c r="AW72" s="17"/>
      <c r="AZ72" s="16"/>
      <c r="BA72" s="16"/>
      <c r="BB72" s="17"/>
      <c r="BD72" s="16"/>
      <c r="BE72" s="16"/>
      <c r="BF72" s="16"/>
      <c r="BG72" s="17"/>
      <c r="BH72" s="16"/>
      <c r="BI72" s="16"/>
      <c r="BJ72" s="472"/>
      <c r="BK72" s="16"/>
      <c r="BL72" s="17"/>
      <c r="BM72" s="16"/>
      <c r="BN72" s="16"/>
      <c r="BO72" s="472"/>
      <c r="BP72" s="16"/>
      <c r="BQ72" s="17"/>
      <c r="BR72" s="16"/>
      <c r="BS72" s="16"/>
      <c r="BT72" s="472"/>
      <c r="BU72" s="16"/>
      <c r="BV72" s="17"/>
      <c r="BW72" s="16"/>
      <c r="BX72" s="16"/>
      <c r="BY72" s="472"/>
      <c r="BZ72" s="16"/>
      <c r="CA72" s="17"/>
      <c r="CB72" s="16"/>
      <c r="CC72" s="16"/>
      <c r="CD72" s="472"/>
      <c r="CE72" s="16"/>
      <c r="CF72" s="17"/>
      <c r="CG72" s="16"/>
      <c r="CH72" s="16">
        <v>25714</v>
      </c>
      <c r="CI72" s="472"/>
      <c r="CJ72" s="16">
        <v>37701</v>
      </c>
      <c r="CK72" s="17">
        <f t="shared" si="41"/>
        <v>37701</v>
      </c>
      <c r="CL72" s="16"/>
      <c r="CM72" s="16">
        <v>31210</v>
      </c>
      <c r="CN72" s="472">
        <v>31246</v>
      </c>
      <c r="CO72" s="16">
        <v>31026</v>
      </c>
      <c r="CP72" s="17">
        <f t="shared" si="42"/>
        <v>31026</v>
      </c>
      <c r="CQ72" s="16">
        <v>29935</v>
      </c>
      <c r="CR72" s="16">
        <v>29916</v>
      </c>
      <c r="CS72" s="16">
        <v>30768</v>
      </c>
      <c r="CT72" s="16">
        <v>31327</v>
      </c>
      <c r="CU72" s="17">
        <f t="shared" si="43"/>
        <v>31327</v>
      </c>
      <c r="CV72" s="16">
        <v>31308</v>
      </c>
      <c r="CW72" s="16">
        <v>31274</v>
      </c>
      <c r="CX72" s="16">
        <v>31059</v>
      </c>
      <c r="CY72" s="16">
        <v>30694</v>
      </c>
      <c r="CZ72" s="17">
        <f t="shared" si="44"/>
        <v>30694</v>
      </c>
      <c r="DA72" s="16">
        <v>32717</v>
      </c>
      <c r="DB72" s="16">
        <v>32723</v>
      </c>
      <c r="DC72" s="16">
        <v>32701</v>
      </c>
      <c r="DD72" s="16">
        <v>42355</v>
      </c>
      <c r="DE72" s="17">
        <f t="shared" si="45"/>
        <v>42355</v>
      </c>
      <c r="DF72" s="16">
        <v>42334</v>
      </c>
      <c r="DG72" s="443">
        <v>40303</v>
      </c>
      <c r="DH72" s="443">
        <v>38823</v>
      </c>
      <c r="DI72" s="443">
        <v>38726</v>
      </c>
      <c r="DJ72" s="17">
        <f t="shared" si="48"/>
        <v>38726</v>
      </c>
      <c r="DK72" s="443">
        <v>38244</v>
      </c>
      <c r="DL72" s="443">
        <v>38259</v>
      </c>
      <c r="DM72" s="443">
        <v>38260</v>
      </c>
      <c r="DN72" s="16"/>
      <c r="DO72" s="17"/>
      <c r="DP72" s="443"/>
      <c r="DQ72" s="16"/>
      <c r="DR72" s="16"/>
      <c r="DS72" s="16"/>
      <c r="DT72" s="17"/>
      <c r="DU72" s="17"/>
      <c r="DV72" s="17"/>
    </row>
    <row r="73" spans="1:126" s="13" customFormat="1">
      <c r="A73" s="32"/>
      <c r="B73" s="41" t="s">
        <v>491</v>
      </c>
      <c r="C73" s="272"/>
      <c r="D73" s="272"/>
      <c r="E73" s="272"/>
      <c r="F73" s="272"/>
      <c r="G73" s="272"/>
      <c r="H73" s="272"/>
      <c r="I73" s="272"/>
      <c r="N73" s="283"/>
      <c r="O73" s="276"/>
      <c r="P73" s="276"/>
      <c r="Q73" s="276"/>
      <c r="S73" s="17"/>
      <c r="T73" s="287"/>
      <c r="U73" s="287"/>
      <c r="V73" s="287"/>
      <c r="X73" s="17"/>
      <c r="Y73" s="292"/>
      <c r="Z73" s="292"/>
      <c r="AA73" s="292"/>
      <c r="AC73" s="17"/>
      <c r="AD73" s="297"/>
      <c r="AE73" s="297"/>
      <c r="AF73" s="297"/>
      <c r="AH73" s="17"/>
      <c r="AI73" s="302"/>
      <c r="AJ73" s="302"/>
      <c r="AK73" s="302"/>
      <c r="AM73" s="17"/>
      <c r="AR73" s="17"/>
      <c r="AW73" s="17"/>
      <c r="AZ73" s="16"/>
      <c r="BA73" s="16"/>
      <c r="BB73" s="17"/>
      <c r="BD73" s="16"/>
      <c r="BE73" s="16"/>
      <c r="BF73" s="16"/>
      <c r="BG73" s="17"/>
      <c r="BH73" s="16"/>
      <c r="BI73" s="16"/>
      <c r="BJ73" s="472"/>
      <c r="BK73" s="16"/>
      <c r="BL73" s="17"/>
      <c r="BM73" s="16"/>
      <c r="BN73" s="16"/>
      <c r="BO73" s="472"/>
      <c r="BP73" s="16"/>
      <c r="BQ73" s="17"/>
      <c r="BR73" s="16"/>
      <c r="BS73" s="16"/>
      <c r="BT73" s="472"/>
      <c r="BU73" s="16"/>
      <c r="BV73" s="17"/>
      <c r="BW73" s="16"/>
      <c r="BX73" s="16"/>
      <c r="BY73" s="472"/>
      <c r="BZ73" s="16"/>
      <c r="CA73" s="17"/>
      <c r="CB73" s="16"/>
      <c r="CC73" s="16"/>
      <c r="CD73" s="472"/>
      <c r="CE73" s="16"/>
      <c r="CF73" s="17"/>
      <c r="CG73" s="16"/>
      <c r="CH73" s="16">
        <v>9765</v>
      </c>
      <c r="CI73" s="472"/>
      <c r="CJ73" s="16">
        <v>2487</v>
      </c>
      <c r="CK73" s="17">
        <f t="shared" si="41"/>
        <v>2487</v>
      </c>
      <c r="CL73" s="16"/>
      <c r="CM73" s="16">
        <v>14972</v>
      </c>
      <c r="CN73" s="472">
        <v>14688</v>
      </c>
      <c r="CO73" s="16">
        <v>10342</v>
      </c>
      <c r="CP73" s="17">
        <f t="shared" si="42"/>
        <v>10342</v>
      </c>
      <c r="CQ73" s="16">
        <v>9808</v>
      </c>
      <c r="CR73" s="16">
        <v>9929</v>
      </c>
      <c r="CS73" s="16">
        <v>9742</v>
      </c>
      <c r="CT73" s="16">
        <v>7855</v>
      </c>
      <c r="CU73" s="17">
        <f t="shared" si="43"/>
        <v>7855</v>
      </c>
      <c r="CV73" s="16">
        <v>7709</v>
      </c>
      <c r="CW73" s="16">
        <v>7543</v>
      </c>
      <c r="CX73" s="16">
        <v>7362</v>
      </c>
      <c r="CY73" s="16">
        <v>4807</v>
      </c>
      <c r="CZ73" s="17">
        <f t="shared" si="44"/>
        <v>4807</v>
      </c>
      <c r="DA73" s="16">
        <v>4676</v>
      </c>
      <c r="DB73" s="16">
        <v>4579</v>
      </c>
      <c r="DC73" s="16">
        <v>4457</v>
      </c>
      <c r="DD73" s="16">
        <v>2385</v>
      </c>
      <c r="DE73" s="17">
        <f t="shared" si="45"/>
        <v>2385</v>
      </c>
      <c r="DF73" s="16">
        <v>1410</v>
      </c>
      <c r="DG73" s="443">
        <v>2264</v>
      </c>
      <c r="DH73" s="443">
        <v>2230</v>
      </c>
      <c r="DI73" s="443">
        <v>2104</v>
      </c>
      <c r="DJ73" s="17">
        <f t="shared" si="48"/>
        <v>2104</v>
      </c>
      <c r="DK73" s="443">
        <v>1646</v>
      </c>
      <c r="DL73" s="443">
        <v>2038</v>
      </c>
      <c r="DM73" s="443">
        <v>1981</v>
      </c>
      <c r="DN73" s="16"/>
      <c r="DO73" s="17"/>
      <c r="DP73" s="443"/>
      <c r="DQ73" s="16"/>
      <c r="DR73" s="16"/>
      <c r="DS73" s="16"/>
      <c r="DT73" s="17"/>
      <c r="DU73" s="17"/>
      <c r="DV73" s="17"/>
    </row>
    <row r="74" spans="1:126" s="13" customFormat="1">
      <c r="A74" s="32"/>
      <c r="B74" s="41" t="s">
        <v>477</v>
      </c>
      <c r="C74" s="272"/>
      <c r="D74" s="272"/>
      <c r="E74" s="272"/>
      <c r="F74" s="272"/>
      <c r="G74" s="272"/>
      <c r="H74" s="272"/>
      <c r="I74" s="272"/>
      <c r="N74" s="283"/>
      <c r="O74" s="276"/>
      <c r="P74" s="276"/>
      <c r="Q74" s="276"/>
      <c r="S74" s="17"/>
      <c r="T74" s="287"/>
      <c r="U74" s="287"/>
      <c r="V74" s="287"/>
      <c r="X74" s="17"/>
      <c r="Y74" s="292"/>
      <c r="Z74" s="292"/>
      <c r="AA74" s="292"/>
      <c r="AC74" s="17"/>
      <c r="AD74" s="297"/>
      <c r="AE74" s="297"/>
      <c r="AF74" s="297"/>
      <c r="AH74" s="17"/>
      <c r="AI74" s="302"/>
      <c r="AJ74" s="302"/>
      <c r="AK74" s="302"/>
      <c r="AM74" s="17"/>
      <c r="AR74" s="17"/>
      <c r="AW74" s="17"/>
      <c r="AZ74" s="16"/>
      <c r="BA74" s="16"/>
      <c r="BB74" s="17"/>
      <c r="BD74" s="16"/>
      <c r="BE74" s="16"/>
      <c r="BF74" s="16"/>
      <c r="BG74" s="17"/>
      <c r="BH74" s="16"/>
      <c r="BI74" s="16"/>
      <c r="BJ74" s="472"/>
      <c r="BK74" s="16"/>
      <c r="BL74" s="17"/>
      <c r="BM74" s="16"/>
      <c r="BN74" s="16"/>
      <c r="BO74" s="472"/>
      <c r="BP74" s="16"/>
      <c r="BQ74" s="17"/>
      <c r="BR74" s="16"/>
      <c r="BS74" s="16"/>
      <c r="BT74" s="472"/>
      <c r="BU74" s="16"/>
      <c r="BV74" s="17"/>
      <c r="BW74" s="16"/>
      <c r="BX74" s="16"/>
      <c r="BY74" s="472"/>
      <c r="BZ74" s="16"/>
      <c r="CA74" s="17"/>
      <c r="CB74" s="16"/>
      <c r="CC74" s="16"/>
      <c r="CD74" s="472"/>
      <c r="CE74" s="16"/>
      <c r="CF74" s="17"/>
      <c r="CG74" s="16"/>
      <c r="CH74" s="16">
        <v>1826</v>
      </c>
      <c r="CI74" s="472"/>
      <c r="CJ74" s="16">
        <v>1093</v>
      </c>
      <c r="CK74" s="17">
        <f t="shared" si="41"/>
        <v>1093</v>
      </c>
      <c r="CL74" s="16"/>
      <c r="CM74" s="16">
        <v>1723</v>
      </c>
      <c r="CN74" s="472">
        <v>1651</v>
      </c>
      <c r="CO74" s="16">
        <v>1516</v>
      </c>
      <c r="CP74" s="17">
        <f t="shared" si="42"/>
        <v>1516</v>
      </c>
      <c r="CQ74" s="16">
        <v>1552</v>
      </c>
      <c r="CR74" s="16">
        <v>1563</v>
      </c>
      <c r="CS74" s="16">
        <v>1541</v>
      </c>
      <c r="CT74" s="16">
        <v>1657</v>
      </c>
      <c r="CU74" s="17">
        <f t="shared" ref="CU74" si="49">CT74</f>
        <v>1657</v>
      </c>
      <c r="CV74" s="16">
        <v>1627</v>
      </c>
      <c r="CW74" s="16">
        <v>1593</v>
      </c>
      <c r="CX74" s="16">
        <v>1539</v>
      </c>
      <c r="CY74" s="16">
        <v>1586</v>
      </c>
      <c r="CZ74" s="17">
        <f t="shared" si="44"/>
        <v>1586</v>
      </c>
      <c r="DA74" s="16">
        <v>1624</v>
      </c>
      <c r="DB74" s="16">
        <v>1570</v>
      </c>
      <c r="DC74" s="16">
        <v>1523</v>
      </c>
      <c r="DD74" s="16">
        <v>1412</v>
      </c>
      <c r="DE74" s="17">
        <f t="shared" si="45"/>
        <v>1412</v>
      </c>
      <c r="DF74" s="16">
        <v>2320</v>
      </c>
      <c r="DG74" s="443">
        <v>1415</v>
      </c>
      <c r="DH74" s="443">
        <v>1592</v>
      </c>
      <c r="DI74" s="443">
        <v>1632</v>
      </c>
      <c r="DJ74" s="17">
        <f t="shared" si="48"/>
        <v>1632</v>
      </c>
      <c r="DK74" s="443">
        <v>2060</v>
      </c>
      <c r="DL74" s="443">
        <v>1617</v>
      </c>
      <c r="DM74" s="443">
        <v>1650</v>
      </c>
      <c r="DN74" s="16"/>
      <c r="DO74" s="17"/>
      <c r="DP74" s="443"/>
      <c r="DQ74" s="16"/>
      <c r="DR74" s="16"/>
      <c r="DS74" s="16"/>
      <c r="DT74" s="17"/>
      <c r="DU74" s="17"/>
      <c r="DV74" s="17"/>
    </row>
    <row r="75" spans="1:126" s="13" customFormat="1">
      <c r="A75" s="32"/>
      <c r="B75" s="41" t="s">
        <v>54</v>
      </c>
      <c r="C75" s="272"/>
      <c r="D75" s="272"/>
      <c r="E75" s="272"/>
      <c r="F75" s="272"/>
      <c r="G75" s="272"/>
      <c r="H75" s="272"/>
      <c r="I75" s="272"/>
      <c r="N75" s="283"/>
      <c r="O75" s="276"/>
      <c r="P75" s="276"/>
      <c r="Q75" s="276"/>
      <c r="S75" s="195"/>
      <c r="T75" s="287"/>
      <c r="U75" s="287"/>
      <c r="V75" s="287"/>
      <c r="X75" s="17"/>
      <c r="Y75" s="292"/>
      <c r="Z75" s="292"/>
      <c r="AA75" s="292"/>
      <c r="AC75" s="17"/>
      <c r="AD75" s="297"/>
      <c r="AE75" s="297"/>
      <c r="AF75" s="297"/>
      <c r="AH75" s="17"/>
      <c r="AI75" s="302"/>
      <c r="AJ75" s="302"/>
      <c r="AK75" s="302"/>
      <c r="AM75" s="17"/>
      <c r="AR75" s="17"/>
      <c r="AW75" s="17"/>
      <c r="AZ75" s="16"/>
      <c r="BA75" s="16"/>
      <c r="BB75" s="17"/>
      <c r="BD75" s="16"/>
      <c r="BE75" s="16"/>
      <c r="BF75" s="16"/>
      <c r="BG75" s="17"/>
      <c r="BH75" s="16"/>
      <c r="BI75" s="16"/>
      <c r="BJ75" s="472"/>
      <c r="BK75" s="16"/>
      <c r="BL75" s="17"/>
      <c r="BM75" s="16"/>
      <c r="BN75" s="16"/>
      <c r="BO75" s="472"/>
      <c r="BP75" s="16"/>
      <c r="BQ75" s="17"/>
      <c r="BR75" s="16"/>
      <c r="BS75" s="16"/>
      <c r="BT75" s="472"/>
      <c r="BU75" s="16"/>
      <c r="BV75" s="17"/>
      <c r="BW75" s="368"/>
      <c r="BX75" s="16"/>
      <c r="BY75" s="472"/>
      <c r="BZ75" s="16"/>
      <c r="CA75" s="17"/>
      <c r="CB75" s="16"/>
      <c r="CC75" s="16"/>
      <c r="CD75" s="472"/>
      <c r="CE75" s="16"/>
      <c r="CF75" s="17"/>
      <c r="CG75" s="16"/>
      <c r="CH75" s="16">
        <v>20627</v>
      </c>
      <c r="CI75" s="472"/>
      <c r="CJ75" s="16">
        <v>7414</v>
      </c>
      <c r="CK75" s="17">
        <f t="shared" si="41"/>
        <v>7414</v>
      </c>
      <c r="CL75" s="16"/>
      <c r="CM75" s="16">
        <v>9394</v>
      </c>
      <c r="CN75" s="472">
        <v>9142</v>
      </c>
      <c r="CO75" s="16">
        <v>9537</v>
      </c>
      <c r="CP75" s="17">
        <f t="shared" si="42"/>
        <v>9537</v>
      </c>
      <c r="CQ75" s="16">
        <v>9612</v>
      </c>
      <c r="CR75" s="16">
        <v>9885</v>
      </c>
      <c r="CS75" s="16">
        <v>9621</v>
      </c>
      <c r="CT75" s="16">
        <v>10417</v>
      </c>
      <c r="CU75" s="17">
        <f t="shared" si="43"/>
        <v>10417</v>
      </c>
      <c r="CV75" s="16">
        <v>9643</v>
      </c>
      <c r="CW75" s="16">
        <v>8791</v>
      </c>
      <c r="CX75" s="16">
        <v>8124</v>
      </c>
      <c r="CY75" s="16">
        <v>8449</v>
      </c>
      <c r="CZ75" s="17">
        <f t="shared" si="44"/>
        <v>8449</v>
      </c>
      <c r="DA75" s="16">
        <v>8106</v>
      </c>
      <c r="DB75" s="16">
        <v>7442</v>
      </c>
      <c r="DC75" s="16">
        <v>7514</v>
      </c>
      <c r="DD75" s="16">
        <v>7511</v>
      </c>
      <c r="DE75" s="17">
        <f t="shared" si="45"/>
        <v>7511</v>
      </c>
      <c r="DF75" s="16">
        <v>6967</v>
      </c>
      <c r="DG75" s="443">
        <v>6941</v>
      </c>
      <c r="DH75" s="443">
        <v>7071</v>
      </c>
      <c r="DI75" s="443">
        <v>6942</v>
      </c>
      <c r="DJ75" s="17">
        <f t="shared" si="48"/>
        <v>6942</v>
      </c>
      <c r="DK75" s="443">
        <v>6946</v>
      </c>
      <c r="DL75" s="443">
        <v>6646</v>
      </c>
      <c r="DM75" s="443">
        <v>7154</v>
      </c>
      <c r="DN75" s="16"/>
      <c r="DO75" s="17"/>
      <c r="DP75" s="443"/>
      <c r="DQ75" s="16"/>
      <c r="DR75" s="16"/>
      <c r="DS75" s="16"/>
      <c r="DT75" s="17"/>
      <c r="DU75" s="17"/>
      <c r="DV75" s="17"/>
    </row>
    <row r="76" spans="1:126" s="13" customFormat="1">
      <c r="A76" s="32"/>
      <c r="B76" s="39" t="s">
        <v>168</v>
      </c>
      <c r="C76" s="274"/>
      <c r="D76" s="274"/>
      <c r="E76" s="274"/>
      <c r="F76" s="274"/>
      <c r="G76" s="274"/>
      <c r="H76" s="274"/>
      <c r="I76" s="274"/>
      <c r="J76" s="190"/>
      <c r="K76" s="190"/>
      <c r="L76" s="190"/>
      <c r="N76" s="285"/>
      <c r="O76" s="278"/>
      <c r="P76" s="278"/>
      <c r="Q76" s="278"/>
      <c r="S76" s="75"/>
      <c r="T76" s="289"/>
      <c r="U76" s="289"/>
      <c r="V76" s="289"/>
      <c r="W76" s="190"/>
      <c r="X76" s="75"/>
      <c r="Y76" s="294"/>
      <c r="Z76" s="294"/>
      <c r="AA76" s="294"/>
      <c r="AB76" s="190"/>
      <c r="AC76" s="17"/>
      <c r="AD76" s="299"/>
      <c r="AE76" s="299"/>
      <c r="AF76" s="299"/>
      <c r="AG76" s="190"/>
      <c r="AH76" s="75"/>
      <c r="AI76" s="304"/>
      <c r="AJ76" s="304"/>
      <c r="AK76" s="304"/>
      <c r="AL76" s="190"/>
      <c r="AM76" s="75"/>
      <c r="AN76" s="190"/>
      <c r="AO76" s="190"/>
      <c r="AP76" s="190"/>
      <c r="AQ76" s="190"/>
      <c r="AR76" s="75"/>
      <c r="AS76" s="190"/>
      <c r="AT76" s="190"/>
      <c r="AU76" s="190"/>
      <c r="AV76" s="190"/>
      <c r="AW76" s="75"/>
      <c r="AX76" s="190"/>
      <c r="AY76" s="190"/>
      <c r="AZ76" s="190"/>
      <c r="BA76" s="190"/>
      <c r="BB76" s="75"/>
      <c r="BC76" s="190"/>
      <c r="BD76" s="190"/>
      <c r="BE76" s="190"/>
      <c r="BF76" s="190"/>
      <c r="BG76" s="17"/>
      <c r="BH76" s="190"/>
      <c r="BI76" s="190"/>
      <c r="BJ76" s="474"/>
      <c r="BK76" s="474"/>
      <c r="BL76" s="17"/>
      <c r="BM76" s="474"/>
      <c r="BN76" s="474"/>
      <c r="BO76" s="474"/>
      <c r="BP76" s="474"/>
      <c r="BQ76" s="17"/>
      <c r="BR76" s="474"/>
      <c r="BS76" s="474"/>
      <c r="BT76" s="474"/>
      <c r="BU76" s="474"/>
      <c r="BV76" s="17"/>
      <c r="BW76" s="474"/>
      <c r="BX76" s="474"/>
      <c r="BY76" s="474"/>
      <c r="BZ76" s="474"/>
      <c r="CA76" s="75"/>
      <c r="CB76" s="474"/>
      <c r="CC76" s="474"/>
      <c r="CD76" s="474"/>
      <c r="CE76" s="474"/>
      <c r="CF76" s="75"/>
      <c r="CG76" s="474"/>
      <c r="CH76" s="474">
        <f>SUM(CH71:CH75)</f>
        <v>92452</v>
      </c>
      <c r="CI76" s="474"/>
      <c r="CJ76" s="474">
        <f>SUM(CJ71:CJ75)</f>
        <v>95289</v>
      </c>
      <c r="CK76" s="17">
        <f t="shared" si="41"/>
        <v>95289</v>
      </c>
      <c r="CL76" s="474"/>
      <c r="CM76" s="474">
        <f>SUM(CM71:CM75)</f>
        <v>92590</v>
      </c>
      <c r="CN76" s="474">
        <f>SUM(CN71:CN75)</f>
        <v>92289</v>
      </c>
      <c r="CO76" s="474">
        <f>SUM(CO71:CO75)</f>
        <v>88269</v>
      </c>
      <c r="CP76" s="75">
        <f t="shared" si="42"/>
        <v>88269</v>
      </c>
      <c r="CQ76" s="474">
        <f>SUM(CQ71:CQ75)</f>
        <v>87266</v>
      </c>
      <c r="CR76" s="474">
        <f>SUM(CR71:CR75)</f>
        <v>86087</v>
      </c>
      <c r="CS76" s="474">
        <f>SUM(CS71:CS75)</f>
        <v>85803</v>
      </c>
      <c r="CT76" s="474">
        <f>SUM(CT71:CT75)</f>
        <v>86705</v>
      </c>
      <c r="CU76" s="75">
        <f t="shared" si="43"/>
        <v>86705</v>
      </c>
      <c r="CV76" s="474">
        <f>SUM(CV71:CV75)</f>
        <v>85344</v>
      </c>
      <c r="CW76" s="474">
        <f>SUM(CW71:CW75)</f>
        <v>86989</v>
      </c>
      <c r="CX76" s="474">
        <f>SUM(CX71:CX75)</f>
        <v>86457</v>
      </c>
      <c r="CY76" s="474">
        <f>SUM(CY71:CY75)</f>
        <v>84650</v>
      </c>
      <c r="CZ76" s="75">
        <f t="shared" si="44"/>
        <v>84650</v>
      </c>
      <c r="DA76" s="474">
        <f>SUM(DA71:DA75)</f>
        <v>87251</v>
      </c>
      <c r="DB76" s="474">
        <f>SUM(DB71:DB75)</f>
        <v>88074</v>
      </c>
      <c r="DC76" s="474">
        <f>SUM(DC71:DC75)</f>
        <v>91197</v>
      </c>
      <c r="DD76" s="16">
        <f>SUM(DD71:DD75)</f>
        <v>100424</v>
      </c>
      <c r="DE76" s="75">
        <f t="shared" si="45"/>
        <v>100424</v>
      </c>
      <c r="DF76" s="474">
        <f>SUM(DF71:DF75)</f>
        <v>98050</v>
      </c>
      <c r="DG76" s="76">
        <f>SUM(DG71:DG75)</f>
        <v>100488</v>
      </c>
      <c r="DH76" s="76">
        <f>SUM(DH71:DH75)</f>
        <v>101963</v>
      </c>
      <c r="DI76" s="76">
        <f>SUM(DI71:DI75)</f>
        <v>100903</v>
      </c>
      <c r="DJ76" s="75">
        <f t="shared" si="48"/>
        <v>100903</v>
      </c>
      <c r="DK76" s="474">
        <f>SUM(DK71:DK75)</f>
        <v>101520</v>
      </c>
      <c r="DL76" s="76">
        <f>SUM(DL71:DL75)</f>
        <v>102892</v>
      </c>
      <c r="DM76" s="76">
        <f>SUM(DM71:DM75)</f>
        <v>102279</v>
      </c>
      <c r="DN76" s="16"/>
      <c r="DO76" s="17"/>
      <c r="DP76" s="474"/>
      <c r="DQ76" s="16"/>
      <c r="DR76" s="16"/>
      <c r="DS76" s="16"/>
      <c r="DT76" s="17"/>
      <c r="DU76" s="17"/>
      <c r="DV76" s="17"/>
    </row>
    <row r="77" spans="1:126" s="13" customFormat="1">
      <c r="A77" s="32"/>
      <c r="B77" s="41" t="s">
        <v>227</v>
      </c>
      <c r="C77" s="274"/>
      <c r="D77" s="274"/>
      <c r="E77" s="274"/>
      <c r="F77" s="274"/>
      <c r="G77" s="274"/>
      <c r="H77" s="274"/>
      <c r="I77" s="274"/>
      <c r="J77" s="190"/>
      <c r="K77" s="190"/>
      <c r="L77" s="190"/>
      <c r="N77" s="285"/>
      <c r="O77" s="278"/>
      <c r="P77" s="278"/>
      <c r="Q77" s="278"/>
      <c r="R77" s="190"/>
      <c r="S77" s="195"/>
      <c r="T77" s="289"/>
      <c r="U77" s="289"/>
      <c r="V77" s="289"/>
      <c r="W77" s="190"/>
      <c r="X77" s="75"/>
      <c r="Y77" s="294"/>
      <c r="Z77" s="294"/>
      <c r="AA77" s="294"/>
      <c r="AB77" s="190"/>
      <c r="AC77" s="17"/>
      <c r="AD77" s="299"/>
      <c r="AE77" s="299"/>
      <c r="AF77" s="299"/>
      <c r="AG77" s="208"/>
      <c r="AH77" s="17"/>
      <c r="AI77" s="304"/>
      <c r="AJ77" s="304"/>
      <c r="AK77" s="304"/>
      <c r="AL77" s="208"/>
      <c r="AM77" s="17"/>
      <c r="AN77" s="208"/>
      <c r="AO77" s="208"/>
      <c r="AP77" s="208"/>
      <c r="AQ77" s="208"/>
      <c r="AR77" s="17"/>
      <c r="AS77" s="208"/>
      <c r="AT77" s="208"/>
      <c r="AU77" s="208"/>
      <c r="AV77" s="208"/>
      <c r="AW77" s="17"/>
      <c r="AX77" s="208"/>
      <c r="AY77" s="208"/>
      <c r="AZ77" s="208"/>
      <c r="BA77" s="208"/>
      <c r="BB77" s="17"/>
      <c r="BC77" s="208"/>
      <c r="BD77" s="18"/>
      <c r="BE77" s="208"/>
      <c r="BF77" s="16"/>
      <c r="BG77" s="17"/>
      <c r="BH77" s="16"/>
      <c r="BI77" s="18"/>
      <c r="BJ77" s="472"/>
      <c r="BK77" s="16"/>
      <c r="BL77" s="17"/>
      <c r="BM77" s="16"/>
      <c r="BN77" s="18"/>
      <c r="BO77" s="472"/>
      <c r="BP77" s="16"/>
      <c r="BQ77" s="17"/>
      <c r="BR77" s="16"/>
      <c r="BS77" s="18"/>
      <c r="BT77" s="472"/>
      <c r="BU77" s="16"/>
      <c r="BV77" s="17"/>
      <c r="BW77" s="16"/>
      <c r="BX77" s="18"/>
      <c r="BY77" s="472"/>
      <c r="BZ77" s="16"/>
      <c r="CA77" s="17"/>
      <c r="CB77" s="16"/>
      <c r="CC77" s="18"/>
      <c r="CD77" s="472"/>
      <c r="CE77" s="16"/>
      <c r="CF77" s="17"/>
      <c r="CG77" s="16"/>
      <c r="CH77" s="18">
        <v>435</v>
      </c>
      <c r="CI77" s="472"/>
      <c r="CJ77" s="16">
        <v>95</v>
      </c>
      <c r="CK77" s="17">
        <f t="shared" si="41"/>
        <v>95</v>
      </c>
      <c r="CL77" s="16"/>
      <c r="CM77" s="18">
        <v>35</v>
      </c>
      <c r="CN77" s="472">
        <v>30</v>
      </c>
      <c r="CO77" s="16">
        <v>32</v>
      </c>
      <c r="CP77" s="17">
        <f t="shared" si="42"/>
        <v>32</v>
      </c>
      <c r="CQ77" s="16">
        <v>34</v>
      </c>
      <c r="CR77" s="16">
        <v>30</v>
      </c>
      <c r="CS77" s="16">
        <v>32</v>
      </c>
      <c r="CT77" s="16">
        <v>35</v>
      </c>
      <c r="CU77" s="17">
        <f t="shared" si="43"/>
        <v>35</v>
      </c>
      <c r="CV77" s="16">
        <v>36</v>
      </c>
      <c r="CW77" s="16">
        <v>38</v>
      </c>
      <c r="CX77" s="16">
        <v>33</v>
      </c>
      <c r="CY77" s="16">
        <v>36</v>
      </c>
      <c r="CZ77" s="17">
        <f t="shared" si="44"/>
        <v>36</v>
      </c>
      <c r="DA77" s="16">
        <v>38</v>
      </c>
      <c r="DB77" s="16">
        <v>31</v>
      </c>
      <c r="DC77" s="16">
        <v>33</v>
      </c>
      <c r="DD77" s="16">
        <v>35</v>
      </c>
      <c r="DE77" s="17">
        <f t="shared" si="45"/>
        <v>35</v>
      </c>
      <c r="DF77" s="16">
        <v>37</v>
      </c>
      <c r="DG77" s="443">
        <v>31</v>
      </c>
      <c r="DH77" s="443">
        <v>33</v>
      </c>
      <c r="DI77" s="443">
        <v>35</v>
      </c>
      <c r="DJ77" s="17">
        <f t="shared" si="48"/>
        <v>35</v>
      </c>
      <c r="DK77" s="443">
        <v>37</v>
      </c>
      <c r="DL77" s="443">
        <v>41</v>
      </c>
      <c r="DM77" s="443">
        <v>34</v>
      </c>
      <c r="DN77" s="16"/>
      <c r="DO77" s="17"/>
      <c r="DP77" s="443"/>
      <c r="DQ77" s="16"/>
      <c r="DR77" s="16"/>
      <c r="DS77" s="16"/>
      <c r="DT77" s="17"/>
      <c r="DU77" s="17"/>
      <c r="DV77" s="17"/>
    </row>
    <row r="78" spans="1:126" s="13" customFormat="1">
      <c r="A78" s="32"/>
      <c r="B78" s="41" t="s">
        <v>58</v>
      </c>
      <c r="C78" s="272"/>
      <c r="D78" s="272"/>
      <c r="E78" s="272"/>
      <c r="F78" s="272"/>
      <c r="G78" s="272"/>
      <c r="H78" s="272"/>
      <c r="I78" s="272"/>
      <c r="N78" s="283"/>
      <c r="O78" s="276"/>
      <c r="P78" s="276"/>
      <c r="Q78" s="276"/>
      <c r="S78" s="17"/>
      <c r="T78" s="287"/>
      <c r="U78" s="287"/>
      <c r="V78" s="287"/>
      <c r="X78" s="17"/>
      <c r="Y78" s="292"/>
      <c r="Z78" s="292"/>
      <c r="AA78" s="292"/>
      <c r="AC78" s="17"/>
      <c r="AD78" s="297"/>
      <c r="AE78" s="297"/>
      <c r="AF78" s="297"/>
      <c r="AH78" s="17"/>
      <c r="AI78" s="302"/>
      <c r="AJ78" s="302"/>
      <c r="AK78" s="302"/>
      <c r="AM78" s="17"/>
      <c r="AR78" s="17"/>
      <c r="AW78" s="17"/>
      <c r="AZ78" s="16"/>
      <c r="BA78" s="16"/>
      <c r="BB78" s="17"/>
      <c r="BD78" s="16"/>
      <c r="BE78" s="16"/>
      <c r="BF78" s="16"/>
      <c r="BG78" s="17"/>
      <c r="BH78" s="16"/>
      <c r="BI78" s="16"/>
      <c r="BJ78" s="472"/>
      <c r="BK78" s="16"/>
      <c r="BL78" s="17"/>
      <c r="BM78" s="16"/>
      <c r="BN78" s="16"/>
      <c r="BO78" s="472"/>
      <c r="BP78" s="16"/>
      <c r="BQ78" s="17"/>
      <c r="BR78" s="16"/>
      <c r="BS78" s="16"/>
      <c r="BT78" s="472"/>
      <c r="BU78" s="16"/>
      <c r="BV78" s="17"/>
      <c r="BW78" s="16"/>
      <c r="BX78" s="16"/>
      <c r="BY78" s="472"/>
      <c r="BZ78" s="16"/>
      <c r="CA78" s="17"/>
      <c r="CB78" s="16"/>
      <c r="CC78" s="16"/>
      <c r="CD78" s="472"/>
      <c r="CE78" s="16"/>
      <c r="CF78" s="17"/>
      <c r="CG78" s="16"/>
      <c r="CH78" s="16">
        <v>75501</v>
      </c>
      <c r="CI78" s="472"/>
      <c r="CJ78" s="16">
        <v>22955</v>
      </c>
      <c r="CK78" s="17">
        <f t="shared" si="41"/>
        <v>22955</v>
      </c>
      <c r="CL78" s="16"/>
      <c r="CM78" s="16">
        <v>36679</v>
      </c>
      <c r="CN78" s="472">
        <v>36781</v>
      </c>
      <c r="CO78" s="16">
        <v>36881</v>
      </c>
      <c r="CP78" s="17">
        <f t="shared" si="42"/>
        <v>36881</v>
      </c>
      <c r="CQ78" s="16">
        <v>36951</v>
      </c>
      <c r="CR78" s="16">
        <v>37140</v>
      </c>
      <c r="CS78" s="16">
        <v>37302</v>
      </c>
      <c r="CT78" s="16">
        <v>37445</v>
      </c>
      <c r="CU78" s="17">
        <f t="shared" si="43"/>
        <v>37445</v>
      </c>
      <c r="CV78" s="16">
        <v>37468</v>
      </c>
      <c r="CW78" s="16">
        <v>37640</v>
      </c>
      <c r="CX78" s="16">
        <v>37798</v>
      </c>
      <c r="CY78" s="16">
        <v>37911</v>
      </c>
      <c r="CZ78" s="17">
        <f t="shared" si="44"/>
        <v>37911</v>
      </c>
      <c r="DA78" s="16">
        <v>38005</v>
      </c>
      <c r="DB78" s="16">
        <v>38206</v>
      </c>
      <c r="DC78" s="16">
        <v>38369</v>
      </c>
      <c r="DD78" s="16">
        <v>37040</v>
      </c>
      <c r="DE78" s="17">
        <f t="shared" si="45"/>
        <v>37040</v>
      </c>
      <c r="DF78" s="16">
        <v>37097</v>
      </c>
      <c r="DG78" s="443">
        <v>37295</v>
      </c>
      <c r="DH78" s="443">
        <v>37276</v>
      </c>
      <c r="DI78" s="443">
        <v>37434</v>
      </c>
      <c r="DJ78" s="17">
        <f t="shared" si="48"/>
        <v>37434</v>
      </c>
      <c r="DK78" s="443">
        <v>37515</v>
      </c>
      <c r="DL78" s="443">
        <v>37680</v>
      </c>
      <c r="DM78" s="443">
        <v>37869</v>
      </c>
      <c r="DN78" s="16"/>
      <c r="DO78" s="17"/>
      <c r="DP78" s="443"/>
      <c r="DQ78" s="16"/>
      <c r="DR78" s="16"/>
      <c r="DS78" s="16"/>
      <c r="DT78" s="17"/>
      <c r="DU78" s="17"/>
      <c r="DV78" s="17"/>
    </row>
    <row r="79" spans="1:126" s="13" customFormat="1">
      <c r="A79" s="32"/>
      <c r="B79" s="41" t="s">
        <v>254</v>
      </c>
      <c r="C79" s="272"/>
      <c r="D79" s="272"/>
      <c r="E79" s="272"/>
      <c r="F79" s="272"/>
      <c r="G79" s="272"/>
      <c r="H79" s="272"/>
      <c r="I79" s="272"/>
      <c r="N79" s="283"/>
      <c r="O79" s="276"/>
      <c r="P79" s="276"/>
      <c r="Q79" s="276"/>
      <c r="S79" s="17"/>
      <c r="T79" s="287"/>
      <c r="U79" s="287"/>
      <c r="V79" s="287"/>
      <c r="X79" s="17"/>
      <c r="Y79" s="292"/>
      <c r="Z79" s="292"/>
      <c r="AA79" s="292"/>
      <c r="AC79" s="17"/>
      <c r="AD79" s="297"/>
      <c r="AE79" s="297"/>
      <c r="AF79" s="297"/>
      <c r="AH79" s="17"/>
      <c r="AI79" s="302"/>
      <c r="AJ79" s="302"/>
      <c r="AK79" s="302"/>
      <c r="AM79" s="17"/>
      <c r="AR79" s="17"/>
      <c r="AW79" s="17"/>
      <c r="AZ79" s="16"/>
      <c r="BA79" s="16"/>
      <c r="BB79" s="17"/>
      <c r="BD79" s="16"/>
      <c r="BE79" s="16"/>
      <c r="BF79" s="16"/>
      <c r="BG79" s="17"/>
      <c r="BH79" s="16"/>
      <c r="BI79" s="16"/>
      <c r="BJ79" s="472"/>
      <c r="BK79" s="16"/>
      <c r="BL79" s="17"/>
      <c r="BM79" s="16"/>
      <c r="BN79" s="16"/>
      <c r="BO79" s="472"/>
      <c r="BP79" s="16"/>
      <c r="BQ79" s="17"/>
      <c r="BR79" s="16"/>
      <c r="BS79" s="16"/>
      <c r="BT79" s="472"/>
      <c r="BU79" s="16"/>
      <c r="BV79" s="17"/>
      <c r="BW79" s="16"/>
      <c r="BX79" s="16"/>
      <c r="BY79" s="472"/>
      <c r="BZ79" s="16"/>
      <c r="CA79" s="17"/>
      <c r="CB79" s="16"/>
      <c r="CC79" s="16"/>
      <c r="CD79" s="472"/>
      <c r="CE79" s="16"/>
      <c r="CF79" s="17"/>
      <c r="CG79" s="16"/>
      <c r="CH79" s="16">
        <v>-32549</v>
      </c>
      <c r="CI79" s="472"/>
      <c r="CJ79" s="16">
        <v>-32626</v>
      </c>
      <c r="CK79" s="17">
        <f t="shared" si="41"/>
        <v>-32626</v>
      </c>
      <c r="CL79" s="16"/>
      <c r="CM79" s="16">
        <v>-10398</v>
      </c>
      <c r="CN79" s="472">
        <v>-10407</v>
      </c>
      <c r="CO79" s="16">
        <v>-10407</v>
      </c>
      <c r="CP79" s="17">
        <f t="shared" si="42"/>
        <v>-10407</v>
      </c>
      <c r="CQ79" s="16">
        <v>-10780</v>
      </c>
      <c r="CR79" s="16">
        <v>-11424</v>
      </c>
      <c r="CS79" s="16">
        <v>-12398</v>
      </c>
      <c r="CT79" s="16">
        <v>-12727</v>
      </c>
      <c r="CU79" s="17">
        <f t="shared" si="43"/>
        <v>-12727</v>
      </c>
      <c r="CV79" s="16">
        <v>-13483</v>
      </c>
      <c r="CW79" s="16">
        <v>-14539</v>
      </c>
      <c r="CX79" s="16">
        <v>-15141</v>
      </c>
      <c r="CY79" s="16">
        <v>-15530</v>
      </c>
      <c r="CZ79" s="17">
        <f t="shared" si="44"/>
        <v>-15530</v>
      </c>
      <c r="DA79" s="16">
        <v>-16112</v>
      </c>
      <c r="DB79" s="16">
        <v>-16713</v>
      </c>
      <c r="DC79" s="16">
        <v>-18170</v>
      </c>
      <c r="DD79" s="16">
        <v>-26977</v>
      </c>
      <c r="DE79" s="17">
        <f t="shared" si="45"/>
        <v>-26977</v>
      </c>
      <c r="DF79" s="16">
        <v>-27029</v>
      </c>
      <c r="DG79" s="443">
        <v>-27080</v>
      </c>
      <c r="DH79" s="443">
        <v>-27141</v>
      </c>
      <c r="DI79" s="443">
        <v>-27112</v>
      </c>
      <c r="DJ79" s="17">
        <f t="shared" si="48"/>
        <v>-27112</v>
      </c>
      <c r="DK79" s="443">
        <v>-27069</v>
      </c>
      <c r="DL79" s="443">
        <v>-26995</v>
      </c>
      <c r="DM79" s="443">
        <v>-26937</v>
      </c>
      <c r="DN79" s="16"/>
      <c r="DO79" s="17"/>
      <c r="DP79" s="443"/>
      <c r="DQ79" s="16"/>
      <c r="DR79" s="16"/>
      <c r="DS79" s="16"/>
      <c r="DT79" s="17"/>
      <c r="DU79" s="17"/>
      <c r="DV79" s="17"/>
    </row>
    <row r="80" spans="1:126" s="13" customFormat="1">
      <c r="A80" s="32"/>
      <c r="B80" s="41" t="s">
        <v>55</v>
      </c>
      <c r="C80" s="272"/>
      <c r="D80" s="272"/>
      <c r="E80" s="272"/>
      <c r="F80" s="272"/>
      <c r="G80" s="272"/>
      <c r="H80" s="272"/>
      <c r="I80" s="272"/>
      <c r="N80" s="283"/>
      <c r="O80" s="276"/>
      <c r="P80" s="276"/>
      <c r="Q80" s="276"/>
      <c r="S80" s="17"/>
      <c r="T80" s="287"/>
      <c r="U80" s="287"/>
      <c r="V80" s="287"/>
      <c r="X80" s="17"/>
      <c r="Y80" s="292"/>
      <c r="Z80" s="292"/>
      <c r="AA80" s="292"/>
      <c r="AC80" s="17"/>
      <c r="AD80" s="297"/>
      <c r="AE80" s="297"/>
      <c r="AF80" s="297"/>
      <c r="AH80" s="17"/>
      <c r="AI80" s="302"/>
      <c r="AJ80" s="302"/>
      <c r="AK80" s="302"/>
      <c r="AM80" s="17"/>
      <c r="AR80" s="17"/>
      <c r="AW80" s="17"/>
      <c r="AZ80" s="16"/>
      <c r="BA80" s="16"/>
      <c r="BB80" s="17"/>
      <c r="BD80" s="16"/>
      <c r="BE80" s="16"/>
      <c r="BF80" s="16"/>
      <c r="BG80" s="17"/>
      <c r="BH80" s="16"/>
      <c r="BI80" s="16"/>
      <c r="BJ80" s="472"/>
      <c r="BK80" s="16"/>
      <c r="BL80" s="17"/>
      <c r="BM80" s="16"/>
      <c r="BN80" s="16"/>
      <c r="BO80" s="472"/>
      <c r="BP80" s="16"/>
      <c r="BQ80" s="17"/>
      <c r="BR80" s="16"/>
      <c r="BS80" s="16"/>
      <c r="BT80" s="472"/>
      <c r="BU80" s="16"/>
      <c r="BV80" s="17"/>
      <c r="BW80" s="16"/>
      <c r="BX80" s="16"/>
      <c r="BY80" s="472"/>
      <c r="BZ80" s="16"/>
      <c r="CA80" s="17"/>
      <c r="CB80" s="16"/>
      <c r="CC80" s="16"/>
      <c r="CD80" s="472"/>
      <c r="CE80" s="16"/>
      <c r="CF80" s="17"/>
      <c r="CG80" s="16"/>
      <c r="CH80" s="16">
        <v>54191</v>
      </c>
      <c r="CI80" s="472"/>
      <c r="CJ80" s="16">
        <v>61594</v>
      </c>
      <c r="CK80" s="17">
        <f t="shared" si="41"/>
        <v>61594</v>
      </c>
      <c r="CL80" s="16"/>
      <c r="CM80" s="16">
        <v>49744</v>
      </c>
      <c r="CN80" s="472">
        <v>50017</v>
      </c>
      <c r="CO80" s="16">
        <v>49423</v>
      </c>
      <c r="CP80" s="17">
        <f t="shared" si="42"/>
        <v>49423</v>
      </c>
      <c r="CQ80" s="16">
        <v>49460</v>
      </c>
      <c r="CR80" s="16">
        <v>48954</v>
      </c>
      <c r="CS80" s="16">
        <v>50343</v>
      </c>
      <c r="CT80" s="16">
        <v>50265</v>
      </c>
      <c r="CU80" s="17">
        <f t="shared" si="43"/>
        <v>50265</v>
      </c>
      <c r="CV80" s="16">
        <v>50592</v>
      </c>
      <c r="CW80" s="16">
        <v>50271</v>
      </c>
      <c r="CX80" s="16">
        <v>51652</v>
      </c>
      <c r="CY80" s="16">
        <v>52269</v>
      </c>
      <c r="CZ80" s="17">
        <f t="shared" si="44"/>
        <v>52269</v>
      </c>
      <c r="DA80" s="16">
        <v>52891</v>
      </c>
      <c r="DB80" s="16">
        <v>52489</v>
      </c>
      <c r="DC80" s="16">
        <v>51513</v>
      </c>
      <c r="DD80" s="16">
        <v>52154</v>
      </c>
      <c r="DE80" s="17">
        <f t="shared" si="45"/>
        <v>52154</v>
      </c>
      <c r="DF80" s="16">
        <v>53052</v>
      </c>
      <c r="DG80" s="443">
        <v>51488</v>
      </c>
      <c r="DH80" s="443">
        <v>52948</v>
      </c>
      <c r="DI80" s="443">
        <v>53589</v>
      </c>
      <c r="DJ80" s="17">
        <f t="shared" si="48"/>
        <v>53589</v>
      </c>
      <c r="DK80" s="443">
        <v>54277</v>
      </c>
      <c r="DL80" s="443">
        <v>54104</v>
      </c>
      <c r="DM80" s="443">
        <v>56014</v>
      </c>
      <c r="DN80" s="16"/>
      <c r="DO80" s="17"/>
      <c r="DP80" s="443"/>
      <c r="DQ80" s="16"/>
      <c r="DR80" s="16"/>
      <c r="DS80" s="16"/>
      <c r="DT80" s="17"/>
      <c r="DU80" s="17"/>
      <c r="DV80" s="17"/>
    </row>
    <row r="81" spans="1:126" s="13" customFormat="1">
      <c r="A81" s="32"/>
      <c r="B81" s="41" t="s">
        <v>202</v>
      </c>
      <c r="C81" s="272"/>
      <c r="D81" s="272"/>
      <c r="E81" s="272"/>
      <c r="F81" s="272"/>
      <c r="G81" s="272"/>
      <c r="H81" s="272"/>
      <c r="I81" s="272"/>
      <c r="N81" s="283"/>
      <c r="O81" s="276"/>
      <c r="P81" s="276"/>
      <c r="Q81" s="276"/>
      <c r="S81" s="17"/>
      <c r="T81" s="287"/>
      <c r="U81" s="287"/>
      <c r="V81" s="287"/>
      <c r="X81" s="17"/>
      <c r="Y81" s="292"/>
      <c r="Z81" s="292"/>
      <c r="AA81" s="292"/>
      <c r="AC81" s="17"/>
      <c r="AD81" s="297"/>
      <c r="AE81" s="297"/>
      <c r="AF81" s="297"/>
      <c r="AH81" s="17"/>
      <c r="AI81" s="302"/>
      <c r="AJ81" s="302"/>
      <c r="AK81" s="302"/>
      <c r="AM81" s="17"/>
      <c r="AR81" s="17"/>
      <c r="AW81" s="17"/>
      <c r="AZ81" s="16"/>
      <c r="BA81" s="16"/>
      <c r="BB81" s="17"/>
      <c r="BD81" s="16"/>
      <c r="BE81" s="16"/>
      <c r="BF81" s="16"/>
      <c r="BG81" s="17"/>
      <c r="BH81" s="16"/>
      <c r="BI81" s="16"/>
      <c r="BJ81" s="472"/>
      <c r="BK81" s="16"/>
      <c r="BL81" s="17"/>
      <c r="BM81" s="16"/>
      <c r="BN81" s="16"/>
      <c r="BO81" s="472"/>
      <c r="BP81" s="16"/>
      <c r="BQ81" s="17"/>
      <c r="BR81" s="16"/>
      <c r="BS81" s="16"/>
      <c r="BT81" s="472"/>
      <c r="BU81" s="16"/>
      <c r="BV81" s="17"/>
      <c r="BW81" s="16"/>
      <c r="BX81" s="16"/>
      <c r="BY81" s="472"/>
      <c r="BZ81" s="16"/>
      <c r="CA81" s="17"/>
      <c r="CB81" s="16"/>
      <c r="CC81" s="16"/>
      <c r="CD81" s="472"/>
      <c r="CE81" s="16"/>
      <c r="CF81" s="17"/>
      <c r="CG81" s="16"/>
      <c r="CH81" s="16">
        <v>-71</v>
      </c>
      <c r="CI81" s="472"/>
      <c r="CJ81" s="16">
        <v>0</v>
      </c>
      <c r="CK81" s="17">
        <f t="shared" si="41"/>
        <v>0</v>
      </c>
      <c r="CL81" s="16"/>
      <c r="CM81" s="16"/>
      <c r="CN81" s="472"/>
      <c r="CO81" s="16"/>
      <c r="CP81" s="17">
        <f t="shared" si="42"/>
        <v>0</v>
      </c>
      <c r="CQ81" s="16"/>
      <c r="CR81" s="16"/>
      <c r="CS81" s="16"/>
      <c r="CT81" s="16"/>
      <c r="CU81" s="17">
        <f t="shared" si="43"/>
        <v>0</v>
      </c>
      <c r="CV81" s="16"/>
      <c r="CW81" s="16"/>
      <c r="CX81" s="16"/>
      <c r="CY81" s="16"/>
      <c r="CZ81" s="17">
        <f t="shared" si="44"/>
        <v>0</v>
      </c>
      <c r="DA81" s="16"/>
      <c r="DB81" s="16"/>
      <c r="DC81" s="16"/>
      <c r="DD81" s="16"/>
      <c r="DE81" s="17">
        <f t="shared" si="45"/>
        <v>0</v>
      </c>
      <c r="DF81" s="16"/>
      <c r="DG81" s="16"/>
      <c r="DH81" s="16"/>
      <c r="DI81" s="16"/>
      <c r="DJ81" s="17">
        <f t="shared" si="48"/>
        <v>0</v>
      </c>
      <c r="DK81" s="16"/>
      <c r="DL81" s="16"/>
      <c r="DM81" s="16"/>
      <c r="DN81" s="16"/>
      <c r="DO81" s="17"/>
      <c r="DP81" s="16"/>
      <c r="DQ81" s="16"/>
      <c r="DR81" s="16"/>
      <c r="DS81" s="16"/>
      <c r="DT81" s="17"/>
      <c r="DU81" s="17"/>
      <c r="DV81" s="17"/>
    </row>
    <row r="82" spans="1:126" s="13" customFormat="1">
      <c r="A82" s="32"/>
      <c r="B82" s="41" t="s">
        <v>492</v>
      </c>
      <c r="C82" s="273"/>
      <c r="D82" s="273"/>
      <c r="E82" s="273"/>
      <c r="F82" s="273"/>
      <c r="G82" s="273"/>
      <c r="H82" s="273"/>
      <c r="I82" s="273"/>
      <c r="J82" s="191"/>
      <c r="K82" s="191"/>
      <c r="L82" s="191"/>
      <c r="N82" s="284"/>
      <c r="O82" s="277"/>
      <c r="P82" s="277"/>
      <c r="Q82" s="277"/>
      <c r="S82" s="85"/>
      <c r="T82" s="288"/>
      <c r="U82" s="288"/>
      <c r="V82" s="288"/>
      <c r="X82" s="85"/>
      <c r="Y82" s="293"/>
      <c r="Z82" s="293"/>
      <c r="AA82" s="293"/>
      <c r="AB82" s="191"/>
      <c r="AC82" s="17"/>
      <c r="AD82" s="298"/>
      <c r="AE82" s="298"/>
      <c r="AF82" s="298"/>
      <c r="AG82" s="191"/>
      <c r="AH82" s="85"/>
      <c r="AI82" s="303"/>
      <c r="AJ82" s="303"/>
      <c r="AK82" s="303"/>
      <c r="AL82" s="191"/>
      <c r="AM82" s="85"/>
      <c r="AN82" s="191"/>
      <c r="AO82" s="191"/>
      <c r="AP82" s="191"/>
      <c r="AQ82" s="191"/>
      <c r="AR82" s="85"/>
      <c r="AS82" s="191"/>
      <c r="AT82" s="191"/>
      <c r="AU82" s="191"/>
      <c r="AV82" s="191"/>
      <c r="AW82" s="85"/>
      <c r="AX82" s="191"/>
      <c r="AY82" s="191"/>
      <c r="AZ82" s="86"/>
      <c r="BA82" s="86"/>
      <c r="BB82" s="85"/>
      <c r="BC82" s="191"/>
      <c r="BD82" s="16"/>
      <c r="BE82" s="86"/>
      <c r="BF82" s="16"/>
      <c r="BG82" s="17"/>
      <c r="BH82" s="16"/>
      <c r="BI82" s="16"/>
      <c r="BJ82" s="472"/>
      <c r="BK82" s="16"/>
      <c r="BL82" s="17"/>
      <c r="BM82" s="16"/>
      <c r="BN82" s="16"/>
      <c r="BO82" s="472"/>
      <c r="BP82" s="16"/>
      <c r="BQ82" s="17"/>
      <c r="BR82" s="16"/>
      <c r="BS82" s="16"/>
      <c r="BT82" s="472"/>
      <c r="BU82" s="16"/>
      <c r="BV82" s="17"/>
      <c r="BW82" s="16"/>
      <c r="BX82" s="16"/>
      <c r="BY82" s="472"/>
      <c r="BZ82" s="16"/>
      <c r="CA82" s="17"/>
      <c r="CB82" s="16"/>
      <c r="CC82" s="16"/>
      <c r="CD82" s="472"/>
      <c r="CE82" s="16"/>
      <c r="CF82" s="17"/>
      <c r="CG82" s="16"/>
      <c r="CH82" s="16">
        <v>-6630</v>
      </c>
      <c r="CI82" s="472"/>
      <c r="CJ82" s="16">
        <v>-10149</v>
      </c>
      <c r="CK82" s="17">
        <f t="shared" si="41"/>
        <v>-10149</v>
      </c>
      <c r="CL82" s="16"/>
      <c r="CM82" s="16">
        <v>-8800</v>
      </c>
      <c r="CN82" s="472">
        <v>-8012</v>
      </c>
      <c r="CO82" s="16">
        <v>-3734</v>
      </c>
      <c r="CP82" s="17">
        <f t="shared" si="42"/>
        <v>-3734</v>
      </c>
      <c r="CQ82" s="16">
        <v>-3921</v>
      </c>
      <c r="CR82" s="16">
        <v>-3555</v>
      </c>
      <c r="CS82" s="16">
        <v>-3939</v>
      </c>
      <c r="CT82" s="16">
        <v>-1915</v>
      </c>
      <c r="CU82" s="17">
        <f t="shared" si="43"/>
        <v>-1915</v>
      </c>
      <c r="CV82" s="16">
        <v>-2115</v>
      </c>
      <c r="CW82" s="16">
        <v>-2931</v>
      </c>
      <c r="CX82" s="16">
        <v>-4122</v>
      </c>
      <c r="CY82" s="16">
        <v>-2018</v>
      </c>
      <c r="CZ82" s="17">
        <f t="shared" si="44"/>
        <v>-2018</v>
      </c>
      <c r="DA82" s="16">
        <v>-1989</v>
      </c>
      <c r="DB82" s="16">
        <v>-1502</v>
      </c>
      <c r="DC82" s="16">
        <v>-2116</v>
      </c>
      <c r="DD82" s="16">
        <v>-2419</v>
      </c>
      <c r="DE82" s="17">
        <f t="shared" si="45"/>
        <v>-2419</v>
      </c>
      <c r="DF82" s="16">
        <v>-2635</v>
      </c>
      <c r="DG82" s="443">
        <v>-2718</v>
      </c>
      <c r="DH82" s="443">
        <v>-1969</v>
      </c>
      <c r="DI82" s="443">
        <v>-3755</v>
      </c>
      <c r="DJ82" s="17">
        <f t="shared" si="48"/>
        <v>-3755</v>
      </c>
      <c r="DK82" s="443">
        <v>-3207</v>
      </c>
      <c r="DL82" s="443">
        <v>-2391</v>
      </c>
      <c r="DM82" s="443">
        <v>-2432</v>
      </c>
      <c r="DN82" s="16"/>
      <c r="DO82" s="17"/>
      <c r="DP82" s="443"/>
      <c r="DQ82" s="16"/>
      <c r="DR82" s="16"/>
      <c r="DS82" s="16"/>
      <c r="DT82" s="17"/>
      <c r="DU82" s="17"/>
      <c r="DV82" s="17"/>
    </row>
    <row r="83" spans="1:126" s="190" customFormat="1">
      <c r="A83" s="37"/>
      <c r="B83" s="39" t="s">
        <v>56</v>
      </c>
      <c r="C83" s="275"/>
      <c r="D83" s="275"/>
      <c r="E83" s="275"/>
      <c r="F83" s="275"/>
      <c r="G83" s="275"/>
      <c r="H83" s="275"/>
      <c r="I83" s="275"/>
      <c r="J83" s="223"/>
      <c r="K83" s="223"/>
      <c r="L83" s="223"/>
      <c r="M83" s="13"/>
      <c r="N83" s="286"/>
      <c r="O83" s="279"/>
      <c r="P83" s="279"/>
      <c r="Q83" s="279"/>
      <c r="R83" s="13"/>
      <c r="S83" s="106"/>
      <c r="T83" s="290"/>
      <c r="U83" s="290"/>
      <c r="V83" s="290"/>
      <c r="X83" s="106"/>
      <c r="Y83" s="295"/>
      <c r="Z83" s="295"/>
      <c r="AA83" s="295"/>
      <c r="AB83" s="223"/>
      <c r="AC83" s="17"/>
      <c r="AD83" s="300"/>
      <c r="AE83" s="300"/>
      <c r="AF83" s="300"/>
      <c r="AG83" s="223"/>
      <c r="AH83" s="75"/>
      <c r="AI83" s="305"/>
      <c r="AJ83" s="305"/>
      <c r="AK83" s="305"/>
      <c r="AL83" s="223"/>
      <c r="AM83" s="75"/>
      <c r="AN83" s="223"/>
      <c r="AO83" s="223"/>
      <c r="AP83" s="223"/>
      <c r="AQ83" s="223"/>
      <c r="AR83" s="75"/>
      <c r="AS83" s="223"/>
      <c r="AT83" s="223"/>
      <c r="AU83" s="223"/>
      <c r="AV83" s="223"/>
      <c r="AW83" s="75"/>
      <c r="AX83" s="223"/>
      <c r="AY83" s="223"/>
      <c r="AZ83" s="223"/>
      <c r="BA83" s="223"/>
      <c r="BB83" s="75"/>
      <c r="BC83" s="223"/>
      <c r="BD83" s="223"/>
      <c r="BE83" s="223"/>
      <c r="BF83" s="223"/>
      <c r="BG83" s="17"/>
      <c r="BH83" s="223"/>
      <c r="BI83" s="223"/>
      <c r="BJ83" s="485"/>
      <c r="BK83" s="485"/>
      <c r="BL83" s="17"/>
      <c r="BM83" s="485"/>
      <c r="BN83" s="485"/>
      <c r="BO83" s="485"/>
      <c r="BP83" s="485"/>
      <c r="BQ83" s="17"/>
      <c r="BR83" s="485"/>
      <c r="BS83" s="485"/>
      <c r="BT83" s="485"/>
      <c r="BU83" s="485"/>
      <c r="BV83" s="17"/>
      <c r="BW83" s="485"/>
      <c r="BX83" s="485"/>
      <c r="BY83" s="485"/>
      <c r="BZ83" s="485"/>
      <c r="CA83" s="106"/>
      <c r="CB83" s="485"/>
      <c r="CC83" s="485"/>
      <c r="CD83" s="485"/>
      <c r="CE83" s="485"/>
      <c r="CF83" s="106"/>
      <c r="CG83" s="485"/>
      <c r="CH83" s="485">
        <f>SUM(CH78:CH82)</f>
        <v>90442</v>
      </c>
      <c r="CI83" s="485"/>
      <c r="CJ83" s="485">
        <f>SUM(CJ78:CJ82)</f>
        <v>41774</v>
      </c>
      <c r="CK83" s="106">
        <f t="shared" si="41"/>
        <v>41774</v>
      </c>
      <c r="CL83" s="485"/>
      <c r="CM83" s="485">
        <f>SUM(CM78:CM82)</f>
        <v>67225</v>
      </c>
      <c r="CN83" s="485">
        <f>SUM(CN78:CN82)</f>
        <v>68379</v>
      </c>
      <c r="CO83" s="485">
        <f>SUM(CO78:CO82)</f>
        <v>72163</v>
      </c>
      <c r="CP83" s="106">
        <f t="shared" si="42"/>
        <v>72163</v>
      </c>
      <c r="CQ83" s="485">
        <f>SUM(CQ78:CQ82)</f>
        <v>71710</v>
      </c>
      <c r="CR83" s="485">
        <f>SUM(CR78:CR82)</f>
        <v>71115</v>
      </c>
      <c r="CS83" s="485">
        <f>SUM(CS78:CS82)</f>
        <v>71308</v>
      </c>
      <c r="CT83" s="485">
        <f>SUM(CT78:CT82)</f>
        <v>73068</v>
      </c>
      <c r="CU83" s="106">
        <f t="shared" si="43"/>
        <v>73068</v>
      </c>
      <c r="CV83" s="485">
        <f>SUM(CV78:CV82)</f>
        <v>72462</v>
      </c>
      <c r="CW83" s="485">
        <f>SUM(CW78:CW82)</f>
        <v>70441</v>
      </c>
      <c r="CX83" s="485">
        <f>SUM(CX78:CX82)</f>
        <v>70187</v>
      </c>
      <c r="CY83" s="485">
        <f>SUM(CY78:CY82)</f>
        <v>72632</v>
      </c>
      <c r="CZ83" s="106">
        <f t="shared" si="44"/>
        <v>72632</v>
      </c>
      <c r="DA83" s="485">
        <f>SUM(DA78:DA82)</f>
        <v>72795</v>
      </c>
      <c r="DB83" s="485">
        <f>SUM(DB78:DB82)</f>
        <v>72480</v>
      </c>
      <c r="DC83" s="485">
        <f>SUM(DC78:DC82)</f>
        <v>69596</v>
      </c>
      <c r="DD83" s="76">
        <f>SUM(DD78:DD82)</f>
        <v>59798</v>
      </c>
      <c r="DE83" s="106">
        <f t="shared" si="45"/>
        <v>59798</v>
      </c>
      <c r="DF83" s="485">
        <f>SUM(DF78:DF82)</f>
        <v>60485</v>
      </c>
      <c r="DG83" s="841">
        <f>SUM(DG78:DG82)</f>
        <v>58985</v>
      </c>
      <c r="DH83" s="841">
        <f>SUM(DH78:DH82)</f>
        <v>61114</v>
      </c>
      <c r="DI83" s="841">
        <f>SUM(DI78:DI82)</f>
        <v>60156</v>
      </c>
      <c r="DJ83" s="106">
        <f t="shared" si="48"/>
        <v>60156</v>
      </c>
      <c r="DK83" s="485">
        <f>SUM(DK78:DK82)</f>
        <v>61516</v>
      </c>
      <c r="DL83" s="841">
        <f>SUM(DL78:DL82)</f>
        <v>62398</v>
      </c>
      <c r="DM83" s="841">
        <f>SUM(DM78:DM82)</f>
        <v>64514</v>
      </c>
      <c r="DN83" s="76"/>
      <c r="DO83" s="75"/>
      <c r="DP83" s="485"/>
      <c r="DQ83" s="76"/>
      <c r="DR83" s="76"/>
      <c r="DS83" s="76"/>
      <c r="DT83" s="75"/>
      <c r="DU83" s="75"/>
      <c r="DV83" s="75"/>
    </row>
    <row r="84" spans="1:126" s="190" customFormat="1">
      <c r="A84" s="37"/>
      <c r="B84" s="41" t="s">
        <v>180</v>
      </c>
      <c r="C84" s="274"/>
      <c r="D84" s="274"/>
      <c r="E84" s="274"/>
      <c r="F84" s="274"/>
      <c r="G84" s="274"/>
      <c r="H84" s="274"/>
      <c r="I84" s="274"/>
      <c r="M84" s="13"/>
      <c r="N84" s="285"/>
      <c r="O84" s="278"/>
      <c r="P84" s="278"/>
      <c r="Q84" s="278"/>
      <c r="R84" s="13"/>
      <c r="S84" s="75"/>
      <c r="T84" s="289"/>
      <c r="U84" s="289"/>
      <c r="V84" s="289"/>
      <c r="X84" s="75"/>
      <c r="Y84" s="294"/>
      <c r="Z84" s="294"/>
      <c r="AA84" s="294"/>
      <c r="AC84" s="17"/>
      <c r="AD84" s="299"/>
      <c r="AE84" s="299"/>
      <c r="AF84" s="299"/>
      <c r="AH84" s="17"/>
      <c r="AI84" s="304"/>
      <c r="AJ84" s="304"/>
      <c r="AK84" s="304"/>
      <c r="AL84" s="208"/>
      <c r="AM84" s="17"/>
      <c r="AN84" s="208"/>
      <c r="AO84" s="208"/>
      <c r="AP84" s="208"/>
      <c r="AQ84" s="208"/>
      <c r="AR84" s="17"/>
      <c r="AS84" s="208"/>
      <c r="AT84" s="208"/>
      <c r="AU84" s="208"/>
      <c r="AV84" s="208"/>
      <c r="AW84" s="17"/>
      <c r="AX84" s="208"/>
      <c r="AY84" s="208"/>
      <c r="AZ84" s="198"/>
      <c r="BA84" s="198"/>
      <c r="BB84" s="17"/>
      <c r="BC84" s="208"/>
      <c r="BD84" s="198"/>
      <c r="BE84" s="198"/>
      <c r="BF84" s="76"/>
      <c r="BG84" s="17"/>
      <c r="BH84" s="76"/>
      <c r="BI84" s="76"/>
      <c r="BJ84" s="479"/>
      <c r="BK84" s="76"/>
      <c r="BL84" s="17"/>
      <c r="BM84" s="76"/>
      <c r="BN84" s="76"/>
      <c r="BO84" s="479"/>
      <c r="BP84" s="76"/>
      <c r="BQ84" s="17"/>
      <c r="BR84" s="76"/>
      <c r="BS84" s="76"/>
      <c r="BT84" s="479"/>
      <c r="BU84" s="76"/>
      <c r="BV84" s="17"/>
      <c r="BW84" s="76"/>
      <c r="BX84" s="76"/>
      <c r="BY84" s="76"/>
      <c r="BZ84" s="76"/>
      <c r="CA84" s="75"/>
      <c r="CB84" s="76"/>
      <c r="CC84" s="76"/>
      <c r="CD84" s="479"/>
      <c r="CE84" s="76"/>
      <c r="CF84" s="75"/>
      <c r="CG84" s="76"/>
      <c r="CH84" s="198">
        <v>1349</v>
      </c>
      <c r="CI84" s="76"/>
      <c r="CJ84" s="198">
        <v>2457</v>
      </c>
      <c r="CK84" s="17">
        <f t="shared" si="41"/>
        <v>2457</v>
      </c>
      <c r="CL84" s="76"/>
      <c r="CM84" s="76">
        <v>1667</v>
      </c>
      <c r="CN84" s="479">
        <v>1701</v>
      </c>
      <c r="CO84" s="76">
        <v>1689</v>
      </c>
      <c r="CP84" s="17">
        <f t="shared" si="42"/>
        <v>1689</v>
      </c>
      <c r="CQ84" s="76">
        <v>1598</v>
      </c>
      <c r="CR84" s="76">
        <v>1606</v>
      </c>
      <c r="CS84" s="76">
        <v>1629</v>
      </c>
      <c r="CT84" s="76">
        <v>1596</v>
      </c>
      <c r="CU84" s="17">
        <f t="shared" si="43"/>
        <v>1596</v>
      </c>
      <c r="CV84" s="76">
        <v>1524</v>
      </c>
      <c r="CW84" s="76">
        <v>1549</v>
      </c>
      <c r="CX84" s="76">
        <v>1548</v>
      </c>
      <c r="CY84" s="76">
        <v>1546</v>
      </c>
      <c r="CZ84" s="17">
        <f t="shared" si="44"/>
        <v>1546</v>
      </c>
      <c r="DA84" s="76">
        <v>1552</v>
      </c>
      <c r="DB84" s="76">
        <v>1576</v>
      </c>
      <c r="DC84" s="76">
        <v>1617</v>
      </c>
      <c r="DD84" s="76">
        <v>1612</v>
      </c>
      <c r="DE84" s="17">
        <f t="shared" si="45"/>
        <v>1612</v>
      </c>
      <c r="DF84" s="76">
        <v>1615</v>
      </c>
      <c r="DG84" s="838">
        <v>1665</v>
      </c>
      <c r="DH84" s="838">
        <v>1712</v>
      </c>
      <c r="DI84" s="838">
        <v>1767</v>
      </c>
      <c r="DJ84" s="17">
        <f t="shared" si="48"/>
        <v>1767</v>
      </c>
      <c r="DK84" s="838">
        <v>1791</v>
      </c>
      <c r="DL84" s="838">
        <v>1808</v>
      </c>
      <c r="DM84" s="838">
        <v>1845</v>
      </c>
      <c r="DN84" s="76"/>
      <c r="DO84" s="75"/>
      <c r="DP84" s="838"/>
      <c r="DQ84" s="76"/>
      <c r="DR84" s="76"/>
      <c r="DS84" s="76"/>
      <c r="DT84" s="75"/>
      <c r="DU84" s="75"/>
      <c r="DV84" s="75"/>
    </row>
    <row r="85" spans="1:126" s="190" customFormat="1">
      <c r="A85" s="37"/>
      <c r="B85" s="42" t="s">
        <v>59</v>
      </c>
      <c r="C85" s="274"/>
      <c r="D85" s="274"/>
      <c r="E85" s="274"/>
      <c r="F85" s="274"/>
      <c r="G85" s="274"/>
      <c r="H85" s="274"/>
      <c r="I85" s="274"/>
      <c r="M85" s="13"/>
      <c r="N85" s="285"/>
      <c r="O85" s="278"/>
      <c r="P85" s="278"/>
      <c r="Q85" s="278"/>
      <c r="R85" s="13"/>
      <c r="S85" s="75"/>
      <c r="T85" s="289"/>
      <c r="U85" s="289"/>
      <c r="V85" s="289"/>
      <c r="X85" s="75"/>
      <c r="Y85" s="294"/>
      <c r="Z85" s="294"/>
      <c r="AA85" s="294"/>
      <c r="AC85" s="75"/>
      <c r="AD85" s="299"/>
      <c r="AE85" s="299"/>
      <c r="AF85" s="299"/>
      <c r="AH85" s="75"/>
      <c r="AI85" s="304"/>
      <c r="AJ85" s="304"/>
      <c r="AK85" s="304"/>
      <c r="AM85" s="75"/>
      <c r="AR85" s="75"/>
      <c r="AW85" s="75"/>
      <c r="BB85" s="75"/>
      <c r="BG85" s="75"/>
      <c r="BJ85" s="474"/>
      <c r="BK85" s="474"/>
      <c r="BL85" s="75"/>
      <c r="BM85" s="474"/>
      <c r="BN85" s="474"/>
      <c r="BO85" s="474"/>
      <c r="BP85" s="474"/>
      <c r="BQ85" s="75"/>
      <c r="BR85" s="474"/>
      <c r="BS85" s="474"/>
      <c r="BT85" s="474"/>
      <c r="BU85" s="474"/>
      <c r="BV85" s="75"/>
      <c r="BW85" s="474"/>
      <c r="BX85" s="474"/>
      <c r="BY85" s="474"/>
      <c r="BZ85" s="474"/>
      <c r="CA85" s="75"/>
      <c r="CB85" s="474"/>
      <c r="CC85" s="474"/>
      <c r="CD85" s="474"/>
      <c r="CE85" s="474"/>
      <c r="CF85" s="75"/>
      <c r="CG85" s="474"/>
      <c r="CH85" s="474">
        <f>+CH83+CH76+CH84+CH77</f>
        <v>184678</v>
      </c>
      <c r="CI85" s="474"/>
      <c r="CJ85" s="474">
        <f>+CJ83+CJ76+CJ84+CJ77</f>
        <v>139615</v>
      </c>
      <c r="CK85" s="75">
        <f t="shared" si="41"/>
        <v>139615</v>
      </c>
      <c r="CL85" s="474"/>
      <c r="CM85" s="474">
        <f>+CM83+CM76+CM84+CM77</f>
        <v>161517</v>
      </c>
      <c r="CN85" s="474">
        <f>+CN83+CN76+CN84+CN77</f>
        <v>162399</v>
      </c>
      <c r="CO85" s="474">
        <f>+CO83+CO76+CO84+CO77</f>
        <v>162153</v>
      </c>
      <c r="CP85" s="75">
        <f t="shared" si="42"/>
        <v>162153</v>
      </c>
      <c r="CQ85" s="474">
        <f>+CQ83+CQ76+CQ84+CQ77</f>
        <v>160608</v>
      </c>
      <c r="CR85" s="474">
        <f>+CR83+CR76+CR84+CR77</f>
        <v>158838</v>
      </c>
      <c r="CS85" s="474">
        <f>+CS83+CS76+CS84+CS77</f>
        <v>158772</v>
      </c>
      <c r="CT85" s="474">
        <f>+CT83+CT76+CT84+CT77</f>
        <v>161404</v>
      </c>
      <c r="CU85" s="75">
        <f t="shared" si="43"/>
        <v>161404</v>
      </c>
      <c r="CV85" s="474">
        <f>+CV83+CV76+CV84+CV77</f>
        <v>159366</v>
      </c>
      <c r="CW85" s="474">
        <f>+CW83+CW76+CW84+CW77</f>
        <v>159017</v>
      </c>
      <c r="CX85" s="474">
        <f>+CX83+CX76+CX84+CX77</f>
        <v>158225</v>
      </c>
      <c r="CY85" s="474">
        <f>+CY83+CY76+CY84+CY77</f>
        <v>158864</v>
      </c>
      <c r="CZ85" s="75">
        <f t="shared" si="44"/>
        <v>158864</v>
      </c>
      <c r="DA85" s="474">
        <f>+DA83+DA76+DA84+DA77</f>
        <v>161636</v>
      </c>
      <c r="DB85" s="474">
        <f>+DB83+DB76+DB84+DB77</f>
        <v>162161</v>
      </c>
      <c r="DC85" s="474">
        <f>+DC83+DC76+DC84+DC77</f>
        <v>162443</v>
      </c>
      <c r="DD85" s="76">
        <f>+DD83+DD76+DD84+DD77</f>
        <v>161869</v>
      </c>
      <c r="DE85" s="75">
        <f t="shared" si="45"/>
        <v>161869</v>
      </c>
      <c r="DF85" s="474">
        <f>+DF83+DF76+DF84+DF77</f>
        <v>160187</v>
      </c>
      <c r="DG85" s="76">
        <f>+DG83+DG76+DG84+DG77</f>
        <v>161169</v>
      </c>
      <c r="DH85" s="76">
        <f>+DH83+DH76+DH84+DH77</f>
        <v>164822</v>
      </c>
      <c r="DI85" s="76">
        <f>+DI83+DI76+DI84+DI77</f>
        <v>162861</v>
      </c>
      <c r="DJ85" s="75">
        <f t="shared" si="48"/>
        <v>162861</v>
      </c>
      <c r="DK85" s="474">
        <f>+DK83+DK76+DK84+DK77</f>
        <v>164864</v>
      </c>
      <c r="DL85" s="76">
        <f>+DL83+DL76+DL84+DL77</f>
        <v>167139</v>
      </c>
      <c r="DM85" s="76">
        <f>+DM83+DM76+DM84+DM77</f>
        <v>168672</v>
      </c>
      <c r="DN85" s="76"/>
      <c r="DO85" s="75"/>
      <c r="DP85" s="474"/>
      <c r="DQ85" s="76"/>
      <c r="DR85" s="76"/>
      <c r="DS85" s="76"/>
      <c r="DT85" s="75"/>
      <c r="DU85" s="75"/>
      <c r="DV85" s="75"/>
    </row>
    <row r="86" spans="1:126" s="13" customFormat="1" ht="3.75" customHeight="1">
      <c r="A86" s="38"/>
      <c r="B86" s="43"/>
      <c r="C86" s="15"/>
      <c r="D86" s="15"/>
      <c r="E86" s="15"/>
      <c r="F86" s="15"/>
      <c r="G86" s="15"/>
      <c r="H86" s="15"/>
      <c r="I86" s="15"/>
      <c r="J86" s="14"/>
      <c r="K86" s="14"/>
      <c r="L86" s="14"/>
      <c r="M86" s="14"/>
      <c r="N86" s="15"/>
      <c r="O86" s="14"/>
      <c r="P86" s="14"/>
      <c r="Q86" s="14"/>
      <c r="R86" s="14"/>
      <c r="S86" s="15"/>
      <c r="T86" s="14"/>
      <c r="U86" s="14"/>
      <c r="V86" s="14"/>
      <c r="W86" s="14"/>
      <c r="X86" s="15"/>
      <c r="Y86" s="14"/>
      <c r="Z86" s="14"/>
      <c r="AA86" s="14"/>
      <c r="AB86" s="14"/>
      <c r="AC86" s="15"/>
      <c r="AD86" s="14"/>
      <c r="AE86" s="14"/>
      <c r="AF86" s="14"/>
      <c r="AG86" s="14"/>
      <c r="AH86" s="15"/>
      <c r="AI86" s="14"/>
      <c r="AJ86" s="14"/>
      <c r="AK86" s="14"/>
      <c r="AL86" s="14"/>
      <c r="AM86" s="15"/>
      <c r="AN86" s="14"/>
      <c r="AO86" s="14"/>
      <c r="AP86" s="14"/>
      <c r="AQ86" s="14"/>
      <c r="AR86" s="15"/>
      <c r="AS86" s="14"/>
      <c r="AT86" s="14"/>
      <c r="AU86" s="14"/>
      <c r="AV86" s="14"/>
      <c r="AW86" s="15"/>
      <c r="AX86" s="14"/>
      <c r="AY86" s="14"/>
      <c r="AZ86" s="14"/>
      <c r="BA86" s="14"/>
      <c r="BB86" s="15"/>
      <c r="BC86" s="14"/>
      <c r="BD86" s="14"/>
      <c r="BE86" s="14"/>
      <c r="BF86" s="14"/>
      <c r="BG86" s="15"/>
      <c r="BH86" s="14"/>
      <c r="BI86" s="14"/>
      <c r="BJ86" s="14"/>
      <c r="BK86" s="14"/>
      <c r="BL86" s="15"/>
      <c r="BM86" s="14"/>
      <c r="BN86" s="14"/>
      <c r="BO86" s="14"/>
      <c r="BP86" s="14"/>
      <c r="BQ86" s="15"/>
      <c r="BR86" s="14"/>
      <c r="BS86" s="14"/>
      <c r="BT86" s="14"/>
      <c r="BU86" s="14"/>
      <c r="BV86" s="15"/>
      <c r="BW86" s="14"/>
      <c r="BX86" s="14"/>
      <c r="BY86" s="14"/>
      <c r="BZ86" s="14"/>
      <c r="CA86" s="15"/>
      <c r="CB86" s="14"/>
      <c r="CC86" s="14"/>
      <c r="CD86" s="14"/>
      <c r="CE86" s="14"/>
      <c r="CF86" s="15"/>
      <c r="CG86" s="14"/>
      <c r="CH86" s="14"/>
      <c r="CI86" s="14"/>
      <c r="CJ86" s="14"/>
      <c r="CK86" s="15"/>
      <c r="CL86" s="14"/>
      <c r="CM86" s="14"/>
      <c r="CN86" s="14"/>
      <c r="CO86" s="14"/>
      <c r="CP86" s="15"/>
      <c r="CQ86" s="14"/>
      <c r="CR86" s="14"/>
      <c r="CS86" s="14"/>
      <c r="CT86" s="14"/>
      <c r="CU86" s="15"/>
      <c r="CV86" s="14"/>
      <c r="CW86" s="14"/>
      <c r="CX86" s="14"/>
      <c r="CY86" s="14"/>
      <c r="CZ86" s="15"/>
      <c r="DA86" s="14"/>
      <c r="DB86" s="14"/>
      <c r="DC86" s="14"/>
      <c r="DD86" s="14"/>
      <c r="DE86" s="15"/>
      <c r="DF86" s="14"/>
      <c r="DG86" s="14"/>
      <c r="DH86" s="14"/>
      <c r="DI86" s="14"/>
      <c r="DJ86" s="15"/>
      <c r="DK86" s="14"/>
      <c r="DL86" s="14"/>
      <c r="DM86" s="14"/>
      <c r="DN86" s="14"/>
      <c r="DO86" s="15"/>
      <c r="DP86" s="14"/>
      <c r="DQ86" s="14"/>
      <c r="DR86" s="14"/>
      <c r="DS86" s="14"/>
      <c r="DT86" s="15"/>
      <c r="DU86" s="15"/>
      <c r="DV86" s="15"/>
    </row>
    <row r="87" spans="1:126" s="13" customFormat="1" ht="10.5" customHeight="1">
      <c r="A87" s="45"/>
      <c r="B87" s="42"/>
      <c r="C87" s="17"/>
      <c r="D87" s="17"/>
      <c r="E87" s="17"/>
      <c r="F87" s="17"/>
      <c r="G87" s="17"/>
      <c r="H87" s="17"/>
      <c r="I87" s="17"/>
      <c r="N87" s="17"/>
      <c r="S87" s="17"/>
      <c r="X87" s="17"/>
      <c r="AC87" s="17"/>
      <c r="AH87" s="17"/>
      <c r="AM87" s="17"/>
      <c r="AR87" s="17"/>
      <c r="AW87" s="17"/>
      <c r="BB87" s="17"/>
      <c r="BG87" s="17"/>
      <c r="BL87" s="17"/>
      <c r="BQ87" s="17"/>
      <c r="BV87" s="17"/>
      <c r="CA87" s="17"/>
      <c r="CF87" s="17"/>
      <c r="CK87" s="17"/>
      <c r="CP87" s="17"/>
      <c r="CU87" s="17"/>
      <c r="CZ87" s="17"/>
      <c r="DE87" s="17"/>
      <c r="DJ87" s="17"/>
      <c r="DO87" s="17"/>
      <c r="DT87" s="17"/>
      <c r="DU87" s="17"/>
      <c r="DV87" s="17"/>
    </row>
    <row r="88" spans="1:126" s="13" customFormat="1">
      <c r="A88" s="32"/>
      <c r="B88" s="45"/>
      <c r="C88" s="17"/>
      <c r="D88" s="17"/>
      <c r="E88" s="17"/>
      <c r="F88" s="17"/>
      <c r="G88" s="17"/>
      <c r="H88" s="17"/>
      <c r="I88" s="17"/>
      <c r="N88" s="17"/>
      <c r="S88" s="17"/>
      <c r="X88" s="17"/>
      <c r="AC88" s="17"/>
      <c r="AH88" s="17"/>
      <c r="AM88" s="17"/>
      <c r="AR88" s="17"/>
      <c r="AU88" s="16"/>
      <c r="AW88" s="17"/>
      <c r="AZ88" s="16"/>
      <c r="BA88" s="16"/>
      <c r="BB88" s="17"/>
      <c r="BD88" s="16"/>
      <c r="BE88" s="16"/>
      <c r="BF88" s="16"/>
      <c r="BG88" s="17"/>
      <c r="BH88" s="16"/>
      <c r="BI88" s="16"/>
      <c r="BJ88" s="16"/>
      <c r="BK88" s="16"/>
      <c r="BL88" s="17"/>
      <c r="BM88" s="16"/>
      <c r="BN88" s="16"/>
      <c r="BO88" s="16"/>
      <c r="BP88" s="16"/>
      <c r="BQ88" s="17"/>
      <c r="BR88" s="16"/>
      <c r="BS88" s="16"/>
      <c r="BT88" s="16"/>
      <c r="BU88" s="16"/>
      <c r="BV88" s="17"/>
      <c r="BW88" s="16"/>
      <c r="BX88" s="16"/>
      <c r="BY88" s="16"/>
      <c r="BZ88" s="16"/>
      <c r="CA88" s="17"/>
      <c r="CB88" s="16"/>
      <c r="CC88" s="16"/>
      <c r="CD88" s="16"/>
      <c r="CE88" s="16"/>
      <c r="CF88" s="17"/>
      <c r="CG88" s="16"/>
      <c r="CH88" s="16"/>
      <c r="CI88" s="16"/>
      <c r="CJ88" s="16"/>
      <c r="CK88" s="17"/>
      <c r="CL88" s="16"/>
      <c r="CM88" s="16"/>
      <c r="CN88" s="16"/>
      <c r="CO88" s="16"/>
      <c r="CP88" s="17"/>
      <c r="CQ88" s="16"/>
      <c r="CR88" s="16"/>
      <c r="CS88" s="16"/>
      <c r="CT88" s="16"/>
      <c r="CU88" s="17"/>
      <c r="CV88" s="16"/>
      <c r="CW88" s="16"/>
      <c r="CX88" s="16"/>
      <c r="CY88" s="16"/>
      <c r="CZ88" s="17"/>
      <c r="DA88" s="16"/>
      <c r="DB88" s="16"/>
      <c r="DC88" s="16"/>
      <c r="DD88" s="16"/>
      <c r="DE88" s="17"/>
      <c r="DF88" s="16"/>
      <c r="DG88" s="16"/>
      <c r="DH88" s="16"/>
      <c r="DI88" s="16"/>
      <c r="DJ88" s="17"/>
      <c r="DK88" s="16"/>
      <c r="DL88" s="16"/>
      <c r="DM88" s="16"/>
      <c r="DN88" s="16"/>
      <c r="DO88" s="17"/>
      <c r="DP88" s="16"/>
      <c r="DQ88" s="16"/>
      <c r="DR88" s="16"/>
      <c r="DS88" s="16"/>
      <c r="DT88" s="17"/>
      <c r="DU88" s="17"/>
      <c r="DV88" s="17"/>
    </row>
    <row r="89" spans="1:126" s="13" customFormat="1">
      <c r="A89" s="32"/>
      <c r="B89" s="220" t="s">
        <v>101</v>
      </c>
      <c r="C89" s="17"/>
      <c r="D89" s="17"/>
      <c r="E89" s="17"/>
      <c r="F89" s="17"/>
      <c r="G89" s="17"/>
      <c r="H89" s="17"/>
      <c r="I89" s="17"/>
      <c r="N89" s="17"/>
      <c r="S89" s="17"/>
      <c r="X89" s="17"/>
      <c r="AC89" s="17"/>
      <c r="AH89" s="17"/>
      <c r="AM89" s="17"/>
      <c r="AR89" s="17"/>
      <c r="AU89" s="16"/>
      <c r="AW89" s="17"/>
      <c r="AZ89" s="16"/>
      <c r="BA89" s="16"/>
      <c r="BB89" s="17"/>
      <c r="BD89" s="16"/>
      <c r="BE89" s="16"/>
      <c r="BF89" s="16"/>
      <c r="BG89" s="17"/>
      <c r="BH89" s="16"/>
      <c r="BI89" s="16"/>
      <c r="BJ89" s="471"/>
      <c r="BK89" s="16"/>
      <c r="BL89" s="17"/>
      <c r="BM89" s="16"/>
      <c r="BN89" s="16"/>
      <c r="BO89" s="471"/>
      <c r="BP89" s="16"/>
      <c r="BQ89" s="17"/>
      <c r="BR89" s="16"/>
      <c r="BS89" s="16"/>
      <c r="BT89" s="471"/>
      <c r="BU89" s="16"/>
      <c r="BV89" s="17"/>
      <c r="BW89" s="16"/>
      <c r="BX89" s="16"/>
      <c r="BY89" s="471"/>
      <c r="BZ89" s="16"/>
      <c r="CA89" s="17"/>
      <c r="CB89" s="16"/>
      <c r="CC89" s="16"/>
      <c r="CD89" s="471"/>
      <c r="CE89" s="16"/>
      <c r="CF89" s="17"/>
      <c r="CG89" s="16"/>
      <c r="CH89" s="16"/>
      <c r="CI89" s="471"/>
      <c r="CJ89" s="16"/>
      <c r="CK89" s="17"/>
      <c r="CL89" s="16"/>
      <c r="CM89" s="16"/>
      <c r="CN89" s="471"/>
      <c r="CO89" s="16"/>
      <c r="CP89" s="17"/>
      <c r="CQ89" s="16"/>
      <c r="CR89" s="16"/>
      <c r="CS89" s="16"/>
      <c r="CT89" s="16"/>
      <c r="CU89" s="17"/>
      <c r="CV89" s="16"/>
      <c r="CW89" s="16"/>
      <c r="CX89" s="16"/>
      <c r="CY89" s="16"/>
      <c r="CZ89" s="17"/>
      <c r="DA89" s="16"/>
      <c r="DB89" s="16"/>
      <c r="DC89" s="16"/>
      <c r="DD89" s="16"/>
      <c r="DE89" s="17"/>
      <c r="DF89" s="16"/>
      <c r="DG89" s="16"/>
      <c r="DH89" s="16"/>
      <c r="DI89" s="16"/>
      <c r="DJ89" s="17"/>
      <c r="DK89" s="16"/>
      <c r="DL89" s="16"/>
      <c r="DM89" s="16"/>
      <c r="DN89" s="16"/>
      <c r="DO89" s="17"/>
      <c r="DP89" s="16"/>
      <c r="DQ89" s="16"/>
      <c r="DR89" s="16"/>
      <c r="DS89" s="16"/>
      <c r="DT89" s="17"/>
      <c r="DU89" s="17"/>
      <c r="DV89" s="17"/>
    </row>
    <row r="90" spans="1:126" s="13" customFormat="1">
      <c r="A90" s="32"/>
      <c r="B90" s="45"/>
      <c r="C90" s="17"/>
      <c r="D90" s="17"/>
      <c r="E90" s="17"/>
      <c r="F90" s="17"/>
      <c r="G90" s="17"/>
      <c r="H90" s="17"/>
      <c r="I90" s="17"/>
      <c r="N90" s="17"/>
      <c r="S90" s="17"/>
      <c r="X90" s="17"/>
      <c r="AC90" s="17"/>
      <c r="AH90" s="17"/>
      <c r="AM90" s="17"/>
      <c r="AR90" s="17"/>
      <c r="AU90" s="16"/>
      <c r="AW90" s="17"/>
      <c r="AZ90" s="16"/>
      <c r="BA90" s="16"/>
      <c r="BB90" s="17"/>
      <c r="BD90" s="16"/>
      <c r="BE90" s="16"/>
      <c r="BF90" s="16"/>
      <c r="BG90" s="17"/>
      <c r="BH90" s="16"/>
      <c r="BI90" s="16"/>
      <c r="BJ90" s="471"/>
      <c r="BK90" s="16"/>
      <c r="BL90" s="17"/>
      <c r="BM90" s="16"/>
      <c r="BN90" s="16"/>
      <c r="BO90" s="471"/>
      <c r="BP90" s="16"/>
      <c r="BQ90" s="17"/>
      <c r="BR90" s="16"/>
      <c r="BS90" s="16"/>
      <c r="BT90" s="471"/>
      <c r="BU90" s="16"/>
      <c r="BV90" s="17"/>
      <c r="BW90" s="16"/>
      <c r="BX90" s="16"/>
      <c r="BY90" s="471"/>
      <c r="BZ90" s="16"/>
      <c r="CA90" s="17"/>
      <c r="CB90" s="16"/>
      <c r="CC90" s="16"/>
      <c r="CD90" s="471"/>
      <c r="CE90" s="16"/>
      <c r="CF90" s="17"/>
      <c r="CG90" s="16"/>
      <c r="CH90" s="16"/>
      <c r="CI90" s="471"/>
      <c r="CJ90" s="16"/>
      <c r="CK90" s="17"/>
      <c r="CL90" s="16"/>
      <c r="CM90" s="16"/>
      <c r="CN90" s="471"/>
      <c r="CO90" s="16"/>
      <c r="CP90" s="17"/>
      <c r="CQ90" s="16"/>
      <c r="CR90" s="16"/>
      <c r="CS90" s="16"/>
      <c r="CT90" s="16"/>
      <c r="CU90" s="17"/>
      <c r="CV90" s="16"/>
      <c r="CW90" s="16"/>
      <c r="CX90" s="16"/>
      <c r="CY90" s="16"/>
      <c r="CZ90" s="17"/>
      <c r="DA90" s="16"/>
      <c r="DB90" s="16"/>
      <c r="DC90" s="16"/>
      <c r="DD90" s="16"/>
      <c r="DE90" s="17"/>
      <c r="DF90" s="16"/>
      <c r="DG90" s="16"/>
      <c r="DH90" s="16"/>
      <c r="DI90" s="16"/>
      <c r="DJ90" s="17"/>
      <c r="DK90" s="16"/>
      <c r="DL90" s="16"/>
      <c r="DM90" s="16"/>
      <c r="DN90" s="16"/>
      <c r="DO90" s="17"/>
      <c r="DP90" s="16"/>
      <c r="DQ90" s="16"/>
      <c r="DR90" s="16"/>
      <c r="DS90" s="16"/>
      <c r="DT90" s="17"/>
      <c r="DU90" s="17"/>
      <c r="DV90" s="17"/>
    </row>
    <row r="91" spans="1:126" s="13" customFormat="1">
      <c r="A91" s="32"/>
      <c r="B91" s="108" t="s">
        <v>137</v>
      </c>
      <c r="C91" s="268"/>
      <c r="D91" s="268"/>
      <c r="E91" s="268"/>
      <c r="F91" s="268"/>
      <c r="G91" s="268"/>
      <c r="H91" s="268"/>
      <c r="I91" s="268"/>
      <c r="N91" s="17"/>
      <c r="S91" s="17"/>
      <c r="X91" s="17"/>
      <c r="AC91" s="17"/>
      <c r="AH91" s="17"/>
      <c r="AM91" s="17"/>
      <c r="AR91" s="17"/>
      <c r="AU91" s="16"/>
      <c r="AW91" s="17"/>
      <c r="AZ91" s="16"/>
      <c r="BA91" s="16"/>
      <c r="BB91" s="17"/>
      <c r="BD91" s="16"/>
      <c r="BE91" s="16"/>
      <c r="BF91" s="16"/>
      <c r="BG91" s="17"/>
      <c r="BH91" s="16"/>
      <c r="BI91" s="16"/>
      <c r="BJ91" s="471"/>
      <c r="BK91" s="16"/>
      <c r="BL91" s="17"/>
      <c r="BM91" s="16"/>
      <c r="BN91" s="16"/>
      <c r="BO91" s="471"/>
      <c r="BP91" s="16"/>
      <c r="BQ91" s="17"/>
      <c r="BR91" s="16"/>
      <c r="BS91" s="16"/>
      <c r="BT91" s="471"/>
      <c r="BU91" s="16"/>
      <c r="BV91" s="17"/>
      <c r="BW91" s="16"/>
      <c r="BX91" s="16"/>
      <c r="BY91" s="471"/>
      <c r="BZ91" s="16"/>
      <c r="CA91" s="17"/>
      <c r="CB91" s="16"/>
      <c r="CC91" s="16"/>
      <c r="CD91" s="471"/>
      <c r="CE91" s="16"/>
      <c r="CF91" s="17"/>
      <c r="CG91" s="16"/>
      <c r="CH91" s="16"/>
      <c r="CI91" s="471"/>
      <c r="CJ91" s="16"/>
      <c r="CK91" s="17"/>
      <c r="CL91" s="16"/>
      <c r="CM91" s="771" t="s">
        <v>587</v>
      </c>
      <c r="CN91" s="471"/>
      <c r="CO91" s="16"/>
      <c r="CP91" s="17"/>
      <c r="CQ91" s="76" t="s">
        <v>615</v>
      </c>
      <c r="CR91" s="16"/>
      <c r="CS91" s="16"/>
      <c r="CT91" s="16"/>
      <c r="CU91" s="17"/>
      <c r="CV91" s="16"/>
      <c r="CW91" s="16"/>
      <c r="CX91" s="16"/>
      <c r="CY91" s="16"/>
      <c r="CZ91" s="17"/>
      <c r="DA91" s="16"/>
      <c r="DB91" s="16"/>
      <c r="DC91" s="16"/>
      <c r="DD91" s="16"/>
      <c r="DE91" s="17"/>
      <c r="DF91" s="16"/>
      <c r="DG91" s="16"/>
      <c r="DH91" s="16"/>
      <c r="DI91" s="16"/>
      <c r="DJ91" s="17"/>
      <c r="DK91" s="16"/>
      <c r="DL91" s="16"/>
      <c r="DM91" s="16"/>
      <c r="DN91" s="16"/>
      <c r="DO91" s="17"/>
      <c r="DP91" s="16"/>
      <c r="DQ91" s="16"/>
      <c r="DR91" s="16"/>
      <c r="DS91" s="16"/>
      <c r="DT91" s="17"/>
      <c r="DU91" s="17"/>
      <c r="DV91" s="17"/>
    </row>
    <row r="92" spans="1:126" s="13" customFormat="1">
      <c r="A92" s="32"/>
      <c r="B92" s="41" t="s">
        <v>203</v>
      </c>
      <c r="C92" s="268"/>
      <c r="D92" s="268"/>
      <c r="E92" s="268"/>
      <c r="F92" s="268"/>
      <c r="G92" s="268"/>
      <c r="H92" s="268"/>
      <c r="I92" s="268"/>
      <c r="J92" s="265"/>
      <c r="K92" s="265"/>
      <c r="L92" s="265"/>
      <c r="N92" s="17"/>
      <c r="O92" s="262"/>
      <c r="P92" s="262"/>
      <c r="Q92" s="262"/>
      <c r="S92" s="17"/>
      <c r="T92" s="259"/>
      <c r="U92" s="259"/>
      <c r="V92" s="259"/>
      <c r="X92" s="17"/>
      <c r="Y92" s="256"/>
      <c r="Z92" s="256"/>
      <c r="AA92" s="256"/>
      <c r="AB92" s="256"/>
      <c r="AC92" s="17"/>
      <c r="AD92" s="252"/>
      <c r="AE92" s="252"/>
      <c r="AF92" s="252"/>
      <c r="AG92" s="252"/>
      <c r="AH92" s="17"/>
      <c r="AI92" s="249"/>
      <c r="AJ92" s="249"/>
      <c r="AK92" s="249"/>
      <c r="AM92" s="17"/>
      <c r="AN92" s="246"/>
      <c r="AO92" s="246"/>
      <c r="AP92" s="246"/>
      <c r="AR92" s="17"/>
      <c r="AW92" s="17"/>
      <c r="AZ92" s="16"/>
      <c r="BA92" s="16"/>
      <c r="BB92" s="17"/>
      <c r="BD92" s="16"/>
      <c r="BE92" s="16"/>
      <c r="BF92" s="16"/>
      <c r="BG92" s="17"/>
      <c r="BH92" s="16"/>
      <c r="BI92" s="16"/>
      <c r="BJ92" s="472"/>
      <c r="BK92" s="16"/>
      <c r="BL92" s="17"/>
      <c r="BM92" s="16"/>
      <c r="BN92" s="16"/>
      <c r="BO92" s="472"/>
      <c r="BP92" s="16"/>
      <c r="BQ92" s="17"/>
      <c r="BR92" s="16"/>
      <c r="BS92" s="16"/>
      <c r="BT92" s="472"/>
      <c r="BU92" s="16"/>
      <c r="BV92" s="17"/>
      <c r="BW92" s="16"/>
      <c r="BX92" s="16"/>
      <c r="BY92" s="472"/>
      <c r="BZ92" s="16"/>
      <c r="CA92" s="17"/>
      <c r="CB92" s="16"/>
      <c r="CC92" s="16"/>
      <c r="CD92" s="472"/>
      <c r="CE92" s="16"/>
      <c r="CF92" s="17"/>
      <c r="CG92" s="16"/>
      <c r="CH92" s="16"/>
      <c r="CI92" s="472"/>
      <c r="CJ92" s="16"/>
      <c r="CK92" s="17">
        <v>3731</v>
      </c>
      <c r="CL92" s="770">
        <f>CP92-SUM(CM92:CO92)</f>
        <v>492</v>
      </c>
      <c r="CM92" s="16">
        <v>-3820</v>
      </c>
      <c r="CN92" s="472">
        <v>185</v>
      </c>
      <c r="CO92" s="16">
        <v>215</v>
      </c>
      <c r="CP92" s="17">
        <v>-2928</v>
      </c>
      <c r="CQ92" s="16">
        <v>813</v>
      </c>
      <c r="CR92" s="16">
        <v>1088</v>
      </c>
      <c r="CS92" s="16">
        <v>1473</v>
      </c>
      <c r="CT92" s="16">
        <v>771</v>
      </c>
      <c r="CU92" s="17">
        <f>SUM(CQ92:CT92)</f>
        <v>4145</v>
      </c>
      <c r="CV92" s="16">
        <v>1126</v>
      </c>
      <c r="CW92" s="16">
        <v>1338</v>
      </c>
      <c r="CX92" s="16">
        <v>1395</v>
      </c>
      <c r="CY92" s="16">
        <v>1468</v>
      </c>
      <c r="CZ92" s="17">
        <f>SUM(CV92:CY92)</f>
        <v>5327</v>
      </c>
      <c r="DA92" s="16">
        <v>1481</v>
      </c>
      <c r="DB92" s="16">
        <v>1359</v>
      </c>
      <c r="DC92" s="16">
        <v>-933</v>
      </c>
      <c r="DD92" s="16">
        <v>1473</v>
      </c>
      <c r="DE92" s="17">
        <f>SUM(DA92:DD92)</f>
        <v>3380</v>
      </c>
      <c r="DF92" s="16">
        <v>1743</v>
      </c>
      <c r="DG92" s="443">
        <v>175</v>
      </c>
      <c r="DH92" s="443">
        <v>1535</v>
      </c>
      <c r="DI92" s="443">
        <v>1560</v>
      </c>
      <c r="DJ92" s="17">
        <f>SUM(DF92:DI92)</f>
        <v>5013</v>
      </c>
      <c r="DK92" s="443">
        <v>1625</v>
      </c>
      <c r="DL92" s="443">
        <v>1725</v>
      </c>
      <c r="DM92" s="443">
        <v>2006</v>
      </c>
      <c r="DN92" s="16"/>
      <c r="DO92" s="17"/>
      <c r="DP92" s="443"/>
      <c r="DQ92" s="16"/>
      <c r="DR92" s="16"/>
      <c r="DS92" s="16"/>
      <c r="DT92" s="17"/>
      <c r="DU92" s="17"/>
      <c r="DV92" s="17"/>
    </row>
    <row r="93" spans="1:126" s="13" customFormat="1">
      <c r="A93" s="32"/>
      <c r="B93" s="41" t="s">
        <v>60</v>
      </c>
      <c r="C93" s="268"/>
      <c r="D93" s="268"/>
      <c r="E93" s="268"/>
      <c r="F93" s="268"/>
      <c r="G93" s="268"/>
      <c r="H93" s="268"/>
      <c r="I93" s="268"/>
      <c r="J93" s="265"/>
      <c r="K93" s="265"/>
      <c r="L93" s="265"/>
      <c r="N93" s="17"/>
      <c r="O93" s="262"/>
      <c r="P93" s="262"/>
      <c r="Q93" s="262"/>
      <c r="S93" s="17"/>
      <c r="T93" s="259"/>
      <c r="U93" s="259"/>
      <c r="V93" s="259"/>
      <c r="X93" s="17"/>
      <c r="Y93" s="256"/>
      <c r="Z93" s="256"/>
      <c r="AA93" s="256"/>
      <c r="AB93" s="256"/>
      <c r="AC93" s="17"/>
      <c r="AD93" s="252"/>
      <c r="AE93" s="252"/>
      <c r="AF93" s="252"/>
      <c r="AG93" s="252"/>
      <c r="AH93" s="17"/>
      <c r="AI93" s="249"/>
      <c r="AJ93" s="249"/>
      <c r="AK93" s="249"/>
      <c r="AM93" s="17"/>
      <c r="AN93" s="246"/>
      <c r="AO93" s="246"/>
      <c r="AP93" s="246"/>
      <c r="AR93" s="17"/>
      <c r="AW93" s="17"/>
      <c r="AZ93" s="16"/>
      <c r="BA93" s="16"/>
      <c r="BB93" s="17"/>
      <c r="BD93" s="16"/>
      <c r="BE93" s="16"/>
      <c r="BF93" s="16"/>
      <c r="BG93" s="17"/>
      <c r="BH93" s="16"/>
      <c r="BI93" s="16"/>
      <c r="BJ93" s="472"/>
      <c r="BK93" s="16"/>
      <c r="BL93" s="17"/>
      <c r="BM93" s="16"/>
      <c r="BN93" s="16"/>
      <c r="BO93" s="472"/>
      <c r="BP93" s="16"/>
      <c r="BQ93" s="17"/>
      <c r="BR93" s="16"/>
      <c r="BS93" s="16"/>
      <c r="BT93" s="472"/>
      <c r="BU93" s="16"/>
      <c r="BV93" s="17"/>
      <c r="BW93" s="16"/>
      <c r="BX93" s="16"/>
      <c r="BY93" s="472"/>
      <c r="BZ93" s="16"/>
      <c r="CA93" s="17"/>
      <c r="CB93" s="16"/>
      <c r="CC93" s="16"/>
      <c r="CD93" s="472"/>
      <c r="CE93" s="16"/>
      <c r="CF93" s="17"/>
      <c r="CG93" s="16"/>
      <c r="CH93" s="16"/>
      <c r="CI93" s="472"/>
      <c r="CJ93" s="16"/>
      <c r="CK93" s="17">
        <v>2708</v>
      </c>
      <c r="CL93" s="770">
        <f t="shared" ref="CL93:CL125" si="50">CP93-SUM(CM93:CO93)</f>
        <v>728</v>
      </c>
      <c r="CM93" s="16">
        <v>1111</v>
      </c>
      <c r="CN93" s="472">
        <v>1164</v>
      </c>
      <c r="CO93" s="16">
        <v>1153</v>
      </c>
      <c r="CP93" s="17">
        <v>4156</v>
      </c>
      <c r="CQ93" s="16">
        <v>1123</v>
      </c>
      <c r="CR93" s="16">
        <v>1132</v>
      </c>
      <c r="CS93" s="16">
        <v>1158</v>
      </c>
      <c r="CT93" s="16">
        <v>1144</v>
      </c>
      <c r="CU93" s="17">
        <f t="shared" ref="CU93:CU126" si="51">SUM(CQ93:CT93)</f>
        <v>4557</v>
      </c>
      <c r="CV93" s="16">
        <v>1014</v>
      </c>
      <c r="CW93" s="16">
        <v>999</v>
      </c>
      <c r="CX93" s="16">
        <v>1047</v>
      </c>
      <c r="CY93" s="16">
        <v>1048</v>
      </c>
      <c r="CZ93" s="17">
        <f t="shared" ref="CZ93:CZ126" si="52">SUM(CV93:CY93)</f>
        <v>4108</v>
      </c>
      <c r="DA93" s="16">
        <v>1034</v>
      </c>
      <c r="DB93" s="16">
        <v>1044</v>
      </c>
      <c r="DC93" s="16">
        <v>1074</v>
      </c>
      <c r="DD93" s="16">
        <v>1059</v>
      </c>
      <c r="DE93" s="17">
        <f t="shared" ref="DE93:DE126" si="53">SUM(DA93:DD93)</f>
        <v>4211</v>
      </c>
      <c r="DF93" s="16">
        <v>1059</v>
      </c>
      <c r="DG93" s="443">
        <v>1072</v>
      </c>
      <c r="DH93" s="443">
        <v>1094</v>
      </c>
      <c r="DI93" s="443">
        <v>1139</v>
      </c>
      <c r="DJ93" s="17">
        <f t="shared" ref="DJ93:DJ97" si="54">SUM(DF93:DI93)</f>
        <v>4364</v>
      </c>
      <c r="DK93" s="443">
        <v>1052</v>
      </c>
      <c r="DL93" s="443">
        <v>1076</v>
      </c>
      <c r="DM93" s="443">
        <v>1091</v>
      </c>
      <c r="DN93" s="16"/>
      <c r="DO93" s="17"/>
      <c r="DP93" s="443"/>
      <c r="DQ93" s="16"/>
      <c r="DR93" s="16"/>
      <c r="DS93" s="16"/>
      <c r="DT93" s="17"/>
      <c r="DU93" s="17"/>
      <c r="DV93" s="17"/>
    </row>
    <row r="94" spans="1:126" s="13" customFormat="1">
      <c r="A94" s="32"/>
      <c r="B94" s="41" t="s">
        <v>45</v>
      </c>
      <c r="C94" s="268"/>
      <c r="D94" s="268"/>
      <c r="E94" s="268"/>
      <c r="F94" s="268"/>
      <c r="G94" s="268"/>
      <c r="H94" s="268"/>
      <c r="I94" s="268"/>
      <c r="J94" s="265"/>
      <c r="K94" s="265"/>
      <c r="L94" s="265"/>
      <c r="N94" s="17"/>
      <c r="O94" s="262"/>
      <c r="P94" s="262"/>
      <c r="Q94" s="262"/>
      <c r="S94" s="17"/>
      <c r="T94" s="259"/>
      <c r="U94" s="259"/>
      <c r="V94" s="259"/>
      <c r="X94" s="17"/>
      <c r="Y94" s="256"/>
      <c r="Z94" s="256"/>
      <c r="AA94" s="256"/>
      <c r="AB94" s="256"/>
      <c r="AC94" s="17"/>
      <c r="AD94" s="252"/>
      <c r="AE94" s="252"/>
      <c r="AF94" s="252"/>
      <c r="AG94" s="252"/>
      <c r="AH94" s="17"/>
      <c r="AI94" s="249"/>
      <c r="AJ94" s="249"/>
      <c r="AK94" s="249"/>
      <c r="AM94" s="17"/>
      <c r="AN94" s="246"/>
      <c r="AO94" s="246"/>
      <c r="AP94" s="246"/>
      <c r="AR94" s="17"/>
      <c r="AW94" s="17"/>
      <c r="AZ94" s="16"/>
      <c r="BA94" s="16"/>
      <c r="BB94" s="17"/>
      <c r="BD94" s="16"/>
      <c r="BE94" s="16"/>
      <c r="BF94" s="16"/>
      <c r="BG94" s="17"/>
      <c r="BH94" s="16"/>
      <c r="BI94" s="16"/>
      <c r="BJ94" s="472"/>
      <c r="BK94" s="16"/>
      <c r="BL94" s="17"/>
      <c r="BM94" s="16"/>
      <c r="BN94" s="16"/>
      <c r="BO94" s="472"/>
      <c r="BP94" s="16"/>
      <c r="BQ94" s="17"/>
      <c r="BR94" s="16"/>
      <c r="BS94" s="16"/>
      <c r="BT94" s="472"/>
      <c r="BU94" s="16"/>
      <c r="BV94" s="17"/>
      <c r="BW94" s="16"/>
      <c r="BX94" s="16"/>
      <c r="BY94" s="472"/>
      <c r="BZ94" s="16"/>
      <c r="CA94" s="17"/>
      <c r="CB94" s="16"/>
      <c r="CC94" s="16"/>
      <c r="CD94" s="472"/>
      <c r="CE94" s="16"/>
      <c r="CF94" s="17"/>
      <c r="CG94" s="16"/>
      <c r="CH94" s="16"/>
      <c r="CI94" s="472"/>
      <c r="CJ94" s="16"/>
      <c r="CK94" s="17">
        <v>38</v>
      </c>
      <c r="CL94" s="770">
        <f t="shared" si="50"/>
        <v>392</v>
      </c>
      <c r="CM94" s="16">
        <v>-274</v>
      </c>
      <c r="CN94" s="472">
        <v>-152</v>
      </c>
      <c r="CO94" s="16">
        <v>-65</v>
      </c>
      <c r="CP94" s="17">
        <v>-99</v>
      </c>
      <c r="CQ94" s="16">
        <v>153</v>
      </c>
      <c r="CR94" s="16">
        <v>22</v>
      </c>
      <c r="CS94" s="16">
        <v>-317</v>
      </c>
      <c r="CT94" s="16">
        <v>54</v>
      </c>
      <c r="CU94" s="17">
        <f t="shared" si="51"/>
        <v>-88</v>
      </c>
      <c r="CV94" s="16">
        <v>-601</v>
      </c>
      <c r="CW94" s="16">
        <v>-546</v>
      </c>
      <c r="CX94" s="16">
        <v>-534</v>
      </c>
      <c r="CY94" s="16">
        <v>18</v>
      </c>
      <c r="CZ94" s="17">
        <f t="shared" si="52"/>
        <v>-1663</v>
      </c>
      <c r="DA94" s="16">
        <v>-329</v>
      </c>
      <c r="DB94" s="16">
        <v>-371</v>
      </c>
      <c r="DC94" s="16">
        <v>-28</v>
      </c>
      <c r="DD94" s="16">
        <v>326</v>
      </c>
      <c r="DE94" s="17">
        <f t="shared" si="53"/>
        <v>-402</v>
      </c>
      <c r="DF94" s="16">
        <v>-114</v>
      </c>
      <c r="DG94" s="443">
        <v>299</v>
      </c>
      <c r="DH94" s="443">
        <v>-304</v>
      </c>
      <c r="DI94" s="443">
        <v>72</v>
      </c>
      <c r="DJ94" s="17">
        <f t="shared" si="54"/>
        <v>-47</v>
      </c>
      <c r="DK94" s="443">
        <v>67</v>
      </c>
      <c r="DL94" s="443">
        <v>54</v>
      </c>
      <c r="DM94" s="443">
        <v>477</v>
      </c>
      <c r="DN94" s="16"/>
      <c r="DO94" s="17"/>
      <c r="DP94" s="443"/>
      <c r="DQ94" s="16"/>
      <c r="DR94" s="16"/>
      <c r="DS94" s="16"/>
      <c r="DT94" s="17"/>
      <c r="DU94" s="17"/>
      <c r="DV94" s="17"/>
    </row>
    <row r="95" spans="1:126" s="13" customFormat="1">
      <c r="A95" s="32"/>
      <c r="B95" s="41" t="s">
        <v>61</v>
      </c>
      <c r="C95" s="268"/>
      <c r="D95" s="268"/>
      <c r="E95" s="269"/>
      <c r="F95" s="268"/>
      <c r="G95" s="268"/>
      <c r="H95" s="268"/>
      <c r="I95" s="268"/>
      <c r="J95" s="265"/>
      <c r="K95" s="265"/>
      <c r="L95" s="265"/>
      <c r="N95" s="17"/>
      <c r="O95" s="262"/>
      <c r="P95" s="262"/>
      <c r="Q95" s="262"/>
      <c r="S95" s="17"/>
      <c r="T95" s="259"/>
      <c r="U95" s="259"/>
      <c r="V95" s="259"/>
      <c r="X95" s="17"/>
      <c r="Y95" s="256"/>
      <c r="Z95" s="256"/>
      <c r="AA95" s="256"/>
      <c r="AB95" s="256"/>
      <c r="AC95" s="17"/>
      <c r="AD95" s="252"/>
      <c r="AE95" s="252"/>
      <c r="AF95" s="252"/>
      <c r="AG95" s="252"/>
      <c r="AH95" s="17"/>
      <c r="AI95" s="249"/>
      <c r="AJ95" s="249"/>
      <c r="AK95" s="249"/>
      <c r="AM95" s="17"/>
      <c r="AN95" s="246"/>
      <c r="AO95" s="246"/>
      <c r="AP95" s="246"/>
      <c r="AR95" s="17"/>
      <c r="AW95" s="17"/>
      <c r="AZ95" s="16"/>
      <c r="BA95" s="16"/>
      <c r="BB95" s="17"/>
      <c r="BD95" s="16"/>
      <c r="BE95" s="16"/>
      <c r="BF95" s="16"/>
      <c r="BG95" s="17"/>
      <c r="BH95" s="16"/>
      <c r="BI95" s="16"/>
      <c r="BJ95" s="472"/>
      <c r="BK95" s="16"/>
      <c r="BL95" s="17"/>
      <c r="BM95" s="16"/>
      <c r="BN95" s="16"/>
      <c r="BO95" s="472"/>
      <c r="BP95" s="16"/>
      <c r="BQ95" s="17"/>
      <c r="BR95" s="16"/>
      <c r="BS95" s="16"/>
      <c r="BT95" s="472"/>
      <c r="BU95" s="16"/>
      <c r="BV95" s="17"/>
      <c r="BW95" s="16"/>
      <c r="BX95" s="16"/>
      <c r="BY95" s="472"/>
      <c r="BZ95" s="16"/>
      <c r="CA95" s="17"/>
      <c r="CB95" s="16"/>
      <c r="CC95" s="16"/>
      <c r="CD95" s="472"/>
      <c r="CE95" s="16"/>
      <c r="CF95" s="17"/>
      <c r="CG95" s="16"/>
      <c r="CH95" s="16"/>
      <c r="CI95" s="472"/>
      <c r="CJ95" s="16"/>
      <c r="CK95" s="17">
        <v>268</v>
      </c>
      <c r="CL95" s="770">
        <f t="shared" si="50"/>
        <v>63</v>
      </c>
      <c r="CM95" s="16">
        <v>72</v>
      </c>
      <c r="CN95" s="472">
        <v>118</v>
      </c>
      <c r="CO95" s="16">
        <v>77</v>
      </c>
      <c r="CP95" s="17">
        <v>330</v>
      </c>
      <c r="CQ95" s="16">
        <v>84</v>
      </c>
      <c r="CR95" s="16">
        <v>143</v>
      </c>
      <c r="CS95" s="16">
        <v>116</v>
      </c>
      <c r="CT95" s="16">
        <v>99</v>
      </c>
      <c r="CU95" s="17">
        <f t="shared" si="51"/>
        <v>442</v>
      </c>
      <c r="CV95" s="16">
        <v>103</v>
      </c>
      <c r="CW95" s="16">
        <v>109</v>
      </c>
      <c r="CX95" s="16">
        <v>106</v>
      </c>
      <c r="CY95" s="16">
        <v>102</v>
      </c>
      <c r="CZ95" s="17">
        <f t="shared" si="52"/>
        <v>420</v>
      </c>
      <c r="DA95" s="16">
        <v>100</v>
      </c>
      <c r="DB95" s="16">
        <v>112</v>
      </c>
      <c r="DC95" s="16">
        <v>107</v>
      </c>
      <c r="DD95" s="16">
        <v>106</v>
      </c>
      <c r="DE95" s="17">
        <f t="shared" si="53"/>
        <v>425</v>
      </c>
      <c r="DF95" s="16">
        <v>112</v>
      </c>
      <c r="DG95" s="443">
        <v>111</v>
      </c>
      <c r="DH95" s="443">
        <v>105</v>
      </c>
      <c r="DI95" s="443">
        <v>109</v>
      </c>
      <c r="DJ95" s="17">
        <f t="shared" si="54"/>
        <v>437</v>
      </c>
      <c r="DK95" s="443">
        <v>111</v>
      </c>
      <c r="DL95" s="443">
        <v>113</v>
      </c>
      <c r="DM95" s="443">
        <v>113</v>
      </c>
      <c r="DN95" s="16"/>
      <c r="DO95" s="17"/>
      <c r="DP95" s="443"/>
      <c r="DQ95" s="16"/>
      <c r="DR95" s="16"/>
      <c r="DS95" s="16"/>
      <c r="DT95" s="17"/>
      <c r="DU95" s="17"/>
      <c r="DV95" s="17"/>
    </row>
    <row r="96" spans="1:126" s="13" customFormat="1">
      <c r="A96" s="32"/>
      <c r="B96" s="41" t="s">
        <v>585</v>
      </c>
      <c r="C96" s="268"/>
      <c r="D96" s="268"/>
      <c r="E96" s="269"/>
      <c r="F96" s="268"/>
      <c r="G96" s="268"/>
      <c r="H96" s="268"/>
      <c r="I96" s="268"/>
      <c r="J96" s="265"/>
      <c r="K96" s="265"/>
      <c r="L96" s="265"/>
      <c r="N96" s="17"/>
      <c r="O96" s="262"/>
      <c r="P96" s="262"/>
      <c r="Q96" s="262"/>
      <c r="S96" s="17"/>
      <c r="T96" s="259"/>
      <c r="U96" s="259"/>
      <c r="V96" s="259"/>
      <c r="X96" s="17"/>
      <c r="Y96" s="256"/>
      <c r="Z96" s="256"/>
      <c r="AA96" s="256"/>
      <c r="AB96" s="256"/>
      <c r="AC96" s="17"/>
      <c r="AD96" s="252"/>
      <c r="AE96" s="252"/>
      <c r="AF96" s="252"/>
      <c r="AG96" s="252"/>
      <c r="AH96" s="17"/>
      <c r="AI96" s="249"/>
      <c r="AJ96" s="249"/>
      <c r="AK96" s="249"/>
      <c r="AM96" s="17"/>
      <c r="AN96" s="246"/>
      <c r="AO96" s="246"/>
      <c r="AP96" s="246"/>
      <c r="AR96" s="17"/>
      <c r="AW96" s="17"/>
      <c r="AZ96" s="16"/>
      <c r="BA96" s="16"/>
      <c r="BB96" s="17"/>
      <c r="BD96" s="16"/>
      <c r="BE96" s="16"/>
      <c r="BF96" s="16"/>
      <c r="BG96" s="17"/>
      <c r="BH96" s="16"/>
      <c r="BI96" s="16"/>
      <c r="BJ96" s="472"/>
      <c r="BK96" s="16"/>
      <c r="BL96" s="17"/>
      <c r="BM96" s="16"/>
      <c r="BN96" s="16"/>
      <c r="BO96" s="472"/>
      <c r="BP96" s="16"/>
      <c r="BQ96" s="17"/>
      <c r="BR96" s="16"/>
      <c r="BS96" s="16"/>
      <c r="BT96" s="472"/>
      <c r="BU96" s="16"/>
      <c r="BV96" s="17"/>
      <c r="BW96" s="16"/>
      <c r="BX96" s="16"/>
      <c r="BY96" s="472"/>
      <c r="BZ96" s="16"/>
      <c r="CA96" s="17"/>
      <c r="CB96" s="16"/>
      <c r="CC96" s="16"/>
      <c r="CD96" s="472"/>
      <c r="CE96" s="16"/>
      <c r="CF96" s="17"/>
      <c r="CG96" s="16"/>
      <c r="CH96" s="16"/>
      <c r="CI96" s="472"/>
      <c r="CJ96" s="16"/>
      <c r="CK96" s="17">
        <v>-566</v>
      </c>
      <c r="CL96" s="770">
        <f t="shared" si="50"/>
        <v>-130</v>
      </c>
      <c r="CM96" s="16">
        <v>-93</v>
      </c>
      <c r="CN96" s="472">
        <v>-102</v>
      </c>
      <c r="CO96" s="16">
        <v>-88</v>
      </c>
      <c r="CP96" s="17">
        <v>-413</v>
      </c>
      <c r="CQ96" s="16">
        <v>-358</v>
      </c>
      <c r="CR96" s="16">
        <v>-357</v>
      </c>
      <c r="CS96" s="16">
        <v>-358</v>
      </c>
      <c r="CT96" s="16">
        <v>-341</v>
      </c>
      <c r="CU96" s="17">
        <f t="shared" si="51"/>
        <v>-1414</v>
      </c>
      <c r="CV96" s="16">
        <v>-360</v>
      </c>
      <c r="CW96" s="16">
        <v>-354</v>
      </c>
      <c r="CX96" s="16">
        <v>-348</v>
      </c>
      <c r="CY96" s="16">
        <v>-351</v>
      </c>
      <c r="CZ96" s="17">
        <f t="shared" si="52"/>
        <v>-1413</v>
      </c>
      <c r="DA96" s="16">
        <v>-388</v>
      </c>
      <c r="DB96" s="16">
        <v>-390</v>
      </c>
      <c r="DC96" s="16">
        <v>-386</v>
      </c>
      <c r="DD96" s="16">
        <v>-391</v>
      </c>
      <c r="DE96" s="17">
        <f t="shared" si="53"/>
        <v>-1555</v>
      </c>
      <c r="DF96" s="16">
        <v>-338</v>
      </c>
      <c r="DG96" s="443">
        <v>-328</v>
      </c>
      <c r="DH96" s="443">
        <v>-326</v>
      </c>
      <c r="DI96" s="443">
        <v>-334</v>
      </c>
      <c r="DJ96" s="17">
        <f t="shared" si="54"/>
        <v>-1326</v>
      </c>
      <c r="DK96" s="443">
        <v>-324</v>
      </c>
      <c r="DL96" s="443">
        <v>-312</v>
      </c>
      <c r="DM96" s="443">
        <v>-320</v>
      </c>
      <c r="DN96" s="16"/>
      <c r="DO96" s="17"/>
      <c r="DP96" s="443"/>
      <c r="DQ96" s="16"/>
      <c r="DR96" s="16"/>
      <c r="DS96" s="16"/>
      <c r="DT96" s="17"/>
      <c r="DU96" s="17"/>
      <c r="DV96" s="17"/>
    </row>
    <row r="97" spans="1:126" s="13" customFormat="1">
      <c r="A97" s="32"/>
      <c r="B97" s="41" t="s">
        <v>582</v>
      </c>
      <c r="C97" s="268"/>
      <c r="D97" s="268"/>
      <c r="E97" s="269"/>
      <c r="F97" s="268"/>
      <c r="G97" s="268"/>
      <c r="H97" s="268"/>
      <c r="I97" s="268"/>
      <c r="J97" s="265"/>
      <c r="K97" s="265"/>
      <c r="L97" s="265"/>
      <c r="N97" s="17"/>
      <c r="O97" s="262"/>
      <c r="P97" s="262"/>
      <c r="Q97" s="262"/>
      <c r="S97" s="17"/>
      <c r="T97" s="259"/>
      <c r="U97" s="259"/>
      <c r="V97" s="259"/>
      <c r="X97" s="17"/>
      <c r="Y97" s="256"/>
      <c r="Z97" s="256"/>
      <c r="AA97" s="256"/>
      <c r="AB97" s="256"/>
      <c r="AC97" s="17"/>
      <c r="AD97" s="252"/>
      <c r="AE97" s="252"/>
      <c r="AF97" s="252"/>
      <c r="AG97" s="252"/>
      <c r="AH97" s="17"/>
      <c r="AI97" s="249"/>
      <c r="AJ97" s="249"/>
      <c r="AK97" s="249"/>
      <c r="AM97" s="17"/>
      <c r="AN97" s="246"/>
      <c r="AO97" s="246"/>
      <c r="AP97" s="246"/>
      <c r="AR97" s="17"/>
      <c r="AW97" s="17"/>
      <c r="AZ97" s="16"/>
      <c r="BA97" s="16"/>
      <c r="BB97" s="17"/>
      <c r="BD97" s="16"/>
      <c r="BE97" s="16"/>
      <c r="BF97" s="16"/>
      <c r="BG97" s="17"/>
      <c r="BH97" s="16"/>
      <c r="BI97" s="16"/>
      <c r="BJ97" s="472"/>
      <c r="BK97" s="16"/>
      <c r="BL97" s="17"/>
      <c r="BM97" s="16"/>
      <c r="BN97" s="16"/>
      <c r="BO97" s="472"/>
      <c r="BP97" s="16"/>
      <c r="BQ97" s="17"/>
      <c r="BR97" s="16"/>
      <c r="BS97" s="16"/>
      <c r="BT97" s="472"/>
      <c r="BU97" s="16"/>
      <c r="BV97" s="17"/>
      <c r="BW97" s="16"/>
      <c r="BX97" s="16"/>
      <c r="BY97" s="472"/>
      <c r="BZ97" s="16"/>
      <c r="CA97" s="17"/>
      <c r="CB97" s="16"/>
      <c r="CC97" s="16"/>
      <c r="CD97" s="472"/>
      <c r="CE97" s="16"/>
      <c r="CF97" s="17"/>
      <c r="CG97" s="16"/>
      <c r="CH97" s="16"/>
      <c r="CI97" s="472"/>
      <c r="CJ97" s="16"/>
      <c r="CK97" s="17">
        <v>0</v>
      </c>
      <c r="CL97" s="770">
        <f t="shared" si="50"/>
        <v>0</v>
      </c>
      <c r="CM97" s="16">
        <v>3183</v>
      </c>
      <c r="CN97" s="472"/>
      <c r="CO97" s="16"/>
      <c r="CP97" s="17">
        <v>3183</v>
      </c>
      <c r="CQ97" s="16"/>
      <c r="CR97" s="16"/>
      <c r="CS97" s="16"/>
      <c r="CT97" s="16">
        <v>617</v>
      </c>
      <c r="CU97" s="17">
        <f t="shared" si="51"/>
        <v>617</v>
      </c>
      <c r="CV97" s="16"/>
      <c r="CW97" s="16"/>
      <c r="CX97" s="16"/>
      <c r="CY97" s="16"/>
      <c r="CZ97" s="17">
        <f t="shared" si="52"/>
        <v>0</v>
      </c>
      <c r="DA97" s="16"/>
      <c r="DB97" s="16"/>
      <c r="DC97" s="16"/>
      <c r="DD97" s="16"/>
      <c r="DE97" s="17">
        <f t="shared" si="53"/>
        <v>0</v>
      </c>
      <c r="DF97" s="16">
        <v>-415</v>
      </c>
      <c r="DG97" s="16"/>
      <c r="DH97" s="16"/>
      <c r="DI97" s="16"/>
      <c r="DJ97" s="17">
        <f t="shared" si="54"/>
        <v>-415</v>
      </c>
      <c r="DK97" s="443">
        <v>0</v>
      </c>
      <c r="DL97" s="443">
        <v>140</v>
      </c>
      <c r="DM97" s="443">
        <v>128</v>
      </c>
      <c r="DN97" s="16"/>
      <c r="DO97" s="17"/>
      <c r="DP97" s="443"/>
      <c r="DQ97" s="16"/>
      <c r="DR97" s="16"/>
      <c r="DS97" s="16"/>
      <c r="DT97" s="17"/>
      <c r="DU97" s="17"/>
      <c r="DV97" s="17"/>
    </row>
    <row r="98" spans="1:126" s="13" customFormat="1">
      <c r="A98" s="32"/>
      <c r="B98" s="41" t="s">
        <v>165</v>
      </c>
      <c r="C98" s="268"/>
      <c r="D98" s="268"/>
      <c r="E98" s="268"/>
      <c r="F98" s="268"/>
      <c r="G98" s="268"/>
      <c r="H98" s="268"/>
      <c r="I98" s="268"/>
      <c r="J98" s="265"/>
      <c r="K98" s="265"/>
      <c r="L98" s="265"/>
      <c r="N98" s="17"/>
      <c r="O98" s="262"/>
      <c r="P98" s="262"/>
      <c r="Q98" s="262"/>
      <c r="S98" s="17"/>
      <c r="T98" s="259"/>
      <c r="U98" s="259"/>
      <c r="V98" s="259"/>
      <c r="X98" s="17"/>
      <c r="Y98" s="256"/>
      <c r="Z98" s="256"/>
      <c r="AA98" s="256"/>
      <c r="AB98" s="256"/>
      <c r="AC98" s="17"/>
      <c r="AD98" s="252"/>
      <c r="AE98" s="252"/>
      <c r="AF98" s="252"/>
      <c r="AG98" s="252"/>
      <c r="AH98" s="17"/>
      <c r="AI98" s="249"/>
      <c r="AJ98" s="249"/>
      <c r="AK98" s="249"/>
      <c r="AM98" s="17"/>
      <c r="AN98" s="246"/>
      <c r="AO98" s="246"/>
      <c r="AP98" s="246"/>
      <c r="AR98" s="17"/>
      <c r="AW98" s="17"/>
      <c r="AZ98" s="16"/>
      <c r="BA98" s="16"/>
      <c r="BB98" s="17"/>
      <c r="BD98" s="16"/>
      <c r="BE98" s="16"/>
      <c r="BF98" s="16"/>
      <c r="BG98" s="17"/>
      <c r="BH98" s="16"/>
      <c r="BI98" s="16"/>
      <c r="BJ98" s="472"/>
      <c r="BK98" s="16"/>
      <c r="BL98" s="17"/>
      <c r="BM98" s="16"/>
      <c r="BN98" s="16"/>
      <c r="BO98" s="472"/>
      <c r="BP98" s="16"/>
      <c r="BQ98" s="17"/>
      <c r="BR98" s="16"/>
      <c r="BS98" s="16"/>
      <c r="BT98" s="472"/>
      <c r="BU98" s="16"/>
      <c r="BV98" s="17"/>
      <c r="BW98" s="16"/>
      <c r="BX98" s="16"/>
      <c r="BY98" s="472"/>
      <c r="BZ98" s="16"/>
      <c r="CA98" s="17"/>
      <c r="CB98" s="16"/>
      <c r="CC98" s="16"/>
      <c r="CD98" s="472"/>
      <c r="CE98" s="16"/>
      <c r="CF98" s="17"/>
      <c r="CG98" s="16"/>
      <c r="CH98" s="16"/>
      <c r="CI98" s="472"/>
      <c r="CJ98" s="453"/>
      <c r="CK98" s="17"/>
      <c r="CL98" s="770">
        <f t="shared" si="50"/>
        <v>0</v>
      </c>
      <c r="CM98" s="16"/>
      <c r="CN98" s="472"/>
      <c r="CO98" s="16"/>
      <c r="CP98" s="17"/>
      <c r="CQ98" s="16"/>
      <c r="CR98" s="16"/>
      <c r="CS98" s="16"/>
      <c r="CT98" s="16"/>
      <c r="CU98" s="17"/>
      <c r="CV98" s="16"/>
      <c r="CW98" s="16"/>
      <c r="CX98" s="16"/>
      <c r="CY98" s="16"/>
      <c r="CZ98" s="17"/>
      <c r="DA98" s="16"/>
      <c r="DB98" s="16"/>
      <c r="DC98" s="16"/>
      <c r="DD98" s="16"/>
      <c r="DE98" s="17"/>
      <c r="DF98" s="16"/>
      <c r="DG98" s="16"/>
      <c r="DH98" s="16"/>
      <c r="DI98" s="16"/>
      <c r="DJ98" s="17"/>
      <c r="DK98" s="16"/>
      <c r="DL98" s="16"/>
      <c r="DM98" s="16"/>
      <c r="DN98" s="16"/>
      <c r="DO98" s="17"/>
      <c r="DP98" s="16"/>
      <c r="DQ98" s="16"/>
      <c r="DR98" s="16"/>
      <c r="DS98" s="16"/>
      <c r="DT98" s="17"/>
      <c r="DU98" s="17"/>
      <c r="DV98" s="17"/>
    </row>
    <row r="99" spans="1:126" s="13" customFormat="1">
      <c r="A99" s="32"/>
      <c r="B99" s="41" t="s">
        <v>69</v>
      </c>
      <c r="C99" s="270"/>
      <c r="D99" s="270"/>
      <c r="E99" s="270"/>
      <c r="F99" s="270"/>
      <c r="G99" s="270"/>
      <c r="H99" s="270"/>
      <c r="I99" s="270"/>
      <c r="J99" s="266"/>
      <c r="K99" s="266"/>
      <c r="L99" s="266"/>
      <c r="M99" s="224"/>
      <c r="N99" s="178"/>
      <c r="O99" s="263"/>
      <c r="P99" s="263"/>
      <c r="Q99" s="263"/>
      <c r="R99" s="224"/>
      <c r="S99" s="178"/>
      <c r="T99" s="260"/>
      <c r="U99" s="260"/>
      <c r="V99" s="260"/>
      <c r="W99" s="224"/>
      <c r="X99" s="178"/>
      <c r="Y99" s="257"/>
      <c r="Z99" s="257"/>
      <c r="AA99" s="257"/>
      <c r="AB99" s="257"/>
      <c r="AC99" s="17"/>
      <c r="AD99" s="253"/>
      <c r="AE99" s="253"/>
      <c r="AF99" s="253"/>
      <c r="AG99" s="253"/>
      <c r="AH99" s="17"/>
      <c r="AI99" s="250"/>
      <c r="AJ99" s="250"/>
      <c r="AK99" s="250"/>
      <c r="AL99" s="224"/>
      <c r="AM99" s="17"/>
      <c r="AN99" s="247"/>
      <c r="AO99" s="247"/>
      <c r="AP99" s="247"/>
      <c r="AQ99" s="224"/>
      <c r="AR99" s="17"/>
      <c r="AS99" s="224"/>
      <c r="AT99" s="224"/>
      <c r="AU99" s="224"/>
      <c r="AV99" s="224"/>
      <c r="AW99" s="17"/>
      <c r="AX99" s="224"/>
      <c r="AY99" s="224"/>
      <c r="AZ99" s="224"/>
      <c r="BA99" s="224"/>
      <c r="BB99" s="17"/>
      <c r="BC99" s="224"/>
      <c r="BD99" s="224"/>
      <c r="BE99" s="224"/>
      <c r="BF99" s="224"/>
      <c r="BG99" s="17"/>
      <c r="BH99" s="224"/>
      <c r="BI99" s="224"/>
      <c r="BJ99" s="224"/>
      <c r="BK99" s="224"/>
      <c r="BL99" s="17"/>
      <c r="BM99" s="16"/>
      <c r="BN99" s="224"/>
      <c r="BO99" s="224"/>
      <c r="BP99" s="224"/>
      <c r="BQ99" s="17"/>
      <c r="BR99" s="224"/>
      <c r="BS99" s="224"/>
      <c r="BT99" s="224"/>
      <c r="BU99" s="224"/>
      <c r="BV99" s="17"/>
      <c r="BW99" s="224"/>
      <c r="BX99" s="224"/>
      <c r="BY99" s="224"/>
      <c r="BZ99" s="224"/>
      <c r="CA99" s="17"/>
      <c r="CB99" s="224"/>
      <c r="CC99" s="224"/>
      <c r="CD99" s="224"/>
      <c r="CE99" s="224"/>
      <c r="CF99" s="17"/>
      <c r="CG99" s="224"/>
      <c r="CH99" s="224">
        <f>SUM(CH100:CH104)</f>
        <v>0</v>
      </c>
      <c r="CI99" s="224"/>
      <c r="CJ99" s="16"/>
      <c r="CK99" s="17"/>
      <c r="CL99" s="806">
        <f t="shared" si="50"/>
        <v>0</v>
      </c>
      <c r="CM99" s="224"/>
      <c r="CN99" s="224"/>
      <c r="CO99" s="16"/>
      <c r="CP99" s="17"/>
      <c r="CQ99" s="16"/>
      <c r="CR99" s="16"/>
      <c r="CS99" s="16"/>
      <c r="CT99" s="16"/>
      <c r="CU99" s="17"/>
      <c r="CV99" s="16"/>
      <c r="CW99" s="16"/>
      <c r="CX99" s="16"/>
      <c r="CY99" s="16"/>
      <c r="CZ99" s="17"/>
      <c r="DA99" s="16"/>
      <c r="DB99" s="16"/>
      <c r="DC99" s="16"/>
      <c r="DD99" s="16"/>
      <c r="DE99" s="17"/>
      <c r="DF99" s="16"/>
      <c r="DG99" s="16"/>
      <c r="DH99" s="16"/>
      <c r="DI99" s="16"/>
      <c r="DJ99" s="17"/>
      <c r="DK99" s="16"/>
      <c r="DL99" s="16"/>
      <c r="DM99" s="16"/>
      <c r="DN99" s="16"/>
      <c r="DO99" s="17"/>
      <c r="DP99" s="16"/>
      <c r="DQ99" s="16"/>
      <c r="DR99" s="16"/>
      <c r="DS99" s="16"/>
      <c r="DT99" s="17"/>
      <c r="DU99" s="17"/>
      <c r="DV99" s="17"/>
    </row>
    <row r="100" spans="1:126" s="13" customFormat="1">
      <c r="A100" s="32"/>
      <c r="B100" s="40" t="s">
        <v>166</v>
      </c>
      <c r="C100" s="268"/>
      <c r="D100" s="268"/>
      <c r="E100" s="268"/>
      <c r="F100" s="268"/>
      <c r="G100" s="268"/>
      <c r="H100" s="268"/>
      <c r="I100" s="268"/>
      <c r="J100" s="265"/>
      <c r="K100" s="265"/>
      <c r="L100" s="265"/>
      <c r="N100" s="17"/>
      <c r="O100" s="262"/>
      <c r="P100" s="262"/>
      <c r="Q100" s="262"/>
      <c r="S100" s="17"/>
      <c r="T100" s="259"/>
      <c r="U100" s="259"/>
      <c r="V100" s="259"/>
      <c r="X100" s="17"/>
      <c r="Y100" s="256"/>
      <c r="Z100" s="256"/>
      <c r="AA100" s="256"/>
      <c r="AB100" s="256"/>
      <c r="AC100" s="17"/>
      <c r="AD100" s="252"/>
      <c r="AE100" s="252"/>
      <c r="AF100" s="252"/>
      <c r="AG100" s="252"/>
      <c r="AH100" s="17"/>
      <c r="AI100" s="249"/>
      <c r="AJ100" s="249"/>
      <c r="AK100" s="249"/>
      <c r="AM100" s="17"/>
      <c r="AN100" s="246"/>
      <c r="AO100" s="246"/>
      <c r="AP100" s="246"/>
      <c r="AR100" s="17"/>
      <c r="AW100" s="17"/>
      <c r="BB100" s="17"/>
      <c r="BD100" s="16"/>
      <c r="BE100" s="16"/>
      <c r="BF100" s="16"/>
      <c r="BG100" s="17"/>
      <c r="BH100" s="16"/>
      <c r="BI100" s="16"/>
      <c r="BJ100" s="472"/>
      <c r="BK100" s="16"/>
      <c r="BL100" s="17"/>
      <c r="BM100" s="16"/>
      <c r="BN100" s="16"/>
      <c r="BO100" s="472"/>
      <c r="BP100" s="16"/>
      <c r="BQ100" s="17"/>
      <c r="BR100" s="16"/>
      <c r="BS100" s="16"/>
      <c r="BT100" s="472"/>
      <c r="BU100" s="16"/>
      <c r="BV100" s="17"/>
      <c r="BW100" s="16"/>
      <c r="BX100" s="16"/>
      <c r="BY100" s="472"/>
      <c r="BZ100" s="16"/>
      <c r="CA100" s="17"/>
      <c r="CB100" s="16"/>
      <c r="CC100" s="16"/>
      <c r="CD100" s="472"/>
      <c r="CE100" s="16"/>
      <c r="CF100" s="17"/>
      <c r="CG100" s="16"/>
      <c r="CH100" s="16"/>
      <c r="CI100" s="472"/>
      <c r="CJ100" s="16"/>
      <c r="CK100" s="17">
        <v>88</v>
      </c>
      <c r="CL100" s="770">
        <f t="shared" si="50"/>
        <v>390</v>
      </c>
      <c r="CM100" s="16">
        <v>773</v>
      </c>
      <c r="CN100" s="472">
        <v>-596</v>
      </c>
      <c r="CO100" s="16">
        <v>751</v>
      </c>
      <c r="CP100" s="17">
        <v>1318</v>
      </c>
      <c r="CQ100" s="16">
        <v>-799</v>
      </c>
      <c r="CR100" s="16">
        <v>1092</v>
      </c>
      <c r="CS100" s="16">
        <v>-690</v>
      </c>
      <c r="CT100" s="16">
        <v>-173</v>
      </c>
      <c r="CU100" s="17">
        <f t="shared" si="51"/>
        <v>-570</v>
      </c>
      <c r="CV100" s="16">
        <v>556</v>
      </c>
      <c r="CW100" s="16">
        <v>-1346</v>
      </c>
      <c r="CX100" s="16">
        <v>1111</v>
      </c>
      <c r="CY100" s="16">
        <v>116</v>
      </c>
      <c r="CZ100" s="17">
        <f t="shared" si="52"/>
        <v>437</v>
      </c>
      <c r="DA100" s="16">
        <v>-962</v>
      </c>
      <c r="DB100" s="16">
        <v>263</v>
      </c>
      <c r="DC100" s="16">
        <v>-214</v>
      </c>
      <c r="DD100" s="16">
        <v>-892</v>
      </c>
      <c r="DE100" s="17">
        <f t="shared" si="53"/>
        <v>-1805</v>
      </c>
      <c r="DF100" s="16">
        <v>431</v>
      </c>
      <c r="DG100" s="443">
        <v>156</v>
      </c>
      <c r="DH100" s="443">
        <v>349</v>
      </c>
      <c r="DI100" s="443">
        <v>-1111</v>
      </c>
      <c r="DJ100" s="17">
        <f t="shared" ref="DJ100:DJ122" si="55">SUM(DF100:DI100)</f>
        <v>-175</v>
      </c>
      <c r="DK100" s="443">
        <v>-372</v>
      </c>
      <c r="DL100" s="443">
        <v>-765</v>
      </c>
      <c r="DM100" s="443">
        <v>-351</v>
      </c>
      <c r="DN100" s="16"/>
      <c r="DO100" s="17"/>
      <c r="DP100" s="443"/>
      <c r="DQ100" s="16"/>
      <c r="DR100" s="16"/>
      <c r="DS100" s="16"/>
      <c r="DT100" s="17"/>
      <c r="DU100" s="17"/>
      <c r="DV100" s="17"/>
    </row>
    <row r="101" spans="1:126" s="13" customFormat="1">
      <c r="A101" s="32"/>
      <c r="B101" s="40" t="s">
        <v>482</v>
      </c>
      <c r="C101" s="268"/>
      <c r="D101" s="268"/>
      <c r="E101" s="268"/>
      <c r="F101" s="268"/>
      <c r="G101" s="268"/>
      <c r="H101" s="268"/>
      <c r="I101" s="268"/>
      <c r="J101" s="265"/>
      <c r="K101" s="265"/>
      <c r="L101" s="265"/>
      <c r="N101" s="17"/>
      <c r="O101" s="262"/>
      <c r="P101" s="262"/>
      <c r="Q101" s="262"/>
      <c r="S101" s="17"/>
      <c r="T101" s="259"/>
      <c r="U101" s="259"/>
      <c r="V101" s="259"/>
      <c r="X101" s="17"/>
      <c r="Y101" s="256"/>
      <c r="Z101" s="256"/>
      <c r="AA101" s="256"/>
      <c r="AB101" s="256"/>
      <c r="AC101" s="17"/>
      <c r="AD101" s="252"/>
      <c r="AE101" s="252"/>
      <c r="AF101" s="252"/>
      <c r="AG101" s="252"/>
      <c r="AH101" s="17"/>
      <c r="AI101" s="249"/>
      <c r="AJ101" s="249"/>
      <c r="AK101" s="249"/>
      <c r="AM101" s="17"/>
      <c r="AN101" s="246"/>
      <c r="AO101" s="246"/>
      <c r="AP101" s="246"/>
      <c r="AR101" s="17"/>
      <c r="AW101" s="17"/>
      <c r="BB101" s="17"/>
      <c r="BD101" s="16"/>
      <c r="BE101" s="16"/>
      <c r="BF101" s="16"/>
      <c r="BG101" s="17"/>
      <c r="BH101" s="16"/>
      <c r="BI101" s="16"/>
      <c r="BJ101" s="472"/>
      <c r="BK101" s="16"/>
      <c r="BL101" s="17"/>
      <c r="BM101" s="16"/>
      <c r="BN101" s="16"/>
      <c r="BO101" s="472"/>
      <c r="BP101" s="16"/>
      <c r="BQ101" s="17"/>
      <c r="BR101" s="16"/>
      <c r="BS101" s="16"/>
      <c r="BT101" s="472"/>
      <c r="BU101" s="16"/>
      <c r="BV101" s="17"/>
      <c r="BW101" s="16"/>
      <c r="BX101" s="16"/>
      <c r="BY101" s="472"/>
      <c r="BZ101" s="16"/>
      <c r="CA101" s="17"/>
      <c r="CB101" s="16"/>
      <c r="CC101" s="16"/>
      <c r="CD101" s="472"/>
      <c r="CE101" s="16"/>
      <c r="CF101" s="17"/>
      <c r="CG101" s="16"/>
      <c r="CH101" s="16"/>
      <c r="CI101" s="472"/>
      <c r="CJ101" s="16"/>
      <c r="CK101" s="17">
        <v>-679</v>
      </c>
      <c r="CL101" s="770">
        <f t="shared" si="50"/>
        <v>-349</v>
      </c>
      <c r="CM101" s="16">
        <v>725</v>
      </c>
      <c r="CN101" s="472">
        <v>323</v>
      </c>
      <c r="CO101" s="16">
        <v>-636</v>
      </c>
      <c r="CP101" s="17">
        <v>63</v>
      </c>
      <c r="CQ101" s="16">
        <v>-311</v>
      </c>
      <c r="CR101" s="16">
        <v>-246</v>
      </c>
      <c r="CS101" s="16">
        <v>-560</v>
      </c>
      <c r="CT101" s="16">
        <v>-477</v>
      </c>
      <c r="CU101" s="17">
        <f t="shared" si="51"/>
        <v>-1594</v>
      </c>
      <c r="CV101" s="16">
        <v>-219</v>
      </c>
      <c r="CW101" s="16">
        <v>-306</v>
      </c>
      <c r="CX101" s="16">
        <v>-474</v>
      </c>
      <c r="CY101" s="16">
        <v>765</v>
      </c>
      <c r="CZ101" s="17">
        <f t="shared" si="52"/>
        <v>-234</v>
      </c>
      <c r="DA101" s="16">
        <v>-1198</v>
      </c>
      <c r="DB101" s="16">
        <v>-232</v>
      </c>
      <c r="DC101" s="16">
        <v>267</v>
      </c>
      <c r="DD101" s="16">
        <v>410</v>
      </c>
      <c r="DE101" s="17">
        <f t="shared" si="53"/>
        <v>-753</v>
      </c>
      <c r="DF101" s="16">
        <v>-978</v>
      </c>
      <c r="DG101" s="443">
        <v>-479</v>
      </c>
      <c r="DH101" s="443">
        <v>-996</v>
      </c>
      <c r="DI101" s="443">
        <v>39</v>
      </c>
      <c r="DJ101" s="17">
        <f t="shared" si="55"/>
        <v>-2414</v>
      </c>
      <c r="DK101" s="443">
        <v>-706</v>
      </c>
      <c r="DL101" s="443">
        <v>-484</v>
      </c>
      <c r="DM101" s="443">
        <v>-934</v>
      </c>
      <c r="DN101" s="16"/>
      <c r="DO101" s="17"/>
      <c r="DP101" s="443"/>
      <c r="DQ101" s="16"/>
      <c r="DR101" s="16"/>
      <c r="DS101" s="16"/>
      <c r="DT101" s="17"/>
      <c r="DU101" s="17"/>
      <c r="DV101" s="17"/>
    </row>
    <row r="102" spans="1:126" s="13" customFormat="1">
      <c r="A102" s="32"/>
      <c r="B102" s="40" t="s">
        <v>204</v>
      </c>
      <c r="C102" s="268"/>
      <c r="D102" s="268"/>
      <c r="E102" s="268"/>
      <c r="F102" s="268"/>
      <c r="G102" s="268"/>
      <c r="H102" s="268"/>
      <c r="I102" s="268"/>
      <c r="J102" s="265"/>
      <c r="K102" s="265"/>
      <c r="L102" s="265"/>
      <c r="N102" s="17"/>
      <c r="O102" s="262"/>
      <c r="P102" s="262"/>
      <c r="Q102" s="262"/>
      <c r="S102" s="17"/>
      <c r="T102" s="259"/>
      <c r="U102" s="259"/>
      <c r="V102" s="259"/>
      <c r="X102" s="17"/>
      <c r="Y102" s="256"/>
      <c r="Z102" s="256"/>
      <c r="AA102" s="256"/>
      <c r="AB102" s="256"/>
      <c r="AC102" s="17"/>
      <c r="AD102" s="252"/>
      <c r="AE102" s="252"/>
      <c r="AF102" s="252"/>
      <c r="AG102" s="252"/>
      <c r="AH102" s="17"/>
      <c r="AI102" s="249"/>
      <c r="AJ102" s="249"/>
      <c r="AK102" s="249"/>
      <c r="AM102" s="17"/>
      <c r="AN102" s="246"/>
      <c r="AO102" s="246"/>
      <c r="AP102" s="246"/>
      <c r="AR102" s="17"/>
      <c r="AW102" s="17"/>
      <c r="BB102" s="17"/>
      <c r="BD102" s="16"/>
      <c r="BE102" s="16"/>
      <c r="BF102" s="16"/>
      <c r="BG102" s="17"/>
      <c r="BH102" s="16"/>
      <c r="BI102" s="16"/>
      <c r="BJ102" s="472"/>
      <c r="BK102" s="16"/>
      <c r="BL102" s="17"/>
      <c r="BM102" s="16"/>
      <c r="BN102" s="16"/>
      <c r="BO102" s="472"/>
      <c r="BP102" s="16"/>
      <c r="BQ102" s="17"/>
      <c r="BR102" s="16"/>
      <c r="BS102" s="16"/>
      <c r="BT102" s="472"/>
      <c r="BU102" s="16"/>
      <c r="BV102" s="17"/>
      <c r="BW102" s="16"/>
      <c r="BX102" s="16"/>
      <c r="BY102" s="472"/>
      <c r="BZ102" s="16"/>
      <c r="CA102" s="17"/>
      <c r="CB102" s="16"/>
      <c r="CC102" s="16"/>
      <c r="CD102" s="472"/>
      <c r="CE102" s="16"/>
      <c r="CF102" s="17"/>
      <c r="CG102" s="16"/>
      <c r="CH102" s="16"/>
      <c r="CI102" s="472"/>
      <c r="CJ102" s="16"/>
      <c r="CK102" s="17">
        <v>-1267</v>
      </c>
      <c r="CL102" s="770">
        <f t="shared" si="50"/>
        <v>-395</v>
      </c>
      <c r="CM102" s="16">
        <v>-155</v>
      </c>
      <c r="CN102" s="472">
        <v>439</v>
      </c>
      <c r="CO102" s="16">
        <v>523</v>
      </c>
      <c r="CP102" s="17">
        <v>412</v>
      </c>
      <c r="CQ102" s="16">
        <v>-113</v>
      </c>
      <c r="CR102" s="16">
        <v>-20</v>
      </c>
      <c r="CS102" s="16">
        <v>76</v>
      </c>
      <c r="CT102" s="16">
        <v>220</v>
      </c>
      <c r="CU102" s="17">
        <f t="shared" si="51"/>
        <v>163</v>
      </c>
      <c r="CV102" s="16">
        <v>-587</v>
      </c>
      <c r="CW102" s="16">
        <v>-446</v>
      </c>
      <c r="CX102" s="16">
        <v>-401</v>
      </c>
      <c r="CY102" s="16">
        <v>-141</v>
      </c>
      <c r="CZ102" s="17">
        <f t="shared" si="52"/>
        <v>-1575</v>
      </c>
      <c r="DA102" s="16">
        <v>-720</v>
      </c>
      <c r="DB102" s="16">
        <v>-602</v>
      </c>
      <c r="DC102" s="16">
        <v>-108</v>
      </c>
      <c r="DD102" s="16">
        <v>326</v>
      </c>
      <c r="DE102" s="17">
        <f t="shared" si="53"/>
        <v>-1104</v>
      </c>
      <c r="DF102" s="16">
        <v>-646</v>
      </c>
      <c r="DG102" s="443">
        <v>-715</v>
      </c>
      <c r="DH102" s="443">
        <v>-344</v>
      </c>
      <c r="DI102" s="443">
        <v>231</v>
      </c>
      <c r="DJ102" s="17">
        <f t="shared" si="55"/>
        <v>-1474</v>
      </c>
      <c r="DK102" s="443">
        <v>-813</v>
      </c>
      <c r="DL102" s="443">
        <v>-384</v>
      </c>
      <c r="DM102" s="443">
        <v>182</v>
      </c>
      <c r="DN102" s="16"/>
      <c r="DO102" s="17"/>
      <c r="DP102" s="443"/>
      <c r="DQ102" s="16"/>
      <c r="DR102" s="16"/>
      <c r="DS102" s="16"/>
      <c r="DT102" s="17"/>
      <c r="DU102" s="17"/>
      <c r="DV102" s="17"/>
    </row>
    <row r="103" spans="1:126" s="13" customFormat="1">
      <c r="A103" s="32"/>
      <c r="B103" s="40" t="s">
        <v>460</v>
      </c>
      <c r="C103" s="268"/>
      <c r="D103" s="268"/>
      <c r="E103" s="268"/>
      <c r="F103" s="268"/>
      <c r="G103" s="268"/>
      <c r="H103" s="268"/>
      <c r="I103" s="268"/>
      <c r="J103" s="265"/>
      <c r="K103" s="265"/>
      <c r="L103" s="265"/>
      <c r="N103" s="17"/>
      <c r="O103" s="262"/>
      <c r="P103" s="262"/>
      <c r="Q103" s="262"/>
      <c r="S103" s="17"/>
      <c r="T103" s="259"/>
      <c r="U103" s="259"/>
      <c r="V103" s="259"/>
      <c r="X103" s="17"/>
      <c r="Y103" s="256"/>
      <c r="Z103" s="256"/>
      <c r="AA103" s="256"/>
      <c r="AB103" s="256"/>
      <c r="AC103" s="17"/>
      <c r="AD103" s="252"/>
      <c r="AE103" s="252"/>
      <c r="AF103" s="252"/>
      <c r="AG103" s="252"/>
      <c r="AH103" s="17"/>
      <c r="AI103" s="249"/>
      <c r="AJ103" s="249"/>
      <c r="AK103" s="249"/>
      <c r="AM103" s="17"/>
      <c r="AN103" s="246"/>
      <c r="AO103" s="246"/>
      <c r="AP103" s="246"/>
      <c r="AR103" s="17"/>
      <c r="AW103" s="17"/>
      <c r="BB103" s="17"/>
      <c r="BD103" s="16"/>
      <c r="BE103" s="16"/>
      <c r="BF103" s="16"/>
      <c r="BG103" s="17"/>
      <c r="BH103" s="16"/>
      <c r="BI103" s="16"/>
      <c r="BJ103" s="472"/>
      <c r="BK103" s="16"/>
      <c r="BL103" s="17"/>
      <c r="BM103" s="16"/>
      <c r="BN103" s="16"/>
      <c r="BO103" s="472"/>
      <c r="BP103" s="16"/>
      <c r="BQ103" s="17"/>
      <c r="BR103" s="16"/>
      <c r="BS103" s="16"/>
      <c r="BT103" s="472"/>
      <c r="BU103" s="16"/>
      <c r="BV103" s="17"/>
      <c r="BW103" s="16"/>
      <c r="BX103" s="16"/>
      <c r="BY103" s="472"/>
      <c r="BZ103" s="16"/>
      <c r="CA103" s="17"/>
      <c r="CB103" s="16"/>
      <c r="CC103" s="16"/>
      <c r="CD103" s="472"/>
      <c r="CE103" s="16"/>
      <c r="CF103" s="17"/>
      <c r="CG103" s="16"/>
      <c r="CH103" s="16"/>
      <c r="CI103" s="472"/>
      <c r="CJ103" s="16"/>
      <c r="CK103" s="17">
        <v>-984</v>
      </c>
      <c r="CL103" s="770">
        <f t="shared" si="50"/>
        <v>-208</v>
      </c>
      <c r="CM103" s="16">
        <v>28</v>
      </c>
      <c r="CN103" s="472">
        <v>-201</v>
      </c>
      <c r="CO103" s="16">
        <v>-64</v>
      </c>
      <c r="CP103" s="17">
        <v>-445</v>
      </c>
      <c r="CQ103" s="16">
        <v>-193</v>
      </c>
      <c r="CR103" s="16">
        <v>-65</v>
      </c>
      <c r="CS103" s="16">
        <v>-17</v>
      </c>
      <c r="CT103" s="16">
        <v>-291</v>
      </c>
      <c r="CU103" s="17">
        <f t="shared" si="51"/>
        <v>-566</v>
      </c>
      <c r="CV103" s="16">
        <v>-281</v>
      </c>
      <c r="CW103" s="16">
        <v>-72</v>
      </c>
      <c r="CX103" s="16">
        <v>-231</v>
      </c>
      <c r="CY103" s="16">
        <v>-443</v>
      </c>
      <c r="CZ103" s="17">
        <f t="shared" si="52"/>
        <v>-1027</v>
      </c>
      <c r="DA103" s="16">
        <v>-526</v>
      </c>
      <c r="DB103" s="16">
        <v>-108</v>
      </c>
      <c r="DC103" s="16">
        <v>-244</v>
      </c>
      <c r="DD103" s="16">
        <v>-283</v>
      </c>
      <c r="DE103" s="17">
        <f t="shared" si="53"/>
        <v>-1161</v>
      </c>
      <c r="DF103" s="16">
        <v>-225</v>
      </c>
      <c r="DG103" s="443">
        <v>442</v>
      </c>
      <c r="DH103" s="443">
        <v>-459</v>
      </c>
      <c r="DI103" s="443">
        <v>-160</v>
      </c>
      <c r="DJ103" s="17">
        <f t="shared" si="55"/>
        <v>-402</v>
      </c>
      <c r="DK103" s="443">
        <v>-125</v>
      </c>
      <c r="DL103" s="443">
        <v>25</v>
      </c>
      <c r="DM103" s="443">
        <v>-879</v>
      </c>
      <c r="DN103" s="16"/>
      <c r="DO103" s="17"/>
      <c r="DP103" s="443"/>
      <c r="DQ103" s="16"/>
      <c r="DR103" s="16"/>
      <c r="DS103" s="16"/>
      <c r="DT103" s="17"/>
      <c r="DU103" s="17"/>
      <c r="DV103" s="17"/>
    </row>
    <row r="104" spans="1:126" s="13" customFormat="1">
      <c r="A104" s="32"/>
      <c r="B104" s="40" t="s">
        <v>205</v>
      </c>
      <c r="C104" s="268"/>
      <c r="D104" s="268"/>
      <c r="E104" s="268"/>
      <c r="F104" s="268"/>
      <c r="G104" s="268"/>
      <c r="H104" s="268"/>
      <c r="I104" s="268"/>
      <c r="J104" s="265"/>
      <c r="K104" s="265"/>
      <c r="L104" s="265"/>
      <c r="N104" s="17"/>
      <c r="O104" s="262"/>
      <c r="P104" s="262"/>
      <c r="Q104" s="262"/>
      <c r="S104" s="17"/>
      <c r="T104" s="259"/>
      <c r="U104" s="259"/>
      <c r="V104" s="259"/>
      <c r="X104" s="17"/>
      <c r="Y104" s="256"/>
      <c r="Z104" s="256"/>
      <c r="AA104" s="256"/>
      <c r="AB104" s="256"/>
      <c r="AC104" s="17"/>
      <c r="AD104" s="252"/>
      <c r="AE104" s="252"/>
      <c r="AF104" s="252"/>
      <c r="AG104" s="252"/>
      <c r="AH104" s="17"/>
      <c r="AI104" s="249"/>
      <c r="AJ104" s="249"/>
      <c r="AK104" s="249"/>
      <c r="AM104" s="17"/>
      <c r="AN104" s="246"/>
      <c r="AO104" s="246"/>
      <c r="AP104" s="246"/>
      <c r="AR104" s="17"/>
      <c r="AW104" s="17"/>
      <c r="BB104" s="17"/>
      <c r="BD104" s="16"/>
      <c r="BE104" s="16"/>
      <c r="BF104" s="16"/>
      <c r="BG104" s="17"/>
      <c r="BH104" s="16"/>
      <c r="BI104" s="16"/>
      <c r="BJ104" s="472"/>
      <c r="BK104" s="16"/>
      <c r="BL104" s="17"/>
      <c r="BM104" s="16"/>
      <c r="BN104" s="16"/>
      <c r="BO104" s="472"/>
      <c r="BP104" s="16"/>
      <c r="BQ104" s="17"/>
      <c r="BR104" s="16"/>
      <c r="BS104" s="16"/>
      <c r="BT104" s="472"/>
      <c r="BU104" s="16"/>
      <c r="BV104" s="17"/>
      <c r="BW104" s="16"/>
      <c r="BX104" s="16"/>
      <c r="BY104" s="472"/>
      <c r="BZ104" s="16"/>
      <c r="CA104" s="17"/>
      <c r="CB104" s="16"/>
      <c r="CC104" s="16"/>
      <c r="CD104" s="472"/>
      <c r="CE104" s="16"/>
      <c r="CF104" s="17"/>
      <c r="CG104" s="16"/>
      <c r="CH104" s="16"/>
      <c r="CI104" s="472"/>
      <c r="CJ104" s="16"/>
      <c r="CK104" s="17">
        <v>1111</v>
      </c>
      <c r="CL104" s="770">
        <f t="shared" si="50"/>
        <v>612</v>
      </c>
      <c r="CM104" s="16">
        <v>-2007</v>
      </c>
      <c r="CN104" s="472">
        <v>529</v>
      </c>
      <c r="CO104" s="16">
        <v>-800</v>
      </c>
      <c r="CP104" s="17">
        <v>-1666</v>
      </c>
      <c r="CQ104" s="16">
        <v>538</v>
      </c>
      <c r="CR104" s="16">
        <v>-1271</v>
      </c>
      <c r="CS104" s="16">
        <v>1158</v>
      </c>
      <c r="CT104" s="16">
        <v>492</v>
      </c>
      <c r="CU104" s="17">
        <f t="shared" si="51"/>
        <v>917</v>
      </c>
      <c r="CV104" s="16">
        <v>-316</v>
      </c>
      <c r="CW104" s="16">
        <v>2425</v>
      </c>
      <c r="CX104" s="16">
        <v>-811</v>
      </c>
      <c r="CY104" s="16">
        <v>777</v>
      </c>
      <c r="CZ104" s="17">
        <f t="shared" si="52"/>
        <v>2075</v>
      </c>
      <c r="DA104" s="16">
        <v>490</v>
      </c>
      <c r="DB104" s="16">
        <v>-639</v>
      </c>
      <c r="DC104" s="16">
        <v>3571</v>
      </c>
      <c r="DD104" s="16">
        <v>594</v>
      </c>
      <c r="DE104" s="17">
        <f t="shared" si="53"/>
        <v>4016</v>
      </c>
      <c r="DF104" s="16">
        <v>-218</v>
      </c>
      <c r="DG104" s="443">
        <v>1463</v>
      </c>
      <c r="DH104" s="443">
        <v>1082</v>
      </c>
      <c r="DI104" s="443">
        <v>-819</v>
      </c>
      <c r="DJ104" s="17">
        <f t="shared" si="55"/>
        <v>1508</v>
      </c>
      <c r="DK104" s="443">
        <v>397</v>
      </c>
      <c r="DL104" s="443">
        <v>-538</v>
      </c>
      <c r="DM104" s="443">
        <v>2237</v>
      </c>
      <c r="DN104" s="16"/>
      <c r="DO104" s="17"/>
      <c r="DP104" s="443"/>
      <c r="DQ104" s="16"/>
      <c r="DR104" s="16"/>
      <c r="DS104" s="16"/>
      <c r="DT104" s="17"/>
      <c r="DU104" s="17"/>
      <c r="DV104" s="17"/>
    </row>
    <row r="105" spans="1:126" s="13" customFormat="1">
      <c r="A105" s="32"/>
      <c r="B105" s="40" t="s">
        <v>586</v>
      </c>
      <c r="C105" s="268"/>
      <c r="D105" s="269"/>
      <c r="E105" s="268"/>
      <c r="F105" s="268"/>
      <c r="G105" s="268"/>
      <c r="H105" s="268"/>
      <c r="I105" s="268"/>
      <c r="J105" s="265"/>
      <c r="K105" s="265"/>
      <c r="L105" s="265"/>
      <c r="N105" s="17"/>
      <c r="O105" s="262"/>
      <c r="P105" s="262"/>
      <c r="Q105" s="262"/>
      <c r="S105" s="17"/>
      <c r="T105" s="259"/>
      <c r="U105" s="259"/>
      <c r="V105" s="259"/>
      <c r="X105" s="17"/>
      <c r="Y105" s="256"/>
      <c r="Z105" s="256"/>
      <c r="AA105" s="256"/>
      <c r="AB105" s="256"/>
      <c r="AC105" s="17"/>
      <c r="AD105" s="252"/>
      <c r="AE105" s="252"/>
      <c r="AF105" s="252"/>
      <c r="AG105" s="252"/>
      <c r="AH105" s="17"/>
      <c r="AI105" s="249"/>
      <c r="AJ105" s="249"/>
      <c r="AK105" s="249"/>
      <c r="AM105" s="17"/>
      <c r="AN105" s="246"/>
      <c r="AO105" s="246"/>
      <c r="AP105" s="246"/>
      <c r="AR105" s="17"/>
      <c r="AW105" s="17"/>
      <c r="BB105" s="17"/>
      <c r="BD105" s="16"/>
      <c r="BE105" s="16"/>
      <c r="BF105" s="16"/>
      <c r="BG105" s="17"/>
      <c r="BH105" s="16"/>
      <c r="BI105" s="16"/>
      <c r="BJ105" s="472"/>
      <c r="BK105" s="16"/>
      <c r="BL105" s="17"/>
      <c r="BM105" s="16"/>
      <c r="BN105" s="16"/>
      <c r="BO105" s="472"/>
      <c r="BP105" s="16"/>
      <c r="BQ105" s="17"/>
      <c r="BR105" s="16"/>
      <c r="BS105" s="16"/>
      <c r="BT105" s="472"/>
      <c r="BU105" s="16"/>
      <c r="BV105" s="17"/>
      <c r="BW105" s="16"/>
      <c r="BX105" s="16"/>
      <c r="BY105" s="472"/>
      <c r="BZ105" s="16"/>
      <c r="CA105" s="17"/>
      <c r="CB105" s="16"/>
      <c r="CC105" s="16"/>
      <c r="CD105" s="472"/>
      <c r="CE105" s="16"/>
      <c r="CF105" s="17"/>
      <c r="CG105" s="16"/>
      <c r="CH105" s="16"/>
      <c r="CI105" s="472"/>
      <c r="CJ105" s="16"/>
      <c r="CK105" s="17">
        <v>1234</v>
      </c>
      <c r="CL105" s="770">
        <f t="shared" si="50"/>
        <v>-101</v>
      </c>
      <c r="CM105" s="16">
        <v>302</v>
      </c>
      <c r="CN105" s="472">
        <v>153</v>
      </c>
      <c r="CO105" s="16">
        <v>775</v>
      </c>
      <c r="CP105" s="17">
        <v>1129</v>
      </c>
      <c r="CQ105" s="16">
        <v>-56</v>
      </c>
      <c r="CR105" s="16">
        <v>11</v>
      </c>
      <c r="CS105" s="16">
        <v>128</v>
      </c>
      <c r="CT105" s="16">
        <v>1289</v>
      </c>
      <c r="CU105" s="17">
        <f t="shared" si="51"/>
        <v>1372</v>
      </c>
      <c r="CV105" s="16">
        <v>-50</v>
      </c>
      <c r="CW105" s="16">
        <v>-259</v>
      </c>
      <c r="CX105" s="16">
        <v>25</v>
      </c>
      <c r="CY105" s="16">
        <v>1130</v>
      </c>
      <c r="CZ105" s="17">
        <f t="shared" si="52"/>
        <v>846</v>
      </c>
      <c r="DA105" s="16">
        <v>223</v>
      </c>
      <c r="DB105" s="16">
        <v>32</v>
      </c>
      <c r="DC105" s="16">
        <v>174</v>
      </c>
      <c r="DD105" s="16">
        <v>1893</v>
      </c>
      <c r="DE105" s="17">
        <f t="shared" si="53"/>
        <v>2322</v>
      </c>
      <c r="DF105" s="16">
        <v>-54</v>
      </c>
      <c r="DG105" s="443">
        <v>566</v>
      </c>
      <c r="DH105" s="443">
        <v>684</v>
      </c>
      <c r="DI105" s="443">
        <v>676</v>
      </c>
      <c r="DJ105" s="17">
        <f t="shared" si="55"/>
        <v>1872</v>
      </c>
      <c r="DK105" s="443">
        <v>373</v>
      </c>
      <c r="DL105" s="443">
        <v>-30</v>
      </c>
      <c r="DM105" s="443">
        <v>986</v>
      </c>
      <c r="DN105" s="16"/>
      <c r="DO105" s="17"/>
      <c r="DP105" s="443"/>
      <c r="DQ105" s="16"/>
      <c r="DR105" s="16"/>
      <c r="DS105" s="16"/>
      <c r="DT105" s="17"/>
      <c r="DU105" s="17"/>
      <c r="DV105" s="17"/>
    </row>
    <row r="106" spans="1:126" s="13" customFormat="1">
      <c r="A106" s="32"/>
      <c r="B106" s="40" t="s">
        <v>206</v>
      </c>
      <c r="C106" s="268"/>
      <c r="D106" s="269"/>
      <c r="E106" s="268"/>
      <c r="F106" s="268"/>
      <c r="G106" s="268"/>
      <c r="H106" s="268"/>
      <c r="I106" s="268"/>
      <c r="J106" s="265"/>
      <c r="K106" s="265"/>
      <c r="L106" s="265"/>
      <c r="N106" s="17"/>
      <c r="O106" s="262"/>
      <c r="P106" s="262"/>
      <c r="Q106" s="262"/>
      <c r="S106" s="17"/>
      <c r="T106" s="259"/>
      <c r="U106" s="259"/>
      <c r="V106" s="259"/>
      <c r="X106" s="17"/>
      <c r="Y106" s="256"/>
      <c r="Z106" s="256"/>
      <c r="AA106" s="256"/>
      <c r="AB106" s="256"/>
      <c r="AC106" s="17"/>
      <c r="AD106" s="252"/>
      <c r="AE106" s="252"/>
      <c r="AF106" s="252"/>
      <c r="AG106" s="252"/>
      <c r="AH106" s="17"/>
      <c r="AI106" s="249"/>
      <c r="AJ106" s="249"/>
      <c r="AK106" s="249"/>
      <c r="AM106" s="17"/>
      <c r="AN106" s="246"/>
      <c r="AO106" s="246"/>
      <c r="AP106" s="246"/>
      <c r="AQ106" s="246"/>
      <c r="AR106" s="17"/>
      <c r="AW106" s="17"/>
      <c r="AZ106" s="16"/>
      <c r="BA106" s="16"/>
      <c r="BB106" s="17"/>
      <c r="BD106" s="16"/>
      <c r="BE106" s="16"/>
      <c r="BF106" s="16"/>
      <c r="BG106" s="17"/>
      <c r="BH106" s="16"/>
      <c r="BI106" s="16"/>
      <c r="BJ106" s="472"/>
      <c r="BK106" s="16"/>
      <c r="BL106" s="17"/>
      <c r="BM106" s="16"/>
      <c r="BN106" s="16"/>
      <c r="BO106" s="472"/>
      <c r="BP106" s="16"/>
      <c r="BQ106" s="17"/>
      <c r="BR106" s="16"/>
      <c r="BS106" s="16"/>
      <c r="BT106" s="472"/>
      <c r="BU106" s="16"/>
      <c r="BV106" s="17"/>
      <c r="BW106" s="16"/>
      <c r="BX106" s="16"/>
      <c r="BY106" s="472"/>
      <c r="BZ106" s="16"/>
      <c r="CA106" s="17"/>
      <c r="CB106" s="16"/>
      <c r="CC106" s="16"/>
      <c r="CD106" s="472"/>
      <c r="CE106" s="16"/>
      <c r="CF106" s="17"/>
      <c r="CG106" s="16"/>
      <c r="CH106" s="16"/>
      <c r="CI106" s="472"/>
      <c r="CJ106" s="16"/>
      <c r="CK106" s="17">
        <v>-55</v>
      </c>
      <c r="CL106" s="770">
        <f t="shared" si="50"/>
        <v>-8</v>
      </c>
      <c r="CM106" s="16">
        <v>-34</v>
      </c>
      <c r="CN106" s="472">
        <v>-22</v>
      </c>
      <c r="CO106" s="16">
        <v>-961</v>
      </c>
      <c r="CP106" s="17">
        <v>-1025</v>
      </c>
      <c r="CQ106" s="16">
        <v>-7</v>
      </c>
      <c r="CR106" s="16">
        <v>-18</v>
      </c>
      <c r="CS106" s="16">
        <v>-13</v>
      </c>
      <c r="CT106" s="16">
        <v>-21</v>
      </c>
      <c r="CU106" s="17">
        <f t="shared" si="51"/>
        <v>-59</v>
      </c>
      <c r="CV106" s="16"/>
      <c r="CW106" s="16"/>
      <c r="CX106" s="16"/>
      <c r="CY106" s="16"/>
      <c r="CZ106" s="17">
        <f t="shared" si="52"/>
        <v>0</v>
      </c>
      <c r="DA106" s="16"/>
      <c r="DB106" s="16"/>
      <c r="DC106" s="16"/>
      <c r="DD106" s="16"/>
      <c r="DE106" s="17">
        <f t="shared" si="53"/>
        <v>0</v>
      </c>
      <c r="DF106" s="16"/>
      <c r="DG106" s="16"/>
      <c r="DH106" s="16"/>
      <c r="DI106" s="16"/>
      <c r="DJ106" s="17">
        <f t="shared" si="55"/>
        <v>0</v>
      </c>
      <c r="DK106" s="16"/>
      <c r="DL106" s="16"/>
      <c r="DM106" s="16"/>
      <c r="DN106" s="16"/>
      <c r="DO106" s="17"/>
      <c r="DP106" s="16"/>
      <c r="DQ106" s="16"/>
      <c r="DR106" s="16"/>
      <c r="DS106" s="16"/>
      <c r="DT106" s="17"/>
      <c r="DU106" s="17"/>
      <c r="DV106" s="17"/>
    </row>
    <row r="107" spans="1:126" s="13" customFormat="1">
      <c r="A107" s="32"/>
      <c r="B107" s="40" t="s">
        <v>207</v>
      </c>
      <c r="C107" s="268"/>
      <c r="D107" s="268"/>
      <c r="E107" s="268"/>
      <c r="F107" s="268"/>
      <c r="G107" s="268"/>
      <c r="H107" s="268"/>
      <c r="I107" s="268"/>
      <c r="J107" s="265"/>
      <c r="K107" s="265"/>
      <c r="L107" s="265"/>
      <c r="N107" s="17"/>
      <c r="O107" s="262"/>
      <c r="P107" s="262"/>
      <c r="Q107" s="262"/>
      <c r="S107" s="17"/>
      <c r="T107" s="259"/>
      <c r="U107" s="259"/>
      <c r="V107" s="259"/>
      <c r="X107" s="17"/>
      <c r="Y107" s="256"/>
      <c r="Z107" s="256"/>
      <c r="AA107" s="256"/>
      <c r="AB107" s="256"/>
      <c r="AC107" s="17"/>
      <c r="AD107" s="252"/>
      <c r="AE107" s="252"/>
      <c r="AF107" s="252"/>
      <c r="AG107" s="252"/>
      <c r="AH107" s="17"/>
      <c r="AI107" s="249"/>
      <c r="AJ107" s="249"/>
      <c r="AK107" s="249"/>
      <c r="AM107" s="17"/>
      <c r="AN107" s="246"/>
      <c r="AO107" s="246"/>
      <c r="AP107" s="246"/>
      <c r="AR107" s="17"/>
      <c r="AW107" s="17"/>
      <c r="AZ107" s="16"/>
      <c r="BA107" s="16"/>
      <c r="BB107" s="17"/>
      <c r="BD107" s="16"/>
      <c r="BE107" s="16"/>
      <c r="BF107" s="16"/>
      <c r="BG107" s="17"/>
      <c r="BH107" s="16"/>
      <c r="BI107" s="16"/>
      <c r="BJ107" s="472"/>
      <c r="BK107" s="16"/>
      <c r="BL107" s="17"/>
      <c r="BM107" s="16"/>
      <c r="BN107" s="16"/>
      <c r="BO107" s="472"/>
      <c r="BP107" s="198"/>
      <c r="BQ107" s="17"/>
      <c r="BR107" s="16"/>
      <c r="BS107" s="16"/>
      <c r="BT107" s="472"/>
      <c r="BU107" s="16"/>
      <c r="BV107" s="17"/>
      <c r="BW107" s="16"/>
      <c r="BX107" s="16"/>
      <c r="BY107" s="472"/>
      <c r="BZ107" s="16"/>
      <c r="CA107" s="17"/>
      <c r="CB107" s="16"/>
      <c r="CC107" s="16"/>
      <c r="CD107" s="472"/>
      <c r="CE107" s="16"/>
      <c r="CF107" s="17"/>
      <c r="CG107" s="16"/>
      <c r="CH107" s="16"/>
      <c r="CI107" s="472"/>
      <c r="CJ107" s="16"/>
      <c r="CK107" s="17">
        <f>-38+232</f>
        <v>194</v>
      </c>
      <c r="CL107" s="770">
        <f t="shared" si="50"/>
        <v>-354</v>
      </c>
      <c r="CM107" s="16">
        <v>399</v>
      </c>
      <c r="CN107" s="472">
        <v>-216</v>
      </c>
      <c r="CO107" s="16">
        <v>490</v>
      </c>
      <c r="CP107" s="17">
        <v>319</v>
      </c>
      <c r="CQ107" s="16">
        <v>-151</v>
      </c>
      <c r="CR107" s="16">
        <v>-185</v>
      </c>
      <c r="CS107" s="16">
        <v>-222</v>
      </c>
      <c r="CT107" s="16">
        <v>-222</v>
      </c>
      <c r="CU107" s="17">
        <f t="shared" si="51"/>
        <v>-780</v>
      </c>
      <c r="CV107" s="16">
        <v>91</v>
      </c>
      <c r="CW107" s="16">
        <v>-256</v>
      </c>
      <c r="CX107" s="16">
        <v>-107</v>
      </c>
      <c r="CY107" s="16">
        <f>-28+167</f>
        <v>139</v>
      </c>
      <c r="CZ107" s="17">
        <f t="shared" si="52"/>
        <v>-133</v>
      </c>
      <c r="DA107" s="16">
        <v>-68</v>
      </c>
      <c r="DB107" s="16">
        <v>251</v>
      </c>
      <c r="DC107" s="16">
        <v>36</v>
      </c>
      <c r="DD107" s="16">
        <v>90</v>
      </c>
      <c r="DE107" s="17">
        <f t="shared" si="53"/>
        <v>309</v>
      </c>
      <c r="DF107" s="16">
        <v>-15</v>
      </c>
      <c r="DG107" s="443">
        <v>-29</v>
      </c>
      <c r="DH107" s="443">
        <v>103</v>
      </c>
      <c r="DI107" s="443">
        <v>159</v>
      </c>
      <c r="DJ107" s="17">
        <f t="shared" si="55"/>
        <v>218</v>
      </c>
      <c r="DK107" s="443">
        <f>167-147</f>
        <v>20</v>
      </c>
      <c r="DL107" s="443">
        <v>-162</v>
      </c>
      <c r="DM107" s="443">
        <v>-97</v>
      </c>
      <c r="DN107" s="16"/>
      <c r="DO107" s="17"/>
      <c r="DP107" s="443"/>
      <c r="DQ107" s="16"/>
      <c r="DR107" s="16"/>
      <c r="DS107" s="16"/>
      <c r="DT107" s="17"/>
      <c r="DU107" s="17"/>
      <c r="DV107" s="17"/>
    </row>
    <row r="108" spans="1:126" s="13" customFormat="1">
      <c r="A108" s="32"/>
      <c r="B108" s="39" t="s">
        <v>142</v>
      </c>
      <c r="C108" s="271"/>
      <c r="D108" s="271"/>
      <c r="E108" s="271"/>
      <c r="F108" s="271"/>
      <c r="G108" s="271"/>
      <c r="H108" s="271"/>
      <c r="I108" s="271"/>
      <c r="J108" s="267"/>
      <c r="K108" s="267"/>
      <c r="L108" s="267"/>
      <c r="M108" s="190"/>
      <c r="N108" s="75"/>
      <c r="O108" s="190"/>
      <c r="P108" s="190"/>
      <c r="Q108" s="190"/>
      <c r="R108" s="190"/>
      <c r="S108" s="75"/>
      <c r="T108" s="190"/>
      <c r="U108" s="190"/>
      <c r="V108" s="190"/>
      <c r="W108" s="190"/>
      <c r="X108" s="75"/>
      <c r="Y108" s="190"/>
      <c r="Z108" s="190"/>
      <c r="AA108" s="190"/>
      <c r="AB108" s="190"/>
      <c r="AC108" s="75"/>
      <c r="AD108" s="190"/>
      <c r="AE108" s="190"/>
      <c r="AF108" s="190"/>
      <c r="AG108" s="190"/>
      <c r="AH108" s="75"/>
      <c r="AI108" s="190"/>
      <c r="AJ108" s="190"/>
      <c r="AK108" s="190"/>
      <c r="AL108" s="190"/>
      <c r="AM108" s="75"/>
      <c r="AN108" s="190"/>
      <c r="AO108" s="190"/>
      <c r="AP108" s="190"/>
      <c r="AQ108" s="190"/>
      <c r="AR108" s="75"/>
      <c r="AS108" s="190"/>
      <c r="AT108" s="190"/>
      <c r="AU108" s="190"/>
      <c r="AV108" s="190"/>
      <c r="AW108" s="75"/>
      <c r="AX108" s="190"/>
      <c r="AY108" s="190"/>
      <c r="AZ108" s="190"/>
      <c r="BA108" s="190"/>
      <c r="BB108" s="75"/>
      <c r="BC108" s="190"/>
      <c r="BD108" s="190"/>
      <c r="BE108" s="190"/>
      <c r="BF108" s="190"/>
      <c r="BG108" s="75"/>
      <c r="BH108" s="190"/>
      <c r="BI108" s="190"/>
      <c r="BJ108" s="474"/>
      <c r="BK108" s="474"/>
      <c r="BL108" s="75"/>
      <c r="BM108" s="474"/>
      <c r="BN108" s="474"/>
      <c r="BO108" s="474"/>
      <c r="BP108" s="474"/>
      <c r="BQ108" s="75"/>
      <c r="BR108" s="474"/>
      <c r="BS108" s="474"/>
      <c r="BT108" s="474"/>
      <c r="BU108" s="474"/>
      <c r="BV108" s="75"/>
      <c r="BW108" s="474"/>
      <c r="BX108" s="474"/>
      <c r="BY108" s="474"/>
      <c r="BZ108" s="474"/>
      <c r="CA108" s="75"/>
      <c r="CB108" s="474"/>
      <c r="CC108" s="474"/>
      <c r="CD108" s="474"/>
      <c r="CE108" s="474"/>
      <c r="CF108" s="75"/>
      <c r="CG108" s="474"/>
      <c r="CH108" s="474">
        <f>SUM(CH93:CH99)+CH106+CH107</f>
        <v>0</v>
      </c>
      <c r="CI108" s="474"/>
      <c r="CJ108" s="616"/>
      <c r="CK108" s="75">
        <f t="shared" ref="CK108:CQ108" si="56">SUM(CK92:CK107)</f>
        <v>5821</v>
      </c>
      <c r="CL108" s="807">
        <f t="shared" si="56"/>
        <v>1132</v>
      </c>
      <c r="CM108" s="474">
        <f t="shared" si="56"/>
        <v>210</v>
      </c>
      <c r="CN108" s="474">
        <f t="shared" si="56"/>
        <v>1622</v>
      </c>
      <c r="CO108" s="474">
        <f t="shared" si="56"/>
        <v>1370</v>
      </c>
      <c r="CP108" s="75">
        <f t="shared" si="56"/>
        <v>4334</v>
      </c>
      <c r="CQ108" s="474">
        <f t="shared" si="56"/>
        <v>723</v>
      </c>
      <c r="CR108" s="474">
        <f>SUM(CR92:CR107)</f>
        <v>1326</v>
      </c>
      <c r="CS108" s="474">
        <f>SUM(CS92:CS107)</f>
        <v>1932</v>
      </c>
      <c r="CT108" s="474">
        <f>SUM(CT92:CT107)</f>
        <v>3161</v>
      </c>
      <c r="CU108" s="75">
        <f t="shared" si="51"/>
        <v>7142</v>
      </c>
      <c r="CV108" s="474">
        <f>SUM(CV92:CV107)</f>
        <v>476</v>
      </c>
      <c r="CW108" s="474">
        <f>SUM(CW92:CW107)</f>
        <v>1286</v>
      </c>
      <c r="CX108" s="474">
        <f>SUM(CX92:CX107)</f>
        <v>778</v>
      </c>
      <c r="CY108" s="474">
        <f>SUM(CY92:CY107)</f>
        <v>4628</v>
      </c>
      <c r="CZ108" s="75">
        <f t="shared" si="52"/>
        <v>7168</v>
      </c>
      <c r="DA108" s="474">
        <f>SUM(DA92:DA107)</f>
        <v>-863</v>
      </c>
      <c r="DB108" s="474">
        <f>SUM(DB92:DB107)</f>
        <v>719</v>
      </c>
      <c r="DC108" s="474">
        <f>SUM(DC92:DC107)</f>
        <v>3316</v>
      </c>
      <c r="DD108" s="16">
        <f>SUM(DD92:DD107)</f>
        <v>4711</v>
      </c>
      <c r="DE108" s="75">
        <f t="shared" si="53"/>
        <v>7883</v>
      </c>
      <c r="DF108" s="474">
        <f>SUM(DF92:DF107)</f>
        <v>342</v>
      </c>
      <c r="DG108" s="474">
        <f>SUM(DG92:DG107)</f>
        <v>2733</v>
      </c>
      <c r="DH108" s="474">
        <f>SUM(DH92:DH107)</f>
        <v>2523</v>
      </c>
      <c r="DI108" s="474">
        <f>SUM(DI92:DI107)</f>
        <v>1561</v>
      </c>
      <c r="DJ108" s="75">
        <f t="shared" si="55"/>
        <v>7159</v>
      </c>
      <c r="DK108" s="474">
        <f>SUM(DK92:DK107)</f>
        <v>1305</v>
      </c>
      <c r="DL108" s="474">
        <f>SUM(DL92:DL107)</f>
        <v>458</v>
      </c>
      <c r="DM108" s="474">
        <f>SUM(DM92:DM107)</f>
        <v>4639</v>
      </c>
      <c r="DN108" s="16"/>
      <c r="DO108" s="17"/>
      <c r="DP108" s="474"/>
      <c r="DQ108" s="16"/>
      <c r="DR108" s="16"/>
      <c r="DS108" s="16"/>
      <c r="DT108" s="17"/>
      <c r="DU108" s="17"/>
      <c r="DV108" s="17"/>
    </row>
    <row r="109" spans="1:126" s="13" customFormat="1">
      <c r="A109" s="32"/>
      <c r="B109" s="41" t="s">
        <v>62</v>
      </c>
      <c r="C109" s="268"/>
      <c r="D109" s="268"/>
      <c r="E109" s="268"/>
      <c r="F109" s="268"/>
      <c r="G109" s="268"/>
      <c r="H109" s="268"/>
      <c r="I109" s="268"/>
      <c r="J109" s="265"/>
      <c r="K109" s="265"/>
      <c r="L109" s="265"/>
      <c r="N109" s="17"/>
      <c r="O109" s="262"/>
      <c r="P109" s="262"/>
      <c r="Q109" s="262"/>
      <c r="S109" s="17"/>
      <c r="T109" s="259"/>
      <c r="U109" s="259"/>
      <c r="V109" s="259"/>
      <c r="X109" s="17"/>
      <c r="Y109" s="256"/>
      <c r="Z109" s="256"/>
      <c r="AA109" s="256"/>
      <c r="AB109" s="256"/>
      <c r="AC109" s="17"/>
      <c r="AD109" s="252"/>
      <c r="AE109" s="252"/>
      <c r="AF109" s="252"/>
      <c r="AG109" s="252"/>
      <c r="AH109" s="17"/>
      <c r="AI109" s="249"/>
      <c r="AJ109" s="249"/>
      <c r="AK109" s="249"/>
      <c r="AM109" s="17"/>
      <c r="AN109" s="246"/>
      <c r="AO109" s="246"/>
      <c r="AP109" s="246"/>
      <c r="AR109" s="17"/>
      <c r="AW109" s="17"/>
      <c r="AZ109" s="16"/>
      <c r="BA109" s="16"/>
      <c r="BB109" s="17"/>
      <c r="BD109" s="16"/>
      <c r="BE109" s="16"/>
      <c r="BF109" s="16"/>
      <c r="BG109" s="17"/>
      <c r="BH109" s="16"/>
      <c r="BI109" s="16"/>
      <c r="BJ109" s="472"/>
      <c r="BK109" s="16"/>
      <c r="BL109" s="17"/>
      <c r="BM109" s="16"/>
      <c r="BN109" s="16"/>
      <c r="BO109" s="472"/>
      <c r="BP109" s="16"/>
      <c r="BQ109" s="17"/>
      <c r="BR109" s="16"/>
      <c r="BS109" s="16"/>
      <c r="BT109" s="472"/>
      <c r="BU109" s="16"/>
      <c r="BV109" s="17"/>
      <c r="BW109" s="16"/>
      <c r="BX109" s="16"/>
      <c r="BY109" s="480"/>
      <c r="BZ109" s="16"/>
      <c r="CA109" s="17"/>
      <c r="CB109" s="16"/>
      <c r="CC109" s="16"/>
      <c r="CD109" s="472"/>
      <c r="CE109" s="16"/>
      <c r="CF109" s="17"/>
      <c r="CG109" s="16"/>
      <c r="CH109" s="16"/>
      <c r="CI109" s="472"/>
      <c r="CJ109" s="16"/>
      <c r="CK109" s="17">
        <v>-1868</v>
      </c>
      <c r="CL109" s="770">
        <f t="shared" si="50"/>
        <v>-325</v>
      </c>
      <c r="CM109" s="16">
        <v>-458</v>
      </c>
      <c r="CN109" s="472">
        <v>-389</v>
      </c>
      <c r="CO109" s="16">
        <v>-623</v>
      </c>
      <c r="CP109" s="17">
        <v>-1795</v>
      </c>
      <c r="CQ109" s="16">
        <v>-387</v>
      </c>
      <c r="CR109" s="16">
        <v>-360</v>
      </c>
      <c r="CS109" s="16">
        <v>-433</v>
      </c>
      <c r="CT109" s="16">
        <v>-954</v>
      </c>
      <c r="CU109" s="17">
        <f t="shared" si="51"/>
        <v>-2134</v>
      </c>
      <c r="CV109" s="16">
        <v>-439</v>
      </c>
      <c r="CW109" s="16">
        <v>-479</v>
      </c>
      <c r="CX109" s="16">
        <v>-515</v>
      </c>
      <c r="CY109" s="16">
        <v>-855</v>
      </c>
      <c r="CZ109" s="17">
        <f t="shared" si="52"/>
        <v>-2288</v>
      </c>
      <c r="DA109" s="16">
        <v>-520</v>
      </c>
      <c r="DB109" s="16">
        <v>-526</v>
      </c>
      <c r="DC109" s="16">
        <v>-564</v>
      </c>
      <c r="DD109" s="16">
        <v>-805</v>
      </c>
      <c r="DE109" s="17">
        <f t="shared" si="53"/>
        <v>-2415</v>
      </c>
      <c r="DF109" s="16">
        <v>-467</v>
      </c>
      <c r="DG109" s="443">
        <v>-537</v>
      </c>
      <c r="DH109" s="443">
        <v>-552</v>
      </c>
      <c r="DI109" s="443">
        <v>-1069</v>
      </c>
      <c r="DJ109" s="17">
        <f t="shared" si="55"/>
        <v>-2625</v>
      </c>
      <c r="DK109" s="443">
        <v>-513</v>
      </c>
      <c r="DL109" s="443">
        <v>-530</v>
      </c>
      <c r="DM109" s="443">
        <v>-614</v>
      </c>
      <c r="DN109" s="16"/>
      <c r="DO109" s="17"/>
      <c r="DP109" s="443"/>
      <c r="DQ109" s="16"/>
      <c r="DR109" s="16"/>
      <c r="DS109" s="16"/>
      <c r="DT109" s="17"/>
      <c r="DU109" s="17"/>
      <c r="DV109" s="17"/>
    </row>
    <row r="110" spans="1:126" s="13" customFormat="1">
      <c r="A110" s="32"/>
      <c r="B110" s="41" t="s">
        <v>228</v>
      </c>
      <c r="C110" s="268"/>
      <c r="D110" s="269"/>
      <c r="E110" s="268"/>
      <c r="F110" s="268"/>
      <c r="G110" s="268"/>
      <c r="H110" s="268"/>
      <c r="I110" s="268"/>
      <c r="J110" s="265"/>
      <c r="K110" s="265"/>
      <c r="L110" s="265"/>
      <c r="N110" s="17"/>
      <c r="O110" s="262"/>
      <c r="P110" s="262"/>
      <c r="Q110" s="262"/>
      <c r="S110" s="17"/>
      <c r="T110" s="259"/>
      <c r="U110" s="259"/>
      <c r="V110" s="259"/>
      <c r="X110" s="17"/>
      <c r="Y110" s="256"/>
      <c r="Z110" s="256"/>
      <c r="AA110" s="256"/>
      <c r="AB110" s="256"/>
      <c r="AC110" s="17"/>
      <c r="AD110" s="252"/>
      <c r="AE110" s="252"/>
      <c r="AF110" s="252"/>
      <c r="AG110" s="252"/>
      <c r="AH110" s="17"/>
      <c r="AI110" s="249"/>
      <c r="AJ110" s="249"/>
      <c r="AK110" s="249"/>
      <c r="AM110" s="17"/>
      <c r="AN110" s="246"/>
      <c r="AO110" s="246"/>
      <c r="AP110" s="246"/>
      <c r="AR110" s="17"/>
      <c r="AW110" s="17"/>
      <c r="AZ110" s="16"/>
      <c r="BA110" s="16"/>
      <c r="BB110" s="17"/>
      <c r="BD110" s="16"/>
      <c r="BE110" s="16"/>
      <c r="BF110" s="16"/>
      <c r="BG110" s="17"/>
      <c r="BH110" s="16"/>
      <c r="BI110" s="16"/>
      <c r="BJ110" s="472"/>
      <c r="BK110" s="16"/>
      <c r="BL110" s="17"/>
      <c r="BM110" s="16"/>
      <c r="BN110" s="16"/>
      <c r="BO110" s="472"/>
      <c r="BP110" s="16"/>
      <c r="BQ110" s="17"/>
      <c r="BR110" s="16"/>
      <c r="BS110" s="16"/>
      <c r="BT110" s="472"/>
      <c r="BU110" s="16"/>
      <c r="BV110" s="17"/>
      <c r="BW110" s="16"/>
      <c r="BX110" s="16"/>
      <c r="BY110" s="472"/>
      <c r="BZ110" s="16"/>
      <c r="CA110" s="17"/>
      <c r="CB110" s="16"/>
      <c r="CC110" s="16"/>
      <c r="CD110" s="472"/>
      <c r="CE110" s="16"/>
      <c r="CF110" s="17"/>
      <c r="CG110" s="16"/>
      <c r="CH110" s="16"/>
      <c r="CI110" s="472"/>
      <c r="CJ110" s="16"/>
      <c r="CK110" s="17">
        <f>-9+134</f>
        <v>125</v>
      </c>
      <c r="CL110" s="770">
        <f t="shared" si="50"/>
        <v>-2575</v>
      </c>
      <c r="CM110" s="16">
        <v>234</v>
      </c>
      <c r="CN110" s="472">
        <v>2341</v>
      </c>
      <c r="CO110" s="16">
        <v>-419</v>
      </c>
      <c r="CP110" s="17">
        <v>-419</v>
      </c>
      <c r="CQ110" s="16">
        <v>-6</v>
      </c>
      <c r="CR110" s="16">
        <v>25</v>
      </c>
      <c r="CS110" s="16">
        <v>0</v>
      </c>
      <c r="CT110" s="16">
        <f>-1082+805</f>
        <v>-277</v>
      </c>
      <c r="CU110" s="17">
        <f t="shared" si="51"/>
        <v>-258</v>
      </c>
      <c r="CV110" s="16">
        <v>0</v>
      </c>
      <c r="CW110" s="16">
        <v>0</v>
      </c>
      <c r="CX110" s="16">
        <f>-66+6</f>
        <v>-60</v>
      </c>
      <c r="CY110" s="16"/>
      <c r="CZ110" s="17">
        <f t="shared" si="52"/>
        <v>-60</v>
      </c>
      <c r="DA110" s="198">
        <v>0</v>
      </c>
      <c r="DB110" s="16"/>
      <c r="DC110" s="16">
        <v>6</v>
      </c>
      <c r="DD110" s="16">
        <v>0</v>
      </c>
      <c r="DE110" s="17">
        <f t="shared" si="53"/>
        <v>6</v>
      </c>
      <c r="DF110" s="198">
        <v>1283</v>
      </c>
      <c r="DG110" s="16"/>
      <c r="DH110" s="16">
        <v>0</v>
      </c>
      <c r="DI110" s="443">
        <v>512</v>
      </c>
      <c r="DJ110" s="17">
        <f t="shared" si="55"/>
        <v>1795</v>
      </c>
      <c r="DK110" s="443">
        <v>0</v>
      </c>
      <c r="DL110" s="16"/>
      <c r="DM110" s="16">
        <v>1188</v>
      </c>
      <c r="DN110" s="16"/>
      <c r="DO110" s="17"/>
      <c r="DP110" s="443"/>
      <c r="DQ110" s="16"/>
      <c r="DR110" s="16"/>
      <c r="DS110" s="16"/>
      <c r="DT110" s="17"/>
      <c r="DU110" s="17"/>
      <c r="DV110" s="17"/>
    </row>
    <row r="111" spans="1:126" s="13" customFormat="1">
      <c r="A111" s="32"/>
      <c r="B111" s="41" t="s">
        <v>588</v>
      </c>
      <c r="C111" s="268"/>
      <c r="D111" s="268"/>
      <c r="E111" s="268"/>
      <c r="F111" s="268"/>
      <c r="G111" s="268"/>
      <c r="H111" s="268"/>
      <c r="I111" s="268"/>
      <c r="J111" s="265"/>
      <c r="K111" s="265"/>
      <c r="L111" s="265"/>
      <c r="N111" s="17"/>
      <c r="O111" s="262"/>
      <c r="P111" s="262"/>
      <c r="Q111" s="262"/>
      <c r="S111" s="17"/>
      <c r="T111" s="259"/>
      <c r="U111" s="259"/>
      <c r="V111" s="259"/>
      <c r="X111" s="17"/>
      <c r="Y111" s="256"/>
      <c r="Z111" s="256"/>
      <c r="AA111" s="256"/>
      <c r="AB111" s="256"/>
      <c r="AC111" s="17"/>
      <c r="AD111" s="252"/>
      <c r="AE111" s="252"/>
      <c r="AF111" s="252"/>
      <c r="AG111" s="252"/>
      <c r="AH111" s="17"/>
      <c r="AI111" s="249"/>
      <c r="AJ111" s="249"/>
      <c r="AK111" s="249"/>
      <c r="AM111" s="17"/>
      <c r="AN111" s="246"/>
      <c r="AO111" s="246"/>
      <c r="AP111" s="246"/>
      <c r="AR111" s="17"/>
      <c r="AW111" s="17"/>
      <c r="AZ111" s="16"/>
      <c r="BA111" s="16"/>
      <c r="BB111" s="17"/>
      <c r="BD111" s="16"/>
      <c r="BE111" s="16"/>
      <c r="BF111" s="16"/>
      <c r="BG111" s="17"/>
      <c r="BH111" s="16"/>
      <c r="BI111" s="16"/>
      <c r="BJ111" s="472"/>
      <c r="BK111" s="16"/>
      <c r="BL111" s="17"/>
      <c r="BM111" s="16"/>
      <c r="BN111" s="16"/>
      <c r="BO111" s="472"/>
      <c r="BP111" s="16"/>
      <c r="BQ111" s="17"/>
      <c r="BR111" s="16"/>
      <c r="BS111" s="16"/>
      <c r="BT111" s="472"/>
      <c r="BU111" s="16"/>
      <c r="BV111" s="17"/>
      <c r="BW111" s="16"/>
      <c r="BX111" s="16"/>
      <c r="BY111" s="472"/>
      <c r="BZ111" s="16"/>
      <c r="CA111" s="17"/>
      <c r="CB111" s="16"/>
      <c r="CC111" s="16"/>
      <c r="CD111" s="472"/>
      <c r="CE111" s="16"/>
      <c r="CF111" s="17"/>
      <c r="CG111" s="16"/>
      <c r="CH111" s="16"/>
      <c r="CI111" s="472"/>
      <c r="CJ111" s="16"/>
      <c r="CK111" s="17">
        <v>-659</v>
      </c>
      <c r="CL111" s="770">
        <f t="shared" si="50"/>
        <v>-88</v>
      </c>
      <c r="CM111" s="16">
        <v>-41</v>
      </c>
      <c r="CN111" s="472">
        <v>-9</v>
      </c>
      <c r="CO111" s="198">
        <v>226</v>
      </c>
      <c r="CP111" s="17">
        <v>88</v>
      </c>
      <c r="CQ111" s="16">
        <v>-81</v>
      </c>
      <c r="CR111" s="16">
        <v>-21</v>
      </c>
      <c r="CS111" s="16">
        <v>126</v>
      </c>
      <c r="CT111" s="16">
        <v>134</v>
      </c>
      <c r="CU111" s="17">
        <f t="shared" si="51"/>
        <v>158</v>
      </c>
      <c r="CV111" s="16">
        <v>-19</v>
      </c>
      <c r="CW111" s="16">
        <v>12</v>
      </c>
      <c r="CX111" s="16">
        <v>32</v>
      </c>
      <c r="CY111" s="16">
        <v>53</v>
      </c>
      <c r="CZ111" s="17">
        <f t="shared" si="52"/>
        <v>78</v>
      </c>
      <c r="DA111" s="16">
        <v>28</v>
      </c>
      <c r="DB111" s="16">
        <v>14</v>
      </c>
      <c r="DC111" s="16">
        <v>-1</v>
      </c>
      <c r="DD111" s="16">
        <v>88</v>
      </c>
      <c r="DE111" s="17">
        <f t="shared" si="53"/>
        <v>129</v>
      </c>
      <c r="DF111" s="16">
        <v>0</v>
      </c>
      <c r="DG111" s="443">
        <v>0</v>
      </c>
      <c r="DH111" s="443">
        <v>0</v>
      </c>
      <c r="DI111" s="443">
        <v>0</v>
      </c>
      <c r="DJ111" s="17">
        <f t="shared" si="55"/>
        <v>0</v>
      </c>
      <c r="DK111" s="443">
        <v>0</v>
      </c>
      <c r="DL111" s="443">
        <v>0</v>
      </c>
      <c r="DM111" s="443">
        <v>0</v>
      </c>
      <c r="DN111" s="16"/>
      <c r="DO111" s="17"/>
      <c r="DP111" s="443"/>
      <c r="DQ111" s="16"/>
      <c r="DR111" s="16"/>
      <c r="DS111" s="16"/>
      <c r="DT111" s="17"/>
      <c r="DU111" s="17"/>
      <c r="DV111" s="17"/>
    </row>
    <row r="112" spans="1:126" s="13" customFormat="1">
      <c r="A112" s="32"/>
      <c r="B112" s="41" t="s">
        <v>589</v>
      </c>
      <c r="C112" s="268"/>
      <c r="D112" s="268"/>
      <c r="E112" s="268"/>
      <c r="F112" s="268"/>
      <c r="G112" s="268"/>
      <c r="H112" s="268"/>
      <c r="I112" s="268"/>
      <c r="J112" s="265"/>
      <c r="K112" s="265"/>
      <c r="L112" s="265"/>
      <c r="N112" s="17"/>
      <c r="O112" s="262"/>
      <c r="P112" s="262"/>
      <c r="Q112" s="262"/>
      <c r="S112" s="17"/>
      <c r="T112" s="259"/>
      <c r="U112" s="259"/>
      <c r="V112" s="259"/>
      <c r="X112" s="17"/>
      <c r="Y112" s="256"/>
      <c r="Z112" s="256"/>
      <c r="AA112" s="256"/>
      <c r="AB112" s="256"/>
      <c r="AC112" s="17"/>
      <c r="AD112" s="252"/>
      <c r="AE112" s="252"/>
      <c r="AF112" s="252"/>
      <c r="AG112" s="252"/>
      <c r="AH112" s="17"/>
      <c r="AI112" s="249"/>
      <c r="AJ112" s="249"/>
      <c r="AK112" s="249"/>
      <c r="AM112" s="17"/>
      <c r="AN112" s="246"/>
      <c r="AO112" s="246"/>
      <c r="AP112" s="246"/>
      <c r="AR112" s="17"/>
      <c r="AW112" s="17"/>
      <c r="AZ112" s="16"/>
      <c r="BA112" s="16"/>
      <c r="BB112" s="17"/>
      <c r="BD112" s="16"/>
      <c r="BE112" s="16"/>
      <c r="BF112" s="16"/>
      <c r="BG112" s="17"/>
      <c r="BH112" s="16"/>
      <c r="BI112" s="16"/>
      <c r="BJ112" s="472"/>
      <c r="BK112" s="16"/>
      <c r="BL112" s="17"/>
      <c r="BM112" s="16"/>
      <c r="BN112" s="16"/>
      <c r="BO112" s="472"/>
      <c r="BP112" s="16"/>
      <c r="BQ112" s="17"/>
      <c r="BR112" s="16"/>
      <c r="BS112" s="16"/>
      <c r="BT112" s="472"/>
      <c r="BU112" s="16"/>
      <c r="BV112" s="17"/>
      <c r="BW112" s="16"/>
      <c r="BX112" s="16"/>
      <c r="BY112" s="472"/>
      <c r="BZ112" s="16"/>
      <c r="CA112" s="17"/>
      <c r="CB112" s="16"/>
      <c r="CC112" s="16"/>
      <c r="CD112" s="472"/>
      <c r="CE112" s="16"/>
      <c r="CF112" s="17"/>
      <c r="CG112" s="16"/>
      <c r="CH112" s="16"/>
      <c r="CI112" s="472"/>
      <c r="CJ112" s="16"/>
      <c r="CK112" s="17">
        <v>-351</v>
      </c>
      <c r="CL112" s="770">
        <f t="shared" si="50"/>
        <v>-78</v>
      </c>
      <c r="CM112" s="16">
        <v>-28</v>
      </c>
      <c r="CN112" s="472">
        <v>-30</v>
      </c>
      <c r="CO112" s="16">
        <v>-36</v>
      </c>
      <c r="CP112" s="17">
        <v>-172</v>
      </c>
      <c r="CQ112" s="16">
        <v>-32</v>
      </c>
      <c r="CR112" s="16">
        <v>-28</v>
      </c>
      <c r="CS112" s="16">
        <v>-78</v>
      </c>
      <c r="CT112" s="16">
        <v>-50</v>
      </c>
      <c r="CU112" s="17">
        <f t="shared" si="51"/>
        <v>-188</v>
      </c>
      <c r="CV112" s="16">
        <v>-50</v>
      </c>
      <c r="CW112" s="16">
        <v>-41</v>
      </c>
      <c r="CX112" s="16">
        <v>-78</v>
      </c>
      <c r="CY112" s="16">
        <v>-49</v>
      </c>
      <c r="CZ112" s="17">
        <f t="shared" si="52"/>
        <v>-218</v>
      </c>
      <c r="DA112" s="16">
        <v>-154</v>
      </c>
      <c r="DB112" s="16">
        <v>-160</v>
      </c>
      <c r="DC112" s="16">
        <v>-222</v>
      </c>
      <c r="DD112" s="16">
        <v>-34</v>
      </c>
      <c r="DE112" s="17">
        <f t="shared" si="53"/>
        <v>-570</v>
      </c>
      <c r="DF112" s="16">
        <v>-163</v>
      </c>
      <c r="DG112" s="443">
        <v>-155</v>
      </c>
      <c r="DH112" s="443">
        <v>-129</v>
      </c>
      <c r="DI112" s="443">
        <v>-164</v>
      </c>
      <c r="DJ112" s="17">
        <f t="shared" si="55"/>
        <v>-611</v>
      </c>
      <c r="DK112" s="443">
        <v>-104</v>
      </c>
      <c r="DL112" s="443">
        <v>-122</v>
      </c>
      <c r="DM112" s="443">
        <v>-121</v>
      </c>
      <c r="DN112" s="16"/>
      <c r="DO112" s="17"/>
      <c r="DP112" s="443"/>
      <c r="DQ112" s="16"/>
      <c r="DR112" s="16"/>
      <c r="DS112" s="16"/>
      <c r="DT112" s="17"/>
      <c r="DU112" s="17"/>
      <c r="DV112" s="17"/>
    </row>
    <row r="113" spans="1:126" s="13" customFormat="1">
      <c r="A113" s="32"/>
      <c r="B113" s="41" t="s">
        <v>590</v>
      </c>
      <c r="C113" s="268"/>
      <c r="D113" s="268"/>
      <c r="E113" s="268"/>
      <c r="F113" s="268"/>
      <c r="G113" s="268"/>
      <c r="H113" s="268"/>
      <c r="I113" s="268"/>
      <c r="J113" s="265"/>
      <c r="K113" s="265"/>
      <c r="L113" s="265"/>
      <c r="N113" s="17"/>
      <c r="O113" s="262"/>
      <c r="P113" s="262"/>
      <c r="Q113" s="262"/>
      <c r="S113" s="17"/>
      <c r="T113" s="259"/>
      <c r="U113" s="259"/>
      <c r="V113" s="259"/>
      <c r="X113" s="17"/>
      <c r="Y113" s="256"/>
      <c r="Z113" s="256"/>
      <c r="AA113" s="256"/>
      <c r="AB113" s="256"/>
      <c r="AC113" s="17"/>
      <c r="AD113" s="252"/>
      <c r="AE113" s="252"/>
      <c r="AF113" s="252"/>
      <c r="AG113" s="252"/>
      <c r="AH113" s="17"/>
      <c r="AI113" s="249"/>
      <c r="AJ113" s="249"/>
      <c r="AK113" s="249"/>
      <c r="AM113" s="17"/>
      <c r="AN113" s="246"/>
      <c r="AO113" s="246"/>
      <c r="AP113" s="246"/>
      <c r="AR113" s="17"/>
      <c r="AW113" s="17"/>
      <c r="AZ113" s="16"/>
      <c r="BA113" s="16"/>
      <c r="BB113" s="17"/>
      <c r="BD113" s="16"/>
      <c r="BE113" s="16"/>
      <c r="BF113" s="16"/>
      <c r="BG113" s="17"/>
      <c r="BH113" s="16"/>
      <c r="BI113" s="16"/>
      <c r="BJ113" s="472"/>
      <c r="BK113" s="16"/>
      <c r="BL113" s="17"/>
      <c r="BM113" s="16"/>
      <c r="BN113" s="16"/>
      <c r="BO113" s="472"/>
      <c r="BP113" s="16"/>
      <c r="BQ113" s="17"/>
      <c r="BR113" s="16"/>
      <c r="BS113" s="16"/>
      <c r="BT113" s="472"/>
      <c r="BU113" s="16"/>
      <c r="BV113" s="17"/>
      <c r="BW113" s="16"/>
      <c r="BX113" s="16"/>
      <c r="BY113" s="472"/>
      <c r="BZ113" s="16"/>
      <c r="CA113" s="17"/>
      <c r="CB113" s="16"/>
      <c r="CC113" s="16"/>
      <c r="CD113" s="472"/>
      <c r="CE113" s="16"/>
      <c r="CF113" s="17"/>
      <c r="CG113" s="16"/>
      <c r="CH113" s="16"/>
      <c r="CI113" s="472"/>
      <c r="CJ113" s="16"/>
      <c r="CK113" s="17">
        <v>342</v>
      </c>
      <c r="CL113" s="770">
        <f t="shared" si="50"/>
        <v>-524</v>
      </c>
      <c r="CM113" s="16">
        <v>238</v>
      </c>
      <c r="CN113" s="472">
        <v>171</v>
      </c>
      <c r="CO113" s="16">
        <v>83</v>
      </c>
      <c r="CP113" s="17">
        <v>-32</v>
      </c>
      <c r="CQ113" s="16">
        <v>49</v>
      </c>
      <c r="CR113" s="16">
        <v>1</v>
      </c>
      <c r="CS113" s="16">
        <v>-8</v>
      </c>
      <c r="CT113" s="16">
        <v>-58</v>
      </c>
      <c r="CU113" s="17">
        <f t="shared" si="51"/>
        <v>-16</v>
      </c>
      <c r="CV113" s="16">
        <v>-33</v>
      </c>
      <c r="CW113" s="16">
        <v>-118</v>
      </c>
      <c r="CX113" s="16">
        <v>-108</v>
      </c>
      <c r="CY113" s="16">
        <v>-169</v>
      </c>
      <c r="CZ113" s="17">
        <f t="shared" si="52"/>
        <v>-428</v>
      </c>
      <c r="DA113" s="16">
        <v>-13</v>
      </c>
      <c r="DB113" s="16">
        <v>58</v>
      </c>
      <c r="DC113" s="16">
        <v>-63</v>
      </c>
      <c r="DD113" s="16">
        <v>-215</v>
      </c>
      <c r="DE113" s="17">
        <f t="shared" si="53"/>
        <v>-233</v>
      </c>
      <c r="DF113" s="16">
        <v>-1</v>
      </c>
      <c r="DG113" s="443">
        <v>-28</v>
      </c>
      <c r="DH113" s="443">
        <v>32</v>
      </c>
      <c r="DI113" s="443">
        <v>-145</v>
      </c>
      <c r="DJ113" s="17">
        <f t="shared" si="55"/>
        <v>-142</v>
      </c>
      <c r="DK113" s="443">
        <v>-47</v>
      </c>
      <c r="DL113" s="443">
        <v>192</v>
      </c>
      <c r="DM113" s="443">
        <v>42</v>
      </c>
      <c r="DN113" s="16"/>
      <c r="DO113" s="17"/>
      <c r="DP113" s="443"/>
      <c r="DQ113" s="16"/>
      <c r="DR113" s="16"/>
      <c r="DS113" s="16"/>
      <c r="DT113" s="17"/>
      <c r="DU113" s="17"/>
      <c r="DV113" s="17"/>
    </row>
    <row r="114" spans="1:126" s="13" customFormat="1">
      <c r="A114" s="32"/>
      <c r="B114" s="41" t="s">
        <v>327</v>
      </c>
      <c r="C114" s="268"/>
      <c r="D114" s="268"/>
      <c r="E114" s="268"/>
      <c r="F114" s="268"/>
      <c r="G114" s="268"/>
      <c r="H114" s="268"/>
      <c r="I114" s="268"/>
      <c r="J114" s="265"/>
      <c r="K114" s="265"/>
      <c r="L114" s="265"/>
      <c r="N114" s="17"/>
      <c r="O114" s="262"/>
      <c r="P114" s="262"/>
      <c r="Q114" s="262"/>
      <c r="S114" s="17"/>
      <c r="T114" s="259"/>
      <c r="U114" s="259"/>
      <c r="V114" s="259"/>
      <c r="X114" s="17"/>
      <c r="Y114" s="256"/>
      <c r="Z114" s="256"/>
      <c r="AA114" s="256"/>
      <c r="AB114" s="256"/>
      <c r="AC114" s="17"/>
      <c r="AD114" s="252"/>
      <c r="AE114" s="252"/>
      <c r="AF114" s="252"/>
      <c r="AG114" s="252"/>
      <c r="AH114" s="17"/>
      <c r="AI114" s="249"/>
      <c r="AJ114" s="249"/>
      <c r="AK114" s="249"/>
      <c r="AM114" s="17"/>
      <c r="AN114" s="246"/>
      <c r="AO114" s="246"/>
      <c r="AP114" s="246"/>
      <c r="AR114" s="17"/>
      <c r="AW114" s="17"/>
      <c r="AZ114" s="16"/>
      <c r="BA114" s="16"/>
      <c r="BB114" s="17"/>
      <c r="BD114" s="16"/>
      <c r="BE114" s="16"/>
      <c r="BF114" s="16"/>
      <c r="BG114" s="17"/>
      <c r="BH114" s="16"/>
      <c r="BI114" s="16"/>
      <c r="BJ114" s="472"/>
      <c r="BK114" s="16"/>
      <c r="BL114" s="17"/>
      <c r="BM114" s="16"/>
      <c r="BN114" s="16"/>
      <c r="BO114" s="472"/>
      <c r="BP114" s="16"/>
      <c r="BQ114" s="17"/>
      <c r="BR114" s="16"/>
      <c r="BS114" s="16"/>
      <c r="BT114" s="472"/>
      <c r="BU114" s="16"/>
      <c r="BV114" s="17"/>
      <c r="BW114" s="16"/>
      <c r="BX114" s="16"/>
      <c r="BY114" s="472"/>
      <c r="BZ114" s="16"/>
      <c r="CA114" s="17"/>
      <c r="CB114" s="16"/>
      <c r="CC114" s="16"/>
      <c r="CD114" s="472"/>
      <c r="CE114" s="16"/>
      <c r="CF114" s="17"/>
      <c r="CG114" s="16"/>
      <c r="CH114" s="16"/>
      <c r="CI114" s="472"/>
      <c r="CJ114" s="16"/>
      <c r="CK114" s="17">
        <v>-265</v>
      </c>
      <c r="CL114" s="770">
        <f t="shared" si="50"/>
        <v>2550</v>
      </c>
      <c r="CM114" s="16">
        <f>3208-57</f>
        <v>3151</v>
      </c>
      <c r="CN114" s="472">
        <v>12</v>
      </c>
      <c r="CO114" s="16">
        <f>-19-21</f>
        <v>-40</v>
      </c>
      <c r="CP114" s="17">
        <f>3208+2556-91</f>
        <v>5673</v>
      </c>
      <c r="CQ114" s="16">
        <f>-10+1049</f>
        <v>1039</v>
      </c>
      <c r="CR114" s="16">
        <v>40</v>
      </c>
      <c r="CS114" s="16">
        <v>15</v>
      </c>
      <c r="CT114" s="16">
        <v>-20</v>
      </c>
      <c r="CU114" s="17">
        <f t="shared" si="51"/>
        <v>1074</v>
      </c>
      <c r="CV114" s="16">
        <f>35-12</f>
        <v>23</v>
      </c>
      <c r="CW114" s="16">
        <f>53-45</f>
        <v>8</v>
      </c>
      <c r="CX114" s="16">
        <v>-26</v>
      </c>
      <c r="CY114" s="16">
        <f>54+28</f>
        <v>82</v>
      </c>
      <c r="CZ114" s="17">
        <f t="shared" si="52"/>
        <v>87</v>
      </c>
      <c r="DA114" s="16">
        <v>80</v>
      </c>
      <c r="DB114" s="16">
        <v>-9</v>
      </c>
      <c r="DC114" s="16">
        <v>-15</v>
      </c>
      <c r="DD114" s="16">
        <f>32-44</f>
        <v>-12</v>
      </c>
      <c r="DE114" s="17">
        <f t="shared" si="53"/>
        <v>44</v>
      </c>
      <c r="DF114" s="16">
        <v>41</v>
      </c>
      <c r="DG114" s="443">
        <v>-13</v>
      </c>
      <c r="DH114" s="443">
        <v>-66</v>
      </c>
      <c r="DI114" s="443">
        <v>87</v>
      </c>
      <c r="DJ114" s="17">
        <f t="shared" si="55"/>
        <v>49</v>
      </c>
      <c r="DK114" s="443">
        <v>-14</v>
      </c>
      <c r="DL114" s="443">
        <v>-49</v>
      </c>
      <c r="DM114" s="443">
        <v>-24</v>
      </c>
      <c r="DN114" s="16"/>
      <c r="DO114" s="17"/>
      <c r="DP114" s="443"/>
      <c r="DQ114" s="16"/>
      <c r="DR114" s="16"/>
      <c r="DS114" s="16"/>
      <c r="DT114" s="17"/>
      <c r="DU114" s="17"/>
      <c r="DV114" s="17"/>
    </row>
    <row r="115" spans="1:126" s="190" customFormat="1">
      <c r="A115" s="37"/>
      <c r="B115" s="39" t="s">
        <v>144</v>
      </c>
      <c r="C115" s="271"/>
      <c r="D115" s="271"/>
      <c r="E115" s="271"/>
      <c r="F115" s="271"/>
      <c r="G115" s="271"/>
      <c r="H115" s="271"/>
      <c r="I115" s="271"/>
      <c r="J115" s="267"/>
      <c r="K115" s="267"/>
      <c r="L115" s="267"/>
      <c r="M115" s="13"/>
      <c r="N115" s="75"/>
      <c r="O115" s="264"/>
      <c r="P115" s="264"/>
      <c r="Q115" s="264"/>
      <c r="R115" s="13"/>
      <c r="S115" s="75"/>
      <c r="T115" s="261"/>
      <c r="U115" s="261"/>
      <c r="V115" s="261"/>
      <c r="W115" s="13"/>
      <c r="X115" s="75"/>
      <c r="Y115" s="258"/>
      <c r="Z115" s="258"/>
      <c r="AA115" s="258"/>
      <c r="AB115" s="258"/>
      <c r="AC115" s="17"/>
      <c r="AD115" s="254"/>
      <c r="AE115" s="254"/>
      <c r="AF115" s="254"/>
      <c r="AG115" s="254"/>
      <c r="AH115" s="17"/>
      <c r="AI115" s="251"/>
      <c r="AJ115" s="251"/>
      <c r="AK115" s="251"/>
      <c r="AM115" s="75"/>
      <c r="AN115" s="248"/>
      <c r="AO115" s="248"/>
      <c r="AP115" s="248"/>
      <c r="AR115" s="75"/>
      <c r="AW115" s="75"/>
      <c r="BB115" s="75"/>
      <c r="BG115" s="75"/>
      <c r="BJ115" s="474"/>
      <c r="BK115" s="474"/>
      <c r="BL115" s="75"/>
      <c r="BM115" s="474"/>
      <c r="BN115" s="474"/>
      <c r="BO115" s="474"/>
      <c r="BP115" s="474"/>
      <c r="BQ115" s="75"/>
      <c r="BR115" s="474"/>
      <c r="BS115" s="474"/>
      <c r="BT115" s="474"/>
      <c r="BU115" s="474"/>
      <c r="BV115" s="75"/>
      <c r="BW115" s="474"/>
      <c r="BX115" s="474"/>
      <c r="BY115" s="474"/>
      <c r="BZ115" s="474"/>
      <c r="CA115" s="75"/>
      <c r="CB115" s="474"/>
      <c r="CC115" s="474"/>
      <c r="CD115" s="474"/>
      <c r="CE115" s="474"/>
      <c r="CF115" s="75"/>
      <c r="CG115" s="474"/>
      <c r="CH115" s="474">
        <f>SUM(CH109:CH114)</f>
        <v>0</v>
      </c>
      <c r="CI115" s="474"/>
      <c r="CJ115" s="474"/>
      <c r="CK115" s="75">
        <f t="shared" ref="CK115:DF115" si="57">SUM(CK109:CK114)</f>
        <v>-2676</v>
      </c>
      <c r="CL115" s="807">
        <f t="shared" si="57"/>
        <v>-1040</v>
      </c>
      <c r="CM115" s="474">
        <f t="shared" si="57"/>
        <v>3096</v>
      </c>
      <c r="CN115" s="474">
        <f t="shared" si="57"/>
        <v>2096</v>
      </c>
      <c r="CO115" s="474">
        <f t="shared" si="57"/>
        <v>-809</v>
      </c>
      <c r="CP115" s="75">
        <f t="shared" si="57"/>
        <v>3343</v>
      </c>
      <c r="CQ115" s="474">
        <f t="shared" si="57"/>
        <v>582</v>
      </c>
      <c r="CR115" s="474">
        <f t="shared" si="57"/>
        <v>-343</v>
      </c>
      <c r="CS115" s="474">
        <f t="shared" si="57"/>
        <v>-378</v>
      </c>
      <c r="CT115" s="474">
        <f t="shared" si="57"/>
        <v>-1225</v>
      </c>
      <c r="CU115" s="75">
        <f t="shared" si="51"/>
        <v>-1364</v>
      </c>
      <c r="CV115" s="474">
        <f t="shared" si="57"/>
        <v>-518</v>
      </c>
      <c r="CW115" s="474">
        <f t="shared" si="57"/>
        <v>-618</v>
      </c>
      <c r="CX115" s="474">
        <f t="shared" si="57"/>
        <v>-755</v>
      </c>
      <c r="CY115" s="474">
        <f t="shared" si="57"/>
        <v>-938</v>
      </c>
      <c r="CZ115" s="75">
        <f t="shared" si="52"/>
        <v>-2829</v>
      </c>
      <c r="DA115" s="474">
        <f t="shared" si="57"/>
        <v>-579</v>
      </c>
      <c r="DB115" s="474">
        <f t="shared" si="57"/>
        <v>-623</v>
      </c>
      <c r="DC115" s="474">
        <f t="shared" si="57"/>
        <v>-859</v>
      </c>
      <c r="DD115" s="76">
        <f t="shared" si="57"/>
        <v>-978</v>
      </c>
      <c r="DE115" s="75">
        <f t="shared" si="53"/>
        <v>-3039</v>
      </c>
      <c r="DF115" s="474">
        <f t="shared" si="57"/>
        <v>693</v>
      </c>
      <c r="DG115" s="474">
        <f t="shared" ref="DG115:DI115" si="58">SUM(DG109:DG114)</f>
        <v>-733</v>
      </c>
      <c r="DH115" s="474">
        <f t="shared" si="58"/>
        <v>-715</v>
      </c>
      <c r="DI115" s="474">
        <f t="shared" si="58"/>
        <v>-779</v>
      </c>
      <c r="DJ115" s="75">
        <f t="shared" si="55"/>
        <v>-1534</v>
      </c>
      <c r="DK115" s="474">
        <f t="shared" ref="DK115:DL115" si="59">SUM(DK109:DK114)</f>
        <v>-678</v>
      </c>
      <c r="DL115" s="474">
        <f t="shared" si="59"/>
        <v>-509</v>
      </c>
      <c r="DM115" s="474">
        <f t="shared" ref="DM115" si="60">SUM(DM109:DM114)</f>
        <v>471</v>
      </c>
      <c r="DN115" s="76"/>
      <c r="DO115" s="75"/>
      <c r="DP115" s="474"/>
      <c r="DQ115" s="76"/>
      <c r="DR115" s="76"/>
      <c r="DS115" s="76"/>
      <c r="DT115" s="75"/>
      <c r="DU115" s="75"/>
      <c r="DV115" s="75"/>
    </row>
    <row r="116" spans="1:126" s="13" customFormat="1">
      <c r="A116" s="32"/>
      <c r="B116" s="240" t="s">
        <v>591</v>
      </c>
      <c r="C116" s="268"/>
      <c r="D116" s="268"/>
      <c r="E116" s="268"/>
      <c r="F116" s="268"/>
      <c r="G116" s="268"/>
      <c r="H116" s="268"/>
      <c r="I116" s="268"/>
      <c r="J116" s="265"/>
      <c r="K116" s="265"/>
      <c r="L116" s="265"/>
      <c r="N116" s="17"/>
      <c r="O116" s="262"/>
      <c r="P116" s="262"/>
      <c r="Q116" s="262"/>
      <c r="S116" s="17"/>
      <c r="T116" s="259"/>
      <c r="U116" s="259"/>
      <c r="V116" s="259"/>
      <c r="X116" s="17"/>
      <c r="Y116" s="256"/>
      <c r="Z116" s="256"/>
      <c r="AA116" s="256"/>
      <c r="AB116" s="256"/>
      <c r="AC116" s="17"/>
      <c r="AD116" s="252"/>
      <c r="AE116" s="252"/>
      <c r="AF116" s="252"/>
      <c r="AG116" s="252"/>
      <c r="AH116" s="17"/>
      <c r="AI116" s="249"/>
      <c r="AJ116" s="249"/>
      <c r="AK116" s="249"/>
      <c r="AM116" s="17"/>
      <c r="AN116" s="246"/>
      <c r="AO116" s="246"/>
      <c r="AP116" s="246"/>
      <c r="AR116" s="17"/>
      <c r="AW116" s="17"/>
      <c r="AZ116" s="16"/>
      <c r="BA116" s="16"/>
      <c r="BB116" s="17"/>
      <c r="BD116" s="16"/>
      <c r="BE116" s="16"/>
      <c r="BF116" s="16"/>
      <c r="BG116" s="17"/>
      <c r="BH116" s="16"/>
      <c r="BI116" s="16"/>
      <c r="BJ116" s="472"/>
      <c r="BK116" s="16"/>
      <c r="BL116" s="17"/>
      <c r="BM116" s="16"/>
      <c r="BN116" s="16"/>
      <c r="BO116" s="472"/>
      <c r="BP116" s="16"/>
      <c r="BQ116" s="17"/>
      <c r="BR116" s="16"/>
      <c r="BS116" s="16"/>
      <c r="BT116" s="472"/>
      <c r="BU116" s="16"/>
      <c r="BV116" s="17"/>
      <c r="BW116" s="16"/>
      <c r="BX116" s="16"/>
      <c r="BY116" s="472"/>
      <c r="BZ116" s="16"/>
      <c r="CA116" s="17"/>
      <c r="CB116" s="16"/>
      <c r="CC116" s="16"/>
      <c r="CD116" s="472"/>
      <c r="CE116" s="16"/>
      <c r="CF116" s="17"/>
      <c r="CG116" s="16"/>
      <c r="CH116" s="16"/>
      <c r="CI116" s="472"/>
      <c r="CJ116" s="16"/>
      <c r="CK116" s="17">
        <f>-19-2693</f>
        <v>-2712</v>
      </c>
      <c r="CL116" s="770">
        <f t="shared" si="50"/>
        <v>-13810</v>
      </c>
      <c r="CM116" s="16">
        <f>1984-1228</f>
        <v>756</v>
      </c>
      <c r="CN116" s="472">
        <f>15-14</f>
        <v>1</v>
      </c>
      <c r="CO116" s="16">
        <f>5-1030</f>
        <v>-1025</v>
      </c>
      <c r="CP116" s="195">
        <f>2004-16082</f>
        <v>-14078</v>
      </c>
      <c r="CQ116" s="16">
        <v>-286</v>
      </c>
      <c r="CR116" s="16">
        <v>-21</v>
      </c>
      <c r="CS116" s="16">
        <f>1981-2240</f>
        <v>-259</v>
      </c>
      <c r="CT116" s="16">
        <f>2081-1747</f>
        <v>334</v>
      </c>
      <c r="CU116" s="17">
        <f t="shared" si="51"/>
        <v>-232</v>
      </c>
      <c r="CV116" s="16">
        <v>0</v>
      </c>
      <c r="CW116" s="16">
        <v>-2</v>
      </c>
      <c r="CX116" s="16"/>
      <c r="CY116" s="16">
        <f>1-1</f>
        <v>0</v>
      </c>
      <c r="CZ116" s="17">
        <f t="shared" si="52"/>
        <v>-2</v>
      </c>
      <c r="DA116" s="16">
        <v>2971</v>
      </c>
      <c r="DB116" s="16">
        <f>3-3</f>
        <v>0</v>
      </c>
      <c r="DC116" s="16">
        <v>-172</v>
      </c>
      <c r="DD116" s="16">
        <f>9940-403+10000-10000</f>
        <v>9537</v>
      </c>
      <c r="DE116" s="17">
        <f t="shared" si="53"/>
        <v>12336</v>
      </c>
      <c r="DF116" s="16">
        <v>-950</v>
      </c>
      <c r="DG116" s="443">
        <v>-750</v>
      </c>
      <c r="DH116" s="443">
        <v>0</v>
      </c>
      <c r="DI116" s="443">
        <v>-800</v>
      </c>
      <c r="DJ116" s="17">
        <f t="shared" si="55"/>
        <v>-2500</v>
      </c>
      <c r="DK116" s="443">
        <v>-9</v>
      </c>
      <c r="DL116" s="443">
        <v>-780</v>
      </c>
      <c r="DM116" s="443">
        <v>-1500</v>
      </c>
      <c r="DN116" s="16"/>
      <c r="DO116" s="17"/>
      <c r="DP116" s="443"/>
      <c r="DQ116" s="16"/>
      <c r="DR116" s="16"/>
      <c r="DS116" s="16"/>
      <c r="DT116" s="17"/>
      <c r="DU116" s="17"/>
      <c r="DV116" s="17"/>
    </row>
    <row r="117" spans="1:126" s="13" customFormat="1">
      <c r="A117" s="32"/>
      <c r="B117" s="41" t="s">
        <v>208</v>
      </c>
      <c r="C117" s="268"/>
      <c r="D117" s="268"/>
      <c r="E117" s="268"/>
      <c r="F117" s="268"/>
      <c r="G117" s="268"/>
      <c r="H117" s="268"/>
      <c r="I117" s="268"/>
      <c r="J117" s="265"/>
      <c r="K117" s="265"/>
      <c r="L117" s="265"/>
      <c r="N117" s="17"/>
      <c r="O117" s="262"/>
      <c r="P117" s="262"/>
      <c r="Q117" s="262"/>
      <c r="S117" s="17"/>
      <c r="T117" s="259"/>
      <c r="U117" s="259"/>
      <c r="V117" s="259"/>
      <c r="X117" s="17"/>
      <c r="Y117" s="256"/>
      <c r="Z117" s="256"/>
      <c r="AA117" s="256"/>
      <c r="AB117" s="256"/>
      <c r="AC117" s="17"/>
      <c r="AD117" s="252"/>
      <c r="AE117" s="252"/>
      <c r="AF117" s="252"/>
      <c r="AG117" s="252"/>
      <c r="AH117" s="17"/>
      <c r="AI117" s="249"/>
      <c r="AJ117" s="249"/>
      <c r="AK117" s="249"/>
      <c r="AM117" s="17"/>
      <c r="AN117" s="246"/>
      <c r="AO117" s="246"/>
      <c r="AP117" s="246"/>
      <c r="AR117" s="17"/>
      <c r="AW117" s="17"/>
      <c r="AZ117" s="16"/>
      <c r="BA117" s="16"/>
      <c r="BB117" s="17"/>
      <c r="BD117" s="16"/>
      <c r="BE117" s="16"/>
      <c r="BF117" s="16"/>
      <c r="BG117" s="17"/>
      <c r="BH117" s="16"/>
      <c r="BI117" s="16"/>
      <c r="BJ117" s="472"/>
      <c r="BK117" s="16"/>
      <c r="BL117" s="17"/>
      <c r="BM117" s="16"/>
      <c r="BN117" s="16"/>
      <c r="BO117" s="472"/>
      <c r="BP117" s="16"/>
      <c r="BQ117" s="17"/>
      <c r="BR117" s="16"/>
      <c r="BS117" s="16"/>
      <c r="BT117" s="472"/>
      <c r="BU117" s="16"/>
      <c r="BV117" s="17"/>
      <c r="BW117" s="16"/>
      <c r="BX117" s="16"/>
      <c r="BY117" s="472"/>
      <c r="BZ117" s="16"/>
      <c r="CA117" s="17"/>
      <c r="CB117" s="16"/>
      <c r="CC117" s="16"/>
      <c r="CD117" s="472"/>
      <c r="CE117" s="16"/>
      <c r="CF117" s="17"/>
      <c r="CG117" s="16"/>
      <c r="CH117" s="16"/>
      <c r="CI117" s="472"/>
      <c r="CJ117" s="16"/>
      <c r="CK117" s="17">
        <v>896</v>
      </c>
      <c r="CL117" s="770">
        <f t="shared" si="50"/>
        <v>-663</v>
      </c>
      <c r="CM117" s="16">
        <v>-1382</v>
      </c>
      <c r="CN117" s="472">
        <v>-15</v>
      </c>
      <c r="CO117" s="16">
        <v>19</v>
      </c>
      <c r="CP117" s="17">
        <v>-2041</v>
      </c>
      <c r="CQ117" s="16">
        <v>-13</v>
      </c>
      <c r="CR117" s="16">
        <v>-38</v>
      </c>
      <c r="CS117" s="16">
        <v>10</v>
      </c>
      <c r="CT117" s="16">
        <v>-72</v>
      </c>
      <c r="CU117" s="17">
        <f t="shared" si="51"/>
        <v>-113</v>
      </c>
      <c r="CV117" s="16">
        <v>6</v>
      </c>
      <c r="CW117" s="16">
        <v>-23</v>
      </c>
      <c r="CX117" s="16">
        <f>2067+3</f>
        <v>2070</v>
      </c>
      <c r="CY117" s="16">
        <f>-1549-15</f>
        <v>-1564</v>
      </c>
      <c r="CZ117" s="17">
        <f t="shared" si="52"/>
        <v>489</v>
      </c>
      <c r="DA117" s="16">
        <f>-427+22</f>
        <v>-405</v>
      </c>
      <c r="DB117" s="16">
        <v>-46</v>
      </c>
      <c r="DC117" s="16">
        <v>92</v>
      </c>
      <c r="DD117" s="16">
        <f>-997+19</f>
        <v>-978</v>
      </c>
      <c r="DE117" s="17">
        <f t="shared" si="53"/>
        <v>-1337</v>
      </c>
      <c r="DF117" s="16">
        <v>-22</v>
      </c>
      <c r="DG117" s="443">
        <v>65</v>
      </c>
      <c r="DH117" s="443">
        <v>-12</v>
      </c>
      <c r="DI117" s="443">
        <v>-35</v>
      </c>
      <c r="DJ117" s="17">
        <f t="shared" si="55"/>
        <v>-4</v>
      </c>
      <c r="DK117" s="443">
        <v>28</v>
      </c>
      <c r="DL117" s="443">
        <v>-10</v>
      </c>
      <c r="DM117" s="443">
        <f>-1432-12</f>
        <v>-1444</v>
      </c>
      <c r="DN117" s="16"/>
      <c r="DO117" s="17"/>
      <c r="DP117" s="443"/>
      <c r="DQ117" s="16"/>
      <c r="DR117" s="16"/>
      <c r="DS117" s="16"/>
      <c r="DT117" s="17"/>
      <c r="DU117" s="17"/>
      <c r="DV117" s="17"/>
    </row>
    <row r="118" spans="1:126" s="13" customFormat="1">
      <c r="A118" s="32"/>
      <c r="B118" s="41" t="s">
        <v>209</v>
      </c>
      <c r="C118" s="268"/>
      <c r="D118" s="268"/>
      <c r="E118" s="268"/>
      <c r="F118" s="268"/>
      <c r="G118" s="268"/>
      <c r="H118" s="268"/>
      <c r="I118" s="268"/>
      <c r="J118" s="265"/>
      <c r="K118" s="265"/>
      <c r="L118" s="265"/>
      <c r="N118" s="17"/>
      <c r="O118" s="262"/>
      <c r="P118" s="262"/>
      <c r="Q118" s="262"/>
      <c r="S118" s="17"/>
      <c r="T118" s="259"/>
      <c r="U118" s="259"/>
      <c r="V118" s="259"/>
      <c r="X118" s="17"/>
      <c r="Y118" s="256"/>
      <c r="Z118" s="256"/>
      <c r="AA118" s="256"/>
      <c r="AB118" s="256"/>
      <c r="AC118" s="17"/>
      <c r="AD118" s="252"/>
      <c r="AE118" s="252"/>
      <c r="AF118" s="252"/>
      <c r="AG118" s="252"/>
      <c r="AH118" s="17"/>
      <c r="AI118" s="249"/>
      <c r="AJ118" s="249"/>
      <c r="AK118" s="249"/>
      <c r="AM118" s="17"/>
      <c r="AN118" s="246"/>
      <c r="AO118" s="246"/>
      <c r="AP118" s="246"/>
      <c r="AR118" s="17"/>
      <c r="AW118" s="17"/>
      <c r="AZ118" s="16"/>
      <c r="BA118" s="16"/>
      <c r="BB118" s="17"/>
      <c r="BD118" s="16"/>
      <c r="BE118" s="16"/>
      <c r="BF118" s="16"/>
      <c r="BG118" s="17"/>
      <c r="BH118" s="16"/>
      <c r="BI118" s="16"/>
      <c r="BJ118" s="472"/>
      <c r="BK118" s="16"/>
      <c r="BL118" s="17"/>
      <c r="BM118" s="16"/>
      <c r="BN118" s="16"/>
      <c r="BO118" s="472"/>
      <c r="BP118" s="16"/>
      <c r="BQ118" s="17"/>
      <c r="BR118" s="16"/>
      <c r="BS118" s="16"/>
      <c r="BT118" s="472"/>
      <c r="BU118" s="16"/>
      <c r="BV118" s="17"/>
      <c r="BW118" s="16"/>
      <c r="BX118" s="16"/>
      <c r="BY118" s="472"/>
      <c r="BZ118" s="16"/>
      <c r="CA118" s="17"/>
      <c r="CB118" s="16"/>
      <c r="CC118" s="16"/>
      <c r="CD118" s="472"/>
      <c r="CE118" s="16"/>
      <c r="CF118" s="17"/>
      <c r="CG118" s="16"/>
      <c r="CH118" s="16"/>
      <c r="CI118" s="472"/>
      <c r="CJ118" s="16"/>
      <c r="CK118" s="17">
        <v>27</v>
      </c>
      <c r="CL118" s="770">
        <f t="shared" si="50"/>
        <v>6</v>
      </c>
      <c r="CM118" s="16">
        <v>4</v>
      </c>
      <c r="CN118" s="472">
        <v>-4</v>
      </c>
      <c r="CO118" s="16">
        <v>9</v>
      </c>
      <c r="CP118" s="17">
        <v>15</v>
      </c>
      <c r="CQ118" s="16">
        <v>1</v>
      </c>
      <c r="CR118" s="16">
        <v>1</v>
      </c>
      <c r="CS118" s="16">
        <v>1</v>
      </c>
      <c r="CT118" s="16">
        <v>4</v>
      </c>
      <c r="CU118" s="17">
        <f t="shared" si="51"/>
        <v>7</v>
      </c>
      <c r="CV118" s="16">
        <v>0</v>
      </c>
      <c r="CW118" s="16">
        <v>0</v>
      </c>
      <c r="CX118" s="16"/>
      <c r="CY118" s="16"/>
      <c r="CZ118" s="17">
        <f t="shared" si="52"/>
        <v>0</v>
      </c>
      <c r="DA118" s="16"/>
      <c r="DB118" s="16"/>
      <c r="DC118" s="16"/>
      <c r="DD118" s="16"/>
      <c r="DE118" s="17">
        <f t="shared" si="53"/>
        <v>0</v>
      </c>
      <c r="DF118" s="16">
        <v>0</v>
      </c>
      <c r="DG118" s="16"/>
      <c r="DH118" s="16"/>
      <c r="DI118" s="16"/>
      <c r="DJ118" s="17">
        <f t="shared" si="55"/>
        <v>0</v>
      </c>
      <c r="DK118" s="443">
        <v>0</v>
      </c>
      <c r="DL118" s="16"/>
      <c r="DM118" s="16"/>
      <c r="DN118" s="16"/>
      <c r="DO118" s="17"/>
      <c r="DP118" s="443"/>
      <c r="DQ118" s="16"/>
      <c r="DR118" s="16"/>
      <c r="DS118" s="16"/>
      <c r="DT118" s="17"/>
      <c r="DU118" s="17"/>
      <c r="DV118" s="17"/>
    </row>
    <row r="119" spans="1:126" s="13" customFormat="1">
      <c r="A119" s="32"/>
      <c r="B119" s="41" t="s">
        <v>226</v>
      </c>
      <c r="C119" s="268"/>
      <c r="D119" s="268"/>
      <c r="E119" s="268"/>
      <c r="F119" s="268"/>
      <c r="G119" s="268"/>
      <c r="H119" s="268"/>
      <c r="I119" s="268"/>
      <c r="J119" s="265"/>
      <c r="K119" s="265"/>
      <c r="L119" s="265"/>
      <c r="N119" s="17"/>
      <c r="O119" s="262"/>
      <c r="P119" s="262"/>
      <c r="Q119" s="262"/>
      <c r="S119" s="17"/>
      <c r="T119" s="259"/>
      <c r="U119" s="259"/>
      <c r="V119" s="259"/>
      <c r="X119" s="17"/>
      <c r="Y119" s="256"/>
      <c r="Z119" s="256"/>
      <c r="AA119" s="256"/>
      <c r="AB119" s="256"/>
      <c r="AC119" s="17"/>
      <c r="AD119" s="252"/>
      <c r="AE119" s="252"/>
      <c r="AF119" s="252"/>
      <c r="AG119" s="252"/>
      <c r="AH119" s="17"/>
      <c r="AI119" s="249"/>
      <c r="AJ119" s="249"/>
      <c r="AK119" s="249"/>
      <c r="AM119" s="17"/>
      <c r="AN119" s="246"/>
      <c r="AO119" s="246"/>
      <c r="AP119" s="441"/>
      <c r="AQ119" s="442"/>
      <c r="AR119" s="17"/>
      <c r="AW119" s="17"/>
      <c r="AZ119" s="16"/>
      <c r="BA119" s="16"/>
      <c r="BB119" s="17"/>
      <c r="BD119" s="16"/>
      <c r="BE119" s="16"/>
      <c r="BF119" s="16"/>
      <c r="BG119" s="17"/>
      <c r="BH119" s="16"/>
      <c r="BI119" s="16"/>
      <c r="BJ119" s="472"/>
      <c r="BK119" s="16"/>
      <c r="BL119" s="17"/>
      <c r="BM119" s="16"/>
      <c r="BN119" s="16"/>
      <c r="BO119" s="472"/>
      <c r="BP119" s="16"/>
      <c r="BQ119" s="17"/>
      <c r="BR119" s="16"/>
      <c r="BS119" s="16"/>
      <c r="BT119" s="472"/>
      <c r="BU119" s="16"/>
      <c r="BV119" s="17"/>
      <c r="BW119" s="16"/>
      <c r="BX119" s="16"/>
      <c r="BY119" s="472"/>
      <c r="BZ119" s="16"/>
      <c r="CA119" s="17"/>
      <c r="CB119" s="16"/>
      <c r="CC119" s="16"/>
      <c r="CD119" s="472"/>
      <c r="CE119" s="16"/>
      <c r="CF119" s="17"/>
      <c r="CG119" s="16"/>
      <c r="CH119" s="16"/>
      <c r="CI119" s="472"/>
      <c r="CJ119" s="16"/>
      <c r="CK119" s="17">
        <v>-2442</v>
      </c>
      <c r="CL119" s="770">
        <f t="shared" si="50"/>
        <v>-614</v>
      </c>
      <c r="CM119" s="16">
        <v>-724</v>
      </c>
      <c r="CN119" s="472">
        <v>-688</v>
      </c>
      <c r="CO119" s="16">
        <v>-706</v>
      </c>
      <c r="CP119" s="17">
        <v>-2732</v>
      </c>
      <c r="CQ119" s="16">
        <v>-705</v>
      </c>
      <c r="CR119" s="16">
        <v>-756</v>
      </c>
      <c r="CS119" s="16">
        <v>-751</v>
      </c>
      <c r="CT119" s="16">
        <v>-745</v>
      </c>
      <c r="CU119" s="17">
        <f t="shared" si="51"/>
        <v>-2957</v>
      </c>
      <c r="CV119" s="16">
        <v>-745</v>
      </c>
      <c r="CW119" s="16">
        <v>-798</v>
      </c>
      <c r="CX119" s="16">
        <v>-794</v>
      </c>
      <c r="CY119" s="16">
        <v>-791</v>
      </c>
      <c r="CZ119" s="17">
        <f t="shared" si="52"/>
        <v>-3128</v>
      </c>
      <c r="DA119" s="16">
        <v>-790</v>
      </c>
      <c r="DB119" s="16">
        <v>-844</v>
      </c>
      <c r="DC119" s="16">
        <v>-838</v>
      </c>
      <c r="DD119" s="16">
        <v>-767</v>
      </c>
      <c r="DE119" s="17">
        <f t="shared" si="53"/>
        <v>-3239</v>
      </c>
      <c r="DF119" s="16">
        <v>-769</v>
      </c>
      <c r="DG119" s="443">
        <v>-823</v>
      </c>
      <c r="DH119" s="443">
        <v>-823</v>
      </c>
      <c r="DI119" s="443">
        <v>-802</v>
      </c>
      <c r="DJ119" s="17">
        <f t="shared" si="55"/>
        <v>-3217</v>
      </c>
      <c r="DK119" s="443">
        <v>-840</v>
      </c>
      <c r="DL119" s="443">
        <v>-910</v>
      </c>
      <c r="DM119" s="443">
        <v>-910</v>
      </c>
      <c r="DN119" s="16"/>
      <c r="DO119" s="17"/>
      <c r="DP119" s="443"/>
      <c r="DQ119" s="16"/>
      <c r="DR119" s="16"/>
      <c r="DS119" s="16"/>
      <c r="DT119" s="17"/>
      <c r="DU119" s="17"/>
      <c r="DV119" s="17"/>
    </row>
    <row r="120" spans="1:126" s="13" customFormat="1">
      <c r="A120" s="32"/>
      <c r="B120" s="41" t="s">
        <v>210</v>
      </c>
      <c r="C120" s="268"/>
      <c r="D120" s="268"/>
      <c r="E120" s="268"/>
      <c r="F120" s="268"/>
      <c r="G120" s="268"/>
      <c r="H120" s="268"/>
      <c r="I120" s="268"/>
      <c r="J120" s="265"/>
      <c r="K120" s="265"/>
      <c r="L120" s="265"/>
      <c r="N120" s="17"/>
      <c r="O120" s="262"/>
      <c r="P120" s="262"/>
      <c r="Q120" s="262"/>
      <c r="S120" s="17"/>
      <c r="T120" s="259"/>
      <c r="U120" s="259"/>
      <c r="V120" s="259"/>
      <c r="X120" s="17"/>
      <c r="Y120" s="256"/>
      <c r="Z120" s="256"/>
      <c r="AA120" s="256"/>
      <c r="AB120" s="256"/>
      <c r="AC120" s="17"/>
      <c r="AD120" s="252"/>
      <c r="AE120" s="252"/>
      <c r="AF120" s="252"/>
      <c r="AG120" s="252"/>
      <c r="AH120" s="17"/>
      <c r="AI120" s="249"/>
      <c r="AJ120" s="249"/>
      <c r="AK120" s="249"/>
      <c r="AM120" s="17"/>
      <c r="AN120" s="246"/>
      <c r="AO120" s="246"/>
      <c r="AP120" s="246"/>
      <c r="AR120" s="17"/>
      <c r="AW120" s="17"/>
      <c r="AZ120" s="16"/>
      <c r="BA120" s="16"/>
      <c r="BB120" s="17"/>
      <c r="BD120" s="16"/>
      <c r="BE120" s="16"/>
      <c r="BF120" s="16"/>
      <c r="BG120" s="17"/>
      <c r="BH120" s="16"/>
      <c r="BI120" s="16"/>
      <c r="BJ120" s="472"/>
      <c r="BK120" s="16"/>
      <c r="BL120" s="17"/>
      <c r="BM120" s="16"/>
      <c r="BN120" s="16"/>
      <c r="BO120" s="472"/>
      <c r="BP120" s="16"/>
      <c r="BQ120" s="17"/>
      <c r="BR120" s="16"/>
      <c r="BS120" s="16"/>
      <c r="BT120" s="472"/>
      <c r="BU120" s="16"/>
      <c r="BV120" s="17"/>
      <c r="BW120" s="16"/>
      <c r="BX120" s="16"/>
      <c r="BY120" s="472"/>
      <c r="BZ120" s="16"/>
      <c r="CA120" s="17"/>
      <c r="CB120" s="16"/>
      <c r="CC120" s="16"/>
      <c r="CD120" s="472"/>
      <c r="CE120" s="16"/>
      <c r="CF120" s="17"/>
      <c r="CG120" s="16"/>
      <c r="CH120" s="16"/>
      <c r="CI120" s="472"/>
      <c r="CJ120" s="16"/>
      <c r="CK120" s="17">
        <v>-151</v>
      </c>
      <c r="CL120" s="770">
        <f t="shared" si="50"/>
        <v>-47</v>
      </c>
      <c r="CM120" s="16">
        <v>0</v>
      </c>
      <c r="CN120" s="472"/>
      <c r="CO120" s="16"/>
      <c r="CP120" s="17">
        <v>-47</v>
      </c>
      <c r="CQ120" s="16">
        <v>-375</v>
      </c>
      <c r="CR120" s="16">
        <v>-632</v>
      </c>
      <c r="CS120" s="16">
        <v>-993</v>
      </c>
      <c r="CT120" s="16">
        <v>-327</v>
      </c>
      <c r="CU120" s="17">
        <f t="shared" si="51"/>
        <v>-2327</v>
      </c>
      <c r="CV120" s="16">
        <v>-743</v>
      </c>
      <c r="CW120" s="16">
        <v>-1036</v>
      </c>
      <c r="CX120" s="16">
        <v>-616</v>
      </c>
      <c r="CY120" s="16">
        <v>-408</v>
      </c>
      <c r="CZ120" s="17">
        <f t="shared" si="52"/>
        <v>-2803</v>
      </c>
      <c r="DA120" s="16">
        <v>-562</v>
      </c>
      <c r="DB120" s="16">
        <v>-596</v>
      </c>
      <c r="DC120" s="16">
        <v>-1429</v>
      </c>
      <c r="DD120" s="16">
        <v>-10283</v>
      </c>
      <c r="DE120" s="17">
        <f t="shared" si="53"/>
        <v>-12870</v>
      </c>
      <c r="DF120" s="16">
        <v>-56</v>
      </c>
      <c r="DG120" s="443">
        <v>-44</v>
      </c>
      <c r="DH120" s="443">
        <v>-294</v>
      </c>
      <c r="DI120" s="443">
        <v>-50</v>
      </c>
      <c r="DJ120" s="17">
        <f t="shared" si="55"/>
        <v>-444</v>
      </c>
      <c r="DK120" s="443">
        <v>-50</v>
      </c>
      <c r="DL120" s="443">
        <v>0</v>
      </c>
      <c r="DM120" s="443">
        <v>0</v>
      </c>
      <c r="DN120" s="16"/>
      <c r="DO120" s="17"/>
      <c r="DP120" s="443"/>
      <c r="DQ120" s="16"/>
      <c r="DR120" s="16"/>
      <c r="DS120" s="16"/>
      <c r="DT120" s="17"/>
      <c r="DU120" s="17"/>
      <c r="DV120" s="17"/>
    </row>
    <row r="121" spans="1:126" s="13" customFormat="1">
      <c r="A121" s="32"/>
      <c r="B121" s="41" t="s">
        <v>63</v>
      </c>
      <c r="C121" s="268"/>
      <c r="D121" s="268"/>
      <c r="E121" s="268"/>
      <c r="F121" s="268"/>
      <c r="G121" s="268"/>
      <c r="H121" s="268"/>
      <c r="I121" s="268"/>
      <c r="J121" s="265"/>
      <c r="K121" s="265"/>
      <c r="L121" s="265"/>
      <c r="N121" s="17"/>
      <c r="O121" s="262"/>
      <c r="P121" s="262"/>
      <c r="Q121" s="262"/>
      <c r="S121" s="17"/>
      <c r="T121" s="259"/>
      <c r="U121" s="259"/>
      <c r="V121" s="259"/>
      <c r="X121" s="17"/>
      <c r="Y121" s="256"/>
      <c r="Z121" s="256"/>
      <c r="AA121" s="256"/>
      <c r="AB121" s="256"/>
      <c r="AC121" s="17"/>
      <c r="AD121" s="252"/>
      <c r="AE121" s="252"/>
      <c r="AF121" s="252"/>
      <c r="AG121" s="252"/>
      <c r="AH121" s="17"/>
      <c r="AI121" s="249"/>
      <c r="AJ121" s="249"/>
      <c r="AK121" s="249"/>
      <c r="AM121" s="17"/>
      <c r="AN121" s="246"/>
      <c r="AO121" s="246"/>
      <c r="AP121" s="246"/>
      <c r="AR121" s="17"/>
      <c r="AW121" s="17"/>
      <c r="AZ121" s="16"/>
      <c r="BA121" s="16"/>
      <c r="BB121" s="17"/>
      <c r="BD121" s="16"/>
      <c r="BE121" s="16"/>
      <c r="BF121" s="16"/>
      <c r="BG121" s="17"/>
      <c r="BH121" s="16"/>
      <c r="BI121" s="16"/>
      <c r="BJ121" s="472"/>
      <c r="BK121" s="16"/>
      <c r="BL121" s="17"/>
      <c r="BM121" s="16"/>
      <c r="BN121" s="16"/>
      <c r="BO121" s="472"/>
      <c r="BP121" s="16"/>
      <c r="BQ121" s="17"/>
      <c r="BR121" s="16"/>
      <c r="BS121" s="16"/>
      <c r="BT121" s="472"/>
      <c r="BU121" s="16"/>
      <c r="BV121" s="17"/>
      <c r="BW121" s="16"/>
      <c r="BX121" s="16"/>
      <c r="BY121" s="472"/>
      <c r="BZ121" s="16"/>
      <c r="CA121" s="17"/>
      <c r="CB121" s="16"/>
      <c r="CC121" s="16"/>
      <c r="CD121" s="472"/>
      <c r="CE121" s="16"/>
      <c r="CF121" s="17"/>
      <c r="CG121" s="611"/>
      <c r="CH121" s="611"/>
      <c r="CI121" s="615"/>
      <c r="CJ121" s="16"/>
      <c r="CK121" s="17">
        <f>2387+82</f>
        <v>2469</v>
      </c>
      <c r="CL121" s="770">
        <f t="shared" si="50"/>
        <v>16168</v>
      </c>
      <c r="CM121" s="16">
        <f>-950-76</f>
        <v>-1026</v>
      </c>
      <c r="CN121" s="472">
        <f>-32+14</f>
        <v>-18</v>
      </c>
      <c r="CO121" s="16">
        <f>-35-66</f>
        <v>-101</v>
      </c>
      <c r="CP121" s="17">
        <f>17207-2033-151</f>
        <v>15023</v>
      </c>
      <c r="CQ121" s="16">
        <f>-5-161</f>
        <v>-166</v>
      </c>
      <c r="CR121" s="16">
        <f>-19-110</f>
        <v>-129</v>
      </c>
      <c r="CS121" s="16">
        <f>-3-68</f>
        <v>-71</v>
      </c>
      <c r="CT121" s="16">
        <f>-609-44-115</f>
        <v>-768</v>
      </c>
      <c r="CU121" s="17">
        <f t="shared" si="51"/>
        <v>-1134</v>
      </c>
      <c r="CV121" s="16">
        <v>-263</v>
      </c>
      <c r="CW121" s="16">
        <v>-23</v>
      </c>
      <c r="CX121" s="16">
        <v>-43</v>
      </c>
      <c r="CY121" s="16">
        <v>-86</v>
      </c>
      <c r="CZ121" s="17">
        <f t="shared" si="52"/>
        <v>-415</v>
      </c>
      <c r="DA121" s="16">
        <v>-118</v>
      </c>
      <c r="DB121" s="16">
        <f>-39+897</f>
        <v>858</v>
      </c>
      <c r="DC121" s="16">
        <f>3-33</f>
        <v>-30</v>
      </c>
      <c r="DD121" s="16">
        <v>-127</v>
      </c>
      <c r="DE121" s="17">
        <f t="shared" si="53"/>
        <v>583</v>
      </c>
      <c r="DF121" s="16">
        <v>-210</v>
      </c>
      <c r="DG121" s="443">
        <v>-32</v>
      </c>
      <c r="DH121" s="443">
        <v>-29</v>
      </c>
      <c r="DI121" s="443">
        <v>-181</v>
      </c>
      <c r="DJ121" s="17">
        <f t="shared" si="55"/>
        <v>-452</v>
      </c>
      <c r="DK121" s="443">
        <v>-185</v>
      </c>
      <c r="DL121" s="443">
        <f>+-85+1432</f>
        <v>1347</v>
      </c>
      <c r="DM121" s="443">
        <v>-69</v>
      </c>
      <c r="DN121" s="16"/>
      <c r="DO121" s="17"/>
      <c r="DP121" s="443"/>
      <c r="DQ121" s="16"/>
      <c r="DR121" s="16"/>
      <c r="DS121" s="16"/>
      <c r="DT121" s="17"/>
      <c r="DU121" s="17"/>
      <c r="DV121" s="17"/>
    </row>
    <row r="122" spans="1:126" s="190" customFormat="1">
      <c r="A122" s="37"/>
      <c r="B122" s="39" t="s">
        <v>143</v>
      </c>
      <c r="C122" s="271"/>
      <c r="D122" s="271"/>
      <c r="E122" s="271"/>
      <c r="F122" s="271"/>
      <c r="G122" s="271"/>
      <c r="H122" s="271"/>
      <c r="I122" s="271"/>
      <c r="J122" s="267"/>
      <c r="K122" s="267"/>
      <c r="L122" s="267"/>
      <c r="M122" s="13"/>
      <c r="N122" s="75"/>
      <c r="O122" s="264"/>
      <c r="P122" s="264"/>
      <c r="Q122" s="264"/>
      <c r="R122" s="13"/>
      <c r="S122" s="75"/>
      <c r="T122" s="261"/>
      <c r="U122" s="261"/>
      <c r="V122" s="261"/>
      <c r="W122" s="13"/>
      <c r="X122" s="75"/>
      <c r="Y122" s="258"/>
      <c r="Z122" s="258"/>
      <c r="AA122" s="258"/>
      <c r="AB122" s="258"/>
      <c r="AC122" s="17"/>
      <c r="AD122" s="254"/>
      <c r="AE122" s="254"/>
      <c r="AF122" s="254"/>
      <c r="AG122" s="254"/>
      <c r="AH122" s="17"/>
      <c r="AI122" s="251"/>
      <c r="AJ122" s="251"/>
      <c r="AK122" s="251"/>
      <c r="AM122" s="75"/>
      <c r="AN122" s="248"/>
      <c r="AO122" s="248"/>
      <c r="AR122" s="75"/>
      <c r="AW122" s="75"/>
      <c r="BB122" s="75"/>
      <c r="BG122" s="75"/>
      <c r="BJ122" s="474"/>
      <c r="BK122" s="474"/>
      <c r="BL122" s="75"/>
      <c r="BM122" s="474"/>
      <c r="BN122" s="474"/>
      <c r="BO122" s="474"/>
      <c r="BP122" s="474"/>
      <c r="BQ122" s="75"/>
      <c r="BR122" s="474"/>
      <c r="BS122" s="474"/>
      <c r="BT122" s="474"/>
      <c r="BU122" s="474"/>
      <c r="BV122" s="75"/>
      <c r="BW122" s="474"/>
      <c r="BX122" s="474"/>
      <c r="BY122" s="474"/>
      <c r="BZ122" s="474"/>
      <c r="CA122" s="75"/>
      <c r="CB122" s="474"/>
      <c r="CC122" s="474"/>
      <c r="CD122" s="474"/>
      <c r="CE122" s="474"/>
      <c r="CF122" s="75"/>
      <c r="CG122" s="474"/>
      <c r="CH122" s="474">
        <f>SUM(CH116:CH121)</f>
        <v>0</v>
      </c>
      <c r="CI122" s="474"/>
      <c r="CJ122" s="474"/>
      <c r="CK122" s="75">
        <f t="shared" ref="CK122:DF122" si="61">SUM(CK116:CK121)</f>
        <v>-1913</v>
      </c>
      <c r="CL122" s="807">
        <f t="shared" si="61"/>
        <v>1040</v>
      </c>
      <c r="CM122" s="474">
        <f t="shared" si="61"/>
        <v>-2372</v>
      </c>
      <c r="CN122" s="474">
        <f t="shared" si="61"/>
        <v>-724</v>
      </c>
      <c r="CO122" s="474">
        <f t="shared" si="61"/>
        <v>-1804</v>
      </c>
      <c r="CP122" s="75">
        <f t="shared" si="61"/>
        <v>-3860</v>
      </c>
      <c r="CQ122" s="474">
        <f t="shared" si="61"/>
        <v>-1544</v>
      </c>
      <c r="CR122" s="474">
        <f t="shared" si="61"/>
        <v>-1575</v>
      </c>
      <c r="CS122" s="474">
        <f t="shared" si="61"/>
        <v>-2063</v>
      </c>
      <c r="CT122" s="474">
        <f t="shared" si="61"/>
        <v>-1574</v>
      </c>
      <c r="CU122" s="75">
        <f t="shared" si="51"/>
        <v>-6756</v>
      </c>
      <c r="CV122" s="474">
        <f t="shared" si="61"/>
        <v>-1745</v>
      </c>
      <c r="CW122" s="474">
        <f t="shared" si="61"/>
        <v>-1882</v>
      </c>
      <c r="CX122" s="474">
        <f t="shared" si="61"/>
        <v>617</v>
      </c>
      <c r="CY122" s="474">
        <f t="shared" si="61"/>
        <v>-2849</v>
      </c>
      <c r="CZ122" s="75">
        <f t="shared" si="52"/>
        <v>-5859</v>
      </c>
      <c r="DA122" s="474">
        <f t="shared" si="61"/>
        <v>1096</v>
      </c>
      <c r="DB122" s="474">
        <f t="shared" si="61"/>
        <v>-628</v>
      </c>
      <c r="DC122" s="474">
        <f t="shared" si="61"/>
        <v>-2377</v>
      </c>
      <c r="DD122" s="76">
        <f t="shared" si="61"/>
        <v>-2618</v>
      </c>
      <c r="DE122" s="75">
        <f t="shared" si="53"/>
        <v>-4527</v>
      </c>
      <c r="DF122" s="474">
        <f t="shared" si="61"/>
        <v>-2007</v>
      </c>
      <c r="DG122" s="474">
        <f t="shared" ref="DG122:DI122" si="62">SUM(DG116:DG121)</f>
        <v>-1584</v>
      </c>
      <c r="DH122" s="474">
        <f t="shared" si="62"/>
        <v>-1158</v>
      </c>
      <c r="DI122" s="474">
        <f t="shared" si="62"/>
        <v>-1868</v>
      </c>
      <c r="DJ122" s="75">
        <f t="shared" si="55"/>
        <v>-6617</v>
      </c>
      <c r="DK122" s="474">
        <f t="shared" ref="DK122:DL122" si="63">SUM(DK116:DK121)</f>
        <v>-1056</v>
      </c>
      <c r="DL122" s="474">
        <f t="shared" si="63"/>
        <v>-353</v>
      </c>
      <c r="DM122" s="474">
        <f t="shared" ref="DM122" si="64">SUM(DM116:DM121)</f>
        <v>-3923</v>
      </c>
      <c r="DN122" s="76"/>
      <c r="DO122" s="75"/>
      <c r="DP122" s="474"/>
      <c r="DQ122" s="76"/>
      <c r="DR122" s="76"/>
      <c r="DS122" s="76"/>
      <c r="DT122" s="75"/>
      <c r="DU122" s="75"/>
      <c r="DV122" s="75"/>
    </row>
    <row r="123" spans="1:126" s="208" customFormat="1">
      <c r="A123" s="3"/>
      <c r="B123" s="41" t="s">
        <v>211</v>
      </c>
      <c r="C123" s="268"/>
      <c r="D123" s="268"/>
      <c r="E123" s="268"/>
      <c r="F123" s="268"/>
      <c r="G123" s="268"/>
      <c r="H123" s="268"/>
      <c r="I123" s="268"/>
      <c r="J123" s="265"/>
      <c r="K123" s="265"/>
      <c r="L123" s="265"/>
      <c r="N123" s="195"/>
      <c r="O123" s="262"/>
      <c r="P123" s="262"/>
      <c r="Q123" s="262"/>
      <c r="S123" s="195"/>
      <c r="T123" s="259"/>
      <c r="U123" s="259"/>
      <c r="V123" s="259"/>
      <c r="X123" s="195"/>
      <c r="Y123" s="256"/>
      <c r="Z123" s="256"/>
      <c r="AA123" s="256"/>
      <c r="AB123" s="256"/>
      <c r="AC123" s="17"/>
      <c r="AD123" s="252"/>
      <c r="AE123" s="252"/>
      <c r="AF123" s="252"/>
      <c r="AG123" s="252"/>
      <c r="AH123" s="17"/>
      <c r="AI123" s="249"/>
      <c r="AJ123" s="249"/>
      <c r="AK123" s="249"/>
      <c r="AM123" s="17"/>
      <c r="AN123" s="246"/>
      <c r="AO123" s="246"/>
      <c r="AP123" s="246"/>
      <c r="AR123" s="17"/>
      <c r="AW123" s="17"/>
      <c r="BB123" s="17"/>
      <c r="BD123" s="198"/>
      <c r="BE123" s="198"/>
      <c r="BF123" s="198"/>
      <c r="BG123" s="17"/>
      <c r="BH123" s="198"/>
      <c r="BI123" s="198"/>
      <c r="BJ123" s="472"/>
      <c r="BK123" s="198"/>
      <c r="BL123" s="17"/>
      <c r="BM123" s="198"/>
      <c r="BN123" s="198"/>
      <c r="BO123" s="472"/>
      <c r="BP123" s="198"/>
      <c r="BQ123" s="17"/>
      <c r="BR123" s="198"/>
      <c r="BS123" s="198"/>
      <c r="BT123" s="472"/>
      <c r="BU123" s="198"/>
      <c r="BV123" s="17"/>
      <c r="BW123" s="472"/>
      <c r="BX123" s="198"/>
      <c r="BY123" s="472"/>
      <c r="BZ123" s="198"/>
      <c r="CA123" s="17"/>
      <c r="CB123" s="198"/>
      <c r="CC123" s="198"/>
      <c r="CD123" s="472"/>
      <c r="CE123" s="198"/>
      <c r="CF123" s="17"/>
      <c r="CG123" s="198"/>
      <c r="CH123" s="198"/>
      <c r="CI123" s="472"/>
      <c r="CJ123" s="198"/>
      <c r="CK123" s="195">
        <v>-5</v>
      </c>
      <c r="CL123" s="770">
        <f t="shared" si="50"/>
        <v>192.26278300000013</v>
      </c>
      <c r="CM123" s="198">
        <v>-2575.2627830000001</v>
      </c>
      <c r="CN123" s="472">
        <f>-32+32</f>
        <v>0</v>
      </c>
      <c r="CO123" s="198"/>
      <c r="CP123" s="195">
        <v>-2383</v>
      </c>
      <c r="CQ123" s="198"/>
      <c r="CR123" s="198"/>
      <c r="CS123" s="198"/>
      <c r="CT123" s="198"/>
      <c r="CU123" s="17"/>
      <c r="CV123" s="198"/>
      <c r="CW123" s="198"/>
      <c r="CX123" s="198"/>
      <c r="CY123" s="198"/>
      <c r="CZ123" s="17"/>
      <c r="DA123" s="198"/>
      <c r="DB123" s="198"/>
      <c r="DC123" s="198"/>
      <c r="DD123" s="198"/>
      <c r="DE123" s="17"/>
      <c r="DF123" s="198"/>
      <c r="DG123" s="198"/>
      <c r="DH123" s="198"/>
      <c r="DI123" s="198"/>
      <c r="DJ123" s="17"/>
      <c r="DK123" s="198"/>
      <c r="DL123" s="198"/>
      <c r="DM123" s="198"/>
      <c r="DN123" s="198"/>
      <c r="DO123" s="195"/>
      <c r="DP123" s="198"/>
      <c r="DQ123" s="198"/>
      <c r="DR123" s="198"/>
      <c r="DS123" s="198"/>
      <c r="DT123" s="195"/>
      <c r="DU123" s="195"/>
      <c r="DV123" s="195"/>
    </row>
    <row r="124" spans="1:126" s="13" customFormat="1">
      <c r="A124" s="32"/>
      <c r="B124" s="41" t="s">
        <v>141</v>
      </c>
      <c r="C124" s="268"/>
      <c r="D124" s="268"/>
      <c r="E124" s="268"/>
      <c r="F124" s="268"/>
      <c r="G124" s="268"/>
      <c r="H124" s="268"/>
      <c r="I124" s="268"/>
      <c r="J124" s="265"/>
      <c r="K124" s="265"/>
      <c r="L124" s="265"/>
      <c r="N124" s="85"/>
      <c r="O124" s="262"/>
      <c r="P124" s="262"/>
      <c r="Q124" s="262"/>
      <c r="S124" s="85"/>
      <c r="T124" s="259"/>
      <c r="U124" s="259"/>
      <c r="V124" s="259"/>
      <c r="X124" s="17"/>
      <c r="Y124" s="256"/>
      <c r="Z124" s="256"/>
      <c r="AA124" s="256"/>
      <c r="AB124" s="256"/>
      <c r="AC124" s="17"/>
      <c r="AD124" s="252"/>
      <c r="AE124" s="252"/>
      <c r="AF124" s="252"/>
      <c r="AG124" s="252"/>
      <c r="AH124" s="17"/>
      <c r="AI124" s="249"/>
      <c r="AJ124" s="249"/>
      <c r="AK124" s="249"/>
      <c r="AM124" s="17"/>
      <c r="AN124" s="246"/>
      <c r="AO124" s="246"/>
      <c r="AP124" s="246"/>
      <c r="AR124" s="17"/>
      <c r="AW124" s="17"/>
      <c r="AZ124" s="16"/>
      <c r="BA124" s="16"/>
      <c r="BB124" s="17"/>
      <c r="BD124" s="16"/>
      <c r="BE124" s="16"/>
      <c r="BF124" s="16"/>
      <c r="BG124" s="17"/>
      <c r="BH124" s="16"/>
      <c r="BI124" s="16"/>
      <c r="BJ124" s="472"/>
      <c r="BK124" s="16"/>
      <c r="BL124" s="17"/>
      <c r="BM124" s="16"/>
      <c r="BN124" s="16"/>
      <c r="BO124" s="472"/>
      <c r="BP124" s="16"/>
      <c r="BQ124" s="17"/>
      <c r="BR124" s="16"/>
      <c r="BS124" s="16"/>
      <c r="BT124" s="472"/>
      <c r="BU124" s="16"/>
      <c r="BV124" s="17"/>
      <c r="BW124" s="472"/>
      <c r="BX124" s="198"/>
      <c r="BY124" s="472"/>
      <c r="BZ124" s="198"/>
      <c r="CA124" s="17"/>
      <c r="CB124" s="16"/>
      <c r="CC124" s="16"/>
      <c r="CD124" s="472"/>
      <c r="CE124" s="16"/>
      <c r="CF124" s="17"/>
      <c r="CG124" s="16"/>
      <c r="CH124" s="16"/>
      <c r="CI124" s="472"/>
      <c r="CJ124" s="16"/>
      <c r="CK124" s="17">
        <f>1-20</f>
        <v>-19</v>
      </c>
      <c r="CL124" s="770">
        <f t="shared" si="50"/>
        <v>-95</v>
      </c>
      <c r="CM124" s="16">
        <v>9</v>
      </c>
      <c r="CN124" s="472">
        <v>21</v>
      </c>
      <c r="CO124" s="16">
        <v>43</v>
      </c>
      <c r="CP124" s="17">
        <f>54-76</f>
        <v>-22</v>
      </c>
      <c r="CQ124" s="16">
        <v>23</v>
      </c>
      <c r="CR124" s="16">
        <v>56</v>
      </c>
      <c r="CS124" s="16">
        <f>-69+4</f>
        <v>-65</v>
      </c>
      <c r="CT124" s="16">
        <v>-11</v>
      </c>
      <c r="CU124" s="17">
        <f t="shared" si="51"/>
        <v>3</v>
      </c>
      <c r="CV124" s="16">
        <v>15</v>
      </c>
      <c r="CW124" s="16">
        <f>-35-44</f>
        <v>-79</v>
      </c>
      <c r="CX124" s="16">
        <v>-37</v>
      </c>
      <c r="CY124" s="16">
        <v>15</v>
      </c>
      <c r="CZ124" s="17">
        <f t="shared" si="52"/>
        <v>-86</v>
      </c>
      <c r="DA124" s="16">
        <v>1</v>
      </c>
      <c r="DB124" s="16">
        <v>18</v>
      </c>
      <c r="DC124" s="16">
        <v>-15</v>
      </c>
      <c r="DD124" s="16">
        <v>14</v>
      </c>
      <c r="DE124" s="17">
        <f t="shared" si="53"/>
        <v>18</v>
      </c>
      <c r="DF124" s="16">
        <v>-8</v>
      </c>
      <c r="DG124" s="443">
        <v>-4</v>
      </c>
      <c r="DH124" s="443">
        <v>23</v>
      </c>
      <c r="DI124" s="443">
        <v>-39</v>
      </c>
      <c r="DJ124" s="17">
        <f t="shared" ref="DJ124" si="65">SUM(DF124:DI124)</f>
        <v>-28</v>
      </c>
      <c r="DK124" s="443">
        <v>16</v>
      </c>
      <c r="DL124" s="443">
        <v>38</v>
      </c>
      <c r="DM124" s="443">
        <v>-10</v>
      </c>
      <c r="DN124" s="16"/>
      <c r="DO124" s="17"/>
      <c r="DP124" s="443"/>
      <c r="DQ124" s="16"/>
      <c r="DR124" s="16"/>
      <c r="DS124" s="16"/>
      <c r="DT124" s="17"/>
      <c r="DU124" s="17"/>
      <c r="DV124" s="17"/>
    </row>
    <row r="125" spans="1:126" s="13" customFormat="1">
      <c r="A125" s="32"/>
      <c r="B125" s="41" t="s">
        <v>592</v>
      </c>
      <c r="C125" s="268"/>
      <c r="D125" s="268"/>
      <c r="E125" s="268"/>
      <c r="F125" s="268"/>
      <c r="G125" s="268"/>
      <c r="H125" s="268"/>
      <c r="I125" s="268"/>
      <c r="J125" s="265"/>
      <c r="K125" s="265"/>
      <c r="L125" s="265"/>
      <c r="N125" s="85"/>
      <c r="O125" s="262"/>
      <c r="P125" s="262"/>
      <c r="Q125" s="262"/>
      <c r="S125" s="85"/>
      <c r="T125" s="259"/>
      <c r="U125" s="259"/>
      <c r="V125" s="259"/>
      <c r="X125" s="17"/>
      <c r="Y125" s="256"/>
      <c r="Z125" s="256"/>
      <c r="AA125" s="256"/>
      <c r="AB125" s="256"/>
      <c r="AC125" s="17"/>
      <c r="AD125" s="252"/>
      <c r="AE125" s="252"/>
      <c r="AF125" s="252"/>
      <c r="AG125" s="252"/>
      <c r="AH125" s="17"/>
      <c r="AI125" s="249"/>
      <c r="AJ125" s="249"/>
      <c r="AK125" s="249"/>
      <c r="AM125" s="17"/>
      <c r="AN125" s="246"/>
      <c r="AO125" s="246"/>
      <c r="AP125" s="246"/>
      <c r="AR125" s="17"/>
      <c r="AW125" s="17"/>
      <c r="AZ125" s="16"/>
      <c r="BA125" s="16"/>
      <c r="BB125" s="17"/>
      <c r="BD125" s="16"/>
      <c r="BE125" s="16"/>
      <c r="BF125" s="16"/>
      <c r="BG125" s="17"/>
      <c r="BH125" s="16"/>
      <c r="BI125" s="16"/>
      <c r="BJ125" s="472"/>
      <c r="BK125" s="16"/>
      <c r="BL125" s="17"/>
      <c r="BM125" s="16"/>
      <c r="BN125" s="16"/>
      <c r="BO125" s="472"/>
      <c r="BP125" s="16"/>
      <c r="BQ125" s="17"/>
      <c r="BR125" s="16"/>
      <c r="BS125" s="16"/>
      <c r="BT125" s="472"/>
      <c r="BU125" s="16"/>
      <c r="BV125" s="17"/>
      <c r="BW125" s="472"/>
      <c r="BX125" s="198"/>
      <c r="BY125" s="472"/>
      <c r="BZ125" s="198"/>
      <c r="CA125" s="17"/>
      <c r="CB125" s="16"/>
      <c r="CC125" s="16"/>
      <c r="CD125" s="472"/>
      <c r="CE125" s="16"/>
      <c r="CF125" s="17"/>
      <c r="CG125" s="16"/>
      <c r="CH125" s="16"/>
      <c r="CI125" s="472"/>
      <c r="CJ125" s="16"/>
      <c r="CK125" s="17"/>
      <c r="CL125" s="770">
        <f t="shared" si="50"/>
        <v>0</v>
      </c>
      <c r="CM125" s="611"/>
      <c r="CN125" s="472"/>
      <c r="CO125" s="16"/>
      <c r="CP125" s="17"/>
      <c r="CQ125" s="16"/>
      <c r="CR125" s="16"/>
      <c r="CS125" s="16"/>
      <c r="CT125" s="16"/>
      <c r="CU125" s="17"/>
      <c r="CV125" s="16"/>
      <c r="CW125" s="16"/>
      <c r="CX125" s="16"/>
      <c r="CY125" s="16"/>
      <c r="CZ125" s="17"/>
      <c r="DA125" s="16"/>
      <c r="DB125" s="16"/>
      <c r="DC125" s="16"/>
      <c r="DD125" s="16"/>
      <c r="DE125" s="17"/>
      <c r="DF125" s="16"/>
      <c r="DG125" s="16"/>
      <c r="DH125" s="16"/>
      <c r="DI125" s="16"/>
      <c r="DJ125" s="17"/>
      <c r="DK125" s="16"/>
      <c r="DL125" s="16"/>
      <c r="DM125" s="16"/>
      <c r="DN125" s="16"/>
      <c r="DO125" s="17"/>
      <c r="DP125" s="16"/>
      <c r="DQ125" s="16"/>
      <c r="DR125" s="16"/>
      <c r="DS125" s="16"/>
      <c r="DT125" s="17"/>
      <c r="DU125" s="17"/>
      <c r="DV125" s="17"/>
    </row>
    <row r="126" spans="1:126" s="190" customFormat="1">
      <c r="A126" s="37"/>
      <c r="B126" s="39" t="s">
        <v>64</v>
      </c>
      <c r="C126" s="271"/>
      <c r="D126" s="271"/>
      <c r="E126" s="271"/>
      <c r="F126" s="271"/>
      <c r="G126" s="271"/>
      <c r="H126" s="271"/>
      <c r="I126" s="271"/>
      <c r="J126" s="267"/>
      <c r="K126" s="267"/>
      <c r="L126" s="267"/>
      <c r="N126" s="75"/>
      <c r="O126" s="264"/>
      <c r="P126" s="264"/>
      <c r="Q126" s="264"/>
      <c r="R126" s="13"/>
      <c r="S126" s="75"/>
      <c r="T126" s="261"/>
      <c r="U126" s="261"/>
      <c r="V126" s="261"/>
      <c r="W126" s="13"/>
      <c r="X126" s="75"/>
      <c r="Y126" s="258"/>
      <c r="Z126" s="258"/>
      <c r="AA126" s="258"/>
      <c r="AB126" s="258"/>
      <c r="AC126" s="17"/>
      <c r="AD126" s="254"/>
      <c r="AE126" s="255"/>
      <c r="AF126" s="254"/>
      <c r="AG126" s="254"/>
      <c r="AH126" s="17"/>
      <c r="AI126" s="251"/>
      <c r="AJ126" s="251"/>
      <c r="AK126" s="251"/>
      <c r="AM126" s="75"/>
      <c r="AN126" s="248"/>
      <c r="AO126" s="248"/>
      <c r="AP126" s="248"/>
      <c r="AR126" s="75"/>
      <c r="AW126" s="75"/>
      <c r="BB126" s="75"/>
      <c r="BG126" s="75"/>
      <c r="BJ126" s="474"/>
      <c r="BK126" s="474"/>
      <c r="BL126" s="75"/>
      <c r="BM126" s="474"/>
      <c r="BN126" s="474"/>
      <c r="BO126" s="474"/>
      <c r="BP126" s="474"/>
      <c r="BQ126" s="75"/>
      <c r="BR126" s="474"/>
      <c r="BS126" s="474"/>
      <c r="BT126" s="474"/>
      <c r="BU126" s="474"/>
      <c r="BV126" s="75"/>
      <c r="BW126" s="474"/>
      <c r="BX126" s="474"/>
      <c r="BY126" s="474"/>
      <c r="BZ126" s="474"/>
      <c r="CA126" s="75"/>
      <c r="CB126" s="474"/>
      <c r="CC126" s="474"/>
      <c r="CD126" s="474"/>
      <c r="CE126" s="474"/>
      <c r="CF126" s="75"/>
      <c r="CG126" s="474"/>
      <c r="CH126" s="474">
        <f>SUM(CH123:CH124)</f>
        <v>0</v>
      </c>
      <c r="CI126" s="474"/>
      <c r="CJ126" s="474"/>
      <c r="CK126" s="75">
        <f t="shared" ref="CK126:CP126" si="66">CK108+CK115+CK122+CK124+CK125+CK123</f>
        <v>1208</v>
      </c>
      <c r="CL126" s="807">
        <f t="shared" si="66"/>
        <v>1229.2627830000001</v>
      </c>
      <c r="CM126" s="474">
        <f t="shared" si="66"/>
        <v>-1632.2627830000001</v>
      </c>
      <c r="CN126" s="474">
        <f t="shared" si="66"/>
        <v>3015</v>
      </c>
      <c r="CO126" s="474">
        <f t="shared" si="66"/>
        <v>-1200</v>
      </c>
      <c r="CP126" s="75">
        <f t="shared" si="66"/>
        <v>1412</v>
      </c>
      <c r="CQ126" s="474">
        <f t="shared" ref="CQ126:CT126" si="67">CQ108+CQ115+CQ122+CQ124+CQ125+CQ123</f>
        <v>-216</v>
      </c>
      <c r="CR126" s="474">
        <f t="shared" si="67"/>
        <v>-536</v>
      </c>
      <c r="CS126" s="474">
        <f t="shared" si="67"/>
        <v>-574</v>
      </c>
      <c r="CT126" s="474">
        <f t="shared" si="67"/>
        <v>351</v>
      </c>
      <c r="CU126" s="75">
        <f t="shared" si="51"/>
        <v>-975</v>
      </c>
      <c r="CV126" s="474">
        <f t="shared" ref="CV126:CW126" si="68">CV108+CV115+CV122+CV124+CV125+CV123</f>
        <v>-1772</v>
      </c>
      <c r="CW126" s="474">
        <f t="shared" si="68"/>
        <v>-1293</v>
      </c>
      <c r="CX126" s="474">
        <f t="shared" ref="CX126:DA126" si="69">CX108+CX115+CX122+CX124+CX125+CX123</f>
        <v>603</v>
      </c>
      <c r="CY126" s="474">
        <f t="shared" si="69"/>
        <v>856</v>
      </c>
      <c r="CZ126" s="75">
        <f t="shared" si="52"/>
        <v>-1606</v>
      </c>
      <c r="DA126" s="474">
        <f t="shared" si="69"/>
        <v>-345</v>
      </c>
      <c r="DB126" s="474">
        <f t="shared" ref="DB126:DC126" si="70">DB108+DB115+DB122+DB124+DB125+DB123</f>
        <v>-514</v>
      </c>
      <c r="DC126" s="474">
        <f t="shared" si="70"/>
        <v>65</v>
      </c>
      <c r="DD126" s="76">
        <f t="shared" ref="DD126" si="71">DD108+DD115+DD122+DD124+DD125+DD123</f>
        <v>1129</v>
      </c>
      <c r="DE126" s="75">
        <f t="shared" si="53"/>
        <v>335</v>
      </c>
      <c r="DF126" s="474">
        <f t="shared" ref="DF126:DI126" si="72">DF108+DF115+DF122+DF124+DF125+DF123</f>
        <v>-980</v>
      </c>
      <c r="DG126" s="474">
        <f t="shared" si="72"/>
        <v>412</v>
      </c>
      <c r="DH126" s="474">
        <f t="shared" si="72"/>
        <v>673</v>
      </c>
      <c r="DI126" s="474">
        <f t="shared" si="72"/>
        <v>-1125</v>
      </c>
      <c r="DJ126" s="75">
        <f t="shared" ref="DJ126" si="73">SUM(DF126:DI126)</f>
        <v>-1020</v>
      </c>
      <c r="DK126" s="474">
        <f t="shared" ref="DK126:DL126" si="74">DK108+DK115+DK122+DK124+DK125+DK123</f>
        <v>-413</v>
      </c>
      <c r="DL126" s="474">
        <f t="shared" si="74"/>
        <v>-366</v>
      </c>
      <c r="DM126" s="474">
        <f t="shared" ref="DM126" si="75">DM108+DM115+DM122+DM124+DM125+DM123</f>
        <v>1177</v>
      </c>
      <c r="DN126" s="76"/>
      <c r="DO126" s="75"/>
      <c r="DP126" s="474"/>
      <c r="DQ126" s="76"/>
      <c r="DR126" s="76"/>
      <c r="DS126" s="76"/>
      <c r="DT126" s="75"/>
      <c r="DU126" s="75"/>
      <c r="DV126" s="75"/>
    </row>
    <row r="127" spans="1:126" s="13" customFormat="1">
      <c r="A127" s="32"/>
      <c r="B127" s="41" t="s">
        <v>65</v>
      </c>
      <c r="C127" s="268"/>
      <c r="D127" s="268"/>
      <c r="E127" s="268"/>
      <c r="F127" s="268"/>
      <c r="G127" s="268"/>
      <c r="H127" s="268"/>
      <c r="I127" s="268"/>
      <c r="J127" s="265"/>
      <c r="K127" s="265"/>
      <c r="L127" s="265"/>
      <c r="N127" s="17"/>
      <c r="O127" s="262"/>
      <c r="P127" s="262"/>
      <c r="Q127" s="262"/>
      <c r="S127" s="17"/>
      <c r="T127" s="259"/>
      <c r="U127" s="259"/>
      <c r="V127" s="259"/>
      <c r="X127" s="17"/>
      <c r="Y127" s="256"/>
      <c r="Z127" s="256"/>
      <c r="AA127" s="256"/>
      <c r="AB127" s="256"/>
      <c r="AC127" s="17"/>
      <c r="AD127" s="252"/>
      <c r="AE127" s="252"/>
      <c r="AF127" s="252"/>
      <c r="AG127" s="252"/>
      <c r="AH127" s="17"/>
      <c r="AI127" s="249"/>
      <c r="AJ127" s="249"/>
      <c r="AK127" s="249"/>
      <c r="AM127" s="17"/>
      <c r="AN127" s="246"/>
      <c r="AO127" s="246"/>
      <c r="AP127" s="246"/>
      <c r="AR127" s="17"/>
      <c r="AW127" s="17"/>
      <c r="BB127" s="17"/>
      <c r="BD127" s="16"/>
      <c r="BE127" s="16"/>
      <c r="BF127" s="16"/>
      <c r="BG127" s="17"/>
      <c r="BJ127" s="442"/>
      <c r="BK127" s="442"/>
      <c r="BL127" s="17"/>
      <c r="BQ127" s="17"/>
      <c r="BT127" s="442"/>
      <c r="BU127" s="442"/>
      <c r="BV127" s="17"/>
      <c r="BW127" s="442"/>
      <c r="BX127" s="442"/>
      <c r="BY127" s="442"/>
      <c r="BZ127" s="442"/>
      <c r="CA127" s="602"/>
      <c r="CB127" s="442"/>
      <c r="CF127" s="602"/>
      <c r="CG127" s="442"/>
      <c r="CH127" s="442">
        <f>CG128</f>
        <v>0</v>
      </c>
      <c r="CI127" s="442"/>
      <c r="CJ127" s="16"/>
      <c r="CK127" s="17">
        <f>3731+2481</f>
        <v>6212</v>
      </c>
      <c r="CL127" s="808"/>
      <c r="CM127" s="13">
        <f>CL128</f>
        <v>6073</v>
      </c>
      <c r="CN127" s="13">
        <f>CM128</f>
        <v>4440.7372169999999</v>
      </c>
      <c r="CO127" s="13">
        <f>CN128</f>
        <v>7455.7372169999999</v>
      </c>
      <c r="CP127" s="17">
        <f>CK128</f>
        <v>7420</v>
      </c>
      <c r="CQ127" s="13">
        <f>CP128</f>
        <v>8832</v>
      </c>
      <c r="CR127" s="13">
        <f>CQ128</f>
        <v>8616</v>
      </c>
      <c r="CS127" s="13">
        <f>CR128</f>
        <v>8080</v>
      </c>
      <c r="CT127" s="13">
        <f>CS128</f>
        <v>7506</v>
      </c>
      <c r="CU127" s="17">
        <f>CP128</f>
        <v>8832</v>
      </c>
      <c r="CV127" s="13">
        <f>CU128</f>
        <v>7857</v>
      </c>
      <c r="CW127" s="13">
        <f>CV128</f>
        <v>6085</v>
      </c>
      <c r="CX127" s="13">
        <f>CW128</f>
        <v>4792</v>
      </c>
      <c r="CY127" s="13">
        <f>CX128</f>
        <v>5395</v>
      </c>
      <c r="CZ127" s="17">
        <f>CU128</f>
        <v>7857</v>
      </c>
      <c r="DA127" s="13">
        <f>CZ128</f>
        <v>6251</v>
      </c>
      <c r="DB127" s="13">
        <f>DA128</f>
        <v>5906</v>
      </c>
      <c r="DC127" s="13">
        <f>DB128</f>
        <v>5392</v>
      </c>
      <c r="DD127" s="16">
        <f>DC128</f>
        <v>5457</v>
      </c>
      <c r="DE127" s="17">
        <f>CZ128</f>
        <v>6251</v>
      </c>
      <c r="DF127" s="13">
        <f>DE128</f>
        <v>6586</v>
      </c>
      <c r="DG127" s="13">
        <f>DF128</f>
        <v>5606</v>
      </c>
      <c r="DH127" s="13">
        <f>DG128</f>
        <v>6018</v>
      </c>
      <c r="DI127" s="13">
        <f>DH128</f>
        <v>6691</v>
      </c>
      <c r="DJ127" s="17">
        <f>DE128</f>
        <v>6586</v>
      </c>
      <c r="DK127" s="13">
        <f>DJ128</f>
        <v>5566</v>
      </c>
      <c r="DL127" s="13">
        <f>DK128</f>
        <v>5153</v>
      </c>
      <c r="DM127" s="13">
        <f>DL128</f>
        <v>4787</v>
      </c>
      <c r="DN127" s="16"/>
      <c r="DO127" s="17"/>
      <c r="DQ127" s="16"/>
      <c r="DR127" s="16"/>
      <c r="DS127" s="16"/>
      <c r="DT127" s="17"/>
      <c r="DU127" s="17"/>
      <c r="DV127" s="17"/>
    </row>
    <row r="128" spans="1:126" s="13" customFormat="1">
      <c r="A128" s="32"/>
      <c r="B128" s="41" t="s">
        <v>66</v>
      </c>
      <c r="C128" s="268"/>
      <c r="D128" s="268"/>
      <c r="E128" s="268"/>
      <c r="F128" s="268"/>
      <c r="G128" s="268"/>
      <c r="H128" s="268"/>
      <c r="I128" s="268"/>
      <c r="J128" s="265"/>
      <c r="K128" s="265"/>
      <c r="L128" s="265"/>
      <c r="N128" s="17"/>
      <c r="O128" s="262"/>
      <c r="P128" s="262"/>
      <c r="Q128" s="262"/>
      <c r="S128" s="17"/>
      <c r="T128" s="259"/>
      <c r="U128" s="259"/>
      <c r="V128" s="259"/>
      <c r="X128" s="17"/>
      <c r="Y128" s="256"/>
      <c r="Z128" s="256"/>
      <c r="AA128" s="256"/>
      <c r="AB128" s="256"/>
      <c r="AC128" s="17"/>
      <c r="AD128" s="252"/>
      <c r="AE128" s="252"/>
      <c r="AF128" s="252"/>
      <c r="AG128" s="252"/>
      <c r="AH128" s="17"/>
      <c r="AI128" s="249"/>
      <c r="AJ128" s="249"/>
      <c r="AK128" s="249"/>
      <c r="AM128" s="17"/>
      <c r="AN128" s="246"/>
      <c r="AO128" s="246"/>
      <c r="AP128" s="246"/>
      <c r="AR128" s="17"/>
      <c r="AW128" s="17"/>
      <c r="AX128" s="242"/>
      <c r="AY128" s="242"/>
      <c r="AZ128" s="242"/>
      <c r="BA128" s="242"/>
      <c r="BB128" s="17"/>
      <c r="BC128" s="242"/>
      <c r="BD128" s="242"/>
      <c r="BE128" s="242"/>
      <c r="BF128" s="242"/>
      <c r="BG128" s="17"/>
      <c r="BH128" s="242"/>
      <c r="BI128" s="242"/>
      <c r="BJ128" s="487"/>
      <c r="BK128" s="487"/>
      <c r="BL128" s="17"/>
      <c r="BM128" s="242"/>
      <c r="BN128" s="242"/>
      <c r="BO128" s="242"/>
      <c r="BP128" s="242"/>
      <c r="BQ128" s="17"/>
      <c r="BR128" s="242"/>
      <c r="BS128" s="242"/>
      <c r="BT128" s="242"/>
      <c r="BU128" s="242"/>
      <c r="BV128" s="17"/>
      <c r="BW128" s="242"/>
      <c r="BX128" s="242"/>
      <c r="BY128" s="242"/>
      <c r="BZ128" s="242"/>
      <c r="CA128" s="17"/>
      <c r="CB128" s="242"/>
      <c r="CC128" s="242"/>
      <c r="CD128" s="242"/>
      <c r="CE128" s="242"/>
      <c r="CF128" s="17"/>
      <c r="CG128" s="242"/>
      <c r="CH128" s="242">
        <f>SUM(CH126:CH127)</f>
        <v>0</v>
      </c>
      <c r="CI128" s="242"/>
      <c r="CJ128" s="16"/>
      <c r="CK128" s="17">
        <f>4961+2459</f>
        <v>7420</v>
      </c>
      <c r="CL128" s="809">
        <v>6073</v>
      </c>
      <c r="CM128" s="242">
        <f>CM127+CM126</f>
        <v>4440.7372169999999</v>
      </c>
      <c r="CN128" s="242">
        <f>CN127+CN126</f>
        <v>7455.7372169999999</v>
      </c>
      <c r="CO128" s="242">
        <f>CO127+CO126</f>
        <v>6255.7372169999999</v>
      </c>
      <c r="CP128" s="17">
        <f>CP126+CP127</f>
        <v>8832</v>
      </c>
      <c r="CQ128" s="242">
        <f>CQ127+CQ126</f>
        <v>8616</v>
      </c>
      <c r="CR128" s="242">
        <f>CR127+CR126</f>
        <v>8080</v>
      </c>
      <c r="CS128" s="242">
        <f>CS127+CS126</f>
        <v>7506</v>
      </c>
      <c r="CT128" s="242">
        <f>CT127+CT126</f>
        <v>7857</v>
      </c>
      <c r="CU128" s="17">
        <f>CU126+CU127</f>
        <v>7857</v>
      </c>
      <c r="CV128" s="242">
        <f>CV127+CV126</f>
        <v>6085</v>
      </c>
      <c r="CW128" s="242">
        <f>CW127+CW126</f>
        <v>4792</v>
      </c>
      <c r="CX128" s="242">
        <f>CX127+CX126</f>
        <v>5395</v>
      </c>
      <c r="CY128" s="242">
        <f>CY127+CY126</f>
        <v>6251</v>
      </c>
      <c r="CZ128" s="17">
        <f>CZ126+CZ127</f>
        <v>6251</v>
      </c>
      <c r="DA128" s="242">
        <f>DA127+DA126</f>
        <v>5906</v>
      </c>
      <c r="DB128" s="242">
        <f>DB127+DB126</f>
        <v>5392</v>
      </c>
      <c r="DC128" s="242">
        <f>DC127+DC126</f>
        <v>5457</v>
      </c>
      <c r="DD128" s="16">
        <f>DD127+DD126</f>
        <v>6586</v>
      </c>
      <c r="DE128" s="17">
        <f>DE126+DE127</f>
        <v>6586</v>
      </c>
      <c r="DF128" s="242">
        <f>DF127+DF126</f>
        <v>5606</v>
      </c>
      <c r="DG128" s="242">
        <f>DG127+DG126</f>
        <v>6018</v>
      </c>
      <c r="DH128" s="242">
        <f>DH127+DH126</f>
        <v>6691</v>
      </c>
      <c r="DI128" s="242">
        <f>DI127+DI126</f>
        <v>5566</v>
      </c>
      <c r="DJ128" s="17">
        <f>DJ126+DJ127</f>
        <v>5566</v>
      </c>
      <c r="DK128" s="242">
        <f>DK127+DK126</f>
        <v>5153</v>
      </c>
      <c r="DL128" s="242">
        <f>DL127+DL126</f>
        <v>4787</v>
      </c>
      <c r="DM128" s="242">
        <f>DM127+DM126</f>
        <v>5964</v>
      </c>
      <c r="DN128" s="16"/>
      <c r="DO128" s="17"/>
      <c r="DP128" s="242"/>
      <c r="DQ128" s="16"/>
      <c r="DR128" s="16"/>
      <c r="DS128" s="16"/>
      <c r="DT128" s="17"/>
      <c r="DU128" s="17"/>
      <c r="DV128" s="17"/>
    </row>
    <row r="129" spans="1:126" s="13" customFormat="1" ht="3" customHeight="1">
      <c r="A129" s="38"/>
      <c r="B129" s="38"/>
      <c r="C129" s="15"/>
      <c r="D129" s="15"/>
      <c r="E129" s="15"/>
      <c r="F129" s="15"/>
      <c r="G129" s="15"/>
      <c r="H129" s="15"/>
      <c r="I129" s="15"/>
      <c r="J129" s="14"/>
      <c r="K129" s="14"/>
      <c r="L129" s="14"/>
      <c r="M129" s="14"/>
      <c r="N129" s="15"/>
      <c r="O129" s="14"/>
      <c r="P129" s="14"/>
      <c r="Q129" s="14"/>
      <c r="R129" s="14"/>
      <c r="S129" s="15"/>
      <c r="T129" s="14"/>
      <c r="U129" s="14"/>
      <c r="V129" s="14"/>
      <c r="W129" s="14"/>
      <c r="X129" s="15"/>
      <c r="Y129" s="14"/>
      <c r="Z129" s="14"/>
      <c r="AA129" s="14"/>
      <c r="AB129" s="14"/>
      <c r="AC129" s="15"/>
      <c r="AD129" s="14"/>
      <c r="AE129" s="14"/>
      <c r="AF129" s="14"/>
      <c r="AG129" s="14"/>
      <c r="AH129" s="15"/>
      <c r="AI129" s="14"/>
      <c r="AJ129" s="14"/>
      <c r="AK129" s="14"/>
      <c r="AL129" s="14"/>
      <c r="AM129" s="15"/>
      <c r="AN129" s="14"/>
      <c r="AO129" s="14"/>
      <c r="AP129" s="14"/>
      <c r="AQ129" s="14"/>
      <c r="AR129" s="15"/>
      <c r="AS129" s="14"/>
      <c r="AT129" s="14"/>
      <c r="AU129" s="14"/>
      <c r="AV129" s="14"/>
      <c r="AW129" s="15"/>
      <c r="AX129" s="14"/>
      <c r="AY129" s="14"/>
      <c r="AZ129" s="14"/>
      <c r="BA129" s="14"/>
      <c r="BB129" s="15"/>
      <c r="BC129" s="14"/>
      <c r="BD129" s="14"/>
      <c r="BE129" s="14"/>
      <c r="BF129" s="14"/>
      <c r="BG129" s="15"/>
      <c r="BH129" s="14"/>
      <c r="BI129" s="14"/>
      <c r="BJ129" s="14"/>
      <c r="BK129" s="14"/>
      <c r="BL129" s="15"/>
      <c r="BM129" s="14"/>
      <c r="BN129" s="14"/>
      <c r="BO129" s="14"/>
      <c r="BP129" s="14"/>
      <c r="BQ129" s="15"/>
      <c r="BR129" s="14"/>
      <c r="BS129" s="14"/>
      <c r="BT129" s="14"/>
      <c r="BU129" s="14"/>
      <c r="BV129" s="15"/>
      <c r="BW129" s="14"/>
      <c r="BX129" s="14"/>
      <c r="BY129" s="14"/>
      <c r="BZ129" s="14"/>
      <c r="CA129" s="15"/>
      <c r="CB129" s="14"/>
      <c r="CC129" s="14"/>
      <c r="CD129" s="14"/>
      <c r="CE129" s="14"/>
      <c r="CF129" s="15"/>
      <c r="CG129" s="14"/>
      <c r="CH129" s="14"/>
      <c r="CI129" s="14"/>
      <c r="CJ129" s="14"/>
      <c r="CK129" s="15"/>
      <c r="CL129" s="14"/>
      <c r="CM129" s="14"/>
      <c r="CN129" s="14"/>
      <c r="CO129" s="14"/>
      <c r="CP129" s="15"/>
      <c r="CQ129" s="14"/>
      <c r="CR129" s="14"/>
      <c r="CS129" s="14"/>
      <c r="CT129" s="14"/>
      <c r="CU129" s="15"/>
      <c r="CV129" s="14"/>
      <c r="CW129" s="14"/>
      <c r="CX129" s="14"/>
      <c r="CY129" s="14"/>
      <c r="CZ129" s="15"/>
      <c r="DA129" s="14"/>
      <c r="DB129" s="14"/>
      <c r="DC129" s="14"/>
      <c r="DD129" s="14"/>
      <c r="DE129" s="15"/>
      <c r="DF129" s="14"/>
      <c r="DG129" s="14"/>
      <c r="DH129" s="14"/>
      <c r="DI129" s="14"/>
      <c r="DJ129" s="15"/>
      <c r="DK129" s="14"/>
      <c r="DL129" s="14"/>
      <c r="DM129" s="14"/>
      <c r="DN129" s="14"/>
      <c r="DO129" s="15"/>
      <c r="DP129" s="14"/>
      <c r="DQ129" s="14"/>
      <c r="DR129" s="14"/>
      <c r="DS129" s="14"/>
      <c r="DT129" s="15"/>
      <c r="DU129" s="15"/>
      <c r="DV129" s="15"/>
    </row>
    <row r="130" spans="1:126" s="13" customFormat="1">
      <c r="A130" s="32"/>
      <c r="B130" s="45"/>
      <c r="C130" s="17"/>
      <c r="D130" s="17"/>
      <c r="E130" s="17"/>
      <c r="F130" s="17"/>
      <c r="G130" s="17"/>
      <c r="H130" s="17"/>
      <c r="I130" s="17"/>
      <c r="N130" s="17"/>
      <c r="S130" s="17"/>
      <c r="X130" s="17"/>
      <c r="AC130" s="17"/>
      <c r="AH130" s="17"/>
      <c r="AM130" s="17"/>
      <c r="AR130" s="17"/>
      <c r="AU130" s="16"/>
      <c r="AW130" s="17"/>
      <c r="AZ130" s="16"/>
      <c r="BA130" s="16"/>
      <c r="BB130" s="17"/>
      <c r="BD130" s="16"/>
      <c r="BE130" s="16"/>
      <c r="BF130" s="16"/>
      <c r="BG130" s="17"/>
      <c r="BH130" s="16"/>
      <c r="BI130" s="16"/>
      <c r="BJ130" s="16"/>
      <c r="BK130" s="16"/>
      <c r="BL130" s="17"/>
      <c r="BM130" s="16"/>
      <c r="BN130" s="16"/>
      <c r="BO130" s="16"/>
      <c r="BP130" s="16"/>
      <c r="BQ130" s="17"/>
      <c r="BR130" s="16"/>
      <c r="BS130" s="16"/>
      <c r="BT130" s="16"/>
      <c r="BU130" s="16"/>
      <c r="BV130" s="17"/>
      <c r="BW130" s="16"/>
      <c r="BX130" s="16"/>
      <c r="BY130" s="16"/>
      <c r="BZ130" s="16"/>
      <c r="CA130" s="17"/>
      <c r="CB130" s="16"/>
      <c r="CC130" s="16"/>
      <c r="CD130" s="16"/>
      <c r="CE130" s="16"/>
      <c r="CF130" s="17"/>
      <c r="CG130" s="16"/>
      <c r="CH130" s="16"/>
      <c r="CI130" s="16"/>
      <c r="CJ130" s="16"/>
      <c r="CK130" s="17"/>
      <c r="CL130" s="16"/>
      <c r="CM130" s="16"/>
      <c r="CN130" s="16"/>
      <c r="CO130" s="16"/>
      <c r="CP130" s="17"/>
      <c r="CQ130" s="16"/>
      <c r="CR130" s="16"/>
      <c r="CS130" s="16"/>
      <c r="CT130" s="16"/>
      <c r="CU130" s="17"/>
      <c r="CV130" s="16"/>
      <c r="CW130" s="16"/>
      <c r="CX130" s="16"/>
      <c r="CY130" s="16"/>
      <c r="CZ130" s="17"/>
      <c r="DA130" s="16"/>
      <c r="DB130" s="16"/>
      <c r="DC130" s="16"/>
      <c r="DD130" s="16"/>
      <c r="DE130" s="17"/>
      <c r="DF130" s="16"/>
      <c r="DG130" s="16"/>
      <c r="DH130" s="16"/>
      <c r="DI130" s="16"/>
      <c r="DJ130" s="17"/>
      <c r="DK130" s="16"/>
      <c r="DL130" s="16"/>
      <c r="DM130" s="16"/>
      <c r="DN130" s="16"/>
      <c r="DO130" s="17"/>
      <c r="DP130" s="16"/>
      <c r="DQ130" s="16"/>
      <c r="DR130" s="16"/>
      <c r="DS130" s="16"/>
      <c r="DT130" s="17"/>
      <c r="DU130" s="17"/>
      <c r="DV130" s="17"/>
    </row>
    <row r="131" spans="1:126" s="13" customFormat="1">
      <c r="A131" s="32"/>
      <c r="B131" s="45"/>
      <c r="C131" s="17"/>
      <c r="D131" s="17"/>
      <c r="E131" s="17"/>
      <c r="F131" s="17"/>
      <c r="G131" s="17"/>
      <c r="H131" s="17"/>
      <c r="I131" s="17"/>
      <c r="N131" s="17"/>
      <c r="S131" s="17"/>
      <c r="X131" s="17"/>
      <c r="AC131" s="17"/>
      <c r="AH131" s="17"/>
      <c r="AM131" s="17"/>
      <c r="AR131" s="17"/>
      <c r="AU131" s="16"/>
      <c r="AW131" s="17"/>
      <c r="AZ131" s="16"/>
      <c r="BA131" s="16"/>
      <c r="BB131" s="17"/>
      <c r="BD131" s="16"/>
      <c r="BE131" s="16"/>
      <c r="BF131" s="16"/>
      <c r="BG131" s="17"/>
      <c r="BH131" s="16"/>
      <c r="BI131" s="16"/>
      <c r="BJ131" s="16"/>
      <c r="BK131" s="16"/>
      <c r="BL131" s="17"/>
      <c r="BM131" s="16"/>
      <c r="BN131" s="16"/>
      <c r="BO131" s="16"/>
      <c r="BP131" s="16"/>
      <c r="BQ131" s="17"/>
      <c r="BR131" s="16"/>
      <c r="BS131" s="16"/>
      <c r="BT131" s="16"/>
      <c r="BU131" s="16"/>
      <c r="BV131" s="17"/>
      <c r="BW131" s="16"/>
      <c r="BX131" s="16"/>
      <c r="BY131" s="16"/>
      <c r="BZ131" s="16"/>
      <c r="CA131" s="17"/>
      <c r="CB131" s="16"/>
      <c r="CC131" s="16"/>
      <c r="CD131" s="16"/>
      <c r="CE131" s="16"/>
      <c r="CF131" s="17"/>
      <c r="CG131" s="16"/>
      <c r="CH131" s="16"/>
      <c r="CI131" s="16"/>
      <c r="CJ131" s="16"/>
      <c r="CK131" s="17"/>
      <c r="CL131" s="824"/>
      <c r="CM131" s="824"/>
      <c r="CN131" s="824"/>
      <c r="CO131" s="824"/>
      <c r="CP131" s="17"/>
      <c r="CQ131" s="824"/>
      <c r="CR131" s="824"/>
      <c r="CS131" s="824"/>
      <c r="CT131" s="824"/>
      <c r="CU131" s="17"/>
      <c r="CV131" s="824"/>
      <c r="CW131" s="824"/>
      <c r="CX131" s="824"/>
      <c r="CY131" s="824"/>
      <c r="CZ131" s="17"/>
      <c r="DA131" s="16"/>
      <c r="DB131" s="16"/>
      <c r="DC131" s="16"/>
      <c r="DD131" s="16"/>
      <c r="DE131" s="17"/>
      <c r="DF131" s="16"/>
      <c r="DG131" s="16"/>
      <c r="DH131" s="16"/>
      <c r="DI131" s="16"/>
      <c r="DJ131" s="17"/>
      <c r="DK131" s="16"/>
      <c r="DL131" s="16"/>
      <c r="DM131" s="16"/>
      <c r="DN131" s="16"/>
      <c r="DO131" s="17"/>
      <c r="DP131" s="16"/>
      <c r="DQ131" s="16"/>
      <c r="DR131" s="16"/>
      <c r="DS131" s="16"/>
      <c r="DT131" s="17"/>
      <c r="DU131" s="17"/>
      <c r="DV131" s="17"/>
    </row>
    <row r="132" spans="1:126" s="13" customFormat="1">
      <c r="A132" s="32"/>
      <c r="B132" s="220" t="s">
        <v>71</v>
      </c>
      <c r="C132" s="17"/>
      <c r="D132" s="17"/>
      <c r="E132" s="17"/>
      <c r="F132" s="17"/>
      <c r="G132" s="17"/>
      <c r="H132" s="17"/>
      <c r="I132" s="17"/>
      <c r="N132" s="17"/>
      <c r="S132" s="17"/>
      <c r="X132" s="17"/>
      <c r="AC132" s="17"/>
      <c r="AH132" s="17"/>
      <c r="AM132" s="17"/>
      <c r="AR132" s="17"/>
      <c r="AU132" s="16"/>
      <c r="AW132" s="17"/>
      <c r="AZ132" s="16"/>
      <c r="BA132" s="16"/>
      <c r="BB132" s="17"/>
      <c r="BD132" s="16"/>
      <c r="BE132" s="16"/>
      <c r="BF132" s="16"/>
      <c r="BG132" s="17"/>
      <c r="BH132" s="16"/>
      <c r="BI132" s="16"/>
      <c r="BJ132" s="16"/>
      <c r="BK132" s="16"/>
      <c r="BL132" s="17"/>
      <c r="BM132" s="16"/>
      <c r="BN132" s="16"/>
      <c r="BO132" s="16"/>
      <c r="BP132" s="16"/>
      <c r="BQ132" s="17"/>
      <c r="BR132" s="16"/>
      <c r="BS132" s="16"/>
      <c r="BT132" s="16"/>
      <c r="BU132" s="16"/>
      <c r="BV132" s="17"/>
      <c r="BW132" s="16"/>
      <c r="BX132" s="16"/>
      <c r="BY132" s="16"/>
      <c r="BZ132" s="16"/>
      <c r="CA132" s="17"/>
      <c r="CB132" s="16"/>
      <c r="CC132" s="16"/>
      <c r="CD132" s="16"/>
      <c r="CE132" s="16"/>
      <c r="CF132" s="17"/>
      <c r="CG132" s="16"/>
      <c r="CH132" s="16"/>
      <c r="CI132" s="16"/>
      <c r="CJ132" s="16"/>
      <c r="CK132" s="17"/>
      <c r="CL132" s="16"/>
      <c r="CM132" s="16"/>
      <c r="CN132" s="16"/>
      <c r="CO132" s="16"/>
      <c r="CP132" s="17"/>
      <c r="CQ132" s="16"/>
      <c r="CR132" s="16"/>
      <c r="CS132" s="16"/>
      <c r="CT132" s="16"/>
      <c r="CU132" s="17"/>
      <c r="CV132" s="16"/>
      <c r="CW132" s="16"/>
      <c r="CX132" s="16"/>
      <c r="CY132" s="16"/>
      <c r="CZ132" s="17"/>
      <c r="DA132" s="16"/>
      <c r="DB132" s="16"/>
      <c r="DC132" s="16"/>
      <c r="DD132" s="16"/>
      <c r="DE132" s="17"/>
      <c r="DF132" s="16"/>
      <c r="DG132" s="16"/>
      <c r="DH132" s="16"/>
      <c r="DI132" s="16"/>
      <c r="DJ132" s="17"/>
      <c r="DK132" s="16"/>
      <c r="DL132" s="16"/>
      <c r="DM132" s="16"/>
      <c r="DN132" s="16"/>
      <c r="DO132" s="17"/>
      <c r="DP132" s="16"/>
      <c r="DQ132" s="16"/>
      <c r="DR132" s="16"/>
      <c r="DS132" s="16"/>
      <c r="DT132" s="17"/>
      <c r="DU132" s="17"/>
      <c r="DV132" s="17"/>
    </row>
    <row r="133" spans="1:126" s="13" customFormat="1">
      <c r="A133" s="32"/>
      <c r="B133" s="165" t="s">
        <v>194</v>
      </c>
      <c r="C133" s="307">
        <v>7402</v>
      </c>
      <c r="D133" s="307">
        <v>7876</v>
      </c>
      <c r="E133" s="307">
        <v>7674</v>
      </c>
      <c r="F133" s="307">
        <v>7366</v>
      </c>
      <c r="G133" s="307">
        <v>7679</v>
      </c>
      <c r="H133" s="307">
        <v>7645</v>
      </c>
      <c r="I133" s="307">
        <v>7484</v>
      </c>
      <c r="J133" s="311">
        <v>1939</v>
      </c>
      <c r="K133" s="311">
        <v>2080</v>
      </c>
      <c r="L133" s="311">
        <v>2100</v>
      </c>
      <c r="M133" s="311">
        <v>2162</v>
      </c>
      <c r="N133" s="195">
        <f t="shared" ref="N133:N134" si="76">SUM(J133:M133)</f>
        <v>8281</v>
      </c>
      <c r="O133" s="318">
        <v>2013</v>
      </c>
      <c r="P133" s="318">
        <v>2273</v>
      </c>
      <c r="Q133" s="318">
        <v>2414</v>
      </c>
      <c r="R133" s="318">
        <v>2595</v>
      </c>
      <c r="S133" s="195">
        <f t="shared" ref="S133:S134" si="77">SUM(O133:R133)</f>
        <v>9295</v>
      </c>
      <c r="T133" s="320">
        <v>2568</v>
      </c>
      <c r="U133" s="320">
        <v>2727</v>
      </c>
      <c r="V133" s="320">
        <v>2771</v>
      </c>
      <c r="W133" s="320">
        <v>3046</v>
      </c>
      <c r="X133" s="195">
        <f t="shared" ref="X133:X134" si="78">SUM(T133:W133)</f>
        <v>11112</v>
      </c>
      <c r="Y133" s="324">
        <v>2767</v>
      </c>
      <c r="Z133" s="324">
        <v>3108</v>
      </c>
      <c r="AA133" s="324">
        <v>3036</v>
      </c>
      <c r="AB133" s="324">
        <v>4175</v>
      </c>
      <c r="AC133" s="195">
        <f t="shared" ref="AC133:AC134" si="79">SUM(Y133:AB133)</f>
        <v>13086</v>
      </c>
      <c r="AD133" s="328">
        <v>3464</v>
      </c>
      <c r="AE133" s="328">
        <v>3569</v>
      </c>
      <c r="AF133" s="328">
        <v>3421</v>
      </c>
      <c r="AG133" s="328">
        <v>3395</v>
      </c>
      <c r="AH133" s="195">
        <f t="shared" ref="AH133:AH134" si="80">SUM(AD133:AG133)</f>
        <v>13849</v>
      </c>
      <c r="AI133" s="334">
        <v>3180</v>
      </c>
      <c r="AJ133" s="334">
        <v>3111</v>
      </c>
      <c r="AK133" s="334">
        <v>3031</v>
      </c>
      <c r="AL133" s="334">
        <v>3070</v>
      </c>
      <c r="AM133" s="195">
        <f t="shared" ref="AM133:AM134" si="81">SUM(AI133:AL133)</f>
        <v>12392</v>
      </c>
      <c r="AN133" s="336">
        <v>2841</v>
      </c>
      <c r="AO133" s="336">
        <v>3279</v>
      </c>
      <c r="AP133" s="336">
        <v>3230</v>
      </c>
      <c r="AQ133" s="336">
        <v>3585</v>
      </c>
      <c r="AR133" s="195">
        <f t="shared" ref="AR133:AR134" si="82">SUM(AN133:AQ133)</f>
        <v>12935</v>
      </c>
      <c r="AS133" s="344">
        <v>2873</v>
      </c>
      <c r="AT133" s="344">
        <v>3276</v>
      </c>
      <c r="AU133" s="345">
        <v>3081</v>
      </c>
      <c r="AV133" s="344">
        <v>3481</v>
      </c>
      <c r="AW133" s="195">
        <f t="shared" ref="AW133:AW134" si="83">SUM(AS133:AV133)</f>
        <v>12711</v>
      </c>
      <c r="AX133" s="347">
        <v>3052</v>
      </c>
      <c r="AY133" s="347">
        <v>3447</v>
      </c>
      <c r="AZ133" s="349">
        <v>3574</v>
      </c>
      <c r="BA133" s="349">
        <v>3891</v>
      </c>
      <c r="BB133" s="195">
        <f t="shared" ref="BB133" si="84">SUM(AX133:BA133)</f>
        <v>13964</v>
      </c>
      <c r="BC133" s="347">
        <v>3402</v>
      </c>
      <c r="BD133" s="198">
        <v>3624</v>
      </c>
      <c r="BE133" s="198">
        <v>3386</v>
      </c>
      <c r="BF133" s="198">
        <v>4089</v>
      </c>
      <c r="BG133" s="195">
        <f t="shared" ref="BG133" si="85">SUM(BC133:BF133)</f>
        <v>14501</v>
      </c>
      <c r="BH133" s="198">
        <v>3329</v>
      </c>
      <c r="BI133" s="198">
        <v>3592</v>
      </c>
      <c r="BJ133" s="472">
        <v>3564</v>
      </c>
      <c r="BK133" s="198">
        <v>4023</v>
      </c>
      <c r="BL133" s="195">
        <f t="shared" ref="BL133" si="86">SUM(BH133:BK133)</f>
        <v>14508</v>
      </c>
      <c r="BM133" s="198">
        <v>3332</v>
      </c>
      <c r="BN133" s="198">
        <v>3677</v>
      </c>
      <c r="BO133" s="472">
        <v>3234</v>
      </c>
      <c r="BP133" s="198">
        <v>3839</v>
      </c>
      <c r="BQ133" s="495">
        <f t="shared" ref="BQ133" si="87">SUM(BM133:BP133)</f>
        <v>14082</v>
      </c>
      <c r="BR133" s="198">
        <v>3588</v>
      </c>
      <c r="BS133" s="453">
        <v>3813</v>
      </c>
      <c r="BT133" s="472">
        <v>3501</v>
      </c>
      <c r="BU133" s="198">
        <v>3992</v>
      </c>
      <c r="BV133" s="495">
        <f t="shared" ref="BV133" si="88">SUM(BR133:BU133)</f>
        <v>14894</v>
      </c>
      <c r="BW133" s="198">
        <v>3758</v>
      </c>
      <c r="BX133" s="198">
        <v>4070</v>
      </c>
      <c r="BY133" s="472">
        <v>4256</v>
      </c>
      <c r="BZ133" s="198">
        <v>4461</v>
      </c>
      <c r="CA133" s="495">
        <f t="shared" ref="CA133" si="89">SUM(BW133:BZ133)</f>
        <v>16545</v>
      </c>
      <c r="CB133" s="198">
        <v>4329</v>
      </c>
      <c r="CC133" s="198">
        <v>4736</v>
      </c>
      <c r="CD133" s="472">
        <v>4789</v>
      </c>
      <c r="CE133" s="198">
        <v>5543</v>
      </c>
      <c r="CF133" s="495">
        <f t="shared" ref="CF133:CF138" si="90">SUM(CB133:CE133)</f>
        <v>19397</v>
      </c>
      <c r="CG133" s="198">
        <v>4818</v>
      </c>
      <c r="CH133" s="198">
        <v>5154</v>
      </c>
      <c r="CI133" s="472">
        <v>5285</v>
      </c>
      <c r="CJ133" s="198">
        <v>5645</v>
      </c>
      <c r="CK133" s="495">
        <f t="shared" ref="CK133:CK138" si="91">SUM(CG133:CJ133)</f>
        <v>20902</v>
      </c>
      <c r="CL133" s="453">
        <v>5353</v>
      </c>
      <c r="CM133" s="198">
        <v>3487</v>
      </c>
      <c r="CN133" s="16">
        <v>3494</v>
      </c>
      <c r="CO133" s="198">
        <v>4890</v>
      </c>
      <c r="CP133" s="495">
        <v>17224</v>
      </c>
      <c r="CQ133" s="453">
        <v>4030</v>
      </c>
      <c r="CR133" s="198">
        <v>4280</v>
      </c>
      <c r="CS133" s="16">
        <v>4725</v>
      </c>
      <c r="CT133" s="198">
        <v>5115</v>
      </c>
      <c r="CU133" s="495">
        <f t="shared" ref="CU133:CU139" si="92">SUM(CQ133:CT133)</f>
        <v>18150</v>
      </c>
      <c r="CV133" s="453">
        <v>4529</v>
      </c>
      <c r="CW133" s="198">
        <v>4969</v>
      </c>
      <c r="CX133" s="16">
        <v>5380</v>
      </c>
      <c r="CY133" s="198">
        <v>5652</v>
      </c>
      <c r="CZ133" s="495">
        <f t="shared" ref="CZ133:CZ139" si="93">SUM(CV133:CY133)</f>
        <v>20530</v>
      </c>
      <c r="DA133" s="16">
        <f>5230</f>
        <v>5230</v>
      </c>
      <c r="DB133" s="16">
        <f>5701</f>
        <v>5701</v>
      </c>
      <c r="DC133" s="16">
        <v>926</v>
      </c>
      <c r="DD133" s="16">
        <v>6439</v>
      </c>
      <c r="DE133" s="17">
        <f t="shared" ref="DE133:DE139" si="94">SUM(DA133:DD133)</f>
        <v>18296</v>
      </c>
      <c r="DF133" s="16">
        <v>6456</v>
      </c>
      <c r="DG133" s="443">
        <v>6802</v>
      </c>
      <c r="DH133" s="443">
        <v>7239</v>
      </c>
      <c r="DI133" s="443">
        <v>7569</v>
      </c>
      <c r="DJ133" s="17">
        <f t="shared" ref="DJ133:DJ136" si="95">SUM(DF133:DI133)</f>
        <v>28066</v>
      </c>
      <c r="DK133" s="443">
        <v>7366</v>
      </c>
      <c r="DL133" s="443">
        <v>7631</v>
      </c>
      <c r="DM133" s="443">
        <v>8423</v>
      </c>
      <c r="DN133" s="16"/>
      <c r="DO133" s="17"/>
      <c r="DP133" s="443"/>
      <c r="DQ133" s="16"/>
      <c r="DR133" s="16"/>
      <c r="DS133" s="16"/>
      <c r="DT133" s="17"/>
      <c r="DU133" s="17"/>
      <c r="DV133" s="17"/>
    </row>
    <row r="134" spans="1:126" s="13" customFormat="1">
      <c r="A134" s="32"/>
      <c r="B134" s="165" t="s">
        <v>472</v>
      </c>
      <c r="C134" s="307">
        <v>2804</v>
      </c>
      <c r="D134" s="307">
        <v>2891</v>
      </c>
      <c r="E134" s="307">
        <v>3810</v>
      </c>
      <c r="F134" s="307">
        <v>4992</v>
      </c>
      <c r="G134" s="307">
        <v>5292</v>
      </c>
      <c r="H134" s="307">
        <v>3453</v>
      </c>
      <c r="I134" s="307">
        <v>3598</v>
      </c>
      <c r="J134" s="311">
        <v>926</v>
      </c>
      <c r="K134" s="311">
        <v>935</v>
      </c>
      <c r="L134" s="311">
        <v>980</v>
      </c>
      <c r="M134" s="311">
        <v>1080</v>
      </c>
      <c r="N134" s="17">
        <f t="shared" si="76"/>
        <v>3921</v>
      </c>
      <c r="O134" s="318">
        <v>1028</v>
      </c>
      <c r="P134" s="318">
        <v>1126</v>
      </c>
      <c r="Q134" s="318">
        <v>1077</v>
      </c>
      <c r="R134" s="318">
        <v>1151</v>
      </c>
      <c r="S134" s="17">
        <f t="shared" si="77"/>
        <v>4382</v>
      </c>
      <c r="T134" s="320">
        <v>1164</v>
      </c>
      <c r="U134" s="320">
        <v>1281</v>
      </c>
      <c r="V134" s="320">
        <v>1253</v>
      </c>
      <c r="W134" s="320">
        <v>1297</v>
      </c>
      <c r="X134" s="17">
        <f t="shared" si="78"/>
        <v>4995</v>
      </c>
      <c r="Y134" s="324">
        <v>1313</v>
      </c>
      <c r="Z134" s="324">
        <v>1404</v>
      </c>
      <c r="AA134" s="324">
        <v>1427</v>
      </c>
      <c r="AB134" s="324">
        <v>1492</v>
      </c>
      <c r="AC134" s="17">
        <f t="shared" si="79"/>
        <v>5636</v>
      </c>
      <c r="AD134" s="328">
        <v>1461</v>
      </c>
      <c r="AE134" s="328">
        <v>1650</v>
      </c>
      <c r="AF134" s="328">
        <v>1532</v>
      </c>
      <c r="AG134" s="328">
        <v>1484</v>
      </c>
      <c r="AH134" s="17">
        <f t="shared" si="80"/>
        <v>6127</v>
      </c>
      <c r="AI134" s="334">
        <v>1381</v>
      </c>
      <c r="AJ134" s="334">
        <v>1402</v>
      </c>
      <c r="AK134" s="334">
        <v>1400</v>
      </c>
      <c r="AL134" s="334">
        <v>1377</v>
      </c>
      <c r="AM134" s="17">
        <f t="shared" si="81"/>
        <v>5560</v>
      </c>
      <c r="AN134" s="336">
        <v>1326</v>
      </c>
      <c r="AO134" s="336">
        <v>1379</v>
      </c>
      <c r="AP134" s="336">
        <v>1420</v>
      </c>
      <c r="AQ134" s="336">
        <v>1483</v>
      </c>
      <c r="AR134" s="17">
        <f t="shared" si="82"/>
        <v>5608</v>
      </c>
      <c r="AS134" s="344">
        <v>1138</v>
      </c>
      <c r="AT134" s="344">
        <v>1171</v>
      </c>
      <c r="AU134" s="345">
        <v>1187</v>
      </c>
      <c r="AV134" s="344">
        <v>1264</v>
      </c>
      <c r="AW134" s="17">
        <f t="shared" si="83"/>
        <v>4760</v>
      </c>
      <c r="AX134" s="347">
        <f>AX147</f>
        <v>1236</v>
      </c>
      <c r="AY134" s="347">
        <f t="shared" ref="AY134:CK134" si="96">AY147</f>
        <v>1254</v>
      </c>
      <c r="AZ134" s="12">
        <f t="shared" si="96"/>
        <v>2670</v>
      </c>
      <c r="BA134" s="12">
        <f t="shared" si="96"/>
        <v>3174</v>
      </c>
      <c r="BB134" s="17">
        <f t="shared" si="96"/>
        <v>8334</v>
      </c>
      <c r="BC134" s="347">
        <f t="shared" si="96"/>
        <v>3263</v>
      </c>
      <c r="BD134" s="16">
        <f t="shared" si="96"/>
        <v>3321</v>
      </c>
      <c r="BE134" s="16">
        <f t="shared" si="96"/>
        <v>3312</v>
      </c>
      <c r="BF134" s="16">
        <f t="shared" si="96"/>
        <v>3451</v>
      </c>
      <c r="BG134" s="17">
        <f t="shared" si="96"/>
        <v>13347</v>
      </c>
      <c r="BH134" s="16">
        <f t="shared" si="96"/>
        <v>3450</v>
      </c>
      <c r="BI134" s="16">
        <f t="shared" si="96"/>
        <v>3636</v>
      </c>
      <c r="BJ134" s="472">
        <f t="shared" si="96"/>
        <v>3535</v>
      </c>
      <c r="BK134" s="16">
        <f t="shared" si="96"/>
        <v>3594</v>
      </c>
      <c r="BL134" s="17">
        <f t="shared" si="96"/>
        <v>14215</v>
      </c>
      <c r="BM134" s="16">
        <f t="shared" si="96"/>
        <v>3548</v>
      </c>
      <c r="BN134" s="16">
        <f t="shared" si="96"/>
        <v>3632</v>
      </c>
      <c r="BO134" s="472">
        <f t="shared" si="96"/>
        <v>3457</v>
      </c>
      <c r="BP134" s="16">
        <f t="shared" si="96"/>
        <v>3457</v>
      </c>
      <c r="BQ134" s="366">
        <f t="shared" si="96"/>
        <v>14094</v>
      </c>
      <c r="BR134" s="16">
        <f t="shared" si="96"/>
        <v>3505</v>
      </c>
      <c r="BS134" s="368">
        <f t="shared" si="96"/>
        <v>3716</v>
      </c>
      <c r="BT134" s="472">
        <f t="shared" si="96"/>
        <v>3646</v>
      </c>
      <c r="BU134" s="16">
        <f t="shared" si="96"/>
        <v>3598</v>
      </c>
      <c r="BV134" s="366">
        <f t="shared" si="96"/>
        <v>14465</v>
      </c>
      <c r="BW134" s="16">
        <f t="shared" si="96"/>
        <v>3611</v>
      </c>
      <c r="BX134" s="16">
        <f t="shared" si="96"/>
        <v>3640</v>
      </c>
      <c r="BY134" s="472">
        <f t="shared" si="96"/>
        <v>3637</v>
      </c>
      <c r="BZ134" s="16">
        <f t="shared" si="96"/>
        <v>3803</v>
      </c>
      <c r="CA134" s="366">
        <f t="shared" si="96"/>
        <v>14691</v>
      </c>
      <c r="CB134" s="16">
        <f>CB147+7635/4</f>
        <v>5725.75</v>
      </c>
      <c r="CC134" s="16">
        <f>CC147+7635/4</f>
        <v>5870.75</v>
      </c>
      <c r="CD134" s="16">
        <f>CD147+7635/4</f>
        <v>5863.75</v>
      </c>
      <c r="CE134" s="16">
        <f>CE147+7635/4</f>
        <v>6808.75</v>
      </c>
      <c r="CF134" s="495">
        <f>SUM(CB134:CE134)</f>
        <v>24269</v>
      </c>
      <c r="CG134" s="16">
        <f t="shared" si="96"/>
        <v>6513</v>
      </c>
      <c r="CH134" s="16">
        <f t="shared" si="96"/>
        <v>6576</v>
      </c>
      <c r="CI134" s="16">
        <f t="shared" si="96"/>
        <v>6495</v>
      </c>
      <c r="CJ134" s="16">
        <f t="shared" si="96"/>
        <v>6444</v>
      </c>
      <c r="CK134" s="495">
        <f t="shared" si="96"/>
        <v>26028</v>
      </c>
      <c r="CL134" s="368">
        <v>4988.9747469454214</v>
      </c>
      <c r="CM134" s="16">
        <v>4980.2955810181838</v>
      </c>
      <c r="CN134" s="16">
        <v>4992.1459806496041</v>
      </c>
      <c r="CO134" s="16">
        <v>7027.5836913867915</v>
      </c>
      <c r="CP134" s="495">
        <v>21989</v>
      </c>
      <c r="CQ134" s="368">
        <v>4991.4660799251005</v>
      </c>
      <c r="CR134" s="16">
        <v>5010.5425724552169</v>
      </c>
      <c r="CS134" s="16">
        <v>4998.3730858411782</v>
      </c>
      <c r="CT134" s="16">
        <v>6151.6182617785034</v>
      </c>
      <c r="CU134" s="495">
        <v>21152</v>
      </c>
      <c r="CV134" s="368">
        <f>4824+652</f>
        <v>5476</v>
      </c>
      <c r="CW134" s="16">
        <f>5011+616</f>
        <v>5627</v>
      </c>
      <c r="CX134" s="16">
        <f>5100+618</f>
        <v>5718</v>
      </c>
      <c r="CY134" s="16">
        <f>5662+569</f>
        <v>6231</v>
      </c>
      <c r="CZ134" s="495">
        <f t="shared" si="93"/>
        <v>23052</v>
      </c>
      <c r="DA134" s="16">
        <f>5581+539</f>
        <v>6120</v>
      </c>
      <c r="DB134" s="16">
        <f>5850+534</f>
        <v>6384</v>
      </c>
      <c r="DC134" s="16">
        <v>6629</v>
      </c>
      <c r="DD134" s="16">
        <v>7120</v>
      </c>
      <c r="DE134" s="17">
        <f t="shared" si="94"/>
        <v>26253</v>
      </c>
      <c r="DF134" s="16">
        <v>6673</v>
      </c>
      <c r="DG134" s="443">
        <v>6999</v>
      </c>
      <c r="DH134" s="443">
        <v>7075</v>
      </c>
      <c r="DI134" s="443">
        <v>7537</v>
      </c>
      <c r="DJ134" s="17">
        <f t="shared" si="95"/>
        <v>28284</v>
      </c>
      <c r="DK134" s="443">
        <v>7217</v>
      </c>
      <c r="DL134" s="443">
        <v>7622</v>
      </c>
      <c r="DM134" s="443">
        <v>7621</v>
      </c>
      <c r="DN134" s="16"/>
      <c r="DO134" s="17"/>
      <c r="DP134" s="443"/>
      <c r="DQ134" s="16"/>
      <c r="DR134" s="16"/>
      <c r="DS134" s="16"/>
      <c r="DT134" s="17"/>
      <c r="DU134" s="17"/>
      <c r="DV134" s="17"/>
    </row>
    <row r="135" spans="1:126" s="13" customFormat="1" hidden="1" outlineLevel="1">
      <c r="A135" s="32"/>
      <c r="B135" s="180" t="s">
        <v>570</v>
      </c>
      <c r="C135" s="307"/>
      <c r="D135" s="307"/>
      <c r="E135" s="307"/>
      <c r="F135" s="307"/>
      <c r="G135" s="307"/>
      <c r="H135" s="307"/>
      <c r="I135" s="307"/>
      <c r="J135" s="399"/>
      <c r="K135" s="311"/>
      <c r="L135" s="311"/>
      <c r="M135" s="311"/>
      <c r="N135" s="17"/>
      <c r="O135" s="318"/>
      <c r="P135" s="318"/>
      <c r="Q135" s="318"/>
      <c r="R135" s="318"/>
      <c r="S135" s="17"/>
      <c r="T135" s="320"/>
      <c r="U135" s="320"/>
      <c r="V135" s="320"/>
      <c r="W135" s="320"/>
      <c r="X135" s="17"/>
      <c r="Y135" s="324"/>
      <c r="Z135" s="324"/>
      <c r="AA135" s="324"/>
      <c r="AB135" s="324"/>
      <c r="AC135" s="17"/>
      <c r="AD135" s="328"/>
      <c r="AE135" s="328"/>
      <c r="AF135" s="328"/>
      <c r="AG135" s="328"/>
      <c r="AH135" s="17"/>
      <c r="AI135" s="334"/>
      <c r="AJ135" s="334"/>
      <c r="AK135" s="334"/>
      <c r="AL135" s="334"/>
      <c r="AM135" s="17"/>
      <c r="AN135" s="336"/>
      <c r="AO135" s="336"/>
      <c r="AP135" s="336"/>
      <c r="AQ135" s="336"/>
      <c r="AR135" s="17"/>
      <c r="AS135" s="344"/>
      <c r="AT135" s="344"/>
      <c r="AU135" s="345"/>
      <c r="AV135" s="344"/>
      <c r="AW135" s="17"/>
      <c r="AX135" s="347"/>
      <c r="AY135" s="347"/>
      <c r="AZ135" s="12"/>
      <c r="BA135" s="12"/>
      <c r="BB135" s="17">
        <f>BB157+BB155</f>
        <v>13158</v>
      </c>
      <c r="BC135" s="347">
        <f t="shared" ref="BC135:CF135" si="97">BC157+BC155</f>
        <v>3103</v>
      </c>
      <c r="BD135" s="16">
        <f t="shared" si="97"/>
        <v>3190</v>
      </c>
      <c r="BE135" s="16">
        <f t="shared" si="97"/>
        <v>3052</v>
      </c>
      <c r="BF135" s="16">
        <f t="shared" si="97"/>
        <v>3071</v>
      </c>
      <c r="BG135" s="17">
        <f t="shared" si="97"/>
        <v>12416</v>
      </c>
      <c r="BH135" s="16">
        <f t="shared" si="97"/>
        <v>2848</v>
      </c>
      <c r="BI135" s="16">
        <f t="shared" si="97"/>
        <v>3023</v>
      </c>
      <c r="BJ135" s="472">
        <f t="shared" si="97"/>
        <v>2959</v>
      </c>
      <c r="BK135" s="16">
        <f t="shared" si="97"/>
        <v>3198</v>
      </c>
      <c r="BL135" s="17">
        <f t="shared" si="97"/>
        <v>12028</v>
      </c>
      <c r="BM135" s="16">
        <f t="shared" si="97"/>
        <v>2819</v>
      </c>
      <c r="BN135" s="16">
        <f t="shared" si="97"/>
        <v>3010</v>
      </c>
      <c r="BO135" s="472">
        <f t="shared" si="97"/>
        <v>2965</v>
      </c>
      <c r="BP135" s="16">
        <f t="shared" si="97"/>
        <v>3113</v>
      </c>
      <c r="BQ135" s="17">
        <f t="shared" si="97"/>
        <v>11907</v>
      </c>
      <c r="BR135" s="16">
        <f t="shared" si="97"/>
        <v>2943</v>
      </c>
      <c r="BS135" s="368">
        <f t="shared" si="97"/>
        <v>3189</v>
      </c>
      <c r="BT135" s="472">
        <f t="shared" si="97"/>
        <v>3131</v>
      </c>
      <c r="BU135" s="16">
        <f t="shared" si="97"/>
        <v>3130</v>
      </c>
      <c r="BV135" s="17">
        <f t="shared" si="97"/>
        <v>12393</v>
      </c>
      <c r="BW135" s="16">
        <f t="shared" si="97"/>
        <v>3062</v>
      </c>
      <c r="BX135" s="16">
        <f t="shared" si="97"/>
        <v>3163</v>
      </c>
      <c r="BY135" s="472">
        <f t="shared" si="97"/>
        <v>3140</v>
      </c>
      <c r="BZ135" s="16">
        <f t="shared" si="97"/>
        <v>3242</v>
      </c>
      <c r="CA135" s="17">
        <f t="shared" si="97"/>
        <v>12607</v>
      </c>
      <c r="CB135" s="198">
        <f t="shared" si="97"/>
        <v>3150</v>
      </c>
      <c r="CC135" s="198">
        <f t="shared" si="97"/>
        <v>3292</v>
      </c>
      <c r="CD135" s="198">
        <f t="shared" si="97"/>
        <v>3437</v>
      </c>
      <c r="CE135" s="198">
        <f t="shared" si="97"/>
        <v>3591</v>
      </c>
      <c r="CF135" s="495">
        <f t="shared" si="97"/>
        <v>13470</v>
      </c>
      <c r="CG135" s="198">
        <v>3397</v>
      </c>
      <c r="CH135" s="16">
        <v>3557</v>
      </c>
      <c r="CI135" s="472">
        <v>3761</v>
      </c>
      <c r="CJ135" s="16">
        <v>3730</v>
      </c>
      <c r="CK135" s="495">
        <f t="shared" si="91"/>
        <v>14445</v>
      </c>
      <c r="CL135" s="368">
        <v>3676</v>
      </c>
      <c r="CM135" s="16">
        <v>3601</v>
      </c>
      <c r="CN135" s="16">
        <v>3749</v>
      </c>
      <c r="CO135" s="16">
        <v>3933</v>
      </c>
      <c r="CP135" s="495">
        <f t="shared" ref="CP135:CP139" si="98">SUM(CL135:CO135)</f>
        <v>14959</v>
      </c>
      <c r="CQ135" s="368">
        <v>3765</v>
      </c>
      <c r="CR135" s="16">
        <v>3805</v>
      </c>
      <c r="CS135" s="16">
        <v>3740</v>
      </c>
      <c r="CT135" s="16">
        <v>3870</v>
      </c>
      <c r="CU135" s="495">
        <f t="shared" si="92"/>
        <v>15180</v>
      </c>
      <c r="CV135" s="368">
        <v>3572</v>
      </c>
      <c r="CW135" s="16">
        <v>3570</v>
      </c>
      <c r="CX135" s="16">
        <v>3626</v>
      </c>
      <c r="CY135" s="16">
        <v>3544</v>
      </c>
      <c r="CZ135" s="495">
        <f t="shared" si="93"/>
        <v>14312</v>
      </c>
      <c r="DA135" s="16">
        <v>3565</v>
      </c>
      <c r="DB135" s="16">
        <v>3655</v>
      </c>
      <c r="DC135" s="16"/>
      <c r="DD135" s="16"/>
      <c r="DE135" s="17">
        <f t="shared" si="94"/>
        <v>7220</v>
      </c>
      <c r="DF135" s="16"/>
      <c r="DG135" s="443">
        <v>3655</v>
      </c>
      <c r="DH135" s="443"/>
      <c r="DI135" s="443"/>
      <c r="DJ135" s="17">
        <f t="shared" si="95"/>
        <v>3655</v>
      </c>
      <c r="DK135" s="16"/>
      <c r="DL135" s="443">
        <v>3655</v>
      </c>
      <c r="DM135" s="443">
        <v>3655</v>
      </c>
      <c r="DN135" s="16"/>
      <c r="DO135" s="17"/>
      <c r="DP135" s="16"/>
      <c r="DQ135" s="16"/>
      <c r="DR135" s="16"/>
      <c r="DS135" s="16"/>
      <c r="DT135" s="17"/>
      <c r="DU135" s="17"/>
      <c r="DV135" s="17"/>
    </row>
    <row r="136" spans="1:126" s="13" customFormat="1" hidden="1" outlineLevel="1">
      <c r="A136" s="32"/>
      <c r="B136" s="180" t="s">
        <v>569</v>
      </c>
      <c r="C136" s="307"/>
      <c r="D136" s="307"/>
      <c r="E136" s="307"/>
      <c r="F136" s="307"/>
      <c r="G136" s="307"/>
      <c r="H136" s="307"/>
      <c r="I136" s="307"/>
      <c r="J136" s="399"/>
      <c r="K136" s="311"/>
      <c r="L136" s="311"/>
      <c r="M136" s="311"/>
      <c r="N136" s="17"/>
      <c r="O136" s="318"/>
      <c r="P136" s="318"/>
      <c r="Q136" s="318"/>
      <c r="R136" s="318"/>
      <c r="S136" s="17"/>
      <c r="T136" s="320"/>
      <c r="U136" s="320"/>
      <c r="V136" s="320"/>
      <c r="W136" s="320"/>
      <c r="X136" s="17"/>
      <c r="Y136" s="324"/>
      <c r="Z136" s="324"/>
      <c r="AA136" s="324"/>
      <c r="AB136" s="324"/>
      <c r="AC136" s="17"/>
      <c r="AD136" s="328"/>
      <c r="AE136" s="328"/>
      <c r="AF136" s="328"/>
      <c r="AG136" s="328"/>
      <c r="AH136" s="17"/>
      <c r="AI136" s="334"/>
      <c r="AJ136" s="334"/>
      <c r="AK136" s="334"/>
      <c r="AL136" s="334"/>
      <c r="AM136" s="17"/>
      <c r="AN136" s="336"/>
      <c r="AO136" s="336"/>
      <c r="AP136" s="336"/>
      <c r="AQ136" s="336"/>
      <c r="AR136" s="17"/>
      <c r="AS136" s="344"/>
      <c r="AT136" s="344"/>
      <c r="AU136" s="345"/>
      <c r="AV136" s="344"/>
      <c r="AW136" s="17"/>
      <c r="AX136" s="347"/>
      <c r="AY136" s="347"/>
      <c r="AZ136" s="12"/>
      <c r="BA136" s="12"/>
      <c r="BB136" s="17">
        <f t="shared" ref="BB136:CE136" si="99">BB156+BB154</f>
        <v>13131</v>
      </c>
      <c r="BC136" s="347">
        <f t="shared" si="99"/>
        <v>3232</v>
      </c>
      <c r="BD136" s="16">
        <f t="shared" si="99"/>
        <v>3411</v>
      </c>
      <c r="BE136" s="16">
        <f t="shared" si="99"/>
        <v>3238</v>
      </c>
      <c r="BF136" s="16">
        <f t="shared" si="99"/>
        <v>3207</v>
      </c>
      <c r="BG136" s="17">
        <f t="shared" si="99"/>
        <v>13088</v>
      </c>
      <c r="BH136" s="16">
        <f t="shared" si="99"/>
        <v>3055</v>
      </c>
      <c r="BI136" s="16">
        <f t="shared" si="99"/>
        <v>3088</v>
      </c>
      <c r="BJ136" s="472">
        <f t="shared" si="99"/>
        <v>2905</v>
      </c>
      <c r="BK136" s="16">
        <f t="shared" si="99"/>
        <v>3346</v>
      </c>
      <c r="BL136" s="17">
        <f t="shared" si="99"/>
        <v>12394</v>
      </c>
      <c r="BM136" s="16">
        <f t="shared" si="99"/>
        <v>2780</v>
      </c>
      <c r="BN136" s="16">
        <f t="shared" si="99"/>
        <v>3124</v>
      </c>
      <c r="BO136" s="472">
        <f t="shared" si="99"/>
        <v>3062</v>
      </c>
      <c r="BP136" s="16">
        <f t="shared" si="99"/>
        <v>3437</v>
      </c>
      <c r="BQ136" s="17">
        <f t="shared" si="99"/>
        <v>12403</v>
      </c>
      <c r="BR136" s="16">
        <f t="shared" si="99"/>
        <v>3057</v>
      </c>
      <c r="BS136" s="368">
        <f t="shared" si="99"/>
        <v>3055</v>
      </c>
      <c r="BT136" s="472">
        <f t="shared" si="99"/>
        <v>3134</v>
      </c>
      <c r="BU136" s="16">
        <f t="shared" si="99"/>
        <v>3301</v>
      </c>
      <c r="BV136" s="17">
        <f t="shared" si="99"/>
        <v>12547</v>
      </c>
      <c r="BW136" s="16">
        <f t="shared" si="99"/>
        <v>3154</v>
      </c>
      <c r="BX136" s="16">
        <f t="shared" si="99"/>
        <v>3363</v>
      </c>
      <c r="BY136" s="472">
        <f t="shared" si="99"/>
        <v>3336</v>
      </c>
      <c r="BZ136" s="16">
        <f t="shared" si="99"/>
        <v>3738</v>
      </c>
      <c r="CA136" s="17">
        <f t="shared" si="99"/>
        <v>13591</v>
      </c>
      <c r="CB136" s="198">
        <f t="shared" si="99"/>
        <v>3337</v>
      </c>
      <c r="CC136" s="198">
        <f t="shared" si="99"/>
        <v>3565</v>
      </c>
      <c r="CD136" s="472">
        <f t="shared" si="99"/>
        <v>3575</v>
      </c>
      <c r="CE136" s="16">
        <f t="shared" si="99"/>
        <v>4001</v>
      </c>
      <c r="CF136" s="495">
        <f t="shared" si="90"/>
        <v>14478</v>
      </c>
      <c r="CG136" s="198">
        <v>3519</v>
      </c>
      <c r="CH136" s="16">
        <v>3804</v>
      </c>
      <c r="CI136" s="472">
        <v>3882</v>
      </c>
      <c r="CJ136" s="16">
        <v>4289</v>
      </c>
      <c r="CK136" s="495">
        <f t="shared" si="91"/>
        <v>15494</v>
      </c>
      <c r="CL136" s="368">
        <v>3741</v>
      </c>
      <c r="CM136" s="16">
        <v>3712</v>
      </c>
      <c r="CN136" s="16">
        <v>3706</v>
      </c>
      <c r="CO136" s="16">
        <v>4184</v>
      </c>
      <c r="CP136" s="495">
        <f t="shared" si="98"/>
        <v>15343</v>
      </c>
      <c r="CQ136" s="368">
        <v>3793</v>
      </c>
      <c r="CR136" s="16">
        <v>3985</v>
      </c>
      <c r="CS136" s="16">
        <v>3902</v>
      </c>
      <c r="CT136" s="16">
        <v>3859</v>
      </c>
      <c r="CU136" s="495">
        <f t="shared" si="92"/>
        <v>15539</v>
      </c>
      <c r="CV136" s="368">
        <v>3527</v>
      </c>
      <c r="CW136" s="16">
        <v>3558</v>
      </c>
      <c r="CX136" s="16">
        <v>3678</v>
      </c>
      <c r="CY136" s="16">
        <v>4100</v>
      </c>
      <c r="CZ136" s="495">
        <f t="shared" si="93"/>
        <v>14863</v>
      </c>
      <c r="DA136" s="16">
        <v>3671</v>
      </c>
      <c r="DB136" s="16">
        <v>4000</v>
      </c>
      <c r="DC136" s="16"/>
      <c r="DD136" s="16"/>
      <c r="DE136" s="17">
        <f t="shared" si="94"/>
        <v>7671</v>
      </c>
      <c r="DF136" s="16"/>
      <c r="DG136" s="443">
        <v>4000</v>
      </c>
      <c r="DH136" s="443"/>
      <c r="DI136" s="443"/>
      <c r="DJ136" s="17">
        <f t="shared" si="95"/>
        <v>4000</v>
      </c>
      <c r="DK136" s="16"/>
      <c r="DL136" s="443">
        <v>4000</v>
      </c>
      <c r="DM136" s="443">
        <v>4000</v>
      </c>
      <c r="DN136" s="16"/>
      <c r="DO136" s="17"/>
      <c r="DP136" s="16"/>
      <c r="DQ136" s="16"/>
      <c r="DR136" s="16"/>
      <c r="DS136" s="16"/>
      <c r="DT136" s="17"/>
      <c r="DU136" s="17"/>
      <c r="DV136" s="17"/>
    </row>
    <row r="137" spans="1:126" s="13" customFormat="1" collapsed="1">
      <c r="A137" s="32"/>
      <c r="B137" s="41" t="s">
        <v>629</v>
      </c>
      <c r="C137" s="307"/>
      <c r="D137" s="307"/>
      <c r="E137" s="307"/>
      <c r="F137" s="307"/>
      <c r="G137" s="307"/>
      <c r="H137" s="307"/>
      <c r="I137" s="307"/>
      <c r="J137" s="399"/>
      <c r="K137" s="311"/>
      <c r="L137" s="311"/>
      <c r="M137" s="311"/>
      <c r="N137" s="17"/>
      <c r="O137" s="318"/>
      <c r="P137" s="318"/>
      <c r="Q137" s="318"/>
      <c r="R137" s="318"/>
      <c r="S137" s="17"/>
      <c r="T137" s="320"/>
      <c r="U137" s="320"/>
      <c r="V137" s="320"/>
      <c r="W137" s="320"/>
      <c r="X137" s="17"/>
      <c r="Y137" s="324"/>
      <c r="Z137" s="324"/>
      <c r="AA137" s="324"/>
      <c r="AB137" s="324"/>
      <c r="AC137" s="17"/>
      <c r="AD137" s="328"/>
      <c r="AE137" s="328"/>
      <c r="AF137" s="328"/>
      <c r="AG137" s="328"/>
      <c r="AH137" s="17"/>
      <c r="AI137" s="334"/>
      <c r="AJ137" s="334"/>
      <c r="AK137" s="334"/>
      <c r="AL137" s="334"/>
      <c r="AM137" s="17"/>
      <c r="AN137" s="336"/>
      <c r="AO137" s="336"/>
      <c r="AP137" s="336"/>
      <c r="AQ137" s="336"/>
      <c r="AR137" s="17"/>
      <c r="AS137" s="344"/>
      <c r="AT137" s="344"/>
      <c r="AU137" s="345"/>
      <c r="AV137" s="344"/>
      <c r="AW137" s="17"/>
      <c r="AX137" s="347"/>
      <c r="AY137" s="347"/>
      <c r="AZ137" s="12"/>
      <c r="BA137" s="12"/>
      <c r="BB137" s="17"/>
      <c r="BC137" s="347"/>
      <c r="BD137" s="16"/>
      <c r="BE137" s="16"/>
      <c r="BF137" s="16"/>
      <c r="BG137" s="17"/>
      <c r="BH137" s="16"/>
      <c r="BI137" s="16"/>
      <c r="BJ137" s="472"/>
      <c r="BK137" s="16"/>
      <c r="BL137" s="17"/>
      <c r="BM137" s="16"/>
      <c r="BN137" s="16"/>
      <c r="BO137" s="472"/>
      <c r="BP137" s="16"/>
      <c r="BQ137" s="17"/>
      <c r="BR137" s="16"/>
      <c r="BS137" s="368"/>
      <c r="BT137" s="472"/>
      <c r="BU137" s="16"/>
      <c r="BV137" s="17"/>
      <c r="BW137" s="16"/>
      <c r="BX137" s="16"/>
      <c r="BY137" s="472"/>
      <c r="BZ137" s="16"/>
      <c r="CA137" s="17"/>
      <c r="CB137" s="198"/>
      <c r="CC137" s="198"/>
      <c r="CD137" s="472"/>
      <c r="CE137" s="16"/>
      <c r="CF137" s="495"/>
      <c r="CG137" s="198"/>
      <c r="CH137" s="16"/>
      <c r="CI137" s="472"/>
      <c r="CJ137" s="16"/>
      <c r="CK137" s="495"/>
      <c r="CL137" s="368">
        <v>6408.2879999999996</v>
      </c>
      <c r="CM137" s="16">
        <v>6318.4319999999998</v>
      </c>
      <c r="CN137" s="16">
        <v>6441.12</v>
      </c>
      <c r="CO137" s="16">
        <v>7009.16</v>
      </c>
      <c r="CP137" s="495">
        <v>26177</v>
      </c>
      <c r="CQ137" s="368">
        <v>6545.2280000000001</v>
      </c>
      <c r="CR137" s="16">
        <v>6746.14</v>
      </c>
      <c r="CS137" s="16">
        <v>6617.9719999999998</v>
      </c>
      <c r="CT137" s="16">
        <v>6701.66</v>
      </c>
      <c r="CU137" s="495">
        <v>26611</v>
      </c>
      <c r="CV137" s="368">
        <f>6074</f>
        <v>6074</v>
      </c>
      <c r="CW137" s="16">
        <v>6133</v>
      </c>
      <c r="CX137" s="16">
        <v>6308</v>
      </c>
      <c r="CY137" s="16">
        <v>6661</v>
      </c>
      <c r="CZ137" s="495">
        <f>SUM(CV137:CY137)</f>
        <v>25176</v>
      </c>
      <c r="DA137" s="16">
        <v>6292</v>
      </c>
      <c r="DB137" s="16">
        <v>6700</v>
      </c>
      <c r="DC137" s="16">
        <v>6472</v>
      </c>
      <c r="DD137" s="16">
        <v>6886</v>
      </c>
      <c r="DE137" s="17">
        <f>SUM(DA137:DD137)</f>
        <v>26350</v>
      </c>
      <c r="DF137" s="16">
        <v>6659</v>
      </c>
      <c r="DG137" s="443">
        <v>6581</v>
      </c>
      <c r="DH137" s="443">
        <v>6386</v>
      </c>
      <c r="DI137" s="443">
        <v>7157</v>
      </c>
      <c r="DJ137" s="17">
        <f>SUM(DF137:DI137)</f>
        <v>26783</v>
      </c>
      <c r="DK137" s="443">
        <v>6340</v>
      </c>
      <c r="DL137" s="443">
        <v>7001</v>
      </c>
      <c r="DM137" s="443">
        <v>7045</v>
      </c>
      <c r="DN137" s="16"/>
      <c r="DO137" s="17"/>
      <c r="DP137" s="443"/>
      <c r="DQ137" s="16"/>
      <c r="DR137" s="16"/>
      <c r="DS137" s="16"/>
      <c r="DT137" s="17"/>
      <c r="DU137" s="17"/>
      <c r="DV137" s="17"/>
    </row>
    <row r="138" spans="1:126" s="13" customFormat="1">
      <c r="A138" s="32"/>
      <c r="B138" s="180" t="s">
        <v>399</v>
      </c>
      <c r="C138" s="307"/>
      <c r="D138" s="307"/>
      <c r="E138" s="307"/>
      <c r="F138" s="307"/>
      <c r="G138" s="307"/>
      <c r="H138" s="307"/>
      <c r="I138" s="307"/>
      <c r="J138" s="399"/>
      <c r="K138" s="311"/>
      <c r="L138" s="311"/>
      <c r="M138" s="311"/>
      <c r="N138" s="17"/>
      <c r="O138" s="318"/>
      <c r="P138" s="318"/>
      <c r="Q138" s="318"/>
      <c r="R138" s="318"/>
      <c r="S138" s="17"/>
      <c r="T138" s="320"/>
      <c r="U138" s="320"/>
      <c r="V138" s="320"/>
      <c r="W138" s="320"/>
      <c r="X138" s="17"/>
      <c r="Y138" s="324"/>
      <c r="Z138" s="324"/>
      <c r="AA138" s="324"/>
      <c r="AB138" s="324"/>
      <c r="AC138" s="17"/>
      <c r="AD138" s="328"/>
      <c r="AE138" s="328"/>
      <c r="AF138" s="328"/>
      <c r="AG138" s="328"/>
      <c r="AH138" s="17"/>
      <c r="AI138" s="334"/>
      <c r="AJ138" s="334"/>
      <c r="AK138" s="334"/>
      <c r="AL138" s="334"/>
      <c r="AM138" s="17"/>
      <c r="AN138" s="336"/>
      <c r="AO138" s="336"/>
      <c r="AP138" s="336"/>
      <c r="AQ138" s="336"/>
      <c r="AR138" s="17"/>
      <c r="AS138" s="344"/>
      <c r="AT138" s="344"/>
      <c r="AU138" s="345"/>
      <c r="AV138" s="344"/>
      <c r="AW138" s="17"/>
      <c r="AX138" s="347"/>
      <c r="AY138" s="347"/>
      <c r="AZ138" s="12"/>
      <c r="BA138" s="12"/>
      <c r="BB138" s="17">
        <f>BB149+BB160+BB158+BB159</f>
        <v>-2402</v>
      </c>
      <c r="BC138" s="347">
        <f t="shared" ref="BC138:CA138" si="100">BC149+BC160+BC158+BC159</f>
        <v>-622</v>
      </c>
      <c r="BD138" s="16">
        <f t="shared" si="100"/>
        <v>-672</v>
      </c>
      <c r="BE138" s="16">
        <f t="shared" si="100"/>
        <v>-650</v>
      </c>
      <c r="BF138" s="16">
        <f t="shared" si="100"/>
        <v>-622</v>
      </c>
      <c r="BG138" s="17">
        <f t="shared" si="100"/>
        <v>-2566</v>
      </c>
      <c r="BH138" s="16">
        <f t="shared" si="100"/>
        <v>-596</v>
      </c>
      <c r="BI138" s="16">
        <f t="shared" si="100"/>
        <v>-625</v>
      </c>
      <c r="BJ138" s="472">
        <f t="shared" si="100"/>
        <v>-618</v>
      </c>
      <c r="BK138" s="16">
        <f t="shared" si="100"/>
        <v>-636</v>
      </c>
      <c r="BL138" s="17">
        <f t="shared" si="100"/>
        <v>-2505</v>
      </c>
      <c r="BM138" s="16">
        <f t="shared" si="100"/>
        <v>-514</v>
      </c>
      <c r="BN138" s="16">
        <f t="shared" si="100"/>
        <v>-505</v>
      </c>
      <c r="BO138" s="472">
        <f t="shared" si="100"/>
        <v>-469</v>
      </c>
      <c r="BP138" s="16">
        <f t="shared" si="100"/>
        <v>-434</v>
      </c>
      <c r="BQ138" s="17">
        <f t="shared" si="100"/>
        <v>-1922</v>
      </c>
      <c r="BR138" s="16">
        <f t="shared" si="100"/>
        <v>-416</v>
      </c>
      <c r="BS138" s="368">
        <f t="shared" si="100"/>
        <v>-420</v>
      </c>
      <c r="BT138" s="472">
        <f t="shared" si="100"/>
        <v>-458</v>
      </c>
      <c r="BU138" s="16">
        <f t="shared" si="100"/>
        <v>-436</v>
      </c>
      <c r="BV138" s="17">
        <f t="shared" si="100"/>
        <v>-1730</v>
      </c>
      <c r="BW138" s="16">
        <f t="shared" si="100"/>
        <v>-466</v>
      </c>
      <c r="BX138" s="16">
        <f t="shared" si="100"/>
        <v>-518</v>
      </c>
      <c r="BY138" s="472">
        <f t="shared" si="100"/>
        <v>-482</v>
      </c>
      <c r="BZ138" s="16">
        <f t="shared" si="100"/>
        <v>-551</v>
      </c>
      <c r="CA138" s="17">
        <f t="shared" si="100"/>
        <v>-2017</v>
      </c>
      <c r="CB138" s="198">
        <f>CB149+CB160+CB158+CB159-196/4</f>
        <v>-586</v>
      </c>
      <c r="CC138" s="198">
        <f>CC149+CC160+CC158+CC159-196/4</f>
        <v>-653</v>
      </c>
      <c r="CD138" s="198">
        <f>CD149+CD160+CD158+CD159-196/4</f>
        <v>-592</v>
      </c>
      <c r="CE138" s="198">
        <f>CE149+CE160+CE158+CE159-196/4</f>
        <v>-611</v>
      </c>
      <c r="CF138" s="495">
        <f t="shared" si="90"/>
        <v>-2442</v>
      </c>
      <c r="CG138" s="198">
        <v>-625</v>
      </c>
      <c r="CH138" s="198">
        <v>-675</v>
      </c>
      <c r="CI138" s="198">
        <v>-671</v>
      </c>
      <c r="CJ138" s="198">
        <v>-661</v>
      </c>
      <c r="CK138" s="495">
        <f t="shared" si="91"/>
        <v>-2632</v>
      </c>
      <c r="CL138" s="368">
        <v>-367.2627469454211</v>
      </c>
      <c r="CM138" s="16">
        <v>-372.72758101818329</v>
      </c>
      <c r="CN138" s="16">
        <v>-365.26598064960433</v>
      </c>
      <c r="CO138" s="16">
        <v>315.2563086132086</v>
      </c>
      <c r="CP138" s="495">
        <f>-790</f>
        <v>-790</v>
      </c>
      <c r="CQ138" s="368">
        <v>-315.69407992510077</v>
      </c>
      <c r="CR138" s="16">
        <v>-303.68257245521772</v>
      </c>
      <c r="CS138" s="16">
        <v>-311.34508584117742</v>
      </c>
      <c r="CT138" s="16">
        <v>-594.27826177850397</v>
      </c>
      <c r="CU138" s="495">
        <v>-1525</v>
      </c>
      <c r="CV138" s="368">
        <f>-736+373</f>
        <v>-363</v>
      </c>
      <c r="CW138" s="16">
        <f>-794+379</f>
        <v>-415</v>
      </c>
      <c r="CX138" s="16">
        <f>-833+378</f>
        <v>-455</v>
      </c>
      <c r="CY138" s="16">
        <f>-865+414</f>
        <v>-451</v>
      </c>
      <c r="CZ138" s="495">
        <f t="shared" si="93"/>
        <v>-1684</v>
      </c>
      <c r="DA138" s="16">
        <f>-833+405</f>
        <v>-428</v>
      </c>
      <c r="DB138" s="16">
        <f>-891+421</f>
        <v>-470</v>
      </c>
      <c r="DC138" s="16">
        <v>-563</v>
      </c>
      <c r="DD138" s="16">
        <v>-518</v>
      </c>
      <c r="DE138" s="17">
        <f t="shared" si="94"/>
        <v>-1979</v>
      </c>
      <c r="DF138" s="16">
        <v>-483</v>
      </c>
      <c r="DG138" s="443">
        <v>-591</v>
      </c>
      <c r="DH138" s="443">
        <v>-611</v>
      </c>
      <c r="DI138" s="443">
        <v>-640</v>
      </c>
      <c r="DJ138" s="17">
        <f t="shared" ref="DJ138:DJ139" si="101">SUM(DF138:DI138)</f>
        <v>-2325</v>
      </c>
      <c r="DK138" s="443">
        <v>-617</v>
      </c>
      <c r="DL138" s="443">
        <v>-673</v>
      </c>
      <c r="DM138" s="443">
        <v>-611</v>
      </c>
      <c r="DN138" s="16"/>
      <c r="DO138" s="17"/>
      <c r="DP138" s="443"/>
      <c r="DQ138" s="16"/>
      <c r="DR138" s="16"/>
      <c r="DS138" s="16"/>
      <c r="DT138" s="17"/>
      <c r="DU138" s="17"/>
      <c r="DV138" s="17"/>
    </row>
    <row r="139" spans="1:126" s="13" customFormat="1">
      <c r="A139" s="32"/>
      <c r="B139" s="180" t="s">
        <v>131</v>
      </c>
      <c r="C139" s="308">
        <f t="shared" ref="C139:AZ139" si="102">C146+C147+C149+C161</f>
        <v>23357</v>
      </c>
      <c r="D139" s="308">
        <f t="shared" si="102"/>
        <v>29845</v>
      </c>
      <c r="E139" s="308">
        <f t="shared" si="102"/>
        <v>30961</v>
      </c>
      <c r="F139" s="308">
        <f t="shared" si="102"/>
        <v>28895</v>
      </c>
      <c r="G139" s="308">
        <f t="shared" si="102"/>
        <v>29531</v>
      </c>
      <c r="H139" s="308">
        <f t="shared" si="102"/>
        <v>27209</v>
      </c>
      <c r="I139" s="308">
        <f t="shared" si="102"/>
        <v>28710</v>
      </c>
      <c r="J139" s="627">
        <f t="shared" si="102"/>
        <v>7727</v>
      </c>
      <c r="K139" s="312">
        <f t="shared" si="102"/>
        <v>8010</v>
      </c>
      <c r="L139" s="312">
        <f t="shared" si="102"/>
        <v>7997</v>
      </c>
      <c r="M139" s="312">
        <f t="shared" si="102"/>
        <v>9014</v>
      </c>
      <c r="N139" s="75">
        <f t="shared" si="102"/>
        <v>32748</v>
      </c>
      <c r="O139" s="319">
        <f t="shared" si="102"/>
        <v>7955</v>
      </c>
      <c r="P139" s="319">
        <f t="shared" si="102"/>
        <v>8867</v>
      </c>
      <c r="Q139" s="319">
        <f t="shared" si="102"/>
        <v>8763</v>
      </c>
      <c r="R139" s="319">
        <f t="shared" si="102"/>
        <v>9895</v>
      </c>
      <c r="S139" s="75">
        <f t="shared" si="102"/>
        <v>35480</v>
      </c>
      <c r="T139" s="321">
        <f t="shared" si="102"/>
        <v>8891</v>
      </c>
      <c r="U139" s="321">
        <f t="shared" si="102"/>
        <v>9761</v>
      </c>
      <c r="V139" s="321">
        <f t="shared" si="102"/>
        <v>9675</v>
      </c>
      <c r="W139" s="321">
        <f t="shared" si="102"/>
        <v>8045</v>
      </c>
      <c r="X139" s="75">
        <f t="shared" si="102"/>
        <v>36372</v>
      </c>
      <c r="Y139" s="325">
        <f t="shared" si="102"/>
        <v>9096</v>
      </c>
      <c r="Z139" s="325">
        <f t="shared" si="102"/>
        <v>9863</v>
      </c>
      <c r="AA139" s="325">
        <f t="shared" si="102"/>
        <v>9766</v>
      </c>
      <c r="AB139" s="325">
        <f t="shared" si="102"/>
        <v>11220</v>
      </c>
      <c r="AC139" s="75">
        <f t="shared" si="102"/>
        <v>39945</v>
      </c>
      <c r="AD139" s="329">
        <f t="shared" si="102"/>
        <v>10225</v>
      </c>
      <c r="AE139" s="329">
        <f t="shared" si="102"/>
        <v>11009</v>
      </c>
      <c r="AF139" s="329">
        <f t="shared" si="102"/>
        <v>10725</v>
      </c>
      <c r="AG139" s="329">
        <f t="shared" si="102"/>
        <v>10841</v>
      </c>
      <c r="AH139" s="75">
        <f t="shared" si="102"/>
        <v>42800</v>
      </c>
      <c r="AI139" s="335">
        <f t="shared" si="102"/>
        <v>10361</v>
      </c>
      <c r="AJ139" s="335">
        <f t="shared" si="102"/>
        <v>10550</v>
      </c>
      <c r="AK139" s="335">
        <f t="shared" si="102"/>
        <v>10580</v>
      </c>
      <c r="AL139" s="335">
        <f t="shared" si="102"/>
        <v>10967</v>
      </c>
      <c r="AM139" s="75">
        <f t="shared" si="102"/>
        <v>42458</v>
      </c>
      <c r="AN139" s="337">
        <f t="shared" si="102"/>
        <v>10127</v>
      </c>
      <c r="AO139" s="337">
        <f t="shared" si="102"/>
        <v>10537</v>
      </c>
      <c r="AP139" s="337">
        <f t="shared" si="102"/>
        <v>10844</v>
      </c>
      <c r="AQ139" s="337">
        <f t="shared" si="102"/>
        <v>11862</v>
      </c>
      <c r="AR139" s="75">
        <f t="shared" si="102"/>
        <v>43370</v>
      </c>
      <c r="AS139" s="346">
        <f t="shared" si="102"/>
        <v>9988</v>
      </c>
      <c r="AT139" s="346">
        <f t="shared" si="102"/>
        <v>10573</v>
      </c>
      <c r="AU139" s="628">
        <f t="shared" si="102"/>
        <v>10307</v>
      </c>
      <c r="AV139" s="346">
        <f t="shared" si="102"/>
        <v>11087</v>
      </c>
      <c r="AW139" s="75">
        <f t="shared" si="102"/>
        <v>41955</v>
      </c>
      <c r="AX139" s="346">
        <f t="shared" si="102"/>
        <v>10123</v>
      </c>
      <c r="AY139" s="346">
        <f t="shared" si="102"/>
        <v>10553</v>
      </c>
      <c r="AZ139" s="346">
        <f t="shared" si="102"/>
        <v>12107</v>
      </c>
      <c r="BA139" s="346">
        <f>BA146+BA147+BA149+BA161</f>
        <v>13319</v>
      </c>
      <c r="BB139" s="75">
        <f>SUM(BB133:BB138)</f>
        <v>46185</v>
      </c>
      <c r="BC139" s="348">
        <f t="shared" ref="BC139:CK139" si="103">SUM(BC133:BC138)</f>
        <v>12378</v>
      </c>
      <c r="BD139" s="76">
        <f t="shared" si="103"/>
        <v>12874</v>
      </c>
      <c r="BE139" s="76">
        <f t="shared" si="103"/>
        <v>12338</v>
      </c>
      <c r="BF139" s="76">
        <f t="shared" si="103"/>
        <v>13196</v>
      </c>
      <c r="BG139" s="75">
        <f t="shared" si="103"/>
        <v>50786</v>
      </c>
      <c r="BH139" s="76">
        <f t="shared" si="103"/>
        <v>12086</v>
      </c>
      <c r="BI139" s="76">
        <f t="shared" si="103"/>
        <v>12714</v>
      </c>
      <c r="BJ139" s="479">
        <f t="shared" si="103"/>
        <v>12345</v>
      </c>
      <c r="BK139" s="76">
        <f t="shared" si="103"/>
        <v>13525</v>
      </c>
      <c r="BL139" s="75">
        <f t="shared" si="103"/>
        <v>50640</v>
      </c>
      <c r="BM139" s="76">
        <f t="shared" si="103"/>
        <v>11965</v>
      </c>
      <c r="BN139" s="76">
        <f t="shared" si="103"/>
        <v>12938</v>
      </c>
      <c r="BO139" s="479">
        <f t="shared" si="103"/>
        <v>12249</v>
      </c>
      <c r="BP139" s="76">
        <f t="shared" si="103"/>
        <v>13412</v>
      </c>
      <c r="BQ139" s="75">
        <f t="shared" si="103"/>
        <v>50564</v>
      </c>
      <c r="BR139" s="76">
        <f t="shared" si="103"/>
        <v>12677</v>
      </c>
      <c r="BS139" s="498">
        <f t="shared" si="103"/>
        <v>13353</v>
      </c>
      <c r="BT139" s="479">
        <f t="shared" si="103"/>
        <v>12954</v>
      </c>
      <c r="BU139" s="76">
        <f t="shared" si="103"/>
        <v>13585</v>
      </c>
      <c r="BV139" s="75">
        <f t="shared" si="103"/>
        <v>52569</v>
      </c>
      <c r="BW139" s="76">
        <f t="shared" si="103"/>
        <v>13119</v>
      </c>
      <c r="BX139" s="76">
        <f t="shared" si="103"/>
        <v>13718</v>
      </c>
      <c r="BY139" s="479">
        <f t="shared" si="103"/>
        <v>13887</v>
      </c>
      <c r="BZ139" s="76">
        <f t="shared" si="103"/>
        <v>14693</v>
      </c>
      <c r="CA139" s="75">
        <f t="shared" si="103"/>
        <v>55417</v>
      </c>
      <c r="CB139" s="76">
        <f t="shared" si="103"/>
        <v>15955.75</v>
      </c>
      <c r="CC139" s="76">
        <f t="shared" si="103"/>
        <v>16810.75</v>
      </c>
      <c r="CD139" s="479">
        <f t="shared" si="103"/>
        <v>17072.75</v>
      </c>
      <c r="CE139" s="76">
        <f t="shared" si="103"/>
        <v>19332.75</v>
      </c>
      <c r="CF139" s="75">
        <f t="shared" si="103"/>
        <v>69172</v>
      </c>
      <c r="CG139" s="76">
        <f t="shared" si="103"/>
        <v>17622</v>
      </c>
      <c r="CH139" s="76">
        <f t="shared" si="103"/>
        <v>18416</v>
      </c>
      <c r="CI139" s="479">
        <f t="shared" si="103"/>
        <v>18752</v>
      </c>
      <c r="CJ139" s="76">
        <f t="shared" si="103"/>
        <v>19447</v>
      </c>
      <c r="CK139" s="75">
        <f t="shared" si="103"/>
        <v>74237</v>
      </c>
      <c r="CL139" s="76">
        <f>SUM(CL133,CL134,CL137,CL138)</f>
        <v>16382.999999999998</v>
      </c>
      <c r="CM139" s="76">
        <f t="shared" ref="CM139" si="104">SUM(CM133,CM134,CM137,CM138)</f>
        <v>14413.000000000002</v>
      </c>
      <c r="CN139" s="76">
        <f t="shared" ref="CN139" si="105">SUM(CN133,CN134,CN137,CN138)</f>
        <v>14562</v>
      </c>
      <c r="CO139" s="76">
        <f t="shared" ref="CO139" si="106">SUM(CO133,CO134,CO137,CO138)</f>
        <v>19242</v>
      </c>
      <c r="CP139" s="496">
        <f t="shared" si="98"/>
        <v>64600</v>
      </c>
      <c r="CQ139" s="498">
        <f>SUM(CQ133,CQ134,CQ137,CQ138)</f>
        <v>15250.999999999998</v>
      </c>
      <c r="CR139" s="498">
        <f t="shared" ref="CR139:CT139" si="107">SUM(CR133,CR134,CR137,CR138)</f>
        <v>15733</v>
      </c>
      <c r="CS139" s="498">
        <f t="shared" si="107"/>
        <v>16030</v>
      </c>
      <c r="CT139" s="498">
        <f t="shared" si="107"/>
        <v>17374</v>
      </c>
      <c r="CU139" s="496">
        <f t="shared" si="92"/>
        <v>64388</v>
      </c>
      <c r="CV139" s="498">
        <f>SUM(CV137:CV138,CV133:CV134)</f>
        <v>15716</v>
      </c>
      <c r="CW139" s="498">
        <f t="shared" ref="CW139:CY139" si="108">SUM(CW137:CW138,CW133:CW134)</f>
        <v>16314</v>
      </c>
      <c r="CX139" s="498">
        <f t="shared" si="108"/>
        <v>16951</v>
      </c>
      <c r="CY139" s="498">
        <f t="shared" si="108"/>
        <v>18093</v>
      </c>
      <c r="CZ139" s="496">
        <f t="shared" si="93"/>
        <v>67074</v>
      </c>
      <c r="DA139" s="498">
        <f t="shared" ref="DA139:DF139" si="109">SUM(DA137:DA138,DA133:DA134)</f>
        <v>17214</v>
      </c>
      <c r="DB139" s="498">
        <f t="shared" si="109"/>
        <v>18315</v>
      </c>
      <c r="DC139" s="498">
        <f t="shared" si="109"/>
        <v>13464</v>
      </c>
      <c r="DD139" s="498">
        <f t="shared" si="109"/>
        <v>19927</v>
      </c>
      <c r="DE139" s="75">
        <f t="shared" si="94"/>
        <v>68920</v>
      </c>
      <c r="DF139" s="498">
        <f t="shared" si="109"/>
        <v>19305</v>
      </c>
      <c r="DG139" s="498">
        <f t="shared" ref="DG139:DI139" si="110">SUM(DG137:DG138,DG133:DG134)</f>
        <v>19791</v>
      </c>
      <c r="DH139" s="498">
        <f t="shared" si="110"/>
        <v>20089</v>
      </c>
      <c r="DI139" s="498">
        <f t="shared" si="110"/>
        <v>21623</v>
      </c>
      <c r="DJ139" s="75">
        <f t="shared" si="101"/>
        <v>80808</v>
      </c>
      <c r="DK139" s="498">
        <f t="shared" ref="DK139:DL139" si="111">SUM(DK137:DK138,DK133:DK134)</f>
        <v>20306</v>
      </c>
      <c r="DL139" s="498">
        <f t="shared" si="111"/>
        <v>21581</v>
      </c>
      <c r="DM139" s="498">
        <f t="shared" ref="DM139" si="112">SUM(DM137:DM138,DM133:DM134)</f>
        <v>22478</v>
      </c>
      <c r="DN139" s="16"/>
      <c r="DO139" s="17"/>
      <c r="DP139" s="498"/>
      <c r="DQ139" s="16"/>
      <c r="DR139" s="16"/>
      <c r="DS139" s="16"/>
      <c r="DT139" s="17"/>
      <c r="DU139" s="17"/>
      <c r="DV139" s="17"/>
    </row>
    <row r="140" spans="1:126" s="13" customFormat="1">
      <c r="A140" s="32"/>
      <c r="B140" s="165"/>
      <c r="C140" s="307"/>
      <c r="D140" s="307"/>
      <c r="E140" s="307"/>
      <c r="F140" s="307"/>
      <c r="G140" s="307"/>
      <c r="H140" s="307"/>
      <c r="I140" s="307"/>
      <c r="J140" s="399"/>
      <c r="K140" s="311"/>
      <c r="L140" s="311"/>
      <c r="M140" s="311"/>
      <c r="N140" s="17"/>
      <c r="O140" s="318"/>
      <c r="P140" s="318"/>
      <c r="Q140" s="318"/>
      <c r="R140" s="318"/>
      <c r="S140" s="17"/>
      <c r="T140" s="320"/>
      <c r="U140" s="320"/>
      <c r="V140" s="320"/>
      <c r="W140" s="320"/>
      <c r="X140" s="17"/>
      <c r="Y140" s="324"/>
      <c r="Z140" s="324"/>
      <c r="AA140" s="324"/>
      <c r="AB140" s="324"/>
      <c r="AC140" s="17"/>
      <c r="AD140" s="328"/>
      <c r="AE140" s="328"/>
      <c r="AF140" s="328"/>
      <c r="AG140" s="328"/>
      <c r="AH140" s="17"/>
      <c r="AI140" s="334"/>
      <c r="AJ140" s="334"/>
      <c r="AK140" s="334"/>
      <c r="AL140" s="334"/>
      <c r="AM140" s="17"/>
      <c r="AN140" s="336"/>
      <c r="AO140" s="336"/>
      <c r="AP140" s="336"/>
      <c r="AQ140" s="336"/>
      <c r="AR140" s="17"/>
      <c r="AS140" s="344"/>
      <c r="AT140" s="344"/>
      <c r="AU140" s="345"/>
      <c r="AV140" s="344"/>
      <c r="AW140" s="17"/>
      <c r="AX140" s="347"/>
      <c r="AY140" s="347"/>
      <c r="AZ140" s="12"/>
      <c r="BA140" s="12"/>
      <c r="BB140" s="17"/>
      <c r="BC140" s="347"/>
      <c r="BD140" s="16"/>
      <c r="BE140" s="16"/>
      <c r="BF140" s="16"/>
      <c r="BG140" s="17"/>
      <c r="BH140" s="16"/>
      <c r="BI140" s="16"/>
      <c r="BJ140" s="472"/>
      <c r="BK140" s="16"/>
      <c r="BL140" s="17"/>
      <c r="BM140" s="16"/>
      <c r="BN140" s="16"/>
      <c r="BO140" s="472"/>
      <c r="BP140" s="16"/>
      <c r="BQ140" s="17"/>
      <c r="BR140" s="16"/>
      <c r="BS140" s="368"/>
      <c r="BT140" s="472"/>
      <c r="BU140" s="16"/>
      <c r="BV140" s="17"/>
      <c r="BW140" s="16"/>
      <c r="BX140" s="16"/>
      <c r="BY140" s="472"/>
      <c r="BZ140" s="16"/>
      <c r="CA140" s="17"/>
      <c r="CB140" s="198"/>
      <c r="CC140" s="198"/>
      <c r="CD140" s="472"/>
      <c r="CE140" s="16"/>
      <c r="CF140" s="17"/>
      <c r="CG140" s="198"/>
      <c r="CH140" s="16"/>
      <c r="CI140" s="16"/>
      <c r="CJ140" s="16"/>
      <c r="CK140" s="17"/>
      <c r="CL140" s="16"/>
      <c r="CM140" s="16"/>
      <c r="CN140" s="16"/>
      <c r="CO140" s="16"/>
      <c r="CP140" s="17"/>
      <c r="CQ140" s="16"/>
      <c r="CR140" s="16"/>
      <c r="CS140" s="16"/>
      <c r="CT140" s="16"/>
      <c r="CU140" s="17"/>
      <c r="CV140" s="471"/>
      <c r="CW140" s="471"/>
      <c r="CX140" s="471"/>
      <c r="CY140" s="471"/>
      <c r="CZ140" s="17"/>
      <c r="DA140" s="16"/>
      <c r="DB140" s="16"/>
      <c r="DC140" s="16"/>
      <c r="DD140" s="16"/>
      <c r="DE140" s="17"/>
      <c r="DF140" s="16"/>
      <c r="DG140" s="16"/>
      <c r="DH140" s="16"/>
      <c r="DI140" s="16"/>
      <c r="DJ140" s="17"/>
      <c r="DK140" s="16"/>
      <c r="DL140" s="16"/>
      <c r="DM140" s="16"/>
      <c r="DN140" s="16"/>
      <c r="DO140" s="17"/>
      <c r="DP140" s="16"/>
      <c r="DQ140" s="16"/>
      <c r="DR140" s="16"/>
      <c r="DS140" s="16"/>
      <c r="DT140" s="17"/>
      <c r="DU140" s="17"/>
      <c r="DV140" s="17"/>
    </row>
    <row r="141" spans="1:126" s="13" customFormat="1" hidden="1" outlineLevel="1">
      <c r="A141" s="32"/>
      <c r="B141" s="108" t="s">
        <v>500</v>
      </c>
      <c r="C141" s="17"/>
      <c r="D141" s="17"/>
      <c r="E141" s="17"/>
      <c r="F141" s="17"/>
      <c r="G141" s="17"/>
      <c r="H141" s="17"/>
      <c r="I141" s="17"/>
      <c r="N141" s="17"/>
      <c r="S141" s="17"/>
      <c r="X141" s="17"/>
      <c r="AC141" s="17"/>
      <c r="AH141" s="17"/>
      <c r="AM141" s="17"/>
      <c r="AR141" s="17"/>
      <c r="AU141" s="16"/>
      <c r="AW141" s="17"/>
      <c r="AZ141" s="16"/>
      <c r="BA141" s="16"/>
      <c r="BB141" s="17"/>
      <c r="BD141" s="16"/>
      <c r="BE141" s="16"/>
      <c r="BF141" s="16"/>
      <c r="BG141" s="17"/>
      <c r="BH141" s="16"/>
      <c r="BI141" s="16"/>
      <c r="BJ141" s="471"/>
      <c r="BK141" s="16"/>
      <c r="BL141" s="17"/>
      <c r="BM141" s="16"/>
      <c r="BN141" s="16"/>
      <c r="BO141" s="471"/>
      <c r="BP141" s="16"/>
      <c r="BQ141" s="17"/>
      <c r="BR141" s="16"/>
      <c r="BS141" s="368"/>
      <c r="BT141" s="471"/>
      <c r="BU141" s="16"/>
      <c r="BV141" s="17"/>
      <c r="BW141" s="16"/>
      <c r="BX141" s="16"/>
      <c r="BY141" s="471"/>
      <c r="BZ141" s="16"/>
      <c r="CA141" s="17"/>
      <c r="CB141" s="16"/>
      <c r="CC141" s="16"/>
      <c r="CD141" s="471"/>
      <c r="CE141" s="16"/>
      <c r="CF141" s="17"/>
      <c r="CG141" s="16"/>
      <c r="CH141" s="16"/>
      <c r="CI141" s="471"/>
      <c r="CJ141" s="16"/>
      <c r="CK141" s="17"/>
      <c r="CL141" s="16"/>
      <c r="CM141" s="16"/>
      <c r="CN141" s="16"/>
      <c r="CO141" s="16"/>
      <c r="CP141" s="17"/>
      <c r="CQ141" s="16"/>
      <c r="CR141" s="16"/>
      <c r="CS141" s="16"/>
      <c r="CT141" s="16"/>
      <c r="CU141" s="17"/>
      <c r="CV141" s="471"/>
      <c r="CW141" s="471"/>
      <c r="CX141" s="471"/>
      <c r="CY141" s="471"/>
      <c r="CZ141" s="17"/>
      <c r="DA141" s="16"/>
      <c r="DB141" s="16"/>
      <c r="DC141" s="16"/>
      <c r="DD141" s="16"/>
      <c r="DE141" s="17"/>
      <c r="DF141" s="16"/>
      <c r="DG141" s="16"/>
      <c r="DH141" s="16"/>
      <c r="DI141" s="16"/>
      <c r="DJ141" s="17"/>
      <c r="DK141" s="16"/>
      <c r="DL141" s="16"/>
      <c r="DM141" s="16"/>
      <c r="DN141" s="16"/>
      <c r="DO141" s="17"/>
      <c r="DP141" s="16"/>
      <c r="DQ141" s="16"/>
      <c r="DR141" s="16"/>
      <c r="DS141" s="16"/>
      <c r="DT141" s="17"/>
      <c r="DU141" s="17"/>
      <c r="DV141" s="17"/>
    </row>
    <row r="142" spans="1:126" s="13" customFormat="1" hidden="1" outlineLevel="1">
      <c r="A142" s="32"/>
      <c r="B142" s="165" t="s">
        <v>193</v>
      </c>
      <c r="C142" s="307">
        <v>5548</v>
      </c>
      <c r="D142" s="307">
        <v>5572</v>
      </c>
      <c r="E142" s="307">
        <v>5654</v>
      </c>
      <c r="F142" s="307">
        <v>6153</v>
      </c>
      <c r="G142" s="307">
        <v>6338</v>
      </c>
      <c r="H142" s="307">
        <v>6811</v>
      </c>
      <c r="I142" s="307">
        <v>7882</v>
      </c>
      <c r="J142" s="399">
        <v>2102</v>
      </c>
      <c r="K142" s="311">
        <v>2193</v>
      </c>
      <c r="L142" s="311">
        <v>2228</v>
      </c>
      <c r="M142" s="311">
        <v>2414</v>
      </c>
      <c r="N142" s="17">
        <f t="shared" ref="N142:N151" si="113">SUM(J142:M142)</f>
        <v>8937</v>
      </c>
      <c r="O142" s="318">
        <v>2322</v>
      </c>
      <c r="P142" s="318">
        <v>2415</v>
      </c>
      <c r="Q142" s="318">
        <v>2362</v>
      </c>
      <c r="R142" s="318">
        <v>2476</v>
      </c>
      <c r="S142" s="17">
        <f t="shared" ref="S142:S151" si="114">SUM(O142:R142)</f>
        <v>9575</v>
      </c>
      <c r="T142" s="320">
        <v>2348</v>
      </c>
      <c r="U142" s="320">
        <v>2529</v>
      </c>
      <c r="V142" s="320">
        <v>2565</v>
      </c>
      <c r="W142" s="320">
        <v>2848</v>
      </c>
      <c r="X142" s="17">
        <f t="shared" ref="X142:X151" si="115">SUM(T142:W142)</f>
        <v>10290</v>
      </c>
      <c r="Y142" s="324">
        <v>2728</v>
      </c>
      <c r="Z142" s="324">
        <v>2858</v>
      </c>
      <c r="AA142" s="324">
        <v>2936</v>
      </c>
      <c r="AB142" s="324">
        <v>3363</v>
      </c>
      <c r="AC142" s="17">
        <f t="shared" ref="AC142:AC151" si="116">SUM(Y142:AB142)</f>
        <v>11885</v>
      </c>
      <c r="AD142" s="328">
        <v>3057</v>
      </c>
      <c r="AE142" s="328">
        <v>3404</v>
      </c>
      <c r="AF142" s="328">
        <v>3245</v>
      </c>
      <c r="AG142" s="328">
        <v>3178</v>
      </c>
      <c r="AH142" s="17">
        <f t="shared" ref="AH142:AH151" si="117">SUM(AD142:AG142)</f>
        <v>12884</v>
      </c>
      <c r="AI142" s="334">
        <v>2665</v>
      </c>
      <c r="AJ142" s="334">
        <v>2952</v>
      </c>
      <c r="AK142" s="334">
        <v>2962</v>
      </c>
      <c r="AL142" s="334">
        <v>3144</v>
      </c>
      <c r="AM142" s="17">
        <f t="shared" ref="AM142:AM151" si="118">SUM(AI142:AL142)</f>
        <v>11723</v>
      </c>
      <c r="AN142" s="336">
        <v>2726</v>
      </c>
      <c r="AO142" s="336">
        <v>2838</v>
      </c>
      <c r="AP142" s="336">
        <v>2908</v>
      </c>
      <c r="AQ142" s="336">
        <v>3107</v>
      </c>
      <c r="AR142" s="17">
        <f t="shared" ref="AR142:AR151" si="119">SUM(AN142:AQ142)</f>
        <v>11579</v>
      </c>
      <c r="AS142" s="344">
        <v>2772</v>
      </c>
      <c r="AT142" s="344">
        <v>3192</v>
      </c>
      <c r="AU142" s="345">
        <v>3262</v>
      </c>
      <c r="AV142" s="344">
        <v>3211</v>
      </c>
      <c r="AW142" s="17">
        <f t="shared" ref="AW142:AW151" si="120">SUM(AS142:AV142)</f>
        <v>12437</v>
      </c>
      <c r="AX142" s="347">
        <v>2770</v>
      </c>
      <c r="AY142" s="347">
        <v>3027</v>
      </c>
      <c r="AZ142" s="12">
        <v>3054</v>
      </c>
      <c r="BA142" s="12">
        <v>3205</v>
      </c>
      <c r="BB142" s="17">
        <f t="shared" ref="BB142:BB151" si="121">SUM(AX142:BA142)</f>
        <v>12056</v>
      </c>
      <c r="BC142" s="347">
        <v>2814</v>
      </c>
      <c r="BD142" s="16">
        <v>3138</v>
      </c>
      <c r="BE142" s="16">
        <v>3188</v>
      </c>
      <c r="BF142" s="16">
        <v>3344</v>
      </c>
      <c r="BG142" s="17">
        <f t="shared" ref="BG142:BG151" si="122">SUM(BC142:BF142)</f>
        <v>12484</v>
      </c>
      <c r="BH142" s="16">
        <v>2955</v>
      </c>
      <c r="BI142" s="16">
        <v>3365</v>
      </c>
      <c r="BJ142" s="472">
        <v>3326</v>
      </c>
      <c r="BK142" s="16">
        <v>3336</v>
      </c>
      <c r="BL142" s="17">
        <f t="shared" ref="BL142:BL151" si="123">SUM(BH142:BK142)</f>
        <v>12982</v>
      </c>
      <c r="BM142" s="16">
        <v>2745</v>
      </c>
      <c r="BN142" s="16">
        <v>3098</v>
      </c>
      <c r="BO142" s="472">
        <v>3043</v>
      </c>
      <c r="BP142" s="16">
        <v>3094</v>
      </c>
      <c r="BQ142" s="17">
        <f t="shared" ref="BQ142:BQ151" si="124">SUM(BM142:BP142)</f>
        <v>11980</v>
      </c>
      <c r="BR142" s="16">
        <v>2715</v>
      </c>
      <c r="BS142" s="368">
        <v>3097</v>
      </c>
      <c r="BT142" s="472">
        <v>3018</v>
      </c>
      <c r="BU142" s="16">
        <v>3063</v>
      </c>
      <c r="BV142" s="17">
        <f t="shared" ref="BV142:BV151" si="125">SUM(BR142:BU142)</f>
        <v>11893</v>
      </c>
      <c r="BW142" s="16">
        <v>2804</v>
      </c>
      <c r="BX142" s="16">
        <v>3131</v>
      </c>
      <c r="BY142" s="472">
        <v>3156</v>
      </c>
      <c r="BZ142" s="426">
        <v>3250</v>
      </c>
      <c r="CA142" s="17">
        <f t="shared" ref="CA142:CA151" si="126">SUM(BW142:BZ142)</f>
        <v>12341</v>
      </c>
      <c r="CB142" s="198">
        <v>3037</v>
      </c>
      <c r="CC142" s="198">
        <v>3344</v>
      </c>
      <c r="CD142" s="472">
        <v>3223</v>
      </c>
      <c r="CE142" s="16">
        <v>3300</v>
      </c>
      <c r="CF142" s="17">
        <f t="shared" ref="CF142" si="127">SUM(CB142:CE142)</f>
        <v>12904</v>
      </c>
      <c r="CG142" s="198">
        <v>3096</v>
      </c>
      <c r="CH142" s="16">
        <v>3348</v>
      </c>
      <c r="CI142" s="472">
        <v>3307</v>
      </c>
      <c r="CJ142" s="16">
        <v>3362</v>
      </c>
      <c r="CK142" s="17">
        <f t="shared" ref="CK142" si="128">SUM(CG142:CJ142)</f>
        <v>13113</v>
      </c>
      <c r="CL142" s="16"/>
      <c r="CM142" s="16"/>
      <c r="CN142" s="16"/>
      <c r="CO142" s="16"/>
      <c r="CP142" s="17"/>
      <c r="CQ142" s="16"/>
      <c r="CR142" s="16"/>
      <c r="CS142" s="16"/>
      <c r="CT142" s="16"/>
      <c r="CU142" s="17"/>
      <c r="CV142" s="471"/>
      <c r="CW142" s="471"/>
      <c r="CX142" s="471"/>
      <c r="CY142" s="471"/>
      <c r="CZ142" s="17"/>
      <c r="DA142" s="16"/>
      <c r="DB142" s="16"/>
      <c r="DC142" s="16"/>
      <c r="DD142" s="16"/>
      <c r="DE142" s="17"/>
      <c r="DF142" s="16"/>
      <c r="DG142" s="16"/>
      <c r="DH142" s="16"/>
      <c r="DI142" s="16"/>
      <c r="DJ142" s="17"/>
      <c r="DK142" s="16"/>
      <c r="DL142" s="16"/>
      <c r="DM142" s="16"/>
      <c r="DN142" s="16"/>
      <c r="DO142" s="17"/>
      <c r="DP142" s="16"/>
      <c r="DQ142" s="16"/>
      <c r="DR142" s="16"/>
      <c r="DS142" s="16"/>
      <c r="DT142" s="17"/>
      <c r="DU142" s="17"/>
      <c r="DV142" s="17"/>
    </row>
    <row r="143" spans="1:126" s="13" customFormat="1" hidden="1" outlineLevel="1">
      <c r="A143" s="32"/>
      <c r="B143" s="180" t="s">
        <v>239</v>
      </c>
      <c r="C143" s="307"/>
      <c r="D143" s="307"/>
      <c r="E143" s="307"/>
      <c r="F143" s="307"/>
      <c r="G143" s="307"/>
      <c r="H143" s="307"/>
      <c r="I143" s="307"/>
      <c r="J143" s="311">
        <v>703</v>
      </c>
      <c r="K143" s="311">
        <v>707</v>
      </c>
      <c r="L143" s="311">
        <v>696</v>
      </c>
      <c r="M143" s="311">
        <f>+N143-2106</f>
        <v>773</v>
      </c>
      <c r="N143" s="17">
        <v>2879</v>
      </c>
      <c r="O143" s="318">
        <v>764</v>
      </c>
      <c r="P143" s="318">
        <v>1162</v>
      </c>
      <c r="Q143" s="318">
        <v>1121</v>
      </c>
      <c r="R143" s="318">
        <f>+S143-3047</f>
        <v>1203</v>
      </c>
      <c r="S143" s="17">
        <v>4250</v>
      </c>
      <c r="T143" s="320">
        <v>1112</v>
      </c>
      <c r="U143" s="320">
        <v>1167</v>
      </c>
      <c r="V143" s="320">
        <v>1142</v>
      </c>
      <c r="W143" s="320">
        <f>+X143-3421</f>
        <v>1326</v>
      </c>
      <c r="X143" s="17">
        <v>4747</v>
      </c>
      <c r="Y143" s="324">
        <v>1246</v>
      </c>
      <c r="Z143" s="324">
        <v>1349</v>
      </c>
      <c r="AA143" s="324">
        <v>1471</v>
      </c>
      <c r="AB143" s="324">
        <f>+AC143-4066</f>
        <v>1688</v>
      </c>
      <c r="AC143" s="17">
        <v>5754</v>
      </c>
      <c r="AD143" s="328">
        <v>1598</v>
      </c>
      <c r="AE143" s="328">
        <v>1738</v>
      </c>
      <c r="AF143" s="328">
        <v>1624</v>
      </c>
      <c r="AG143" s="328">
        <f>+AH143-4960</f>
        <v>1486</v>
      </c>
      <c r="AH143" s="17">
        <v>6446</v>
      </c>
      <c r="AI143" s="334">
        <v>1286</v>
      </c>
      <c r="AJ143" s="334">
        <v>1330</v>
      </c>
      <c r="AK143" s="334">
        <v>1383</v>
      </c>
      <c r="AL143" s="334">
        <v>1504</v>
      </c>
      <c r="AM143" s="17">
        <v>5503</v>
      </c>
      <c r="AN143" s="403">
        <v>1415</v>
      </c>
      <c r="AO143" s="403">
        <v>1615</v>
      </c>
      <c r="AP143" s="403">
        <v>1657</v>
      </c>
      <c r="AQ143" s="403">
        <v>1803</v>
      </c>
      <c r="AR143" s="17">
        <v>6490</v>
      </c>
      <c r="AS143" s="403">
        <v>1628</v>
      </c>
      <c r="AT143" s="403">
        <v>1746</v>
      </c>
      <c r="AU143" s="403">
        <v>1746</v>
      </c>
      <c r="AV143" s="403">
        <v>1775</v>
      </c>
      <c r="AW143" s="17">
        <f t="shared" si="120"/>
        <v>6895</v>
      </c>
      <c r="AX143" s="347"/>
      <c r="AY143" s="347"/>
      <c r="AZ143" s="12"/>
      <c r="BA143" s="12"/>
      <c r="BB143" s="17"/>
      <c r="BC143" s="347"/>
      <c r="BD143" s="16"/>
      <c r="BE143" s="16"/>
      <c r="BF143" s="16"/>
      <c r="BG143" s="17"/>
      <c r="BH143" s="16"/>
      <c r="BI143" s="16"/>
      <c r="BJ143" s="472"/>
      <c r="BK143" s="16"/>
      <c r="BL143" s="17"/>
      <c r="BM143" s="16"/>
      <c r="BN143" s="16"/>
      <c r="BO143" s="472"/>
      <c r="BP143" s="16"/>
      <c r="BQ143" s="17"/>
      <c r="BR143" s="16"/>
      <c r="BS143" s="368"/>
      <c r="BT143" s="472"/>
      <c r="BU143" s="16"/>
      <c r="BV143" s="17"/>
      <c r="BW143" s="16"/>
      <c r="BX143" s="16"/>
      <c r="BY143" s="472"/>
      <c r="BZ143" s="16"/>
      <c r="CA143" s="17"/>
      <c r="CB143" s="16"/>
      <c r="CC143" s="16"/>
      <c r="CD143" s="472"/>
      <c r="CE143" s="16"/>
      <c r="CF143" s="17"/>
      <c r="CG143" s="16"/>
      <c r="CH143" s="16"/>
      <c r="CI143" s="472"/>
      <c r="CJ143" s="16"/>
      <c r="CK143" s="17"/>
      <c r="CL143" s="16"/>
      <c r="CM143" s="16"/>
      <c r="CN143" s="16"/>
      <c r="CO143" s="16"/>
      <c r="CP143" s="17"/>
      <c r="CQ143" s="16"/>
      <c r="CR143" s="16"/>
      <c r="CS143" s="16"/>
      <c r="CT143" s="16"/>
      <c r="CU143" s="17"/>
      <c r="CV143" s="471"/>
      <c r="CW143" s="471"/>
      <c r="CX143" s="471"/>
      <c r="CY143" s="471"/>
      <c r="CZ143" s="17"/>
      <c r="DA143" s="16"/>
      <c r="DB143" s="16"/>
      <c r="DC143" s="16"/>
      <c r="DD143" s="16"/>
      <c r="DE143" s="17"/>
      <c r="DF143" s="16"/>
      <c r="DG143" s="16"/>
      <c r="DH143" s="16"/>
      <c r="DI143" s="16"/>
      <c r="DJ143" s="17"/>
      <c r="DK143" s="16"/>
      <c r="DL143" s="16"/>
      <c r="DM143" s="16"/>
      <c r="DN143" s="16"/>
      <c r="DO143" s="17"/>
      <c r="DP143" s="16"/>
      <c r="DQ143" s="16"/>
      <c r="DR143" s="16"/>
      <c r="DS143" s="16"/>
      <c r="DT143" s="17"/>
      <c r="DU143" s="17"/>
      <c r="DV143" s="17"/>
    </row>
    <row r="144" spans="1:126" s="13" customFormat="1" hidden="1" outlineLevel="1">
      <c r="A144" s="32"/>
      <c r="B144" s="180" t="s">
        <v>238</v>
      </c>
      <c r="C144" s="307"/>
      <c r="D144" s="307"/>
      <c r="E144" s="307"/>
      <c r="F144" s="307"/>
      <c r="G144" s="307"/>
      <c r="H144" s="307"/>
      <c r="I144" s="307"/>
      <c r="J144" s="311">
        <v>2230</v>
      </c>
      <c r="K144" s="311">
        <v>3018</v>
      </c>
      <c r="L144" s="311">
        <v>2675</v>
      </c>
      <c r="M144" s="311">
        <f>+N144-7923</f>
        <v>2697</v>
      </c>
      <c r="N144" s="17">
        <v>10620</v>
      </c>
      <c r="O144" s="318">
        <v>2705</v>
      </c>
      <c r="P144" s="318">
        <v>3413</v>
      </c>
      <c r="Q144" s="318">
        <v>3351</v>
      </c>
      <c r="R144" s="318">
        <f>+S144-9469</f>
        <v>3043</v>
      </c>
      <c r="S144" s="17">
        <v>12512</v>
      </c>
      <c r="T144" s="320">
        <v>2904</v>
      </c>
      <c r="U144" s="320">
        <v>3751</v>
      </c>
      <c r="V144" s="320">
        <v>3607</v>
      </c>
      <c r="W144" s="320">
        <f>+X144-10262</f>
        <v>3219</v>
      </c>
      <c r="X144" s="17">
        <v>13481</v>
      </c>
      <c r="Y144" s="324">
        <v>3130</v>
      </c>
      <c r="Z144" s="324">
        <v>4055</v>
      </c>
      <c r="AA144" s="324">
        <v>3738</v>
      </c>
      <c r="AB144" s="324">
        <f>+AC144-10923</f>
        <v>4021</v>
      </c>
      <c r="AC144" s="17">
        <v>14944</v>
      </c>
      <c r="AD144" s="328">
        <v>3409</v>
      </c>
      <c r="AE144" s="328">
        <v>4356</v>
      </c>
      <c r="AF144" s="328">
        <v>3917</v>
      </c>
      <c r="AG144" s="328">
        <f>+AH144-11682</f>
        <v>3135</v>
      </c>
      <c r="AH144" s="17">
        <v>14817</v>
      </c>
      <c r="AI144" s="334">
        <v>2487</v>
      </c>
      <c r="AJ144" s="334">
        <v>3100</v>
      </c>
      <c r="AK144" s="334">
        <v>3007</v>
      </c>
      <c r="AL144" s="334">
        <f>+AM144-8594</f>
        <v>2741</v>
      </c>
      <c r="AM144" s="17">
        <v>11335</v>
      </c>
      <c r="AN144" s="403">
        <v>2467</v>
      </c>
      <c r="AO144" s="403">
        <v>3093</v>
      </c>
      <c r="AP144" s="403">
        <v>2936</v>
      </c>
      <c r="AQ144" s="403">
        <v>2890</v>
      </c>
      <c r="AR144" s="17">
        <v>11386</v>
      </c>
      <c r="AS144" s="403">
        <v>2766</v>
      </c>
      <c r="AT144" s="403">
        <v>3393</v>
      </c>
      <c r="AU144" s="403">
        <v>3175</v>
      </c>
      <c r="AV144" s="403">
        <v>2635</v>
      </c>
      <c r="AW144" s="17">
        <f t="shared" si="120"/>
        <v>11969</v>
      </c>
      <c r="AX144" s="347"/>
      <c r="AY144" s="347"/>
      <c r="AZ144" s="12"/>
      <c r="BA144" s="12"/>
      <c r="BB144" s="17"/>
      <c r="BC144" s="347"/>
      <c r="BD144" s="16"/>
      <c r="BE144" s="16"/>
      <c r="BF144" s="16"/>
      <c r="BG144" s="17"/>
      <c r="BH144" s="16"/>
      <c r="BI144" s="16"/>
      <c r="BJ144" s="472"/>
      <c r="BK144" s="16"/>
      <c r="BL144" s="17"/>
      <c r="BM144" s="16"/>
      <c r="BN144" s="16"/>
      <c r="BO144" s="472"/>
      <c r="BP144" s="16"/>
      <c r="BQ144" s="17"/>
      <c r="BR144" s="16"/>
      <c r="BS144" s="368"/>
      <c r="BT144" s="472"/>
      <c r="BU144" s="16"/>
      <c r="BV144" s="17"/>
      <c r="BW144" s="16"/>
      <c r="BX144" s="16"/>
      <c r="BY144" s="472"/>
      <c r="BZ144" s="16"/>
      <c r="CA144" s="17"/>
      <c r="CB144" s="16"/>
      <c r="CC144" s="16"/>
      <c r="CD144" s="472"/>
      <c r="CE144" s="16"/>
      <c r="CF144" s="17"/>
      <c r="CG144" s="16"/>
      <c r="CH144" s="16"/>
      <c r="CI144" s="472"/>
      <c r="CJ144" s="16"/>
      <c r="CK144" s="17"/>
      <c r="CL144" s="16"/>
      <c r="CM144" s="16"/>
      <c r="CN144" s="16"/>
      <c r="CO144" s="16"/>
      <c r="CP144" s="17"/>
      <c r="CQ144" s="16"/>
      <c r="CR144" s="16"/>
      <c r="CS144" s="16"/>
      <c r="CT144" s="16"/>
      <c r="CU144" s="17"/>
      <c r="CV144" s="471"/>
      <c r="CW144" s="471"/>
      <c r="CX144" s="471"/>
      <c r="CY144" s="471"/>
      <c r="CZ144" s="17"/>
      <c r="DA144" s="16"/>
      <c r="DB144" s="16"/>
      <c r="DC144" s="16"/>
      <c r="DD144" s="16"/>
      <c r="DE144" s="17"/>
      <c r="DF144" s="16"/>
      <c r="DG144" s="16"/>
      <c r="DH144" s="16"/>
      <c r="DI144" s="16"/>
      <c r="DJ144" s="17"/>
      <c r="DK144" s="16"/>
      <c r="DL144" s="16"/>
      <c r="DM144" s="16"/>
      <c r="DN144" s="16"/>
      <c r="DO144" s="17"/>
      <c r="DP144" s="16"/>
      <c r="DQ144" s="16"/>
      <c r="DR144" s="16"/>
      <c r="DS144" s="16"/>
      <c r="DT144" s="17"/>
      <c r="DU144" s="17"/>
      <c r="DV144" s="17"/>
    </row>
    <row r="145" spans="1:126" s="13" customFormat="1" hidden="1" outlineLevel="1">
      <c r="A145" s="32"/>
      <c r="B145" s="165" t="s">
        <v>212</v>
      </c>
      <c r="C145" s="307">
        <v>6056</v>
      </c>
      <c r="D145" s="307">
        <v>6922</v>
      </c>
      <c r="E145" s="307">
        <v>7353</v>
      </c>
      <c r="F145" s="307">
        <v>8430</v>
      </c>
      <c r="G145" s="307">
        <v>8895</v>
      </c>
      <c r="H145" s="307">
        <v>8773</v>
      </c>
      <c r="I145" s="307">
        <v>10367</v>
      </c>
      <c r="J145" s="311">
        <v>2933</v>
      </c>
      <c r="K145" s="311">
        <v>3725</v>
      </c>
      <c r="L145" s="311">
        <v>3371</v>
      </c>
      <c r="M145" s="311">
        <v>3470</v>
      </c>
      <c r="N145" s="17">
        <f t="shared" si="113"/>
        <v>13499</v>
      </c>
      <c r="O145" s="318">
        <v>3469</v>
      </c>
      <c r="P145" s="318">
        <v>4575</v>
      </c>
      <c r="Q145" s="318">
        <v>4472</v>
      </c>
      <c r="R145" s="318">
        <v>4246</v>
      </c>
      <c r="S145" s="17">
        <f t="shared" si="114"/>
        <v>16762</v>
      </c>
      <c r="T145" s="320">
        <v>4016</v>
      </c>
      <c r="U145" s="320">
        <v>4918</v>
      </c>
      <c r="V145" s="320">
        <v>4749</v>
      </c>
      <c r="W145" s="320">
        <v>4545</v>
      </c>
      <c r="X145" s="17">
        <f t="shared" si="115"/>
        <v>18228</v>
      </c>
      <c r="Y145" s="324">
        <v>4376</v>
      </c>
      <c r="Z145" s="324">
        <v>5404</v>
      </c>
      <c r="AA145" s="324">
        <v>5209</v>
      </c>
      <c r="AB145" s="324">
        <v>5409</v>
      </c>
      <c r="AC145" s="17">
        <f t="shared" si="116"/>
        <v>20398</v>
      </c>
      <c r="AD145" s="328">
        <v>5007</v>
      </c>
      <c r="AE145" s="328">
        <v>6094</v>
      </c>
      <c r="AF145" s="328">
        <v>5541</v>
      </c>
      <c r="AG145" s="328">
        <v>4621</v>
      </c>
      <c r="AH145" s="17">
        <f t="shared" si="117"/>
        <v>21263</v>
      </c>
      <c r="AI145" s="334">
        <v>3773</v>
      </c>
      <c r="AJ145" s="334">
        <v>4430</v>
      </c>
      <c r="AK145" s="334">
        <v>4390</v>
      </c>
      <c r="AL145" s="334">
        <v>4245</v>
      </c>
      <c r="AM145" s="17">
        <f t="shared" si="118"/>
        <v>16838</v>
      </c>
      <c r="AN145" s="336">
        <v>3882</v>
      </c>
      <c r="AO145" s="336">
        <v>4708</v>
      </c>
      <c r="AP145" s="336">
        <v>4593</v>
      </c>
      <c r="AQ145" s="336">
        <v>4693</v>
      </c>
      <c r="AR145" s="17">
        <f t="shared" si="119"/>
        <v>17876</v>
      </c>
      <c r="AS145" s="344">
        <v>4393</v>
      </c>
      <c r="AT145" s="344">
        <v>5140</v>
      </c>
      <c r="AU145" s="345">
        <v>4921</v>
      </c>
      <c r="AV145" s="344">
        <v>4410</v>
      </c>
      <c r="AW145" s="17">
        <f t="shared" si="120"/>
        <v>18864</v>
      </c>
      <c r="AX145" s="347">
        <v>4112</v>
      </c>
      <c r="AY145" s="347">
        <v>4572</v>
      </c>
      <c r="AZ145" s="12">
        <v>4259</v>
      </c>
      <c r="BA145" s="12">
        <v>4147</v>
      </c>
      <c r="BB145" s="17">
        <f t="shared" si="121"/>
        <v>17090</v>
      </c>
      <c r="BC145" s="347">
        <v>3837</v>
      </c>
      <c r="BD145" s="16">
        <v>4543</v>
      </c>
      <c r="BE145" s="16">
        <v>4237</v>
      </c>
      <c r="BF145" s="16">
        <v>4192</v>
      </c>
      <c r="BG145" s="17">
        <f t="shared" si="122"/>
        <v>16809</v>
      </c>
      <c r="BH145" s="16">
        <v>3851</v>
      </c>
      <c r="BI145" s="16">
        <v>4429</v>
      </c>
      <c r="BJ145" s="472">
        <v>4351</v>
      </c>
      <c r="BK145" s="16">
        <v>4192</v>
      </c>
      <c r="BL145" s="17">
        <f t="shared" si="123"/>
        <v>16823</v>
      </c>
      <c r="BM145" s="16">
        <v>3852</v>
      </c>
      <c r="BN145" s="16">
        <v>4454</v>
      </c>
      <c r="BO145" s="472">
        <v>4279</v>
      </c>
      <c r="BP145" s="16">
        <v>4122</v>
      </c>
      <c r="BQ145" s="17">
        <f t="shared" si="124"/>
        <v>16707</v>
      </c>
      <c r="BR145" s="16">
        <v>3728</v>
      </c>
      <c r="BS145" s="368">
        <v>4459</v>
      </c>
      <c r="BT145" s="472">
        <v>4415</v>
      </c>
      <c r="BU145" s="16">
        <v>4249</v>
      </c>
      <c r="BV145" s="17">
        <f t="shared" si="125"/>
        <v>16851</v>
      </c>
      <c r="BW145" s="16">
        <v>3892</v>
      </c>
      <c r="BX145" s="16">
        <v>4712</v>
      </c>
      <c r="BY145" s="472">
        <v>4688</v>
      </c>
      <c r="BZ145" s="426">
        <v>4520</v>
      </c>
      <c r="CA145" s="17">
        <f t="shared" si="126"/>
        <v>17812</v>
      </c>
      <c r="CB145" s="16">
        <v>4376</v>
      </c>
      <c r="CC145" s="16">
        <v>5035</v>
      </c>
      <c r="CD145" s="472">
        <v>4880</v>
      </c>
      <c r="CE145" s="16">
        <v>4631</v>
      </c>
      <c r="CF145" s="17">
        <f t="shared" ref="CF145:CF149" si="129">SUM(CB145:CE145)</f>
        <v>18922</v>
      </c>
      <c r="CG145" s="16">
        <v>4323</v>
      </c>
      <c r="CH145" s="16">
        <v>4962</v>
      </c>
      <c r="CI145" s="472">
        <v>4822</v>
      </c>
      <c r="CJ145" s="16">
        <v>4501</v>
      </c>
      <c r="CK145" s="17">
        <f t="shared" ref="CK145:CK149" si="130">SUM(CG145:CJ145)</f>
        <v>18608</v>
      </c>
      <c r="CL145" s="16"/>
      <c r="CM145" s="16"/>
      <c r="CN145" s="16"/>
      <c r="CO145" s="16"/>
      <c r="CP145" s="17"/>
      <c r="CQ145" s="16"/>
      <c r="CR145" s="16"/>
      <c r="CS145" s="16"/>
      <c r="CT145" s="16"/>
      <c r="CU145" s="17"/>
      <c r="CV145" s="471"/>
      <c r="CW145" s="471"/>
      <c r="CX145" s="471"/>
      <c r="CY145" s="471"/>
      <c r="CZ145" s="17"/>
      <c r="DA145" s="16"/>
      <c r="DB145" s="16"/>
      <c r="DC145" s="16"/>
      <c r="DD145" s="16"/>
      <c r="DE145" s="17"/>
      <c r="DF145" s="16"/>
      <c r="DG145" s="16"/>
      <c r="DH145" s="16"/>
      <c r="DI145" s="16"/>
      <c r="DJ145" s="17"/>
      <c r="DK145" s="16"/>
      <c r="DL145" s="16"/>
      <c r="DM145" s="16"/>
      <c r="DN145" s="16"/>
      <c r="DO145" s="17"/>
      <c r="DP145" s="16"/>
      <c r="DQ145" s="16"/>
      <c r="DR145" s="16"/>
      <c r="DS145" s="16"/>
      <c r="DT145" s="17"/>
      <c r="DU145" s="17"/>
      <c r="DV145" s="17"/>
    </row>
    <row r="146" spans="1:126" s="208" customFormat="1" hidden="1" outlineLevel="1">
      <c r="A146" s="3"/>
      <c r="B146" s="165" t="s">
        <v>194</v>
      </c>
      <c r="C146" s="307">
        <v>7402</v>
      </c>
      <c r="D146" s="307">
        <v>7876</v>
      </c>
      <c r="E146" s="307">
        <v>7674</v>
      </c>
      <c r="F146" s="307">
        <v>7366</v>
      </c>
      <c r="G146" s="307">
        <v>7679</v>
      </c>
      <c r="H146" s="307">
        <v>7645</v>
      </c>
      <c r="I146" s="307">
        <v>7484</v>
      </c>
      <c r="J146" s="311">
        <v>1939</v>
      </c>
      <c r="K146" s="311">
        <v>2080</v>
      </c>
      <c r="L146" s="311">
        <v>2100</v>
      </c>
      <c r="M146" s="311">
        <v>2162</v>
      </c>
      <c r="N146" s="195">
        <f t="shared" si="113"/>
        <v>8281</v>
      </c>
      <c r="O146" s="318">
        <v>2013</v>
      </c>
      <c r="P146" s="318">
        <v>2273</v>
      </c>
      <c r="Q146" s="318">
        <v>2414</v>
      </c>
      <c r="R146" s="318">
        <v>2595</v>
      </c>
      <c r="S146" s="195">
        <f t="shared" si="114"/>
        <v>9295</v>
      </c>
      <c r="T146" s="320">
        <v>2568</v>
      </c>
      <c r="U146" s="320">
        <v>2727</v>
      </c>
      <c r="V146" s="320">
        <v>2771</v>
      </c>
      <c r="W146" s="320">
        <v>3046</v>
      </c>
      <c r="X146" s="195">
        <f t="shared" si="115"/>
        <v>11112</v>
      </c>
      <c r="Y146" s="324">
        <v>2767</v>
      </c>
      <c r="Z146" s="324">
        <v>3108</v>
      </c>
      <c r="AA146" s="324">
        <v>3036</v>
      </c>
      <c r="AB146" s="324">
        <v>4175</v>
      </c>
      <c r="AC146" s="195">
        <f t="shared" si="116"/>
        <v>13086</v>
      </c>
      <c r="AD146" s="328">
        <v>3464</v>
      </c>
      <c r="AE146" s="328">
        <v>3569</v>
      </c>
      <c r="AF146" s="328">
        <v>3421</v>
      </c>
      <c r="AG146" s="328">
        <v>3395</v>
      </c>
      <c r="AH146" s="195">
        <f t="shared" si="117"/>
        <v>13849</v>
      </c>
      <c r="AI146" s="334">
        <v>3180</v>
      </c>
      <c r="AJ146" s="334">
        <v>3111</v>
      </c>
      <c r="AK146" s="334">
        <v>3031</v>
      </c>
      <c r="AL146" s="334">
        <v>3070</v>
      </c>
      <c r="AM146" s="195">
        <f t="shared" si="118"/>
        <v>12392</v>
      </c>
      <c r="AN146" s="336">
        <v>2841</v>
      </c>
      <c r="AO146" s="336">
        <v>3279</v>
      </c>
      <c r="AP146" s="336">
        <v>3230</v>
      </c>
      <c r="AQ146" s="336">
        <v>3585</v>
      </c>
      <c r="AR146" s="195">
        <f t="shared" si="119"/>
        <v>12935</v>
      </c>
      <c r="AS146" s="344">
        <v>2873</v>
      </c>
      <c r="AT146" s="344">
        <v>3276</v>
      </c>
      <c r="AU146" s="345">
        <v>3081</v>
      </c>
      <c r="AV146" s="344">
        <v>3481</v>
      </c>
      <c r="AW146" s="195">
        <f t="shared" si="120"/>
        <v>12711</v>
      </c>
      <c r="AX146" s="347">
        <v>3052</v>
      </c>
      <c r="AY146" s="347">
        <v>3447</v>
      </c>
      <c r="AZ146" s="349">
        <v>3574</v>
      </c>
      <c r="BA146" s="349">
        <v>3891</v>
      </c>
      <c r="BB146" s="195">
        <f t="shared" si="121"/>
        <v>13964</v>
      </c>
      <c r="BC146" s="347">
        <v>3402</v>
      </c>
      <c r="BD146" s="198">
        <v>3624</v>
      </c>
      <c r="BE146" s="198">
        <v>3386</v>
      </c>
      <c r="BF146" s="198">
        <v>4089</v>
      </c>
      <c r="BG146" s="195">
        <f t="shared" si="122"/>
        <v>14501</v>
      </c>
      <c r="BH146" s="198">
        <v>3329</v>
      </c>
      <c r="BI146" s="198">
        <v>3592</v>
      </c>
      <c r="BJ146" s="472">
        <v>3564</v>
      </c>
      <c r="BK146" s="198">
        <v>4023</v>
      </c>
      <c r="BL146" s="195">
        <f t="shared" si="123"/>
        <v>14508</v>
      </c>
      <c r="BM146" s="198">
        <v>3332</v>
      </c>
      <c r="BN146" s="198">
        <v>3677</v>
      </c>
      <c r="BO146" s="472">
        <v>3234</v>
      </c>
      <c r="BP146" s="198">
        <v>3839</v>
      </c>
      <c r="BQ146" s="495">
        <f t="shared" si="124"/>
        <v>14082</v>
      </c>
      <c r="BR146" s="198">
        <v>3588</v>
      </c>
      <c r="BS146" s="453">
        <v>3813</v>
      </c>
      <c r="BT146" s="472">
        <v>3501</v>
      </c>
      <c r="BU146" s="198">
        <v>3992</v>
      </c>
      <c r="BV146" s="495">
        <f t="shared" si="125"/>
        <v>14894</v>
      </c>
      <c r="BW146" s="198">
        <v>3758</v>
      </c>
      <c r="BX146" s="198">
        <v>4070</v>
      </c>
      <c r="BY146" s="472">
        <v>4256</v>
      </c>
      <c r="BZ146" s="426">
        <v>4461</v>
      </c>
      <c r="CA146" s="495">
        <f t="shared" si="126"/>
        <v>16545</v>
      </c>
      <c r="CB146" s="198">
        <v>4329</v>
      </c>
      <c r="CC146" s="198">
        <v>4736</v>
      </c>
      <c r="CD146" s="472">
        <v>4789</v>
      </c>
      <c r="CE146" s="198">
        <v>5543</v>
      </c>
      <c r="CF146" s="495">
        <f t="shared" si="129"/>
        <v>19397</v>
      </c>
      <c r="CG146" s="198">
        <v>4817</v>
      </c>
      <c r="CH146" s="198">
        <v>5150</v>
      </c>
      <c r="CI146" s="472">
        <v>5283</v>
      </c>
      <c r="CJ146" s="198">
        <v>5642</v>
      </c>
      <c r="CK146" s="495">
        <f t="shared" si="130"/>
        <v>20892</v>
      </c>
      <c r="CL146" s="198"/>
      <c r="CM146" s="198"/>
      <c r="CN146" s="198"/>
      <c r="CO146" s="198"/>
      <c r="CP146" s="195"/>
      <c r="CQ146" s="198"/>
      <c r="CR146" s="198"/>
      <c r="CS146" s="198"/>
      <c r="CT146" s="198"/>
      <c r="CU146" s="195"/>
      <c r="CV146" s="475"/>
      <c r="CW146" s="475"/>
      <c r="CX146" s="475"/>
      <c r="CY146" s="475"/>
      <c r="CZ146" s="195"/>
      <c r="DA146" s="198"/>
      <c r="DB146" s="198"/>
      <c r="DC146" s="198"/>
      <c r="DD146" s="198"/>
      <c r="DE146" s="195"/>
      <c r="DF146" s="198"/>
      <c r="DG146" s="198"/>
      <c r="DH146" s="198"/>
      <c r="DI146" s="198"/>
      <c r="DJ146" s="195"/>
      <c r="DK146" s="198"/>
      <c r="DL146" s="198"/>
      <c r="DM146" s="198"/>
      <c r="DN146" s="198"/>
      <c r="DO146" s="195"/>
      <c r="DP146" s="198"/>
      <c r="DQ146" s="198"/>
      <c r="DR146" s="198"/>
      <c r="DS146" s="198"/>
      <c r="DT146" s="195"/>
      <c r="DU146" s="195"/>
      <c r="DV146" s="195"/>
    </row>
    <row r="147" spans="1:126" s="13" customFormat="1" hidden="1" outlineLevel="1">
      <c r="A147" s="32"/>
      <c r="B147" s="165" t="s">
        <v>474</v>
      </c>
      <c r="C147" s="307">
        <v>2804</v>
      </c>
      <c r="D147" s="307">
        <v>2891</v>
      </c>
      <c r="E147" s="307">
        <v>3810</v>
      </c>
      <c r="F147" s="307">
        <v>4992</v>
      </c>
      <c r="G147" s="307">
        <v>5292</v>
      </c>
      <c r="H147" s="307">
        <v>3453</v>
      </c>
      <c r="I147" s="307">
        <v>3598</v>
      </c>
      <c r="J147" s="311">
        <v>926</v>
      </c>
      <c r="K147" s="311">
        <v>935</v>
      </c>
      <c r="L147" s="311">
        <v>980</v>
      </c>
      <c r="M147" s="311">
        <v>1080</v>
      </c>
      <c r="N147" s="17">
        <f t="shared" si="113"/>
        <v>3921</v>
      </c>
      <c r="O147" s="318">
        <v>1028</v>
      </c>
      <c r="P147" s="318">
        <v>1126</v>
      </c>
      <c r="Q147" s="318">
        <v>1077</v>
      </c>
      <c r="R147" s="318">
        <v>1151</v>
      </c>
      <c r="S147" s="17">
        <f t="shared" si="114"/>
        <v>4382</v>
      </c>
      <c r="T147" s="320">
        <v>1164</v>
      </c>
      <c r="U147" s="320">
        <v>1281</v>
      </c>
      <c r="V147" s="320">
        <v>1253</v>
      </c>
      <c r="W147" s="320">
        <v>1297</v>
      </c>
      <c r="X147" s="17">
        <f t="shared" si="115"/>
        <v>4995</v>
      </c>
      <c r="Y147" s="324">
        <v>1313</v>
      </c>
      <c r="Z147" s="324">
        <v>1404</v>
      </c>
      <c r="AA147" s="324">
        <v>1427</v>
      </c>
      <c r="AB147" s="324">
        <v>1492</v>
      </c>
      <c r="AC147" s="17">
        <f t="shared" si="116"/>
        <v>5636</v>
      </c>
      <c r="AD147" s="328">
        <v>1461</v>
      </c>
      <c r="AE147" s="328">
        <v>1650</v>
      </c>
      <c r="AF147" s="328">
        <v>1532</v>
      </c>
      <c r="AG147" s="328">
        <v>1484</v>
      </c>
      <c r="AH147" s="17">
        <f t="shared" si="117"/>
        <v>6127</v>
      </c>
      <c r="AI147" s="334">
        <v>1381</v>
      </c>
      <c r="AJ147" s="334">
        <v>1402</v>
      </c>
      <c r="AK147" s="334">
        <v>1400</v>
      </c>
      <c r="AL147" s="334">
        <v>1377</v>
      </c>
      <c r="AM147" s="17">
        <f t="shared" si="118"/>
        <v>5560</v>
      </c>
      <c r="AN147" s="336">
        <v>1326</v>
      </c>
      <c r="AO147" s="336">
        <v>1379</v>
      </c>
      <c r="AP147" s="336">
        <v>1420</v>
      </c>
      <c r="AQ147" s="336">
        <v>1483</v>
      </c>
      <c r="AR147" s="17">
        <f t="shared" si="119"/>
        <v>5608</v>
      </c>
      <c r="AS147" s="344">
        <v>1138</v>
      </c>
      <c r="AT147" s="344">
        <v>1171</v>
      </c>
      <c r="AU147" s="345">
        <v>1187</v>
      </c>
      <c r="AV147" s="344">
        <v>1264</v>
      </c>
      <c r="AW147" s="17">
        <f t="shared" si="120"/>
        <v>4760</v>
      </c>
      <c r="AX147" s="347">
        <v>1236</v>
      </c>
      <c r="AY147" s="347">
        <v>1254</v>
      </c>
      <c r="AZ147" s="12">
        <v>2670</v>
      </c>
      <c r="BA147" s="12">
        <v>3174</v>
      </c>
      <c r="BB147" s="17">
        <f t="shared" si="121"/>
        <v>8334</v>
      </c>
      <c r="BC147" s="347">
        <v>3263</v>
      </c>
      <c r="BD147" s="16">
        <v>3321</v>
      </c>
      <c r="BE147" s="16">
        <v>3312</v>
      </c>
      <c r="BF147" s="16">
        <v>3451</v>
      </c>
      <c r="BG147" s="17">
        <f t="shared" si="122"/>
        <v>13347</v>
      </c>
      <c r="BH147" s="16">
        <v>3450</v>
      </c>
      <c r="BI147" s="16">
        <v>3636</v>
      </c>
      <c r="BJ147" s="472">
        <v>3535</v>
      </c>
      <c r="BK147" s="16">
        <v>3594</v>
      </c>
      <c r="BL147" s="17">
        <f t="shared" si="123"/>
        <v>14215</v>
      </c>
      <c r="BM147" s="16">
        <v>3548</v>
      </c>
      <c r="BN147" s="16">
        <v>3632</v>
      </c>
      <c r="BO147" s="472">
        <v>3457</v>
      </c>
      <c r="BP147" s="16">
        <v>3457</v>
      </c>
      <c r="BQ147" s="366">
        <f t="shared" si="124"/>
        <v>14094</v>
      </c>
      <c r="BR147" s="16">
        <v>3505</v>
      </c>
      <c r="BS147" s="368">
        <v>3716</v>
      </c>
      <c r="BT147" s="472">
        <v>3646</v>
      </c>
      <c r="BU147" s="16">
        <v>3598</v>
      </c>
      <c r="BV147" s="366">
        <f t="shared" si="125"/>
        <v>14465</v>
      </c>
      <c r="BW147" s="16">
        <v>3611</v>
      </c>
      <c r="BX147" s="16">
        <v>3640</v>
      </c>
      <c r="BY147" s="472">
        <v>3637</v>
      </c>
      <c r="BZ147" s="426">
        <v>3803</v>
      </c>
      <c r="CA147" s="366">
        <f t="shared" si="126"/>
        <v>14691</v>
      </c>
      <c r="CB147" s="16">
        <v>3817</v>
      </c>
      <c r="CC147" s="16">
        <v>3962</v>
      </c>
      <c r="CD147" s="472">
        <v>3955</v>
      </c>
      <c r="CE147" s="16">
        <v>4900</v>
      </c>
      <c r="CF147" s="366">
        <f t="shared" si="129"/>
        <v>16634</v>
      </c>
      <c r="CG147" s="16">
        <v>6513</v>
      </c>
      <c r="CH147" s="16">
        <v>6576</v>
      </c>
      <c r="CI147" s="472">
        <v>6495</v>
      </c>
      <c r="CJ147" s="16">
        <v>6444</v>
      </c>
      <c r="CK147" s="366">
        <f t="shared" si="130"/>
        <v>26028</v>
      </c>
      <c r="CL147" s="16"/>
      <c r="CM147" s="16"/>
      <c r="CN147" s="16"/>
      <c r="CO147" s="16"/>
      <c r="CP147" s="17"/>
      <c r="CQ147" s="16"/>
      <c r="CR147" s="16"/>
      <c r="CS147" s="16"/>
      <c r="CT147" s="16"/>
      <c r="CU147" s="17"/>
      <c r="CV147" s="471"/>
      <c r="CW147" s="471"/>
      <c r="CX147" s="471"/>
      <c r="CY147" s="471"/>
      <c r="CZ147" s="17"/>
      <c r="DA147" s="16"/>
      <c r="DB147" s="16"/>
      <c r="DC147" s="16"/>
      <c r="DD147" s="16"/>
      <c r="DE147" s="17"/>
      <c r="DF147" s="16"/>
      <c r="DG147" s="16"/>
      <c r="DH147" s="16"/>
      <c r="DI147" s="16"/>
      <c r="DJ147" s="17"/>
      <c r="DK147" s="16"/>
      <c r="DL147" s="16"/>
      <c r="DM147" s="16"/>
      <c r="DN147" s="16"/>
      <c r="DO147" s="17"/>
      <c r="DP147" s="16"/>
      <c r="DQ147" s="16"/>
      <c r="DR147" s="16"/>
      <c r="DS147" s="16"/>
      <c r="DT147" s="17"/>
      <c r="DU147" s="17"/>
      <c r="DV147" s="17"/>
    </row>
    <row r="148" spans="1:126" s="13" customFormat="1" hidden="1" outlineLevel="1">
      <c r="A148" s="32"/>
      <c r="B148" s="165" t="s">
        <v>195</v>
      </c>
      <c r="C148" s="307"/>
      <c r="D148" s="307">
        <v>0</v>
      </c>
      <c r="E148" s="307">
        <v>0</v>
      </c>
      <c r="F148" s="307">
        <v>0</v>
      </c>
      <c r="G148" s="307">
        <v>0</v>
      </c>
      <c r="H148" s="307">
        <v>2179</v>
      </c>
      <c r="I148" s="307">
        <v>2184</v>
      </c>
      <c r="J148" s="311">
        <v>560</v>
      </c>
      <c r="K148" s="311">
        <v>623</v>
      </c>
      <c r="L148" s="311">
        <v>679</v>
      </c>
      <c r="M148" s="311">
        <v>644</v>
      </c>
      <c r="N148" s="17">
        <f t="shared" si="113"/>
        <v>2506</v>
      </c>
      <c r="O148" s="318">
        <v>605</v>
      </c>
      <c r="P148" s="318">
        <v>704</v>
      </c>
      <c r="Q148" s="318">
        <v>639</v>
      </c>
      <c r="R148" s="318">
        <v>854</v>
      </c>
      <c r="S148" s="17">
        <f t="shared" si="114"/>
        <v>2802</v>
      </c>
      <c r="T148" s="320">
        <v>512</v>
      </c>
      <c r="U148" s="320">
        <v>767</v>
      </c>
      <c r="V148" s="320">
        <v>867</v>
      </c>
      <c r="W148" s="320">
        <v>1084</v>
      </c>
      <c r="X148" s="17">
        <f t="shared" si="115"/>
        <v>3230</v>
      </c>
      <c r="Y148" s="324">
        <v>1006</v>
      </c>
      <c r="Z148" s="324">
        <v>1198</v>
      </c>
      <c r="AA148" s="324">
        <v>1307</v>
      </c>
      <c r="AB148" s="324">
        <v>1278</v>
      </c>
      <c r="AC148" s="17">
        <f t="shared" si="116"/>
        <v>4789</v>
      </c>
      <c r="AD148" s="328">
        <v>1023</v>
      </c>
      <c r="AE148" s="328">
        <v>1307</v>
      </c>
      <c r="AF148" s="328">
        <v>1438</v>
      </c>
      <c r="AG148" s="328">
        <v>1578</v>
      </c>
      <c r="AH148" s="17">
        <f t="shared" si="117"/>
        <v>5346</v>
      </c>
      <c r="AI148" s="334">
        <v>1334</v>
      </c>
      <c r="AJ148" s="334">
        <v>1389</v>
      </c>
      <c r="AK148" s="334">
        <v>1648</v>
      </c>
      <c r="AL148" s="334">
        <v>1916</v>
      </c>
      <c r="AM148" s="17">
        <f t="shared" si="118"/>
        <v>6287</v>
      </c>
      <c r="AN148" s="336">
        <v>1358</v>
      </c>
      <c r="AO148" s="336">
        <v>1692</v>
      </c>
      <c r="AP148" s="336">
        <v>1547</v>
      </c>
      <c r="AQ148" s="336">
        <v>2087</v>
      </c>
      <c r="AR148" s="17">
        <f t="shared" si="119"/>
        <v>6684</v>
      </c>
      <c r="AS148" s="344">
        <v>1582</v>
      </c>
      <c r="AT148" s="344">
        <v>1786</v>
      </c>
      <c r="AU148" s="345">
        <v>1877</v>
      </c>
      <c r="AV148" s="344">
        <v>2110</v>
      </c>
      <c r="AW148" s="17">
        <f t="shared" si="120"/>
        <v>7355</v>
      </c>
      <c r="AX148" s="347">
        <v>1346</v>
      </c>
      <c r="AY148" s="347">
        <v>1620</v>
      </c>
      <c r="AZ148" s="12">
        <v>1649</v>
      </c>
      <c r="BA148" s="12">
        <v>2176</v>
      </c>
      <c r="BB148" s="17">
        <f t="shared" si="121"/>
        <v>6791</v>
      </c>
      <c r="BC148" s="347">
        <v>1249</v>
      </c>
      <c r="BD148" s="16">
        <v>1566</v>
      </c>
      <c r="BE148" s="16">
        <v>1541</v>
      </c>
      <c r="BF148" s="16">
        <v>1897</v>
      </c>
      <c r="BG148" s="17">
        <f t="shared" si="122"/>
        <v>6253</v>
      </c>
      <c r="BH148" s="16">
        <v>1361</v>
      </c>
      <c r="BI148" s="16">
        <v>2384</v>
      </c>
      <c r="BJ148" s="472">
        <v>1620</v>
      </c>
      <c r="BK148" s="16">
        <v>2086</v>
      </c>
      <c r="BL148" s="17">
        <f t="shared" si="123"/>
        <v>7451</v>
      </c>
      <c r="BM148" s="16">
        <v>1267</v>
      </c>
      <c r="BN148" s="16">
        <v>1691</v>
      </c>
      <c r="BO148" s="472">
        <v>1421</v>
      </c>
      <c r="BP148" s="16">
        <v>0</v>
      </c>
      <c r="BQ148" s="366">
        <f t="shared" si="124"/>
        <v>4379</v>
      </c>
      <c r="BR148" s="16">
        <v>0</v>
      </c>
      <c r="BS148" s="16">
        <v>0</v>
      </c>
      <c r="BT148" s="16">
        <v>0</v>
      </c>
      <c r="BU148" s="16"/>
      <c r="BV148" s="366">
        <f t="shared" si="125"/>
        <v>0</v>
      </c>
      <c r="BW148" s="16"/>
      <c r="BX148" s="16"/>
      <c r="BY148" s="472"/>
      <c r="BZ148" s="426"/>
      <c r="CA148" s="366">
        <f t="shared" si="126"/>
        <v>0</v>
      </c>
      <c r="CB148" s="16"/>
      <c r="CC148" s="16"/>
      <c r="CD148" s="472"/>
      <c r="CE148" s="16"/>
      <c r="CF148" s="366">
        <f t="shared" si="129"/>
        <v>0</v>
      </c>
      <c r="CG148" s="16"/>
      <c r="CH148" s="16"/>
      <c r="CI148" s="472"/>
      <c r="CJ148" s="16"/>
      <c r="CK148" s="366">
        <f t="shared" si="130"/>
        <v>0</v>
      </c>
      <c r="CL148" s="16"/>
      <c r="CM148" s="16"/>
      <c r="CN148" s="16"/>
      <c r="CO148" s="16"/>
      <c r="CP148" s="17"/>
      <c r="CQ148" s="16"/>
      <c r="CR148" s="16"/>
      <c r="CS148" s="16"/>
      <c r="CT148" s="16"/>
      <c r="CU148" s="17"/>
      <c r="CV148" s="471"/>
      <c r="CW148" s="471"/>
      <c r="CX148" s="471"/>
      <c r="CY148" s="471"/>
      <c r="CZ148" s="17"/>
      <c r="DA148" s="16"/>
      <c r="DB148" s="16"/>
      <c r="DC148" s="16"/>
      <c r="DD148" s="16"/>
      <c r="DE148" s="17"/>
      <c r="DF148" s="16"/>
      <c r="DG148" s="16"/>
      <c r="DH148" s="16"/>
      <c r="DI148" s="16"/>
      <c r="DJ148" s="17"/>
      <c r="DK148" s="16"/>
      <c r="DL148" s="16"/>
      <c r="DM148" s="16"/>
      <c r="DN148" s="16"/>
      <c r="DO148" s="17"/>
      <c r="DP148" s="16"/>
      <c r="DQ148" s="16"/>
      <c r="DR148" s="16"/>
      <c r="DS148" s="16"/>
      <c r="DT148" s="17"/>
      <c r="DU148" s="17"/>
      <c r="DV148" s="17"/>
    </row>
    <row r="149" spans="1:126" s="13" customFormat="1" hidden="1" outlineLevel="1">
      <c r="A149" s="32"/>
      <c r="B149" s="165" t="s">
        <v>213</v>
      </c>
      <c r="C149" s="307">
        <v>-522</v>
      </c>
      <c r="D149" s="307">
        <v>-452</v>
      </c>
      <c r="E149" s="307">
        <v>-364</v>
      </c>
      <c r="F149" s="307">
        <v>-358</v>
      </c>
      <c r="G149" s="307">
        <v>-307</v>
      </c>
      <c r="H149" s="307">
        <v>-649</v>
      </c>
      <c r="I149" s="307">
        <v>-481</v>
      </c>
      <c r="J149" s="311">
        <v>186</v>
      </c>
      <c r="K149" s="311">
        <v>66</v>
      </c>
      <c r="L149" s="311">
        <v>-19</v>
      </c>
      <c r="M149" s="311">
        <v>68</v>
      </c>
      <c r="N149" s="17">
        <f t="shared" si="113"/>
        <v>301</v>
      </c>
      <c r="O149" s="318">
        <v>-30</v>
      </c>
      <c r="P149" s="318">
        <v>59</v>
      </c>
      <c r="Q149" s="318">
        <v>-59</v>
      </c>
      <c r="R149" s="318">
        <v>-61</v>
      </c>
      <c r="S149" s="17">
        <f t="shared" si="114"/>
        <v>-91</v>
      </c>
      <c r="T149" s="320">
        <v>7</v>
      </c>
      <c r="U149" s="320">
        <v>42</v>
      </c>
      <c r="V149" s="320">
        <v>-42</v>
      </c>
      <c r="W149" s="320">
        <v>-33</v>
      </c>
      <c r="X149" s="17">
        <f t="shared" si="115"/>
        <v>-26</v>
      </c>
      <c r="Y149" s="324">
        <v>88</v>
      </c>
      <c r="Z149" s="324">
        <v>-68</v>
      </c>
      <c r="AA149" s="324">
        <v>-52</v>
      </c>
      <c r="AB149" s="324">
        <v>-46</v>
      </c>
      <c r="AC149" s="17">
        <f t="shared" si="116"/>
        <v>-78</v>
      </c>
      <c r="AD149" s="328">
        <v>-54</v>
      </c>
      <c r="AE149" s="328">
        <v>-80</v>
      </c>
      <c r="AF149" s="328">
        <v>-92</v>
      </c>
      <c r="AG149" s="328">
        <v>-124</v>
      </c>
      <c r="AH149" s="17">
        <f t="shared" si="117"/>
        <v>-350</v>
      </c>
      <c r="AI149" s="334">
        <v>-84</v>
      </c>
      <c r="AJ149" s="334">
        <v>-88</v>
      </c>
      <c r="AK149" s="334">
        <v>-56</v>
      </c>
      <c r="AL149" s="334">
        <v>-147</v>
      </c>
      <c r="AM149" s="17">
        <f t="shared" si="118"/>
        <v>-375</v>
      </c>
      <c r="AN149" s="336">
        <v>-93</v>
      </c>
      <c r="AO149" s="336">
        <v>-94</v>
      </c>
      <c r="AP149" s="336">
        <v>-78</v>
      </c>
      <c r="AQ149" s="336">
        <v>-91</v>
      </c>
      <c r="AR149" s="17">
        <f t="shared" si="119"/>
        <v>-356</v>
      </c>
      <c r="AS149" s="344">
        <v>-85</v>
      </c>
      <c r="AT149" s="344">
        <v>-96</v>
      </c>
      <c r="AU149" s="345">
        <v>-93</v>
      </c>
      <c r="AV149" s="344">
        <v>-99</v>
      </c>
      <c r="AW149" s="17">
        <f t="shared" si="120"/>
        <v>-373</v>
      </c>
      <c r="AX149" s="347">
        <v>-92</v>
      </c>
      <c r="AY149" s="347">
        <v>-113</v>
      </c>
      <c r="AZ149" s="12">
        <v>-164</v>
      </c>
      <c r="BA149" s="12">
        <v>-158</v>
      </c>
      <c r="BB149" s="17">
        <f t="shared" si="121"/>
        <v>-527</v>
      </c>
      <c r="BC149" s="347">
        <v>-166</v>
      </c>
      <c r="BD149" s="16">
        <v>-186</v>
      </c>
      <c r="BE149" s="16">
        <v>-202</v>
      </c>
      <c r="BF149" s="16">
        <v>-214</v>
      </c>
      <c r="BG149" s="17">
        <f t="shared" si="122"/>
        <v>-768</v>
      </c>
      <c r="BH149" s="16">
        <v>-201</v>
      </c>
      <c r="BI149" s="16">
        <v>-215</v>
      </c>
      <c r="BJ149" s="472">
        <v>-228</v>
      </c>
      <c r="BK149" s="16">
        <v>-235</v>
      </c>
      <c r="BL149" s="17">
        <f t="shared" si="123"/>
        <v>-879</v>
      </c>
      <c r="BM149" s="16">
        <v>-203</v>
      </c>
      <c r="BN149" s="16">
        <v>-219</v>
      </c>
      <c r="BO149" s="472">
        <v>-225</v>
      </c>
      <c r="BP149" s="472">
        <v>-212</v>
      </c>
      <c r="BQ149" s="366">
        <f t="shared" si="124"/>
        <v>-859</v>
      </c>
      <c r="BR149" s="16">
        <v>-179</v>
      </c>
      <c r="BS149" s="368">
        <v>-211</v>
      </c>
      <c r="BT149" s="472">
        <v>-226</v>
      </c>
      <c r="BU149" s="16">
        <v>-243</v>
      </c>
      <c r="BV149" s="366">
        <f t="shared" si="125"/>
        <v>-859</v>
      </c>
      <c r="BW149" s="16">
        <v>-250</v>
      </c>
      <c r="BX149" s="16">
        <v>-273</v>
      </c>
      <c r="BY149" s="472">
        <v>-290</v>
      </c>
      <c r="BZ149" s="426">
        <v>-354</v>
      </c>
      <c r="CA149" s="366">
        <f t="shared" si="126"/>
        <v>-1167</v>
      </c>
      <c r="CB149" s="16">
        <v>-317</v>
      </c>
      <c r="CC149" s="16">
        <v>-372</v>
      </c>
      <c r="CD149" s="472">
        <v>-337</v>
      </c>
      <c r="CE149" s="16">
        <v>-330</v>
      </c>
      <c r="CF149" s="366">
        <f t="shared" si="129"/>
        <v>-1356</v>
      </c>
      <c r="CG149" s="16">
        <v>-384</v>
      </c>
      <c r="CH149" s="16">
        <v>-402</v>
      </c>
      <c r="CI149" s="472">
        <v>-411</v>
      </c>
      <c r="CJ149" s="16">
        <v>-398</v>
      </c>
      <c r="CK149" s="366">
        <f t="shared" si="130"/>
        <v>-1595</v>
      </c>
      <c r="CL149" s="16"/>
      <c r="CM149" s="16"/>
      <c r="CN149" s="16"/>
      <c r="CO149" s="16"/>
      <c r="CP149" s="17"/>
      <c r="CQ149" s="16"/>
      <c r="CR149" s="16"/>
      <c r="CS149" s="16"/>
      <c r="CT149" s="16"/>
      <c r="CU149" s="17"/>
      <c r="CV149" s="471"/>
      <c r="CW149" s="471"/>
      <c r="CX149" s="471"/>
      <c r="CY149" s="471"/>
      <c r="CZ149" s="17"/>
      <c r="DA149" s="16"/>
      <c r="DB149" s="16"/>
      <c r="DC149" s="16"/>
      <c r="DD149" s="16"/>
      <c r="DE149" s="17"/>
      <c r="DF149" s="16"/>
      <c r="DG149" s="16"/>
      <c r="DH149" s="16"/>
      <c r="DI149" s="16"/>
      <c r="DJ149" s="17"/>
      <c r="DK149" s="16"/>
      <c r="DL149" s="16"/>
      <c r="DM149" s="16"/>
      <c r="DN149" s="16"/>
      <c r="DO149" s="17"/>
      <c r="DP149" s="16"/>
      <c r="DQ149" s="16"/>
      <c r="DR149" s="16"/>
      <c r="DS149" s="16"/>
      <c r="DT149" s="17"/>
      <c r="DU149" s="17"/>
      <c r="DV149" s="17"/>
    </row>
    <row r="150" spans="1:126" s="13" customFormat="1" hidden="1" outlineLevel="1">
      <c r="A150" s="32"/>
      <c r="B150" s="165" t="s">
        <v>214</v>
      </c>
      <c r="C150" s="307"/>
      <c r="D150" s="307"/>
      <c r="E150" s="307"/>
      <c r="F150" s="307"/>
      <c r="G150" s="307"/>
      <c r="H150" s="307"/>
      <c r="I150" s="307"/>
      <c r="J150" s="311"/>
      <c r="K150" s="311"/>
      <c r="L150" s="311">
        <v>0</v>
      </c>
      <c r="M150" s="311">
        <v>0</v>
      </c>
      <c r="N150" s="17">
        <f t="shared" si="113"/>
        <v>0</v>
      </c>
      <c r="O150" s="318">
        <v>0</v>
      </c>
      <c r="P150" s="318">
        <v>0</v>
      </c>
      <c r="Q150" s="318">
        <v>0</v>
      </c>
      <c r="R150" s="318">
        <v>0</v>
      </c>
      <c r="S150" s="17">
        <f t="shared" si="114"/>
        <v>0</v>
      </c>
      <c r="T150" s="320">
        <v>0</v>
      </c>
      <c r="U150" s="320">
        <v>0</v>
      </c>
      <c r="V150" s="320">
        <v>0</v>
      </c>
      <c r="W150" s="320">
        <v>0</v>
      </c>
      <c r="X150" s="17">
        <f t="shared" si="115"/>
        <v>0</v>
      </c>
      <c r="Y150" s="324"/>
      <c r="Z150" s="324"/>
      <c r="AA150" s="324">
        <v>0</v>
      </c>
      <c r="AB150" s="324">
        <v>0</v>
      </c>
      <c r="AC150" s="17">
        <f t="shared" si="116"/>
        <v>0</v>
      </c>
      <c r="AD150" s="328"/>
      <c r="AE150" s="328"/>
      <c r="AF150" s="328">
        <v>0</v>
      </c>
      <c r="AG150" s="328">
        <v>0</v>
      </c>
      <c r="AH150" s="17">
        <f t="shared" si="117"/>
        <v>0</v>
      </c>
      <c r="AI150" s="334">
        <v>0</v>
      </c>
      <c r="AJ150" s="334">
        <v>0</v>
      </c>
      <c r="AK150" s="334">
        <v>0</v>
      </c>
      <c r="AL150" s="334">
        <v>0</v>
      </c>
      <c r="AM150" s="17">
        <f t="shared" si="118"/>
        <v>0</v>
      </c>
      <c r="AN150" s="336">
        <v>0</v>
      </c>
      <c r="AO150" s="336">
        <v>0</v>
      </c>
      <c r="AP150" s="336">
        <v>0</v>
      </c>
      <c r="AQ150" s="336">
        <v>0</v>
      </c>
      <c r="AR150" s="17">
        <f t="shared" si="119"/>
        <v>0</v>
      </c>
      <c r="AS150" s="344">
        <v>0</v>
      </c>
      <c r="AT150" s="344">
        <v>0</v>
      </c>
      <c r="AU150" s="345">
        <v>0</v>
      </c>
      <c r="AV150" s="344">
        <v>0</v>
      </c>
      <c r="AW150" s="17">
        <f t="shared" si="120"/>
        <v>0</v>
      </c>
      <c r="AX150" s="347">
        <v>0</v>
      </c>
      <c r="AY150" s="347">
        <v>0</v>
      </c>
      <c r="AZ150" s="12"/>
      <c r="BA150" s="12"/>
      <c r="BB150" s="17">
        <f t="shared" si="121"/>
        <v>0</v>
      </c>
      <c r="BC150" s="347"/>
      <c r="BD150" s="16"/>
      <c r="BE150" s="16"/>
      <c r="BF150" s="16"/>
      <c r="BG150" s="17"/>
      <c r="BH150" s="16"/>
      <c r="BI150" s="16"/>
      <c r="BJ150" s="472"/>
      <c r="BK150" s="16"/>
      <c r="BL150" s="17"/>
      <c r="BM150" s="16"/>
      <c r="BN150" s="16"/>
      <c r="BO150" s="472"/>
      <c r="BP150" s="16"/>
      <c r="BQ150" s="366"/>
      <c r="BR150" s="16"/>
      <c r="BS150" s="368"/>
      <c r="BT150" s="472"/>
      <c r="BU150" s="16"/>
      <c r="BV150" s="366"/>
      <c r="BW150" s="16"/>
      <c r="BX150" s="16"/>
      <c r="BY150" s="472"/>
      <c r="BZ150" s="426"/>
      <c r="CA150" s="366"/>
      <c r="CB150" s="16"/>
      <c r="CC150" s="16"/>
      <c r="CD150" s="472"/>
      <c r="CE150" s="16"/>
      <c r="CF150" s="366"/>
      <c r="CG150" s="16"/>
      <c r="CH150" s="16"/>
      <c r="CI150" s="472"/>
      <c r="CJ150" s="16"/>
      <c r="CK150" s="366"/>
      <c r="CL150" s="16"/>
      <c r="CM150" s="16"/>
      <c r="CN150" s="16"/>
      <c r="CO150" s="16"/>
      <c r="CP150" s="17"/>
      <c r="CQ150" s="16"/>
      <c r="CR150" s="16"/>
      <c r="CS150" s="16"/>
      <c r="CT150" s="16"/>
      <c r="CU150" s="17"/>
      <c r="CV150" s="471"/>
      <c r="CW150" s="471"/>
      <c r="CX150" s="471"/>
      <c r="CY150" s="471"/>
      <c r="CZ150" s="17"/>
      <c r="DA150" s="16"/>
      <c r="DB150" s="16"/>
      <c r="DC150" s="16"/>
      <c r="DD150" s="16"/>
      <c r="DE150" s="17"/>
      <c r="DF150" s="16"/>
      <c r="DG150" s="16"/>
      <c r="DH150" s="16"/>
      <c r="DI150" s="16"/>
      <c r="DJ150" s="17"/>
      <c r="DK150" s="16"/>
      <c r="DL150" s="16"/>
      <c r="DM150" s="16"/>
      <c r="DN150" s="16"/>
      <c r="DO150" s="17"/>
      <c r="DP150" s="16"/>
      <c r="DQ150" s="16"/>
      <c r="DR150" s="16"/>
      <c r="DS150" s="16"/>
      <c r="DT150" s="17"/>
      <c r="DU150" s="17"/>
      <c r="DV150" s="17"/>
    </row>
    <row r="151" spans="1:126" s="13" customFormat="1" hidden="1" outlineLevel="1">
      <c r="A151" s="32"/>
      <c r="B151" s="42" t="s">
        <v>67</v>
      </c>
      <c r="C151" s="308">
        <v>21288</v>
      </c>
      <c r="D151" s="308">
        <v>22809</v>
      </c>
      <c r="E151" s="308">
        <v>24127</v>
      </c>
      <c r="F151" s="308">
        <v>26583</v>
      </c>
      <c r="G151" s="308">
        <v>27897</v>
      </c>
      <c r="H151" s="308">
        <v>28212</v>
      </c>
      <c r="I151" s="308">
        <v>31034</v>
      </c>
      <c r="J151" s="312">
        <v>8646</v>
      </c>
      <c r="K151" s="312">
        <v>9622</v>
      </c>
      <c r="L151" s="312">
        <v>9339</v>
      </c>
      <c r="M151" s="312">
        <v>9838</v>
      </c>
      <c r="N151" s="75">
        <f t="shared" si="113"/>
        <v>37445</v>
      </c>
      <c r="O151" s="319">
        <v>9407</v>
      </c>
      <c r="P151" s="319">
        <v>11152</v>
      </c>
      <c r="Q151" s="319">
        <v>10905</v>
      </c>
      <c r="R151" s="319">
        <v>11261</v>
      </c>
      <c r="S151" s="75">
        <f t="shared" si="114"/>
        <v>42725</v>
      </c>
      <c r="T151" s="321">
        <v>10615</v>
      </c>
      <c r="U151" s="321">
        <v>12264</v>
      </c>
      <c r="V151" s="321">
        <v>12163</v>
      </c>
      <c r="W151" s="321">
        <v>12787</v>
      </c>
      <c r="X151" s="75">
        <f t="shared" si="115"/>
        <v>47829</v>
      </c>
      <c r="Y151" s="325">
        <v>12278</v>
      </c>
      <c r="Z151" s="325">
        <v>13904</v>
      </c>
      <c r="AA151" s="325">
        <v>13863</v>
      </c>
      <c r="AB151" s="325">
        <v>15671</v>
      </c>
      <c r="AC151" s="75">
        <f t="shared" si="116"/>
        <v>55716</v>
      </c>
      <c r="AD151" s="329">
        <v>13958</v>
      </c>
      <c r="AE151" s="329">
        <v>15944</v>
      </c>
      <c r="AF151" s="329">
        <v>15085</v>
      </c>
      <c r="AG151" s="329">
        <v>14132</v>
      </c>
      <c r="AH151" s="75">
        <f t="shared" si="117"/>
        <v>59119</v>
      </c>
      <c r="AI151" s="335">
        <v>12249</v>
      </c>
      <c r="AJ151" s="335">
        <v>13196</v>
      </c>
      <c r="AK151" s="335">
        <v>13375</v>
      </c>
      <c r="AL151" s="335">
        <v>13605</v>
      </c>
      <c r="AM151" s="75">
        <f t="shared" si="118"/>
        <v>52425</v>
      </c>
      <c r="AN151" s="337">
        <v>12040</v>
      </c>
      <c r="AO151" s="337">
        <v>13802</v>
      </c>
      <c r="AP151" s="337">
        <v>13620</v>
      </c>
      <c r="AQ151" s="337">
        <v>14864</v>
      </c>
      <c r="AR151" s="75">
        <f t="shared" si="119"/>
        <v>54326</v>
      </c>
      <c r="AS151" s="346">
        <f>+SUM(AS145:AS149)+AS142</f>
        <v>12673</v>
      </c>
      <c r="AT151" s="346">
        <f>+SUM(AT145:AT149)+AT142</f>
        <v>14469</v>
      </c>
      <c r="AU151" s="346">
        <f>+SUM(AU145:AU149)+AU142</f>
        <v>14235</v>
      </c>
      <c r="AV151" s="346">
        <f>+SUM(AV145:AV149)+AV142</f>
        <v>14377</v>
      </c>
      <c r="AW151" s="75">
        <f t="shared" si="120"/>
        <v>55754</v>
      </c>
      <c r="AX151" s="348">
        <f>+SUM(AX142:AX149)</f>
        <v>12424</v>
      </c>
      <c r="AY151" s="348">
        <f>+SUM(AY142:AY149)</f>
        <v>13807</v>
      </c>
      <c r="AZ151" s="348">
        <f>+SUM(AZ142:AZ149)</f>
        <v>15042</v>
      </c>
      <c r="BA151" s="348">
        <f>+SUM(BA142:BA149)</f>
        <v>16435</v>
      </c>
      <c r="BB151" s="75">
        <f t="shared" si="121"/>
        <v>57708</v>
      </c>
      <c r="BC151" s="348">
        <f>+SUM(BC142:BC149)</f>
        <v>14399</v>
      </c>
      <c r="BD151" s="348">
        <f>+SUM(BD142:BD149)</f>
        <v>16006</v>
      </c>
      <c r="BE151" s="348">
        <f>+SUM(BE142:BE149)</f>
        <v>15462</v>
      </c>
      <c r="BF151" s="348">
        <f>+SUM(BF142:BF149)</f>
        <v>16759</v>
      </c>
      <c r="BG151" s="75">
        <f t="shared" si="122"/>
        <v>62626</v>
      </c>
      <c r="BH151" s="348">
        <f>+SUM(BH142:BH149)</f>
        <v>14745</v>
      </c>
      <c r="BI151" s="348">
        <f>+SUM(BI142:BI149)</f>
        <v>17191</v>
      </c>
      <c r="BJ151" s="473">
        <f>+SUM(BJ142:BJ149)</f>
        <v>16168</v>
      </c>
      <c r="BK151" s="473">
        <f>+SUM(BK142:BK149)</f>
        <v>16996</v>
      </c>
      <c r="BL151" s="75">
        <f t="shared" si="123"/>
        <v>65100</v>
      </c>
      <c r="BM151" s="473">
        <f>+SUM(BM142:BM149)-BM148</f>
        <v>13274</v>
      </c>
      <c r="BN151" s="473">
        <f>+SUM(BN142:BN149)-BN148</f>
        <v>14642</v>
      </c>
      <c r="BO151" s="473">
        <f>+SUM(BO142:BO149)-BO148</f>
        <v>13788</v>
      </c>
      <c r="BP151" s="473">
        <f>+SUM(BP142:BP149)-BP148</f>
        <v>14300</v>
      </c>
      <c r="BQ151" s="496">
        <f t="shared" si="124"/>
        <v>56004</v>
      </c>
      <c r="BR151" s="473">
        <f>+SUM(BR142:BR149)</f>
        <v>13357</v>
      </c>
      <c r="BS151" s="502">
        <f>+SUM(BS142:BS149)</f>
        <v>14874</v>
      </c>
      <c r="BT151" s="502">
        <f>+SUM(BT142:BT149)</f>
        <v>14354</v>
      </c>
      <c r="BU151" s="502">
        <f>+SUM(BU142:BU149)</f>
        <v>14659</v>
      </c>
      <c r="BV151" s="496">
        <f t="shared" si="125"/>
        <v>57244</v>
      </c>
      <c r="BW151" s="502">
        <f>+SUM(BW142:BW149)</f>
        <v>13815</v>
      </c>
      <c r="BX151" s="502">
        <f>+SUM(BX142:BX149)</f>
        <v>15280</v>
      </c>
      <c r="BY151" s="502">
        <f>+SUM(BY142:BY149)</f>
        <v>15447</v>
      </c>
      <c r="BZ151" s="502">
        <f>+SUM(BZ142:BZ149)</f>
        <v>15680</v>
      </c>
      <c r="CA151" s="496">
        <f t="shared" si="126"/>
        <v>60222</v>
      </c>
      <c r="CB151" s="502">
        <f>+SUM(CB142:CB149)</f>
        <v>15242</v>
      </c>
      <c r="CC151" s="502">
        <f>+SUM(CC142:CC149)</f>
        <v>16705</v>
      </c>
      <c r="CD151" s="502">
        <f>+SUM(CD142:CD149)</f>
        <v>16510</v>
      </c>
      <c r="CE151" s="502">
        <f>+SUM(CE142:CE149)</f>
        <v>18044</v>
      </c>
      <c r="CF151" s="496">
        <f>SUM(CB151:CE151)</f>
        <v>66501</v>
      </c>
      <c r="CG151" s="502">
        <f>+SUM(CG142:CG149)</f>
        <v>18365</v>
      </c>
      <c r="CH151" s="502">
        <f>+SUM(CH142:CH149)</f>
        <v>19634</v>
      </c>
      <c r="CI151" s="502">
        <f>+SUM(CI142:CI149)</f>
        <v>19496</v>
      </c>
      <c r="CJ151" s="502">
        <f>+SUM(CJ142:CJ149)</f>
        <v>19551</v>
      </c>
      <c r="CK151" s="496">
        <f>SUM(CG151:CJ151)</f>
        <v>77046</v>
      </c>
      <c r="CL151" s="16"/>
      <c r="CM151" s="16"/>
      <c r="CN151" s="16"/>
      <c r="CO151" s="16"/>
      <c r="CP151" s="17"/>
      <c r="CQ151" s="16"/>
      <c r="CR151" s="16"/>
      <c r="CS151" s="16"/>
      <c r="CT151" s="16"/>
      <c r="CU151" s="17"/>
      <c r="CV151" s="471"/>
      <c r="CW151" s="471"/>
      <c r="CX151" s="471"/>
      <c r="CY151" s="471"/>
      <c r="CZ151" s="17"/>
      <c r="DA151" s="16"/>
      <c r="DB151" s="16"/>
      <c r="DC151" s="16"/>
      <c r="DD151" s="16"/>
      <c r="DE151" s="17"/>
      <c r="DF151" s="16"/>
      <c r="DG151" s="16"/>
      <c r="DH151" s="16"/>
      <c r="DI151" s="16"/>
      <c r="DJ151" s="17"/>
      <c r="DK151" s="16"/>
      <c r="DL151" s="16"/>
      <c r="DM151" s="16"/>
      <c r="DN151" s="16"/>
      <c r="DO151" s="17"/>
      <c r="DP151" s="16"/>
      <c r="DQ151" s="16"/>
      <c r="DR151" s="16"/>
      <c r="DS151" s="16"/>
      <c r="DT151" s="17"/>
      <c r="DU151" s="17"/>
      <c r="DV151" s="17"/>
    </row>
    <row r="152" spans="1:126" s="13" customFormat="1" hidden="1" outlineLevel="1">
      <c r="A152" s="32"/>
      <c r="B152" s="42"/>
      <c r="C152" s="17"/>
      <c r="D152" s="17"/>
      <c r="E152" s="17"/>
      <c r="F152" s="17"/>
      <c r="G152" s="17"/>
      <c r="H152" s="17"/>
      <c r="I152" s="17"/>
      <c r="N152" s="17"/>
      <c r="S152" s="17"/>
      <c r="X152" s="17"/>
      <c r="AC152" s="17"/>
      <c r="AH152" s="17"/>
      <c r="AM152" s="17"/>
      <c r="AR152" s="17"/>
      <c r="AU152" s="16"/>
      <c r="AW152" s="17"/>
      <c r="AZ152" s="12"/>
      <c r="BA152" s="12"/>
      <c r="BB152" s="17"/>
      <c r="BD152" s="16"/>
      <c r="BE152" s="16"/>
      <c r="BF152" s="16"/>
      <c r="BG152" s="17"/>
      <c r="BH152" s="16"/>
      <c r="BI152" s="16"/>
      <c r="BJ152" s="472"/>
      <c r="BK152" s="16"/>
      <c r="BL152" s="17"/>
      <c r="BM152" s="16"/>
      <c r="BN152" s="16"/>
      <c r="BO152" s="472"/>
      <c r="BP152" s="16"/>
      <c r="BQ152" s="366"/>
      <c r="BR152" s="16"/>
      <c r="BS152" s="368"/>
      <c r="BT152" s="472"/>
      <c r="BU152" s="16"/>
      <c r="BV152" s="366"/>
      <c r="BW152" s="16"/>
      <c r="BX152" s="16"/>
      <c r="BY152" s="472"/>
      <c r="BZ152" s="16"/>
      <c r="CA152" s="366"/>
      <c r="CB152" s="16"/>
      <c r="CC152" s="16"/>
      <c r="CD152" s="472"/>
      <c r="CE152" s="16"/>
      <c r="CF152" s="17"/>
      <c r="CG152" s="16"/>
      <c r="CH152" s="16"/>
      <c r="CI152" s="472"/>
      <c r="CJ152" s="16"/>
      <c r="CK152" s="17"/>
      <c r="CL152" s="16"/>
      <c r="CM152" s="16"/>
      <c r="CN152" s="16"/>
      <c r="CO152" s="16"/>
      <c r="CP152" s="17"/>
      <c r="CQ152" s="16"/>
      <c r="CR152" s="16"/>
      <c r="CS152" s="16"/>
      <c r="CT152" s="16"/>
      <c r="CU152" s="17"/>
      <c r="CV152" s="471"/>
      <c r="CW152" s="471"/>
      <c r="CX152" s="471"/>
      <c r="CY152" s="471"/>
      <c r="CZ152" s="17"/>
      <c r="DA152" s="16"/>
      <c r="DB152" s="16"/>
      <c r="DC152" s="16"/>
      <c r="DD152" s="16"/>
      <c r="DE152" s="17"/>
      <c r="DF152" s="16"/>
      <c r="DG152" s="16"/>
      <c r="DH152" s="16"/>
      <c r="DI152" s="16"/>
      <c r="DJ152" s="17"/>
      <c r="DK152" s="16"/>
      <c r="DL152" s="16"/>
      <c r="DM152" s="16"/>
      <c r="DN152" s="16"/>
      <c r="DO152" s="17"/>
      <c r="DP152" s="16"/>
      <c r="DQ152" s="16"/>
      <c r="DR152" s="16"/>
      <c r="DS152" s="16"/>
      <c r="DT152" s="17"/>
      <c r="DU152" s="17"/>
      <c r="DV152" s="17"/>
    </row>
    <row r="153" spans="1:126" s="13" customFormat="1" hidden="1" outlineLevel="1">
      <c r="A153" s="32"/>
      <c r="B153" s="42" t="s">
        <v>501</v>
      </c>
      <c r="C153" s="17"/>
      <c r="D153" s="17"/>
      <c r="E153" s="17"/>
      <c r="F153" s="17"/>
      <c r="G153" s="17"/>
      <c r="H153" s="17"/>
      <c r="I153" s="17"/>
      <c r="N153" s="17"/>
      <c r="S153" s="17"/>
      <c r="X153" s="17"/>
      <c r="AC153" s="17"/>
      <c r="AH153" s="17"/>
      <c r="AM153" s="17"/>
      <c r="AR153" s="17"/>
      <c r="AU153" s="16"/>
      <c r="AW153" s="17"/>
      <c r="AZ153" s="12"/>
      <c r="BA153" s="12"/>
      <c r="BB153" s="17"/>
      <c r="BD153" s="16"/>
      <c r="BE153" s="16"/>
      <c r="BF153" s="16"/>
      <c r="BG153" s="17"/>
      <c r="BH153" s="16"/>
      <c r="BI153" s="16"/>
      <c r="BJ153" s="472"/>
      <c r="BK153" s="16"/>
      <c r="BL153" s="17"/>
      <c r="BM153" s="16"/>
      <c r="BN153" s="16"/>
      <c r="BO153" s="472"/>
      <c r="BP153" s="16"/>
      <c r="BQ153" s="366"/>
      <c r="BR153" s="16"/>
      <c r="BS153" s="368"/>
      <c r="BT153" s="472"/>
      <c r="BU153" s="16"/>
      <c r="BV153" s="366"/>
      <c r="BW153" s="16"/>
      <c r="BX153" s="16"/>
      <c r="BY153" s="472"/>
      <c r="BZ153" s="16"/>
      <c r="CA153" s="366"/>
      <c r="CB153" s="16"/>
      <c r="CC153" s="16"/>
      <c r="CD153" s="472"/>
      <c r="CE153" s="16"/>
      <c r="CF153" s="17"/>
      <c r="CG153" s="16"/>
      <c r="CH153" s="16"/>
      <c r="CI153" s="472"/>
      <c r="CJ153" s="16"/>
      <c r="CK153" s="17"/>
      <c r="CL153" s="16"/>
      <c r="CM153" s="16"/>
      <c r="CN153" s="16"/>
      <c r="CO153" s="16"/>
      <c r="CP153" s="17"/>
      <c r="CQ153" s="16"/>
      <c r="CR153" s="16"/>
      <c r="CS153" s="16"/>
      <c r="CT153" s="16"/>
      <c r="CU153" s="17"/>
      <c r="CV153" s="471"/>
      <c r="CW153" s="471"/>
      <c r="CX153" s="471"/>
      <c r="CY153" s="471"/>
      <c r="CZ153" s="17"/>
      <c r="DA153" s="16"/>
      <c r="DB153" s="16"/>
      <c r="DC153" s="16"/>
      <c r="DD153" s="16"/>
      <c r="DE153" s="17"/>
      <c r="DF153" s="16"/>
      <c r="DG153" s="16"/>
      <c r="DH153" s="16"/>
      <c r="DI153" s="16"/>
      <c r="DJ153" s="17"/>
      <c r="DK153" s="16"/>
      <c r="DL153" s="16"/>
      <c r="DM153" s="16"/>
      <c r="DN153" s="16"/>
      <c r="DO153" s="17"/>
      <c r="DP153" s="16"/>
      <c r="DQ153" s="16"/>
      <c r="DR153" s="16"/>
      <c r="DS153" s="16"/>
      <c r="DT153" s="17"/>
      <c r="DU153" s="17"/>
      <c r="DV153" s="17"/>
    </row>
    <row r="154" spans="1:126" s="13" customFormat="1" hidden="1" outlineLevel="1">
      <c r="A154" s="32"/>
      <c r="B154" s="3" t="s">
        <v>493</v>
      </c>
      <c r="C154" s="618"/>
      <c r="D154" s="618"/>
      <c r="E154" s="618"/>
      <c r="F154" s="618"/>
      <c r="G154" s="618"/>
      <c r="H154" s="618"/>
      <c r="I154" s="618"/>
      <c r="J154" s="458"/>
      <c r="K154" s="458"/>
      <c r="L154" s="458"/>
      <c r="M154" s="458"/>
      <c r="N154" s="618"/>
      <c r="O154" s="458"/>
      <c r="P154" s="458"/>
      <c r="Q154" s="458"/>
      <c r="R154" s="458"/>
      <c r="S154" s="618"/>
      <c r="T154" s="458"/>
      <c r="U154" s="458"/>
      <c r="V154" s="458"/>
      <c r="W154" s="458"/>
      <c r="X154" s="618"/>
      <c r="Y154" s="458"/>
      <c r="Z154" s="458"/>
      <c r="AA154" s="458"/>
      <c r="AB154" s="458"/>
      <c r="AC154" s="618"/>
      <c r="AD154" s="458"/>
      <c r="AE154" s="458"/>
      <c r="AF154" s="458"/>
      <c r="AG154" s="458"/>
      <c r="AH154" s="618"/>
      <c r="AI154" s="458"/>
      <c r="AJ154" s="458"/>
      <c r="AK154" s="458"/>
      <c r="AL154" s="458"/>
      <c r="AM154" s="618"/>
      <c r="AN154" s="458"/>
      <c r="AO154" s="458"/>
      <c r="AP154" s="458"/>
      <c r="AQ154" s="458"/>
      <c r="AR154" s="618"/>
      <c r="AS154" s="458"/>
      <c r="AT154" s="458"/>
      <c r="AU154" s="619"/>
      <c r="AV154" s="458"/>
      <c r="AW154" s="618"/>
      <c r="AX154" s="619">
        <v>1578</v>
      </c>
      <c r="AY154" s="619">
        <v>1574</v>
      </c>
      <c r="AZ154" s="619">
        <v>1610</v>
      </c>
      <c r="BA154" s="619">
        <v>1730</v>
      </c>
      <c r="BB154" s="620">
        <f>SUM(AX154:BA154)</f>
        <v>6492</v>
      </c>
      <c r="BC154" s="619">
        <v>1596</v>
      </c>
      <c r="BD154" s="619">
        <v>1721</v>
      </c>
      <c r="BE154" s="619">
        <v>1603</v>
      </c>
      <c r="BF154" s="619">
        <v>1569</v>
      </c>
      <c r="BG154" s="620">
        <f>SUM(BC154:BF154)</f>
        <v>6489</v>
      </c>
      <c r="BH154" s="619">
        <v>1481</v>
      </c>
      <c r="BI154" s="619">
        <v>1549</v>
      </c>
      <c r="BJ154" s="621">
        <v>1428</v>
      </c>
      <c r="BK154" s="619">
        <v>1627</v>
      </c>
      <c r="BL154" s="620">
        <f>SUM(BH154:BK154)</f>
        <v>6085</v>
      </c>
      <c r="BM154" s="619">
        <v>1307</v>
      </c>
      <c r="BN154" s="619">
        <v>1565</v>
      </c>
      <c r="BO154" s="622">
        <v>1417</v>
      </c>
      <c r="BP154" s="622">
        <v>1558</v>
      </c>
      <c r="BQ154" s="620">
        <f>SUM(BM154:BP154)</f>
        <v>5847</v>
      </c>
      <c r="BR154" s="619">
        <v>1337</v>
      </c>
      <c r="BS154" s="619">
        <v>1399</v>
      </c>
      <c r="BT154" s="622">
        <v>1334</v>
      </c>
      <c r="BU154" s="458">
        <v>1406</v>
      </c>
      <c r="BV154" s="620">
        <f>SUM(BR154:BU154)</f>
        <v>5476</v>
      </c>
      <c r="BW154" s="619">
        <v>1398</v>
      </c>
      <c r="BX154" s="619">
        <v>1462</v>
      </c>
      <c r="BY154" s="621">
        <v>1391</v>
      </c>
      <c r="BZ154" s="619">
        <v>1553</v>
      </c>
      <c r="CA154" s="620">
        <f>SUM(BW154:BZ154)</f>
        <v>5804</v>
      </c>
      <c r="CB154" s="619">
        <v>1489</v>
      </c>
      <c r="CC154" s="619">
        <v>1514</v>
      </c>
      <c r="CD154" s="619">
        <v>1493</v>
      </c>
      <c r="CE154" s="619">
        <v>1684</v>
      </c>
      <c r="CF154" s="620">
        <f>SUM(CB154:CE154)</f>
        <v>6180</v>
      </c>
      <c r="CG154" s="621">
        <v>1550</v>
      </c>
      <c r="CH154" s="621">
        <v>1641</v>
      </c>
      <c r="CI154" s="621">
        <v>1755</v>
      </c>
      <c r="CJ154" s="621">
        <v>1981</v>
      </c>
      <c r="CK154" s="620">
        <f>SUM(CG154:CJ154)</f>
        <v>6927</v>
      </c>
      <c r="CL154" s="16"/>
      <c r="CM154" s="16"/>
      <c r="CN154" s="16"/>
      <c r="CO154" s="16"/>
      <c r="CP154" s="17"/>
      <c r="CQ154" s="16"/>
      <c r="CR154" s="16"/>
      <c r="CS154" s="16"/>
      <c r="CT154" s="16"/>
      <c r="CU154" s="17"/>
      <c r="CV154" s="471"/>
      <c r="CW154" s="471"/>
      <c r="CX154" s="471"/>
      <c r="CY154" s="471"/>
      <c r="CZ154" s="17"/>
      <c r="DA154" s="16"/>
      <c r="DB154" s="16"/>
      <c r="DC154" s="16"/>
      <c r="DD154" s="16"/>
      <c r="DE154" s="17"/>
      <c r="DF154" s="16"/>
      <c r="DG154" s="16"/>
      <c r="DH154" s="16"/>
      <c r="DI154" s="16"/>
      <c r="DJ154" s="17"/>
      <c r="DK154" s="16"/>
      <c r="DL154" s="16"/>
      <c r="DM154" s="16"/>
      <c r="DN154" s="16"/>
      <c r="DO154" s="17"/>
      <c r="DP154" s="16"/>
      <c r="DQ154" s="16"/>
      <c r="DR154" s="16"/>
      <c r="DS154" s="16"/>
      <c r="DT154" s="17"/>
      <c r="DU154" s="17"/>
      <c r="DV154" s="17"/>
    </row>
    <row r="155" spans="1:126" s="13" customFormat="1" hidden="1" outlineLevel="1">
      <c r="A155" s="32"/>
      <c r="B155" s="3" t="s">
        <v>494</v>
      </c>
      <c r="C155" s="618"/>
      <c r="D155" s="618"/>
      <c r="E155" s="618"/>
      <c r="F155" s="618"/>
      <c r="G155" s="618"/>
      <c r="H155" s="618"/>
      <c r="I155" s="618"/>
      <c r="J155" s="458"/>
      <c r="K155" s="458"/>
      <c r="L155" s="458"/>
      <c r="M155" s="458"/>
      <c r="N155" s="618"/>
      <c r="O155" s="458"/>
      <c r="P155" s="458"/>
      <c r="Q155" s="458"/>
      <c r="R155" s="458"/>
      <c r="S155" s="618"/>
      <c r="T155" s="458"/>
      <c r="U155" s="458"/>
      <c r="V155" s="458"/>
      <c r="W155" s="458"/>
      <c r="X155" s="618"/>
      <c r="Y155" s="458"/>
      <c r="Z155" s="458"/>
      <c r="AA155" s="458"/>
      <c r="AB155" s="458"/>
      <c r="AC155" s="618"/>
      <c r="AD155" s="458"/>
      <c r="AE155" s="458"/>
      <c r="AF155" s="458"/>
      <c r="AG155" s="458"/>
      <c r="AH155" s="618"/>
      <c r="AI155" s="458"/>
      <c r="AJ155" s="458"/>
      <c r="AK155" s="458"/>
      <c r="AL155" s="458"/>
      <c r="AM155" s="618"/>
      <c r="AN155" s="458"/>
      <c r="AO155" s="458"/>
      <c r="AP155" s="458"/>
      <c r="AQ155" s="458"/>
      <c r="AR155" s="618"/>
      <c r="AS155" s="458"/>
      <c r="AT155" s="458"/>
      <c r="AU155" s="619"/>
      <c r="AV155" s="458"/>
      <c r="AW155" s="618"/>
      <c r="AX155" s="619">
        <v>1588</v>
      </c>
      <c r="AY155" s="619">
        <v>1597</v>
      </c>
      <c r="AZ155" s="619">
        <v>1547</v>
      </c>
      <c r="BA155" s="619">
        <v>1603</v>
      </c>
      <c r="BB155" s="620">
        <f>SUM(AX155:BA155)</f>
        <v>6335</v>
      </c>
      <c r="BC155" s="619">
        <v>1521</v>
      </c>
      <c r="BD155" s="619">
        <v>1570</v>
      </c>
      <c r="BE155" s="619">
        <v>1496</v>
      </c>
      <c r="BF155" s="619">
        <v>1458</v>
      </c>
      <c r="BG155" s="620">
        <f>SUM(BC155:BF155)</f>
        <v>6045</v>
      </c>
      <c r="BH155" s="619">
        <v>1450</v>
      </c>
      <c r="BI155" s="619">
        <v>1518</v>
      </c>
      <c r="BJ155" s="621">
        <v>1450</v>
      </c>
      <c r="BK155" s="619">
        <v>1538</v>
      </c>
      <c r="BL155" s="620">
        <f>SUM(BH155:BK155)</f>
        <v>5956</v>
      </c>
      <c r="BM155" s="619">
        <v>1461</v>
      </c>
      <c r="BN155" s="619">
        <v>1594</v>
      </c>
      <c r="BO155" s="622">
        <v>1519</v>
      </c>
      <c r="BP155" s="622">
        <v>1537</v>
      </c>
      <c r="BQ155" s="620">
        <f>SUM(BM155:BP155)</f>
        <v>6111</v>
      </c>
      <c r="BR155" s="619">
        <v>1493</v>
      </c>
      <c r="BS155" s="619">
        <v>1642</v>
      </c>
      <c r="BT155" s="622">
        <v>1541</v>
      </c>
      <c r="BU155" s="458">
        <v>1518</v>
      </c>
      <c r="BV155" s="620">
        <f>SUM(BR155:BU155)</f>
        <v>6194</v>
      </c>
      <c r="BW155" s="619">
        <v>1507</v>
      </c>
      <c r="BX155" s="619">
        <v>1555</v>
      </c>
      <c r="BY155" s="621">
        <v>1543</v>
      </c>
      <c r="BZ155" s="619">
        <v>1572</v>
      </c>
      <c r="CA155" s="620">
        <f>SUM(BW155:BZ155)</f>
        <v>6177</v>
      </c>
      <c r="CB155" s="619">
        <v>1582</v>
      </c>
      <c r="CC155" s="619">
        <v>1687</v>
      </c>
      <c r="CD155" s="619">
        <v>1742</v>
      </c>
      <c r="CE155" s="619">
        <v>1711</v>
      </c>
      <c r="CF155" s="620">
        <f>SUM(CB155:CE155)</f>
        <v>6722</v>
      </c>
      <c r="CG155" s="621">
        <v>1777</v>
      </c>
      <c r="CH155" s="621">
        <v>1777</v>
      </c>
      <c r="CI155" s="621">
        <v>1855</v>
      </c>
      <c r="CJ155" s="621">
        <v>1742</v>
      </c>
      <c r="CK155" s="620">
        <f>SUM(CG155:CJ155)</f>
        <v>7151</v>
      </c>
      <c r="CL155" s="16"/>
      <c r="CM155" s="16"/>
      <c r="CN155" s="16"/>
      <c r="CO155" s="16"/>
      <c r="CP155" s="17"/>
      <c r="CQ155" s="16"/>
      <c r="CR155" s="16"/>
      <c r="CS155" s="16"/>
      <c r="CT155" s="16"/>
      <c r="CU155" s="17"/>
      <c r="CV155" s="471"/>
      <c r="CW155" s="471"/>
      <c r="CX155" s="471"/>
      <c r="CY155" s="471"/>
      <c r="CZ155" s="17"/>
      <c r="DA155" s="16"/>
      <c r="DB155" s="16"/>
      <c r="DC155" s="16"/>
      <c r="DD155" s="16"/>
      <c r="DE155" s="17"/>
      <c r="DF155" s="16"/>
      <c r="DG155" s="16"/>
      <c r="DH155" s="16"/>
      <c r="DI155" s="16"/>
      <c r="DJ155" s="17"/>
      <c r="DK155" s="16"/>
      <c r="DL155" s="16"/>
      <c r="DM155" s="16"/>
      <c r="DN155" s="16"/>
      <c r="DO155" s="17"/>
      <c r="DP155" s="16"/>
      <c r="DQ155" s="16"/>
      <c r="DR155" s="16"/>
      <c r="DS155" s="16"/>
      <c r="DT155" s="17"/>
      <c r="DU155" s="17"/>
      <c r="DV155" s="17"/>
    </row>
    <row r="156" spans="1:126" s="13" customFormat="1" hidden="1" outlineLevel="1">
      <c r="A156" s="32"/>
      <c r="B156" s="3" t="s">
        <v>495</v>
      </c>
      <c r="C156" s="618"/>
      <c r="D156" s="618"/>
      <c r="E156" s="618"/>
      <c r="F156" s="618"/>
      <c r="G156" s="618"/>
      <c r="H156" s="618"/>
      <c r="I156" s="618"/>
      <c r="J156" s="458"/>
      <c r="K156" s="458"/>
      <c r="L156" s="458"/>
      <c r="M156" s="458"/>
      <c r="N156" s="618"/>
      <c r="O156" s="458"/>
      <c r="P156" s="458"/>
      <c r="Q156" s="458"/>
      <c r="R156" s="458"/>
      <c r="S156" s="618"/>
      <c r="T156" s="458"/>
      <c r="U156" s="458"/>
      <c r="V156" s="458"/>
      <c r="W156" s="458"/>
      <c r="X156" s="618"/>
      <c r="Y156" s="458"/>
      <c r="Z156" s="458"/>
      <c r="AA156" s="458"/>
      <c r="AB156" s="458"/>
      <c r="AC156" s="618"/>
      <c r="AD156" s="458"/>
      <c r="AE156" s="458"/>
      <c r="AF156" s="458"/>
      <c r="AG156" s="458"/>
      <c r="AH156" s="618"/>
      <c r="AI156" s="458"/>
      <c r="AJ156" s="458"/>
      <c r="AK156" s="458"/>
      <c r="AL156" s="458"/>
      <c r="AM156" s="618"/>
      <c r="AN156" s="458"/>
      <c r="AO156" s="458"/>
      <c r="AP156" s="458"/>
      <c r="AQ156" s="458"/>
      <c r="AR156" s="618"/>
      <c r="AS156" s="458"/>
      <c r="AT156" s="458"/>
      <c r="AU156" s="619"/>
      <c r="AV156" s="458"/>
      <c r="AW156" s="618"/>
      <c r="AX156" s="619">
        <v>1601</v>
      </c>
      <c r="AY156" s="619">
        <v>1580</v>
      </c>
      <c r="AZ156" s="619">
        <v>1677</v>
      </c>
      <c r="BA156" s="619">
        <v>1781</v>
      </c>
      <c r="BB156" s="620">
        <f>SUM(AX156:BA156)</f>
        <v>6639</v>
      </c>
      <c r="BC156" s="619">
        <v>1636</v>
      </c>
      <c r="BD156" s="619">
        <v>1690</v>
      </c>
      <c r="BE156" s="619">
        <v>1635</v>
      </c>
      <c r="BF156" s="619">
        <v>1638</v>
      </c>
      <c r="BG156" s="620">
        <f>SUM(BC156:BF156)</f>
        <v>6599</v>
      </c>
      <c r="BH156" s="619">
        <v>1574</v>
      </c>
      <c r="BI156" s="619">
        <v>1539</v>
      </c>
      <c r="BJ156" s="621">
        <v>1477</v>
      </c>
      <c r="BK156" s="619">
        <v>1719</v>
      </c>
      <c r="BL156" s="620">
        <f>SUM(BH156:BK156)</f>
        <v>6309</v>
      </c>
      <c r="BM156" s="619">
        <v>1473</v>
      </c>
      <c r="BN156" s="619">
        <v>1559</v>
      </c>
      <c r="BO156" s="622">
        <v>1645</v>
      </c>
      <c r="BP156" s="622">
        <v>1879</v>
      </c>
      <c r="BQ156" s="620">
        <f>SUM(BM156:BP156)</f>
        <v>6556</v>
      </c>
      <c r="BR156" s="619">
        <v>1720</v>
      </c>
      <c r="BS156" s="619">
        <v>1656</v>
      </c>
      <c r="BT156" s="622">
        <v>1800</v>
      </c>
      <c r="BU156" s="458">
        <v>1895</v>
      </c>
      <c r="BV156" s="620">
        <f>SUM(BR156:BU156)</f>
        <v>7071</v>
      </c>
      <c r="BW156" s="619">
        <v>1756</v>
      </c>
      <c r="BX156" s="619">
        <v>1901</v>
      </c>
      <c r="BY156" s="621">
        <v>1945</v>
      </c>
      <c r="BZ156" s="619">
        <v>2185</v>
      </c>
      <c r="CA156" s="620">
        <f>SUM(BW156:BZ156)</f>
        <v>7787</v>
      </c>
      <c r="CB156" s="619">
        <v>1848</v>
      </c>
      <c r="CC156" s="619">
        <v>2051</v>
      </c>
      <c r="CD156" s="619">
        <v>2082</v>
      </c>
      <c r="CE156" s="619">
        <v>2317</v>
      </c>
      <c r="CF156" s="620">
        <f>SUM(CB156:CE156)</f>
        <v>8298</v>
      </c>
      <c r="CG156" s="621">
        <v>2006</v>
      </c>
      <c r="CH156" s="621">
        <v>2210</v>
      </c>
      <c r="CI156" s="621">
        <v>2165</v>
      </c>
      <c r="CJ156" s="621">
        <v>2345</v>
      </c>
      <c r="CK156" s="620">
        <f>SUM(CG156:CJ156)</f>
        <v>8726</v>
      </c>
      <c r="CL156" s="16"/>
      <c r="CM156" s="16"/>
      <c r="CN156" s="16"/>
      <c r="CO156" s="16"/>
      <c r="CP156" s="17"/>
      <c r="CQ156" s="16"/>
      <c r="CR156" s="16"/>
      <c r="CS156" s="16"/>
      <c r="CT156" s="16"/>
      <c r="CU156" s="17"/>
      <c r="CV156" s="471"/>
      <c r="CW156" s="471"/>
      <c r="CX156" s="471"/>
      <c r="CY156" s="471"/>
      <c r="CZ156" s="17"/>
      <c r="DA156" s="16"/>
      <c r="DB156" s="16"/>
      <c r="DC156" s="16"/>
      <c r="DD156" s="16"/>
      <c r="DE156" s="17"/>
      <c r="DF156" s="16"/>
      <c r="DG156" s="16"/>
      <c r="DH156" s="16"/>
      <c r="DI156" s="16"/>
      <c r="DJ156" s="17"/>
      <c r="DK156" s="16"/>
      <c r="DL156" s="16"/>
      <c r="DM156" s="16"/>
      <c r="DN156" s="16"/>
      <c r="DO156" s="17"/>
      <c r="DP156" s="16"/>
      <c r="DQ156" s="16"/>
      <c r="DR156" s="16"/>
      <c r="DS156" s="16"/>
      <c r="DT156" s="17"/>
      <c r="DU156" s="17"/>
      <c r="DV156" s="17"/>
    </row>
    <row r="157" spans="1:126" s="13" customFormat="1" hidden="1" outlineLevel="1">
      <c r="A157" s="32"/>
      <c r="B157" s="623" t="s">
        <v>496</v>
      </c>
      <c r="C157" s="618"/>
      <c r="D157" s="618"/>
      <c r="E157" s="618"/>
      <c r="F157" s="618"/>
      <c r="G157" s="618"/>
      <c r="H157" s="618"/>
      <c r="I157" s="618"/>
      <c r="J157" s="458"/>
      <c r="K157" s="458"/>
      <c r="L157" s="458"/>
      <c r="M157" s="458"/>
      <c r="N157" s="618"/>
      <c r="O157" s="458"/>
      <c r="P157" s="458"/>
      <c r="Q157" s="458"/>
      <c r="R157" s="458"/>
      <c r="S157" s="618"/>
      <c r="T157" s="458"/>
      <c r="U157" s="458"/>
      <c r="V157" s="458"/>
      <c r="W157" s="458"/>
      <c r="X157" s="618"/>
      <c r="Y157" s="458"/>
      <c r="Z157" s="458"/>
      <c r="AA157" s="458"/>
      <c r="AB157" s="458"/>
      <c r="AC157" s="618"/>
      <c r="AD157" s="458"/>
      <c r="AE157" s="458"/>
      <c r="AF157" s="458"/>
      <c r="AG157" s="458"/>
      <c r="AH157" s="618"/>
      <c r="AI157" s="458"/>
      <c r="AJ157" s="458"/>
      <c r="AK157" s="458"/>
      <c r="AL157" s="458"/>
      <c r="AM157" s="618"/>
      <c r="AN157" s="458"/>
      <c r="AO157" s="458"/>
      <c r="AP157" s="458"/>
      <c r="AQ157" s="458"/>
      <c r="AR157" s="618"/>
      <c r="AS157" s="458"/>
      <c r="AT157" s="458"/>
      <c r="AU157" s="619"/>
      <c r="AV157" s="458"/>
      <c r="AW157" s="618"/>
      <c r="AX157" s="619">
        <v>1616</v>
      </c>
      <c r="AY157" s="619">
        <v>1709</v>
      </c>
      <c r="AZ157" s="619">
        <v>1678</v>
      </c>
      <c r="BA157" s="619">
        <v>1820</v>
      </c>
      <c r="BB157" s="620">
        <f>SUM(AX157:BA157)</f>
        <v>6823</v>
      </c>
      <c r="BC157" s="619">
        <v>1582</v>
      </c>
      <c r="BD157" s="619">
        <v>1620</v>
      </c>
      <c r="BE157" s="619">
        <v>1556</v>
      </c>
      <c r="BF157" s="619">
        <v>1613</v>
      </c>
      <c r="BG157" s="620">
        <f>SUM(BC157:BF157)</f>
        <v>6371</v>
      </c>
      <c r="BH157" s="619">
        <v>1398</v>
      </c>
      <c r="BI157" s="619">
        <v>1505</v>
      </c>
      <c r="BJ157" s="621">
        <v>1509</v>
      </c>
      <c r="BK157" s="619">
        <v>1660</v>
      </c>
      <c r="BL157" s="620">
        <f>SUM(BH157:BK157)</f>
        <v>6072</v>
      </c>
      <c r="BM157" s="619">
        <v>1358</v>
      </c>
      <c r="BN157" s="619">
        <v>1416</v>
      </c>
      <c r="BO157" s="622">
        <v>1446</v>
      </c>
      <c r="BP157" s="622">
        <v>1576</v>
      </c>
      <c r="BQ157" s="620">
        <f>SUM(BM157:BP157)</f>
        <v>5796</v>
      </c>
      <c r="BR157" s="619">
        <v>1450</v>
      </c>
      <c r="BS157" s="619">
        <v>1547</v>
      </c>
      <c r="BT157" s="622">
        <v>1590</v>
      </c>
      <c r="BU157" s="458">
        <v>1612</v>
      </c>
      <c r="BV157" s="620">
        <f>SUM(BR157:BU157)</f>
        <v>6199</v>
      </c>
      <c r="BW157" s="619">
        <v>1555</v>
      </c>
      <c r="BX157" s="619">
        <v>1608</v>
      </c>
      <c r="BY157" s="621">
        <v>1597</v>
      </c>
      <c r="BZ157" s="619">
        <v>1670</v>
      </c>
      <c r="CA157" s="620">
        <f>SUM(BW157:BZ157)</f>
        <v>6430</v>
      </c>
      <c r="CB157" s="619">
        <v>1568</v>
      </c>
      <c r="CC157" s="619">
        <v>1605</v>
      </c>
      <c r="CD157" s="619">
        <v>1695</v>
      </c>
      <c r="CE157" s="619">
        <v>1880</v>
      </c>
      <c r="CF157" s="620">
        <f>SUM(CB157:CE157)</f>
        <v>6748</v>
      </c>
      <c r="CG157" s="621">
        <v>1653</v>
      </c>
      <c r="CH157" s="621">
        <v>1817</v>
      </c>
      <c r="CI157" s="621">
        <v>1939</v>
      </c>
      <c r="CJ157" s="621">
        <v>2018</v>
      </c>
      <c r="CK157" s="620">
        <f>SUM(CG157:CJ157)</f>
        <v>7427</v>
      </c>
      <c r="CL157" s="16"/>
      <c r="CM157" s="16"/>
      <c r="CN157" s="16"/>
      <c r="CO157" s="16"/>
      <c r="CP157" s="17"/>
      <c r="CQ157" s="16"/>
      <c r="CR157" s="16"/>
      <c r="CS157" s="16"/>
      <c r="CT157" s="16"/>
      <c r="CU157" s="17"/>
      <c r="CV157" s="471"/>
      <c r="CW157" s="471"/>
      <c r="CX157" s="471"/>
      <c r="CY157" s="471"/>
      <c r="CZ157" s="17"/>
      <c r="DA157" s="16"/>
      <c r="DB157" s="16"/>
      <c r="DC157" s="16"/>
      <c r="DD157" s="16"/>
      <c r="DE157" s="17"/>
      <c r="DF157" s="16"/>
      <c r="DG157" s="16"/>
      <c r="DH157" s="16"/>
      <c r="DI157" s="16"/>
      <c r="DJ157" s="17"/>
      <c r="DK157" s="16"/>
      <c r="DL157" s="16"/>
      <c r="DM157" s="16"/>
      <c r="DN157" s="16"/>
      <c r="DO157" s="17"/>
      <c r="DP157" s="16"/>
      <c r="DQ157" s="16"/>
      <c r="DR157" s="16"/>
      <c r="DS157" s="16"/>
      <c r="DT157" s="17"/>
      <c r="DU157" s="17"/>
      <c r="DV157" s="17"/>
    </row>
    <row r="158" spans="1:126" s="13" customFormat="1" hidden="1" outlineLevel="1">
      <c r="A158" s="32"/>
      <c r="B158" s="180" t="s">
        <v>497</v>
      </c>
      <c r="C158" s="618"/>
      <c r="D158" s="618"/>
      <c r="E158" s="618"/>
      <c r="F158" s="618"/>
      <c r="G158" s="618"/>
      <c r="H158" s="618"/>
      <c r="I158" s="618"/>
      <c r="J158" s="458"/>
      <c r="K158" s="458"/>
      <c r="L158" s="458"/>
      <c r="M158" s="458"/>
      <c r="N158" s="618"/>
      <c r="O158" s="458"/>
      <c r="P158" s="458"/>
      <c r="Q158" s="458"/>
      <c r="R158" s="458"/>
      <c r="S158" s="618"/>
      <c r="T158" s="458"/>
      <c r="U158" s="458"/>
      <c r="V158" s="458"/>
      <c r="W158" s="458"/>
      <c r="X158" s="618"/>
      <c r="Y158" s="458"/>
      <c r="Z158" s="458"/>
      <c r="AA158" s="458"/>
      <c r="AB158" s="458"/>
      <c r="AC158" s="618"/>
      <c r="AD158" s="458"/>
      <c r="AE158" s="458"/>
      <c r="AF158" s="458"/>
      <c r="AG158" s="458"/>
      <c r="AH158" s="618"/>
      <c r="AI158" s="458"/>
      <c r="AJ158" s="458"/>
      <c r="AK158" s="458"/>
      <c r="AL158" s="458"/>
      <c r="AM158" s="618"/>
      <c r="AN158" s="458"/>
      <c r="AO158" s="458"/>
      <c r="AP158" s="458"/>
      <c r="AQ158" s="458"/>
      <c r="AR158" s="618"/>
      <c r="AS158" s="458"/>
      <c r="AT158" s="458"/>
      <c r="AU158" s="619"/>
      <c r="AV158" s="458"/>
      <c r="AW158" s="618"/>
      <c r="AX158" s="458"/>
      <c r="AY158" s="458"/>
      <c r="AZ158" s="458"/>
      <c r="BA158" s="458"/>
      <c r="BB158" s="620"/>
      <c r="BC158" s="619"/>
      <c r="BD158" s="619"/>
      <c r="BE158" s="619"/>
      <c r="BF158" s="619"/>
      <c r="BG158" s="620"/>
      <c r="BH158" s="619"/>
      <c r="BI158" s="619"/>
      <c r="BJ158" s="621">
        <v>30</v>
      </c>
      <c r="BK158" s="619"/>
      <c r="BL158" s="620"/>
      <c r="BM158" s="619">
        <v>24</v>
      </c>
      <c r="BN158" s="619">
        <v>57</v>
      </c>
      <c r="BO158" s="622">
        <v>114</v>
      </c>
      <c r="BP158" s="622">
        <v>133</v>
      </c>
      <c r="BQ158" s="620">
        <f t="shared" ref="BQ158:BQ159" si="131">SUM(BM158:BP158)</f>
        <v>328</v>
      </c>
      <c r="BR158" s="619">
        <v>136</v>
      </c>
      <c r="BS158" s="619">
        <v>138</v>
      </c>
      <c r="BT158" s="622">
        <v>149</v>
      </c>
      <c r="BU158" s="458">
        <v>143</v>
      </c>
      <c r="BV158" s="620">
        <f t="shared" ref="BV158:BV159" si="132">SUM(BR158:BU158)</f>
        <v>566</v>
      </c>
      <c r="BW158" s="619">
        <v>144</v>
      </c>
      <c r="BX158" s="619">
        <v>138</v>
      </c>
      <c r="BY158" s="621">
        <v>170</v>
      </c>
      <c r="BZ158" s="619">
        <v>156</v>
      </c>
      <c r="CA158" s="620">
        <f t="shared" ref="CA158:CA159" si="133">SUM(BW158:BZ158)</f>
        <v>608</v>
      </c>
      <c r="CB158" s="619">
        <v>141</v>
      </c>
      <c r="CC158" s="619">
        <v>148</v>
      </c>
      <c r="CD158" s="619">
        <v>173</v>
      </c>
      <c r="CE158" s="619">
        <v>172</v>
      </c>
      <c r="CF158" s="620">
        <f t="shared" ref="CF158:CF159" si="134">SUM(CB158:CE158)</f>
        <v>634</v>
      </c>
      <c r="CG158" s="621">
        <v>158</v>
      </c>
      <c r="CH158" s="621">
        <v>156</v>
      </c>
      <c r="CI158" s="621">
        <v>167</v>
      </c>
      <c r="CJ158" s="621">
        <v>177</v>
      </c>
      <c r="CK158" s="620">
        <f t="shared" ref="CK158:CK159" si="135">SUM(CG158:CJ158)</f>
        <v>658</v>
      </c>
      <c r="CL158" s="16"/>
      <c r="CM158" s="16"/>
      <c r="CN158" s="16"/>
      <c r="CO158" s="16"/>
      <c r="CP158" s="17"/>
      <c r="CQ158" s="16"/>
      <c r="CR158" s="16"/>
      <c r="CS158" s="16"/>
      <c r="CT158" s="16"/>
      <c r="CU158" s="17"/>
      <c r="CV158" s="471"/>
      <c r="CW158" s="471"/>
      <c r="CX158" s="471"/>
      <c r="CY158" s="471"/>
      <c r="CZ158" s="17"/>
      <c r="DA158" s="16"/>
      <c r="DB158" s="16"/>
      <c r="DC158" s="16"/>
      <c r="DD158" s="16"/>
      <c r="DE158" s="17"/>
      <c r="DF158" s="16"/>
      <c r="DG158" s="16"/>
      <c r="DH158" s="16"/>
      <c r="DI158" s="16"/>
      <c r="DJ158" s="17"/>
      <c r="DK158" s="16"/>
      <c r="DL158" s="16"/>
      <c r="DM158" s="16"/>
      <c r="DN158" s="16"/>
      <c r="DO158" s="17"/>
      <c r="DP158" s="16"/>
      <c r="DQ158" s="16"/>
      <c r="DR158" s="16"/>
      <c r="DS158" s="16"/>
      <c r="DT158" s="17"/>
      <c r="DU158" s="17"/>
      <c r="DV158" s="17"/>
    </row>
    <row r="159" spans="1:126" s="13" customFormat="1" hidden="1" outlineLevel="1">
      <c r="A159" s="32"/>
      <c r="B159" s="180" t="s">
        <v>498</v>
      </c>
      <c r="C159" s="618"/>
      <c r="D159" s="618"/>
      <c r="E159" s="618"/>
      <c r="F159" s="618"/>
      <c r="G159" s="618"/>
      <c r="H159" s="618"/>
      <c r="I159" s="618"/>
      <c r="J159" s="458"/>
      <c r="K159" s="458"/>
      <c r="L159" s="458"/>
      <c r="M159" s="458"/>
      <c r="N159" s="618"/>
      <c r="O159" s="458"/>
      <c r="P159" s="458"/>
      <c r="Q159" s="458"/>
      <c r="R159" s="458"/>
      <c r="S159" s="618"/>
      <c r="T159" s="458"/>
      <c r="U159" s="458"/>
      <c r="V159" s="458"/>
      <c r="W159" s="458"/>
      <c r="X159" s="618"/>
      <c r="Y159" s="458"/>
      <c r="Z159" s="458"/>
      <c r="AA159" s="458"/>
      <c r="AB159" s="458"/>
      <c r="AC159" s="618"/>
      <c r="AD159" s="458"/>
      <c r="AE159" s="458"/>
      <c r="AF159" s="458"/>
      <c r="AG159" s="458"/>
      <c r="AH159" s="618"/>
      <c r="AI159" s="458"/>
      <c r="AJ159" s="458"/>
      <c r="AK159" s="458"/>
      <c r="AL159" s="458"/>
      <c r="AM159" s="618"/>
      <c r="AN159" s="458"/>
      <c r="AO159" s="458"/>
      <c r="AP159" s="458"/>
      <c r="AQ159" s="458"/>
      <c r="AR159" s="618"/>
      <c r="AS159" s="458"/>
      <c r="AT159" s="458"/>
      <c r="AU159" s="619"/>
      <c r="AV159" s="458"/>
      <c r="AW159" s="618"/>
      <c r="AX159" s="458"/>
      <c r="AY159" s="458"/>
      <c r="AZ159" s="458"/>
      <c r="BA159" s="458"/>
      <c r="BB159" s="620"/>
      <c r="BC159" s="619"/>
      <c r="BD159" s="619"/>
      <c r="BE159" s="619"/>
      <c r="BF159" s="619"/>
      <c r="BG159" s="620"/>
      <c r="BH159" s="619"/>
      <c r="BI159" s="619"/>
      <c r="BJ159" s="621">
        <v>0</v>
      </c>
      <c r="BK159" s="619"/>
      <c r="BL159" s="620"/>
      <c r="BM159" s="619"/>
      <c r="BN159" s="619">
        <v>-10</v>
      </c>
      <c r="BO159" s="622">
        <v>-27</v>
      </c>
      <c r="BP159" s="622">
        <v>-24</v>
      </c>
      <c r="BQ159" s="620">
        <f t="shared" si="131"/>
        <v>-61</v>
      </c>
      <c r="BR159" s="619">
        <v>-26</v>
      </c>
      <c r="BS159" s="619">
        <v>-21</v>
      </c>
      <c r="BT159" s="622">
        <v>-17</v>
      </c>
      <c r="BU159" s="458">
        <v>-13</v>
      </c>
      <c r="BV159" s="620">
        <f t="shared" si="132"/>
        <v>-77</v>
      </c>
      <c r="BW159" s="619">
        <v>-10</v>
      </c>
      <c r="BX159" s="619">
        <v>-11</v>
      </c>
      <c r="BY159" s="621">
        <v>-7</v>
      </c>
      <c r="BZ159" s="619">
        <v>-7</v>
      </c>
      <c r="CA159" s="620">
        <f t="shared" si="133"/>
        <v>-35</v>
      </c>
      <c r="CB159" s="619">
        <v>-4</v>
      </c>
      <c r="CC159" s="619">
        <v>-4</v>
      </c>
      <c r="CD159" s="619">
        <v>-2</v>
      </c>
      <c r="CE159" s="619">
        <v>0</v>
      </c>
      <c r="CF159" s="620">
        <f t="shared" si="134"/>
        <v>-10</v>
      </c>
      <c r="CG159" s="621"/>
      <c r="CH159" s="621"/>
      <c r="CI159" s="621"/>
      <c r="CJ159" s="621"/>
      <c r="CK159" s="620">
        <f t="shared" si="135"/>
        <v>0</v>
      </c>
      <c r="CL159" s="16"/>
      <c r="CM159" s="16"/>
      <c r="CN159" s="16"/>
      <c r="CO159" s="16"/>
      <c r="CP159" s="17"/>
      <c r="CQ159" s="16"/>
      <c r="CR159" s="16"/>
      <c r="CS159" s="16"/>
      <c r="CT159" s="16"/>
      <c r="CU159" s="17"/>
      <c r="CV159" s="471"/>
      <c r="CW159" s="471"/>
      <c r="CX159" s="471"/>
      <c r="CY159" s="471"/>
      <c r="CZ159" s="17"/>
      <c r="DA159" s="16"/>
      <c r="DB159" s="16"/>
      <c r="DC159" s="16"/>
      <c r="DD159" s="16"/>
      <c r="DE159" s="17"/>
      <c r="DF159" s="16"/>
      <c r="DG159" s="16"/>
      <c r="DH159" s="16"/>
      <c r="DI159" s="16"/>
      <c r="DJ159" s="17"/>
      <c r="DK159" s="16"/>
      <c r="DL159" s="16"/>
      <c r="DM159" s="16"/>
      <c r="DN159" s="16"/>
      <c r="DO159" s="17"/>
      <c r="DP159" s="16"/>
      <c r="DQ159" s="16"/>
      <c r="DR159" s="16"/>
      <c r="DS159" s="16"/>
      <c r="DT159" s="17"/>
      <c r="DU159" s="17"/>
      <c r="DV159" s="17"/>
    </row>
    <row r="160" spans="1:126" s="13" customFormat="1" hidden="1" outlineLevel="1">
      <c r="A160" s="32"/>
      <c r="B160" s="3" t="s">
        <v>499</v>
      </c>
      <c r="C160" s="25"/>
      <c r="D160" s="25"/>
      <c r="E160" s="25"/>
      <c r="F160" s="25">
        <v>-1024</v>
      </c>
      <c r="G160" s="25">
        <v>-1090</v>
      </c>
      <c r="H160" s="25">
        <v>-1112</v>
      </c>
      <c r="I160" s="25">
        <v>-875</v>
      </c>
      <c r="J160">
        <v>-203</v>
      </c>
      <c r="K160">
        <v>-264</v>
      </c>
      <c r="L160">
        <v>-234</v>
      </c>
      <c r="M160">
        <v>-246</v>
      </c>
      <c r="N160" s="25">
        <v>-947</v>
      </c>
      <c r="O160">
        <v>-122</v>
      </c>
      <c r="P160">
        <v>-228</v>
      </c>
      <c r="Q160">
        <v>-209</v>
      </c>
      <c r="R160">
        <v>-203</v>
      </c>
      <c r="S160" s="25">
        <v>-762</v>
      </c>
      <c r="T160">
        <v>-173</v>
      </c>
      <c r="U160">
        <v>-235</v>
      </c>
      <c r="V160">
        <v>-259</v>
      </c>
      <c r="W160">
        <v>-254</v>
      </c>
      <c r="X160" s="624">
        <v>-921</v>
      </c>
      <c r="Y160" s="625">
        <v>-211</v>
      </c>
      <c r="Z160" s="625">
        <v>-247</v>
      </c>
      <c r="AA160" s="625">
        <v>-284</v>
      </c>
      <c r="AB160" s="625">
        <v>-1013</v>
      </c>
      <c r="AC160" s="624">
        <v>-1755</v>
      </c>
      <c r="AD160" s="625">
        <v>-424</v>
      </c>
      <c r="AE160" s="625">
        <v>-487</v>
      </c>
      <c r="AF160" s="625">
        <v>-490</v>
      </c>
      <c r="AG160" s="625">
        <v>-565</v>
      </c>
      <c r="AH160" s="624">
        <v>-1966</v>
      </c>
      <c r="AI160" s="625">
        <v>-426</v>
      </c>
      <c r="AJ160" s="625">
        <v>-519</v>
      </c>
      <c r="AK160" s="619">
        <v>-526</v>
      </c>
      <c r="AL160" s="619">
        <v>-503</v>
      </c>
      <c r="AM160" s="620">
        <v>-1974</v>
      </c>
      <c r="AN160" s="619">
        <v>-446</v>
      </c>
      <c r="AO160" s="619">
        <v>-502</v>
      </c>
      <c r="AP160" s="3">
        <v>-511</v>
      </c>
      <c r="AQ160" s="458">
        <v>-537</v>
      </c>
      <c r="AR160" s="620">
        <v>-1996</v>
      </c>
      <c r="AS160" s="619">
        <v>-421</v>
      </c>
      <c r="AT160" s="619">
        <v>-498</v>
      </c>
      <c r="AU160" s="621">
        <v>-443</v>
      </c>
      <c r="AV160" s="621">
        <v>-449</v>
      </c>
      <c r="AW160" s="620">
        <v>-1811</v>
      </c>
      <c r="AX160" s="619">
        <v>-456</v>
      </c>
      <c r="AY160" s="619">
        <v>-495</v>
      </c>
      <c r="AZ160" s="619">
        <v>-485</v>
      </c>
      <c r="BA160" s="621">
        <v>-522</v>
      </c>
      <c r="BB160" s="620">
        <v>-1875</v>
      </c>
      <c r="BC160" s="619">
        <v>-456</v>
      </c>
      <c r="BD160" s="619">
        <v>-486</v>
      </c>
      <c r="BE160" s="619">
        <v>-448</v>
      </c>
      <c r="BF160" s="619">
        <v>-408</v>
      </c>
      <c r="BG160" s="620">
        <f>SUM(BC160:BF160)</f>
        <v>-1798</v>
      </c>
      <c r="BH160" s="619">
        <v>-395</v>
      </c>
      <c r="BI160" s="619">
        <v>-410</v>
      </c>
      <c r="BJ160" s="621">
        <v>-420</v>
      </c>
      <c r="BK160" s="619">
        <v>-401</v>
      </c>
      <c r="BL160" s="620">
        <f>SUM(BH160:BK160)</f>
        <v>-1626</v>
      </c>
      <c r="BM160" s="619">
        <v>-335</v>
      </c>
      <c r="BN160" s="619">
        <v>-333</v>
      </c>
      <c r="BO160" s="621">
        <v>-331</v>
      </c>
      <c r="BP160" s="621">
        <v>-331</v>
      </c>
      <c r="BQ160" s="620">
        <f>SUM(BM160:BP160)</f>
        <v>-1330</v>
      </c>
      <c r="BR160" s="619">
        <v>-347</v>
      </c>
      <c r="BS160" s="619">
        <v>-326</v>
      </c>
      <c r="BT160" s="622">
        <v>-364</v>
      </c>
      <c r="BU160" s="458">
        <v>-323</v>
      </c>
      <c r="BV160" s="620">
        <f>SUM(BR160:BU160)</f>
        <v>-1360</v>
      </c>
      <c r="BW160" s="619">
        <v>-350</v>
      </c>
      <c r="BX160" s="619">
        <v>-372</v>
      </c>
      <c r="BY160" s="621">
        <v>-355</v>
      </c>
      <c r="BZ160" s="619">
        <v>-346</v>
      </c>
      <c r="CA160" s="620">
        <f>SUM(BW160:BZ160)</f>
        <v>-1423</v>
      </c>
      <c r="CB160" s="619">
        <v>-357</v>
      </c>
      <c r="CC160" s="619">
        <v>-376</v>
      </c>
      <c r="CD160" s="619">
        <v>-377</v>
      </c>
      <c r="CE160" s="619">
        <v>-404</v>
      </c>
      <c r="CF160" s="620">
        <f>SUM(CB160:CE160)</f>
        <v>-1514</v>
      </c>
      <c r="CG160" s="621">
        <f>-414-1</f>
        <v>-415</v>
      </c>
      <c r="CH160" s="621">
        <v>-442</v>
      </c>
      <c r="CI160" s="621">
        <v>-435</v>
      </c>
      <c r="CJ160" s="621">
        <v>-421</v>
      </c>
      <c r="CK160" s="620">
        <f>SUM(CG160:CJ160)</f>
        <v>-1713</v>
      </c>
      <c r="CL160" s="16"/>
      <c r="CM160" s="16"/>
      <c r="CN160" s="16"/>
      <c r="CO160" s="16"/>
      <c r="CP160" s="17"/>
      <c r="CQ160" s="16"/>
      <c r="CR160" s="16"/>
      <c r="CS160" s="16"/>
      <c r="CT160" s="16"/>
      <c r="CU160" s="17"/>
      <c r="CV160" s="471"/>
      <c r="CW160" s="471"/>
      <c r="CX160" s="471"/>
      <c r="CY160" s="471"/>
      <c r="CZ160" s="17"/>
      <c r="DA160" s="16"/>
      <c r="DB160" s="16"/>
      <c r="DC160" s="16"/>
      <c r="DD160" s="16"/>
      <c r="DE160" s="17"/>
      <c r="DF160" s="16"/>
      <c r="DG160" s="16"/>
      <c r="DH160" s="16"/>
      <c r="DI160" s="16"/>
      <c r="DJ160" s="17"/>
      <c r="DK160" s="16"/>
      <c r="DL160" s="16"/>
      <c r="DM160" s="16"/>
      <c r="DN160" s="16"/>
      <c r="DO160" s="17"/>
      <c r="DP160" s="16"/>
      <c r="DQ160" s="16"/>
      <c r="DR160" s="16"/>
      <c r="DS160" s="16"/>
      <c r="DT160" s="17"/>
      <c r="DU160" s="17"/>
      <c r="DV160" s="17"/>
    </row>
    <row r="161" spans="1:126" s="13" customFormat="1" hidden="1" outlineLevel="1">
      <c r="A161" s="32"/>
      <c r="B161" s="42" t="s">
        <v>67</v>
      </c>
      <c r="C161" s="75">
        <v>13673</v>
      </c>
      <c r="D161" s="75">
        <v>19530</v>
      </c>
      <c r="E161" s="75">
        <v>19841</v>
      </c>
      <c r="F161" s="75">
        <v>16895</v>
      </c>
      <c r="G161" s="75">
        <v>16867</v>
      </c>
      <c r="H161" s="75">
        <v>16760</v>
      </c>
      <c r="I161" s="75">
        <v>18109</v>
      </c>
      <c r="J161" s="190">
        <v>4676</v>
      </c>
      <c r="K161" s="190">
        <v>4929</v>
      </c>
      <c r="L161" s="190">
        <v>4936</v>
      </c>
      <c r="M161" s="190">
        <v>5704</v>
      </c>
      <c r="N161" s="75">
        <v>20245</v>
      </c>
      <c r="O161" s="190">
        <v>4944</v>
      </c>
      <c r="P161" s="190">
        <v>5409</v>
      </c>
      <c r="Q161" s="190">
        <v>5331</v>
      </c>
      <c r="R161" s="190">
        <v>6210</v>
      </c>
      <c r="S161" s="75">
        <v>21894</v>
      </c>
      <c r="T161" s="190">
        <v>5152</v>
      </c>
      <c r="U161" s="190">
        <v>5711</v>
      </c>
      <c r="V161" s="190">
        <v>5693</v>
      </c>
      <c r="W161" s="190">
        <v>3735</v>
      </c>
      <c r="X161" s="75">
        <v>20291</v>
      </c>
      <c r="Y161" s="190">
        <v>4928</v>
      </c>
      <c r="Z161" s="190">
        <v>5419</v>
      </c>
      <c r="AA161" s="190">
        <v>5355</v>
      </c>
      <c r="AB161" s="190">
        <v>5599</v>
      </c>
      <c r="AC161" s="75">
        <v>21301</v>
      </c>
      <c r="AD161" s="190">
        <v>5354</v>
      </c>
      <c r="AE161" s="190">
        <v>5870</v>
      </c>
      <c r="AF161" s="190">
        <v>5864</v>
      </c>
      <c r="AG161" s="190">
        <v>6086</v>
      </c>
      <c r="AH161" s="75">
        <v>23174</v>
      </c>
      <c r="AI161" s="190">
        <v>5884</v>
      </c>
      <c r="AJ161" s="190">
        <v>6125</v>
      </c>
      <c r="AK161" s="190">
        <v>6205</v>
      </c>
      <c r="AL161" s="190">
        <v>6667</v>
      </c>
      <c r="AM161" s="75">
        <v>24881</v>
      </c>
      <c r="AN161" s="190">
        <v>6053</v>
      </c>
      <c r="AO161" s="190">
        <v>5973</v>
      </c>
      <c r="AP161" s="190">
        <v>6272</v>
      </c>
      <c r="AQ161" s="190">
        <v>6885</v>
      </c>
      <c r="AR161" s="75">
        <v>25183</v>
      </c>
      <c r="AS161" s="190">
        <v>6062</v>
      </c>
      <c r="AT161" s="190">
        <v>6222</v>
      </c>
      <c r="AU161" s="76">
        <v>6132</v>
      </c>
      <c r="AV161" s="190">
        <v>6441</v>
      </c>
      <c r="AW161" s="75">
        <v>24857</v>
      </c>
      <c r="AX161" s="190">
        <f t="shared" ref="AX161" si="136">SUM(AX154:AX160)</f>
        <v>5927</v>
      </c>
      <c r="AY161" s="190">
        <f t="shared" ref="AY161" si="137">SUM(AY154:AY160)</f>
        <v>5965</v>
      </c>
      <c r="AZ161" s="626">
        <f t="shared" ref="AZ161" si="138">SUM(AZ154:AZ160)</f>
        <v>6027</v>
      </c>
      <c r="BA161" s="626">
        <f t="shared" ref="BA161" si="139">SUM(BA154:BA160)</f>
        <v>6412</v>
      </c>
      <c r="BB161" s="75">
        <f t="shared" ref="BB161:CK161" si="140">SUM(BB154:BB160)</f>
        <v>24414</v>
      </c>
      <c r="BC161" s="190">
        <f t="shared" si="140"/>
        <v>5879</v>
      </c>
      <c r="BD161" s="76">
        <f t="shared" si="140"/>
        <v>6115</v>
      </c>
      <c r="BE161" s="76">
        <f t="shared" si="140"/>
        <v>5842</v>
      </c>
      <c r="BF161" s="76">
        <f t="shared" si="140"/>
        <v>5870</v>
      </c>
      <c r="BG161" s="75">
        <f t="shared" si="140"/>
        <v>23706</v>
      </c>
      <c r="BH161" s="76">
        <f t="shared" si="140"/>
        <v>5508</v>
      </c>
      <c r="BI161" s="76">
        <f t="shared" si="140"/>
        <v>5701</v>
      </c>
      <c r="BJ161" s="479">
        <f t="shared" si="140"/>
        <v>5474</v>
      </c>
      <c r="BK161" s="76">
        <f t="shared" si="140"/>
        <v>6143</v>
      </c>
      <c r="BL161" s="75">
        <f t="shared" si="140"/>
        <v>22796</v>
      </c>
      <c r="BM161" s="76">
        <f t="shared" si="140"/>
        <v>5288</v>
      </c>
      <c r="BN161" s="76">
        <f t="shared" si="140"/>
        <v>5848</v>
      </c>
      <c r="BO161" s="479">
        <f t="shared" si="140"/>
        <v>5783</v>
      </c>
      <c r="BP161" s="76">
        <f t="shared" si="140"/>
        <v>6328</v>
      </c>
      <c r="BQ161" s="496">
        <f t="shared" si="140"/>
        <v>23247</v>
      </c>
      <c r="BR161" s="76">
        <f t="shared" si="140"/>
        <v>5763</v>
      </c>
      <c r="BS161" s="498">
        <f t="shared" si="140"/>
        <v>6035</v>
      </c>
      <c r="BT161" s="479">
        <f t="shared" si="140"/>
        <v>6033</v>
      </c>
      <c r="BU161" s="76">
        <f t="shared" si="140"/>
        <v>6238</v>
      </c>
      <c r="BV161" s="496">
        <f t="shared" si="140"/>
        <v>24069</v>
      </c>
      <c r="BW161" s="76">
        <f t="shared" si="140"/>
        <v>6000</v>
      </c>
      <c r="BX161" s="76">
        <f t="shared" si="140"/>
        <v>6281</v>
      </c>
      <c r="BY161" s="479">
        <f t="shared" si="140"/>
        <v>6284</v>
      </c>
      <c r="BZ161" s="630">
        <f t="shared" si="140"/>
        <v>6783</v>
      </c>
      <c r="CA161" s="496">
        <f t="shared" si="140"/>
        <v>25348</v>
      </c>
      <c r="CB161" s="76">
        <f t="shared" si="140"/>
        <v>6267</v>
      </c>
      <c r="CC161" s="76">
        <f t="shared" si="140"/>
        <v>6625</v>
      </c>
      <c r="CD161" s="479">
        <f t="shared" si="140"/>
        <v>6806</v>
      </c>
      <c r="CE161" s="76">
        <f t="shared" si="140"/>
        <v>7360</v>
      </c>
      <c r="CF161" s="75">
        <f t="shared" si="140"/>
        <v>27058</v>
      </c>
      <c r="CG161" s="76">
        <f t="shared" si="140"/>
        <v>6729</v>
      </c>
      <c r="CH161" s="76">
        <f t="shared" si="140"/>
        <v>7159</v>
      </c>
      <c r="CI161" s="479">
        <f t="shared" si="140"/>
        <v>7446</v>
      </c>
      <c r="CJ161" s="76">
        <f t="shared" si="140"/>
        <v>7842</v>
      </c>
      <c r="CK161" s="75">
        <f t="shared" si="140"/>
        <v>29176</v>
      </c>
      <c r="CL161" s="16"/>
      <c r="CM161" s="16"/>
      <c r="CN161" s="16"/>
      <c r="CO161" s="16"/>
      <c r="CP161" s="17"/>
      <c r="CQ161" s="16"/>
      <c r="CR161" s="16"/>
      <c r="CS161" s="16"/>
      <c r="CT161" s="16"/>
      <c r="CU161" s="17"/>
      <c r="CV161" s="471"/>
      <c r="CW161" s="471"/>
      <c r="CX161" s="471"/>
      <c r="CY161" s="471"/>
      <c r="CZ161" s="17"/>
      <c r="DA161" s="16"/>
      <c r="DB161" s="16"/>
      <c r="DC161" s="16"/>
      <c r="DD161" s="16"/>
      <c r="DE161" s="17"/>
      <c r="DF161" s="16"/>
      <c r="DG161" s="16"/>
      <c r="DH161" s="16"/>
      <c r="DI161" s="16"/>
      <c r="DJ161" s="17"/>
      <c r="DK161" s="16"/>
      <c r="DL161" s="16"/>
      <c r="DM161" s="16"/>
      <c r="DN161" s="16"/>
      <c r="DO161" s="17"/>
      <c r="DP161" s="16"/>
      <c r="DQ161" s="16"/>
      <c r="DR161" s="16"/>
      <c r="DS161" s="16"/>
      <c r="DT161" s="17"/>
      <c r="DU161" s="17"/>
      <c r="DV161" s="17"/>
    </row>
    <row r="162" spans="1:126" s="13" customFormat="1" collapsed="1">
      <c r="A162" s="32"/>
      <c r="B162" s="42"/>
      <c r="C162" s="17"/>
      <c r="D162" s="17"/>
      <c r="E162" s="17"/>
      <c r="F162" s="17"/>
      <c r="G162" s="17"/>
      <c r="H162" s="17"/>
      <c r="I162" s="17"/>
      <c r="N162" s="17"/>
      <c r="S162" s="17"/>
      <c r="X162" s="17"/>
      <c r="AC162" s="17"/>
      <c r="AH162" s="17"/>
      <c r="AM162" s="17"/>
      <c r="AR162" s="17"/>
      <c r="AU162" s="16"/>
      <c r="AW162" s="17"/>
      <c r="AZ162" s="12"/>
      <c r="BA162" s="12"/>
      <c r="BB162" s="17"/>
      <c r="BD162" s="16"/>
      <c r="BE162" s="16"/>
      <c r="BF162" s="16"/>
      <c r="BG162" s="17"/>
      <c r="BH162" s="16"/>
      <c r="BI162" s="16"/>
      <c r="BJ162" s="472"/>
      <c r="BK162" s="16"/>
      <c r="BL162" s="17"/>
      <c r="BM162" s="16"/>
      <c r="BN162" s="16"/>
      <c r="BO162" s="472"/>
      <c r="BP162" s="16"/>
      <c r="BQ162" s="366"/>
      <c r="BR162" s="16"/>
      <c r="BS162" s="368"/>
      <c r="BT162" s="472"/>
      <c r="BU162" s="16"/>
      <c r="BV162" s="366"/>
      <c r="BW162" s="16"/>
      <c r="BX162" s="16"/>
      <c r="BY162" s="472"/>
      <c r="BZ162" s="16"/>
      <c r="CA162" s="366"/>
      <c r="CB162" s="16"/>
      <c r="CC162" s="16"/>
      <c r="CD162" s="472"/>
      <c r="CE162" s="16"/>
      <c r="CF162" s="17"/>
      <c r="CG162" s="16"/>
      <c r="CH162" s="16"/>
      <c r="CI162" s="472"/>
      <c r="CJ162" s="16"/>
      <c r="CK162" s="17"/>
      <c r="CL162" s="824"/>
      <c r="CM162" s="824"/>
      <c r="CN162" s="824"/>
      <c r="CO162" s="824"/>
      <c r="CP162" s="17"/>
      <c r="CQ162" s="824"/>
      <c r="CR162" s="824"/>
      <c r="CS162" s="824"/>
      <c r="CT162" s="824"/>
      <c r="CU162" s="17"/>
      <c r="CV162" s="827"/>
      <c r="CW162" s="827"/>
      <c r="CX162" s="827"/>
      <c r="CY162" s="827"/>
      <c r="CZ162" s="825"/>
      <c r="DA162" s="16"/>
      <c r="DB162" s="16"/>
      <c r="DC162" s="16"/>
      <c r="DD162" s="16"/>
      <c r="DE162" s="17"/>
      <c r="DF162" s="16"/>
      <c r="DG162" s="16"/>
      <c r="DH162" s="16"/>
      <c r="DI162" s="16"/>
      <c r="DJ162" s="17"/>
      <c r="DK162" s="16"/>
      <c r="DL162" s="16"/>
      <c r="DM162" s="16"/>
      <c r="DN162" s="16"/>
      <c r="DO162" s="17"/>
      <c r="DP162" s="16"/>
      <c r="DQ162" s="16"/>
      <c r="DR162" s="16"/>
      <c r="DS162" s="16"/>
      <c r="DT162" s="17"/>
      <c r="DU162" s="17"/>
      <c r="DV162" s="17"/>
    </row>
    <row r="163" spans="1:126" s="13" customFormat="1">
      <c r="A163" s="32"/>
      <c r="B163" s="108" t="s">
        <v>80</v>
      </c>
      <c r="C163" s="17"/>
      <c r="D163" s="17"/>
      <c r="E163" s="17"/>
      <c r="F163" s="17"/>
      <c r="G163" s="17"/>
      <c r="H163" s="17"/>
      <c r="I163" s="17"/>
      <c r="N163" s="17"/>
      <c r="S163" s="17"/>
      <c r="X163" s="17"/>
      <c r="AC163" s="17"/>
      <c r="AH163" s="17"/>
      <c r="AM163" s="17"/>
      <c r="AR163" s="17"/>
      <c r="AU163" s="16"/>
      <c r="AW163" s="17"/>
      <c r="AZ163" s="12"/>
      <c r="BA163" s="12"/>
      <c r="BB163" s="17"/>
      <c r="BD163" s="16"/>
      <c r="BE163" s="16"/>
      <c r="BF163" s="16"/>
      <c r="BG163" s="17"/>
      <c r="BH163" s="16"/>
      <c r="BI163" s="16"/>
      <c r="BJ163" s="472"/>
      <c r="BK163" s="16"/>
      <c r="BL163" s="17"/>
      <c r="BM163" s="16"/>
      <c r="BN163" s="16"/>
      <c r="BO163" s="472"/>
      <c r="BP163" s="16"/>
      <c r="BQ163" s="366"/>
      <c r="BR163" s="16"/>
      <c r="BS163" s="368"/>
      <c r="BT163" s="472"/>
      <c r="BU163" s="16"/>
      <c r="BV163" s="366"/>
      <c r="BW163" s="16"/>
      <c r="BX163" s="16"/>
      <c r="BY163" s="472"/>
      <c r="BZ163" s="16"/>
      <c r="CA163" s="366"/>
      <c r="CB163" s="16"/>
      <c r="CC163" s="16"/>
      <c r="CD163" s="472"/>
      <c r="CE163" s="16"/>
      <c r="CF163" s="17"/>
      <c r="CG163" s="16"/>
      <c r="CH163" s="16"/>
      <c r="CI163" s="472"/>
      <c r="CJ163" s="16"/>
      <c r="CK163" s="17"/>
      <c r="CL163" s="16"/>
      <c r="CM163" s="16"/>
      <c r="CN163" s="472"/>
      <c r="CO163" s="16"/>
      <c r="CP163" s="17"/>
      <c r="CQ163" s="16"/>
      <c r="CR163" s="16"/>
      <c r="CS163" s="16"/>
      <c r="CT163" s="16"/>
      <c r="CU163" s="17"/>
      <c r="CV163" s="16"/>
      <c r="CW163" s="16"/>
      <c r="CX163" s="16"/>
      <c r="CY163" s="16"/>
      <c r="CZ163" s="17"/>
      <c r="DA163" s="16"/>
      <c r="DB163" s="16"/>
      <c r="DC163" s="16"/>
      <c r="DD163" s="16"/>
      <c r="DE163" s="17"/>
      <c r="DF163" s="16"/>
      <c r="DG163" s="16"/>
      <c r="DH163" s="16"/>
      <c r="DI163" s="16"/>
      <c r="DJ163" s="17"/>
      <c r="DK163" s="16"/>
      <c r="DL163" s="16"/>
      <c r="DM163" s="16"/>
      <c r="DN163" s="16"/>
      <c r="DO163" s="17"/>
      <c r="DP163" s="16"/>
      <c r="DQ163" s="16"/>
      <c r="DR163" s="16"/>
      <c r="DS163" s="16"/>
      <c r="DT163" s="17"/>
      <c r="DU163" s="17"/>
      <c r="DV163" s="17"/>
    </row>
    <row r="164" spans="1:126" s="13" customFormat="1">
      <c r="A164" s="32"/>
      <c r="B164" s="165" t="s">
        <v>194</v>
      </c>
      <c r="C164" s="309">
        <v>816</v>
      </c>
      <c r="D164" s="309">
        <v>1024</v>
      </c>
      <c r="E164" s="309">
        <v>634</v>
      </c>
      <c r="F164" s="309">
        <v>1200</v>
      </c>
      <c r="G164" s="309">
        <v>1308</v>
      </c>
      <c r="H164" s="309">
        <v>1282</v>
      </c>
      <c r="I164" s="309">
        <v>1063</v>
      </c>
      <c r="J164" s="313">
        <v>206</v>
      </c>
      <c r="K164" s="313">
        <v>295</v>
      </c>
      <c r="L164" s="313">
        <v>302</v>
      </c>
      <c r="M164" s="313">
        <v>280</v>
      </c>
      <c r="N164" s="195">
        <f t="shared" ref="N164:N165" si="141">SUM(J164:M164)</f>
        <v>1083</v>
      </c>
      <c r="O164" s="316">
        <v>340</v>
      </c>
      <c r="P164" s="316">
        <v>368</v>
      </c>
      <c r="Q164" s="316">
        <v>379</v>
      </c>
      <c r="R164" s="316">
        <v>362</v>
      </c>
      <c r="S164" s="195">
        <f t="shared" ref="S164:S165" si="142">SUM(O164:R164)</f>
        <v>1449</v>
      </c>
      <c r="T164" s="322">
        <v>430</v>
      </c>
      <c r="U164" s="322">
        <v>535</v>
      </c>
      <c r="V164" s="322">
        <v>443</v>
      </c>
      <c r="W164" s="322">
        <v>409</v>
      </c>
      <c r="X164" s="195">
        <f t="shared" ref="X164:X165" si="143">SUM(T164:W164)</f>
        <v>1817</v>
      </c>
      <c r="Y164" s="326">
        <v>490</v>
      </c>
      <c r="Z164" s="326">
        <v>522</v>
      </c>
      <c r="AA164" s="326">
        <v>503</v>
      </c>
      <c r="AB164" s="326">
        <v>496</v>
      </c>
      <c r="AC164" s="17">
        <f t="shared" ref="AC164:AC165" si="144">SUM(Y164:AB164)</f>
        <v>2011</v>
      </c>
      <c r="AD164" s="330">
        <v>526</v>
      </c>
      <c r="AE164" s="330">
        <v>546</v>
      </c>
      <c r="AF164" s="330">
        <v>530</v>
      </c>
      <c r="AG164" s="330">
        <v>520</v>
      </c>
      <c r="AH164" s="17">
        <f t="shared" ref="AH164:AH165" si="145">SUM(AD164:AG164)</f>
        <v>2122</v>
      </c>
      <c r="AI164" s="332">
        <v>436</v>
      </c>
      <c r="AJ164" s="332">
        <v>467</v>
      </c>
      <c r="AK164" s="332">
        <v>444</v>
      </c>
      <c r="AL164" s="332">
        <v>488</v>
      </c>
      <c r="AM164" s="17">
        <f t="shared" ref="AM164:AM165" si="146">SUM(AI164:AL164)</f>
        <v>1835</v>
      </c>
      <c r="AN164" s="338">
        <v>436</v>
      </c>
      <c r="AO164" s="338">
        <v>522</v>
      </c>
      <c r="AP164" s="338">
        <v>547</v>
      </c>
      <c r="AQ164" s="338">
        <v>482</v>
      </c>
      <c r="AR164" s="17">
        <f t="shared" ref="AR164:AR165" si="147">SUM(AN164:AQ164)</f>
        <v>1987</v>
      </c>
      <c r="AS164" s="16">
        <f t="shared" ref="AS164:AV164" si="148">AS181</f>
        <v>428</v>
      </c>
      <c r="AT164" s="16">
        <f t="shared" si="148"/>
        <v>424</v>
      </c>
      <c r="AU164" s="16">
        <f t="shared" si="148"/>
        <v>496</v>
      </c>
      <c r="AV164" s="16">
        <f t="shared" si="148"/>
        <v>519</v>
      </c>
      <c r="AW164" s="366">
        <f t="shared" ref="AW164" si="149">SUM(AS164:AV164)</f>
        <v>1867</v>
      </c>
      <c r="AX164" s="16">
        <f>AX181-(AX201*150/$CK$201)+(AX172*290/-910)</f>
        <v>389.34229452735406</v>
      </c>
      <c r="AY164" s="16">
        <f>AY181-(AY201*150/$CK$201)+(AY172*290/-910)</f>
        <v>427.50877621436848</v>
      </c>
      <c r="AZ164" s="16">
        <f>AZ181-(AZ201*150/$CK$201)+(AZ172*290/-910)</f>
        <v>408.84284946631078</v>
      </c>
      <c r="BA164" s="16">
        <f>BA181-(BA201*150/$CK$201)+(BA172*290/-910)</f>
        <v>358.34895379483464</v>
      </c>
      <c r="BB164" s="366">
        <f t="shared" ref="BB164:BB171" si="150">SUM(AX164:BA164)</f>
        <v>1584.0428740028681</v>
      </c>
      <c r="BC164" s="16">
        <f>BC181-(BC201*150/$CK$201)+(BC172*290/-910)</f>
        <v>418.55993684702946</v>
      </c>
      <c r="BD164" s="16">
        <f>BD181-(BD201*150/$CK$201)+(BD172*290/-910)</f>
        <v>574.73196792361102</v>
      </c>
      <c r="BE164" s="16">
        <f>BE181-(BE201*150/$CK$201)+(BE172*290/-910)</f>
        <v>448.72974816778418</v>
      </c>
      <c r="BF164" s="16">
        <f>BF181-(BF201*150/$CK$201)+(BF172*290/-910)</f>
        <v>467.07048068720701</v>
      </c>
      <c r="BG164" s="366">
        <f t="shared" ref="BG164:BG171" si="151">SUM(BC164:BF164)</f>
        <v>1909.0921336256317</v>
      </c>
      <c r="BH164" s="16">
        <f>BH181-(BH201*150/$CK$201)+(BH172*290/-910)</f>
        <v>403.45661118805856</v>
      </c>
      <c r="BI164" s="16">
        <f>BI181-(BI201*150/$CK$201)+(BI172*290/-910)</f>
        <v>478.25572328572781</v>
      </c>
      <c r="BJ164" s="16">
        <f>BJ181-(BJ201*150/$CK$201)+(BJ172*290/-910)</f>
        <v>638.30122828017852</v>
      </c>
      <c r="BK164" s="16">
        <f>BK181-(BK201*150/$CK$201)+(BK172*290/-910)</f>
        <v>545.97492417363014</v>
      </c>
      <c r="BL164" s="366">
        <f t="shared" ref="BL164:BL171" si="152">SUM(BH164:BK164)</f>
        <v>2065.9884869275947</v>
      </c>
      <c r="BM164" s="16">
        <f>BM181-(BM201*150/$CK$201)+(BM172*290/-910)</f>
        <v>434.40654629230454</v>
      </c>
      <c r="BN164" s="16">
        <f>BN181-(BN201*150/$CK$201)+(BN172*290/-910)</f>
        <v>489.58745639219353</v>
      </c>
      <c r="BO164" s="16">
        <f>BO181-(BO201*150/$CK$201)+(BO172*290/-910)</f>
        <v>429.5785773688861</v>
      </c>
      <c r="BP164" s="16">
        <f>BP181-(BP201*150/$CK$201)+(BP172*290/-910)</f>
        <v>-515.01964682645246</v>
      </c>
      <c r="BQ164" s="366">
        <f t="shared" ref="BQ164:BQ171" si="153">SUM(BM164:BP164)</f>
        <v>838.55293322693171</v>
      </c>
      <c r="BR164" s="16">
        <f>BR181-(BR201*150/$CK$201)+(BR172*290/-910)</f>
        <v>426.2049092988201</v>
      </c>
      <c r="BS164" s="16">
        <f>BS181-(BS201*150/$CK$201)+(BS172*290/-910)</f>
        <v>405.86750641313751</v>
      </c>
      <c r="BT164" s="16">
        <f>BT181-(BT201*150/$CK$201)+(BT172*290/-910)</f>
        <v>357.70324448194992</v>
      </c>
      <c r="BU164" s="16">
        <f>BU181-(BU201*150/$CK$201)+(BU172*290/-910)</f>
        <v>348.78981495919743</v>
      </c>
      <c r="BV164" s="366">
        <f t="shared" ref="BV164:BV171" si="154">SUM(BR164:BU164)</f>
        <v>1538.5654751531049</v>
      </c>
      <c r="BW164" s="16">
        <f>BW181-(BW201*150/$CK$201)+(BW172*290/-910)</f>
        <v>365.51048651177297</v>
      </c>
      <c r="BX164" s="16">
        <f>BX181-(BX201*150/$CK$201)+(BX172*290/-910)</f>
        <v>380.66919905339336</v>
      </c>
      <c r="BY164" s="16">
        <f>BY181-(BY201*150/$CK$201)+(BY172*290/-910)</f>
        <v>212.4971679768118</v>
      </c>
      <c r="BZ164" s="16">
        <f>BZ181-(BZ201*150/$CK$201)+(BZ172*290/-910)</f>
        <v>386.52824455838783</v>
      </c>
      <c r="CA164" s="366">
        <f t="shared" ref="CA164:CA171" si="155">SUM(BW164:BZ164)</f>
        <v>1345.2050981003658</v>
      </c>
      <c r="CB164" s="16">
        <f>CB181-(CB201*150/$CK$201)+(CB202*290/-910)</f>
        <v>456.71273676379116</v>
      </c>
      <c r="CC164" s="16">
        <f>CC181-(CC201*150/$CK$201)+(CC202*290/-910)</f>
        <v>427.72716517666572</v>
      </c>
      <c r="CD164" s="16">
        <f>CD181-(CD201*150/$CK$201)+(CD202*290/-910)</f>
        <v>141.39198204681</v>
      </c>
      <c r="CE164" s="16">
        <f>CE181-(CE201*150/$CK$201)+(CE202*290/-910)</f>
        <v>390.3831030235026</v>
      </c>
      <c r="CF164" s="366">
        <f t="shared" ref="CF164:CF171" si="156">SUM(CB164:CE164)</f>
        <v>1416.2149870107694</v>
      </c>
      <c r="CG164" s="16">
        <v>478</v>
      </c>
      <c r="CH164" s="16">
        <v>449</v>
      </c>
      <c r="CI164" s="16">
        <v>520</v>
      </c>
      <c r="CJ164" s="16">
        <v>354</v>
      </c>
      <c r="CK164" s="366">
        <f t="shared" ref="CK164:CK171" si="157">SUM(CG164:CJ164)</f>
        <v>1801</v>
      </c>
      <c r="CL164" s="16">
        <v>475</v>
      </c>
      <c r="CM164" s="16">
        <v>-457</v>
      </c>
      <c r="CN164" s="472">
        <v>-615</v>
      </c>
      <c r="CO164" s="16">
        <v>33</v>
      </c>
      <c r="CP164" s="366">
        <f t="shared" ref="CP164:CP173" si="158">SUM(CL164:CO164)</f>
        <v>-564</v>
      </c>
      <c r="CQ164" s="368">
        <v>20</v>
      </c>
      <c r="CR164" s="16">
        <v>112</v>
      </c>
      <c r="CS164" s="16">
        <v>187</v>
      </c>
      <c r="CT164" s="16">
        <v>135</v>
      </c>
      <c r="CU164" s="366">
        <f t="shared" ref="CU164:CU174" si="159">SUM(CQ164:CT164)</f>
        <v>454</v>
      </c>
      <c r="CV164" s="368">
        <v>151</v>
      </c>
      <c r="CW164" s="16">
        <v>302</v>
      </c>
      <c r="CX164" s="16">
        <v>316</v>
      </c>
      <c r="CY164" s="198">
        <v>306</v>
      </c>
      <c r="CZ164" s="366">
        <f t="shared" ref="CZ164:CZ173" si="160">SUM(CV164:CY164)</f>
        <v>1075</v>
      </c>
      <c r="DA164" s="16">
        <v>415</v>
      </c>
      <c r="DB164" s="16">
        <v>230</v>
      </c>
      <c r="DC164" s="16">
        <v>-2482</v>
      </c>
      <c r="DD164" s="16">
        <v>382</v>
      </c>
      <c r="DE164" s="17">
        <f t="shared" ref="DE164:DE173" si="161">SUM(DA164:DD164)</f>
        <v>-1455</v>
      </c>
      <c r="DF164" s="16">
        <v>412</v>
      </c>
      <c r="DG164" s="443">
        <v>542</v>
      </c>
      <c r="DH164" s="443">
        <v>557</v>
      </c>
      <c r="DI164" s="443">
        <v>504</v>
      </c>
      <c r="DJ164" s="17">
        <f t="shared" ref="DJ164:DJ173" si="162">SUM(DF164:DI164)</f>
        <v>2015</v>
      </c>
      <c r="DK164" s="443">
        <v>580</v>
      </c>
      <c r="DL164" s="443">
        <v>492</v>
      </c>
      <c r="DM164" s="443">
        <v>751</v>
      </c>
      <c r="DN164" s="16"/>
      <c r="DO164" s="17"/>
      <c r="DP164" s="443"/>
      <c r="DQ164" s="16"/>
      <c r="DR164" s="16"/>
      <c r="DS164" s="16"/>
      <c r="DT164" s="17"/>
      <c r="DU164" s="17"/>
      <c r="DV164" s="17"/>
    </row>
    <row r="165" spans="1:126" s="13" customFormat="1">
      <c r="A165" s="32"/>
      <c r="B165" s="165" t="s">
        <v>472</v>
      </c>
      <c r="C165" s="309">
        <v>301</v>
      </c>
      <c r="D165" s="309">
        <v>287</v>
      </c>
      <c r="E165" s="309">
        <v>247</v>
      </c>
      <c r="F165" s="309">
        <v>614</v>
      </c>
      <c r="G165" s="309">
        <v>670</v>
      </c>
      <c r="H165" s="309">
        <v>565</v>
      </c>
      <c r="I165" s="309">
        <v>554</v>
      </c>
      <c r="J165" s="314">
        <v>131</v>
      </c>
      <c r="K165" s="313">
        <v>140</v>
      </c>
      <c r="L165" s="313">
        <v>160</v>
      </c>
      <c r="M165" s="313">
        <v>152</v>
      </c>
      <c r="N165" s="17">
        <f t="shared" si="141"/>
        <v>583</v>
      </c>
      <c r="O165" s="316">
        <v>152</v>
      </c>
      <c r="P165" s="316">
        <v>170</v>
      </c>
      <c r="Q165" s="316">
        <v>179</v>
      </c>
      <c r="R165" s="316">
        <v>174</v>
      </c>
      <c r="S165" s="17">
        <f t="shared" si="142"/>
        <v>675</v>
      </c>
      <c r="T165" s="322">
        <v>181</v>
      </c>
      <c r="U165" s="322">
        <v>212</v>
      </c>
      <c r="V165" s="322">
        <v>220</v>
      </c>
      <c r="W165" s="322">
        <v>219</v>
      </c>
      <c r="X165" s="17">
        <f t="shared" si="143"/>
        <v>832</v>
      </c>
      <c r="Y165" s="326">
        <v>218</v>
      </c>
      <c r="Z165" s="326">
        <v>246</v>
      </c>
      <c r="AA165" s="326">
        <v>249</v>
      </c>
      <c r="AB165" s="326">
        <v>254</v>
      </c>
      <c r="AC165" s="17">
        <f t="shared" si="144"/>
        <v>967</v>
      </c>
      <c r="AD165" s="330">
        <v>229</v>
      </c>
      <c r="AE165" s="330">
        <v>280</v>
      </c>
      <c r="AF165" s="330">
        <v>286</v>
      </c>
      <c r="AG165" s="330">
        <v>304</v>
      </c>
      <c r="AH165" s="17">
        <f t="shared" si="145"/>
        <v>1099</v>
      </c>
      <c r="AI165" s="332">
        <v>192</v>
      </c>
      <c r="AJ165" s="332">
        <v>187</v>
      </c>
      <c r="AK165" s="332">
        <v>247</v>
      </c>
      <c r="AL165" s="332">
        <v>231</v>
      </c>
      <c r="AM165" s="17">
        <f t="shared" si="146"/>
        <v>857</v>
      </c>
      <c r="AN165" s="338">
        <v>221</v>
      </c>
      <c r="AO165" s="338">
        <v>204</v>
      </c>
      <c r="AP165" s="338">
        <v>255</v>
      </c>
      <c r="AQ165" s="338">
        <v>238</v>
      </c>
      <c r="AR165" s="17">
        <f t="shared" si="147"/>
        <v>918</v>
      </c>
      <c r="AS165" s="340">
        <v>172</v>
      </c>
      <c r="AT165" s="340">
        <v>185</v>
      </c>
      <c r="AU165" s="341">
        <v>204</v>
      </c>
      <c r="AV165" s="340">
        <v>198</v>
      </c>
      <c r="AW165" s="17">
        <f t="shared" ref="AW165" si="163">SUM(AS165:AV165)</f>
        <v>759</v>
      </c>
      <c r="AX165" s="16">
        <f>AX182-(AX201*200/$CK$201)+(AX172*620/-910)</f>
        <v>220.43182888312037</v>
      </c>
      <c r="AY165" s="16">
        <f>AY182-(AY201*200/$CK$201)+(AY172*620/-910)</f>
        <v>233.65380446580627</v>
      </c>
      <c r="AZ165" s="16">
        <f>AZ182-(AZ201*200/$CK$201)+(AZ172*620/-910)</f>
        <v>292.76590213506267</v>
      </c>
      <c r="BA165" s="16">
        <f>BA182-(BA201*200/$CK$201)+(BA172*620/-910)</f>
        <v>278.4407079064278</v>
      </c>
      <c r="BB165" s="366">
        <f t="shared" si="150"/>
        <v>1025.2922433904171</v>
      </c>
      <c r="BC165" s="16">
        <f>BC182-(BC201*200/$CK$201)+(BC172*620/-910)</f>
        <v>546.06958521752688</v>
      </c>
      <c r="BD165" s="16">
        <f>BD182-(BD201*200/$CK$201)+(BD172*620/-910)</f>
        <v>537.63229331963566</v>
      </c>
      <c r="BE165" s="16">
        <f>BE182-(BE201*200/$CK$201)+(BE172*620/-910)</f>
        <v>542.29600031186646</v>
      </c>
      <c r="BF165" s="16">
        <f>BF182-(BF201*200/$CK$201)+(BF172*620/-910)</f>
        <v>549.41697700443035</v>
      </c>
      <c r="BG165" s="366">
        <f t="shared" si="151"/>
        <v>2175.4148558534594</v>
      </c>
      <c r="BH165" s="16">
        <f>BH182-(BH201*200/$CK$201)+(BH172*620/-910)</f>
        <v>639.2532134481736</v>
      </c>
      <c r="BI165" s="16">
        <f>BI182-(BI201*200/$CK$201)+(BI172*620/-910)</f>
        <v>692.31869624506601</v>
      </c>
      <c r="BJ165" s="16">
        <f>BJ182-(BJ201*200/$CK$201)+(BJ172*620/-910)</f>
        <v>610.71270290433347</v>
      </c>
      <c r="BK165" s="16">
        <f>BK182-(BK201*200/$CK$201)+(BK172*620/-910)</f>
        <v>615.27763076226904</v>
      </c>
      <c r="BL165" s="366">
        <f t="shared" si="152"/>
        <v>2557.5622433598419</v>
      </c>
      <c r="BM165" s="16">
        <f>BM182-(BM201*200/$CK$201)+(BM172*620/-910)</f>
        <v>618.54803050176872</v>
      </c>
      <c r="BN165" s="16">
        <f>BN182-(BN201*200/$CK$201)+(BN172*620/-910)</f>
        <v>612.45591063495408</v>
      </c>
      <c r="BO165" s="16">
        <f>BO182-(BO201*200/$CK$201)+(BO172*620/-910)</f>
        <v>615.11073860387751</v>
      </c>
      <c r="BP165" s="16">
        <f>BP182-(BP201*200/$CK$201)+(BP172*620/-910)</f>
        <v>127.97977301009284</v>
      </c>
      <c r="BQ165" s="366">
        <f t="shared" si="153"/>
        <v>1974.0944527506933</v>
      </c>
      <c r="BR165" s="16">
        <f>BR182-(BR201*200/$CK$201)+(BR172*620/-910)</f>
        <v>590.86228494204477</v>
      </c>
      <c r="BS165" s="16">
        <f>BS182-(BS201*200/$CK$201)+(BS172*620/-910)</f>
        <v>639.74574776113468</v>
      </c>
      <c r="BT165" s="16">
        <f>BT182-(BT201*200/$CK$201)+(BT172*620/-910)</f>
        <v>654.86006518621798</v>
      </c>
      <c r="BU165" s="16">
        <f>BU182-(BU201*200/$CK$201)+(BU172*620/-910)</f>
        <v>528.97549248921462</v>
      </c>
      <c r="BV165" s="366">
        <f t="shared" si="154"/>
        <v>2414.443590378612</v>
      </c>
      <c r="BW165" s="16">
        <f>BW182-(BW201*200/$CK$201)+(BW172*620/-910)</f>
        <v>577.5194916575706</v>
      </c>
      <c r="BX165" s="16">
        <f>BX182-(BX201*200/$CK$201)+(BX172*620/-910)</f>
        <v>591.06444171306441</v>
      </c>
      <c r="BY165" s="16">
        <f>BY182-(BY201*200/$CK$201)+(BY172*620/-910)</f>
        <v>636.50173361095563</v>
      </c>
      <c r="BZ165" s="16">
        <f>BZ182-(BZ201*200/$CK$201)+(BZ172*620/-910)</f>
        <v>579.20983571972374</v>
      </c>
      <c r="CA165" s="366">
        <f t="shared" si="155"/>
        <v>2384.295502701314</v>
      </c>
      <c r="CB165" s="16">
        <f>(CB182+1268/4)-(CB201*200/$CK$201)+(CB202*620/-910)</f>
        <v>1025.8477515824907</v>
      </c>
      <c r="CC165" s="16">
        <f>(CC182+1268/4)-(CC201*200/$CK$201)+(CC202*620/-910)</f>
        <v>989.53365613299025</v>
      </c>
      <c r="CD165" s="16">
        <f>(CD182+1268/4)-(CD201*200/$CK$201)+(CD202*620/-910)</f>
        <v>1032.7534119598492</v>
      </c>
      <c r="CE165" s="16">
        <f>(CE182+1268/4)-(CE201*200/$CK$201)+(CE202*620/-910)</f>
        <v>969.40823992877267</v>
      </c>
      <c r="CF165" s="366">
        <f t="shared" si="156"/>
        <v>4017.5430596041028</v>
      </c>
      <c r="CG165" s="16">
        <v>964</v>
      </c>
      <c r="CH165" s="16">
        <v>1276</v>
      </c>
      <c r="CI165" s="16">
        <v>1259</v>
      </c>
      <c r="CJ165" s="16">
        <v>1009</v>
      </c>
      <c r="CK165" s="366">
        <f t="shared" si="157"/>
        <v>4508</v>
      </c>
      <c r="CL165" s="16">
        <v>1373.1111111111113</v>
      </c>
      <c r="CM165" s="16">
        <v>-197.01809954751127</v>
      </c>
      <c r="CN165" s="472">
        <v>631.17715019255456</v>
      </c>
      <c r="CO165" s="16">
        <v>202.72983824384528</v>
      </c>
      <c r="CP165" s="366">
        <v>2010</v>
      </c>
      <c r="CQ165" s="368">
        <v>441.1111111111112</v>
      </c>
      <c r="CR165" s="16">
        <v>625.98190045248873</v>
      </c>
      <c r="CS165" s="16">
        <v>583.17715019255456</v>
      </c>
      <c r="CT165" s="16">
        <v>729.72983824384551</v>
      </c>
      <c r="CU165" s="366">
        <v>2380</v>
      </c>
      <c r="CV165" s="368">
        <f>440+127</f>
        <v>567</v>
      </c>
      <c r="CW165" s="16">
        <f>546+118</f>
        <v>664</v>
      </c>
      <c r="CX165" s="16">
        <f>616+126</f>
        <v>742</v>
      </c>
      <c r="CY165" s="16">
        <f>741+102</f>
        <v>843</v>
      </c>
      <c r="CZ165" s="366">
        <f t="shared" si="160"/>
        <v>2816</v>
      </c>
      <c r="DA165" s="16">
        <f>794+103</f>
        <v>897</v>
      </c>
      <c r="DB165" s="16">
        <f>821+78</f>
        <v>899</v>
      </c>
      <c r="DC165" s="16">
        <v>903</v>
      </c>
      <c r="DD165" s="16">
        <v>1126</v>
      </c>
      <c r="DE165" s="17">
        <f t="shared" si="161"/>
        <v>3825</v>
      </c>
      <c r="DF165" s="16">
        <v>849</v>
      </c>
      <c r="DG165" s="443">
        <v>1118</v>
      </c>
      <c r="DH165" s="443">
        <v>1062</v>
      </c>
      <c r="DI165" s="443">
        <v>1106</v>
      </c>
      <c r="DJ165" s="17">
        <f t="shared" si="162"/>
        <v>4135</v>
      </c>
      <c r="DK165" s="443">
        <v>1088</v>
      </c>
      <c r="DL165" s="443">
        <v>1173</v>
      </c>
      <c r="DM165" s="443">
        <v>1260</v>
      </c>
      <c r="DN165" s="16"/>
      <c r="DO165" s="17"/>
      <c r="DP165" s="443"/>
      <c r="DQ165" s="16"/>
      <c r="DR165" s="16"/>
      <c r="DS165" s="16"/>
      <c r="DT165" s="17"/>
      <c r="DU165" s="17"/>
      <c r="DV165" s="17"/>
    </row>
    <row r="166" spans="1:126" s="13" customFormat="1" hidden="1" outlineLevel="1">
      <c r="A166" s="32"/>
      <c r="B166" s="180" t="s">
        <v>570</v>
      </c>
      <c r="C166" s="17"/>
      <c r="D166" s="17"/>
      <c r="E166" s="17"/>
      <c r="F166" s="17"/>
      <c r="G166" s="17"/>
      <c r="H166" s="17"/>
      <c r="I166" s="17"/>
      <c r="N166" s="17"/>
      <c r="S166" s="17"/>
      <c r="X166" s="17"/>
      <c r="AC166" s="17"/>
      <c r="AH166" s="17"/>
      <c r="AM166" s="17"/>
      <c r="AR166" s="17"/>
      <c r="AU166" s="16"/>
      <c r="AW166" s="17"/>
      <c r="AX166" s="16">
        <f t="shared" ref="AX166:BA166" si="164">AX190+AX192-(AX201*75.5/$CK$201)</f>
        <v>345.42508324084349</v>
      </c>
      <c r="AY166" s="16">
        <f t="shared" si="164"/>
        <v>370.50887902330743</v>
      </c>
      <c r="AZ166" s="16">
        <f t="shared" si="164"/>
        <v>348.17369589345174</v>
      </c>
      <c r="BA166" s="16">
        <f t="shared" si="164"/>
        <v>402.40843507214208</v>
      </c>
      <c r="BB166" s="366">
        <f t="shared" si="150"/>
        <v>1466.5160932297447</v>
      </c>
      <c r="BC166" s="16">
        <f t="shared" ref="BC166:BF166" si="165">BC190+BC192-(BC201*75.5/$CK$201)</f>
        <v>339.60377358490564</v>
      </c>
      <c r="BD166" s="16">
        <f t="shared" si="165"/>
        <v>333.17369589345174</v>
      </c>
      <c r="BE166" s="16">
        <f t="shared" si="165"/>
        <v>345.17924528301887</v>
      </c>
      <c r="BF166" s="16">
        <f t="shared" si="165"/>
        <v>357.82741398446171</v>
      </c>
      <c r="BG166" s="366">
        <f t="shared" si="151"/>
        <v>1375.784128745838</v>
      </c>
      <c r="BH166" s="16">
        <f t="shared" ref="BH166:BK166" si="166">BH190+BH192-(BH201*75.5/$CK$201)</f>
        <v>304.86071032186459</v>
      </c>
      <c r="BI166" s="16">
        <f t="shared" si="166"/>
        <v>334.36293007769143</v>
      </c>
      <c r="BJ166" s="16">
        <f t="shared" si="166"/>
        <v>339.74916759156491</v>
      </c>
      <c r="BK166" s="16">
        <f t="shared" si="166"/>
        <v>329.56492785793563</v>
      </c>
      <c r="BL166" s="366">
        <f t="shared" si="152"/>
        <v>1308.5377358490564</v>
      </c>
      <c r="BM166" s="16">
        <f t="shared" ref="BM166:BP166" si="167">BM190+BM192-(BM201*75.5/$CK$201)</f>
        <v>466.60932297447283</v>
      </c>
      <c r="BN166" s="16">
        <f t="shared" si="167"/>
        <v>300.15704772475027</v>
      </c>
      <c r="BO166" s="16">
        <f t="shared" si="167"/>
        <v>318.17924528301887</v>
      </c>
      <c r="BP166" s="16">
        <f t="shared" si="167"/>
        <v>306.17480577136513</v>
      </c>
      <c r="BQ166" s="366">
        <f t="shared" si="153"/>
        <v>1391.1204217536072</v>
      </c>
      <c r="BR166" s="16">
        <f t="shared" ref="BR166:BU166" si="168">BR190+BR192-(BR201*75.5/$CK$201)</f>
        <v>261.60377358490564</v>
      </c>
      <c r="BS166" s="16">
        <f t="shared" si="168"/>
        <v>317.44728079911209</v>
      </c>
      <c r="BT166" s="16">
        <f t="shared" si="168"/>
        <v>321.35793562708102</v>
      </c>
      <c r="BU166" s="16">
        <f t="shared" si="168"/>
        <v>302.14150943396226</v>
      </c>
      <c r="BV166" s="366">
        <f t="shared" si="154"/>
        <v>1202.5504994450612</v>
      </c>
      <c r="BW166" s="16">
        <f t="shared" ref="BW166:BZ166" si="169">BW190+BW192-(BW201*75.5/$CK$201)</f>
        <v>285.33018867924528</v>
      </c>
      <c r="BX166" s="16">
        <f t="shared" si="169"/>
        <v>320.93340732519425</v>
      </c>
      <c r="BY166" s="16">
        <f t="shared" si="169"/>
        <v>314.36348501664816</v>
      </c>
      <c r="BZ166" s="16">
        <f t="shared" si="169"/>
        <v>335.28579356270808</v>
      </c>
      <c r="CA166" s="366">
        <f t="shared" si="155"/>
        <v>1255.9128745837957</v>
      </c>
      <c r="CB166" s="16">
        <f t="shared" ref="CB166:CD166" si="170">CB190+CB192-(CB201*75.5/$CK$201)</f>
        <v>292.86376248612652</v>
      </c>
      <c r="CC166" s="16">
        <f t="shared" si="170"/>
        <v>310.32769145394008</v>
      </c>
      <c r="CD166" s="16">
        <f t="shared" si="170"/>
        <v>349.16564927857934</v>
      </c>
      <c r="CE166" s="16">
        <f>CE190+CE192-(CE201*75.5/$CK$201)</f>
        <v>387.18784683684794</v>
      </c>
      <c r="CF166" s="366">
        <f t="shared" si="156"/>
        <v>1339.5449500554939</v>
      </c>
      <c r="CG166" s="16">
        <v>398</v>
      </c>
      <c r="CH166" s="16">
        <v>386</v>
      </c>
      <c r="CI166" s="16">
        <v>428</v>
      </c>
      <c r="CJ166" s="16">
        <v>425</v>
      </c>
      <c r="CK166" s="366">
        <f t="shared" si="157"/>
        <v>1637</v>
      </c>
      <c r="CL166" s="198">
        <v>399</v>
      </c>
      <c r="CM166" s="198">
        <v>329</v>
      </c>
      <c r="CN166" s="472">
        <v>350</v>
      </c>
      <c r="CO166" s="16">
        <v>361</v>
      </c>
      <c r="CP166" s="366">
        <f t="shared" si="158"/>
        <v>1439</v>
      </c>
      <c r="CQ166" s="368">
        <v>388</v>
      </c>
      <c r="CR166" s="16">
        <v>415</v>
      </c>
      <c r="CS166" s="16">
        <v>391</v>
      </c>
      <c r="CT166" s="16">
        <v>639</v>
      </c>
      <c r="CU166" s="366">
        <f t="shared" si="159"/>
        <v>1833</v>
      </c>
      <c r="CV166" s="368">
        <v>378</v>
      </c>
      <c r="CW166" s="16">
        <v>315</v>
      </c>
      <c r="CX166" s="16">
        <v>371</v>
      </c>
      <c r="CY166" s="16">
        <v>278</v>
      </c>
      <c r="CZ166" s="366">
        <f t="shared" si="160"/>
        <v>1342</v>
      </c>
      <c r="DA166" s="16">
        <v>324</v>
      </c>
      <c r="DB166" s="16">
        <v>291</v>
      </c>
      <c r="DC166" s="16"/>
      <c r="DD166" s="16"/>
      <c r="DE166" s="17">
        <f t="shared" si="161"/>
        <v>615</v>
      </c>
      <c r="DF166" s="16"/>
      <c r="DG166" s="443"/>
      <c r="DH166" s="443"/>
      <c r="DI166" s="443"/>
      <c r="DJ166" s="17">
        <f t="shared" si="162"/>
        <v>0</v>
      </c>
      <c r="DK166" s="16"/>
      <c r="DL166" s="443"/>
      <c r="DM166" s="443"/>
      <c r="DN166" s="16"/>
      <c r="DO166" s="17"/>
      <c r="DP166" s="16"/>
      <c r="DQ166" s="16"/>
      <c r="DR166" s="16"/>
      <c r="DS166" s="16"/>
      <c r="DT166" s="17"/>
      <c r="DU166" s="17"/>
      <c r="DV166" s="17"/>
    </row>
    <row r="167" spans="1:126" s="13" customFormat="1" hidden="1" outlineLevel="1">
      <c r="A167" s="32"/>
      <c r="B167" s="180" t="s">
        <v>569</v>
      </c>
      <c r="C167" s="17"/>
      <c r="D167" s="17"/>
      <c r="E167" s="17"/>
      <c r="F167" s="17"/>
      <c r="G167" s="17"/>
      <c r="H167" s="17"/>
      <c r="I167" s="17"/>
      <c r="N167" s="17"/>
      <c r="S167" s="17"/>
      <c r="X167" s="17"/>
      <c r="AC167" s="17"/>
      <c r="AH167" s="17"/>
      <c r="AM167" s="17"/>
      <c r="AR167" s="17"/>
      <c r="AU167" s="16"/>
      <c r="AW167" s="17"/>
      <c r="AX167" s="16">
        <f t="shared" ref="AX167:BA167" si="171">AX189+AX191-(AX201*75.5/$CK$201)</f>
        <v>445.42508324084349</v>
      </c>
      <c r="AY167" s="16">
        <f t="shared" si="171"/>
        <v>464.50887902330743</v>
      </c>
      <c r="AZ167" s="16">
        <f t="shared" si="171"/>
        <v>497.17369589345174</v>
      </c>
      <c r="BA167" s="16">
        <f t="shared" si="171"/>
        <v>443.40843507214208</v>
      </c>
      <c r="BB167" s="366">
        <f t="shared" si="150"/>
        <v>1850.5160932297447</v>
      </c>
      <c r="BC167" s="16">
        <f t="shared" ref="BC167:BF167" si="172">BC189+BC191-(BC201*75.5/$CK$201)</f>
        <v>464.60377358490564</v>
      </c>
      <c r="BD167" s="16">
        <f t="shared" si="172"/>
        <v>525.17369589345174</v>
      </c>
      <c r="BE167" s="16">
        <f t="shared" si="172"/>
        <v>475.17924528301887</v>
      </c>
      <c r="BF167" s="16">
        <f t="shared" si="172"/>
        <v>425.82741398446171</v>
      </c>
      <c r="BG167" s="366">
        <f t="shared" si="151"/>
        <v>1890.7841287458377</v>
      </c>
      <c r="BH167" s="16">
        <f t="shared" ref="BH167:BK167" si="173">BH189+BH191-(BH201*75.5/$CK$201)</f>
        <v>423.86071032186459</v>
      </c>
      <c r="BI167" s="16">
        <f t="shared" si="173"/>
        <v>414.36293007769143</v>
      </c>
      <c r="BJ167" s="16">
        <f t="shared" si="173"/>
        <v>404.74916759156491</v>
      </c>
      <c r="BK167" s="16">
        <f t="shared" si="173"/>
        <v>492.56492785793563</v>
      </c>
      <c r="BL167" s="366">
        <f t="shared" si="152"/>
        <v>1735.5377358490564</v>
      </c>
      <c r="BM167" s="16">
        <f t="shared" ref="BM167:BP167" si="174">BM189+BM191-(BM201*75.5/$CK$201)</f>
        <v>379.60932297447283</v>
      </c>
      <c r="BN167" s="16">
        <f t="shared" si="174"/>
        <v>369.15704772475027</v>
      </c>
      <c r="BO167" s="16">
        <f t="shared" si="174"/>
        <v>404.17924528301887</v>
      </c>
      <c r="BP167" s="16">
        <f t="shared" si="174"/>
        <v>495.17480577136513</v>
      </c>
      <c r="BQ167" s="366">
        <f t="shared" si="153"/>
        <v>1648.1204217536072</v>
      </c>
      <c r="BR167" s="16">
        <f t="shared" ref="BR167:BU167" si="175">BR189+BR191-(BR201*75.5/$CK$201)</f>
        <v>327.60377358490564</v>
      </c>
      <c r="BS167" s="16">
        <f t="shared" si="175"/>
        <v>588.44728079911215</v>
      </c>
      <c r="BT167" s="16">
        <f t="shared" si="175"/>
        <v>439.35793562708102</v>
      </c>
      <c r="BU167" s="16">
        <f t="shared" si="175"/>
        <v>429.14150943396226</v>
      </c>
      <c r="BV167" s="366">
        <f t="shared" si="154"/>
        <v>1784.5504994450612</v>
      </c>
      <c r="BW167" s="16">
        <f t="shared" ref="BW167:BZ167" si="176">BW189+BW191-(BW201*75.5/$CK$201)</f>
        <v>412.33018867924528</v>
      </c>
      <c r="BX167" s="16">
        <f t="shared" si="176"/>
        <v>468.93340732519425</v>
      </c>
      <c r="BY167" s="16">
        <f t="shared" si="176"/>
        <v>501.36348501664816</v>
      </c>
      <c r="BZ167" s="16">
        <f t="shared" si="176"/>
        <v>501.28579356270808</v>
      </c>
      <c r="CA167" s="366">
        <f t="shared" si="155"/>
        <v>1883.9128745837957</v>
      </c>
      <c r="CB167" s="16">
        <f t="shared" ref="CB167:CD167" si="177">CB189+CB191-(CB201*75.5/$CK$201)</f>
        <v>467.86376248612652</v>
      </c>
      <c r="CC167" s="16">
        <f t="shared" si="177"/>
        <v>469.32769145394008</v>
      </c>
      <c r="CD167" s="16">
        <f t="shared" si="177"/>
        <v>475.16564927857934</v>
      </c>
      <c r="CE167" s="16">
        <f>CE189+CE191-(CE201*75.5/$CK$201)</f>
        <v>501.18784683684794</v>
      </c>
      <c r="CF167" s="366">
        <f t="shared" si="156"/>
        <v>1913.5449500554939</v>
      </c>
      <c r="CG167" s="16">
        <v>441</v>
      </c>
      <c r="CH167" s="16">
        <v>508</v>
      </c>
      <c r="CI167" s="16">
        <v>494</v>
      </c>
      <c r="CJ167" s="16">
        <v>597</v>
      </c>
      <c r="CK167" s="366">
        <f t="shared" si="157"/>
        <v>2040</v>
      </c>
      <c r="CL167" s="198">
        <v>553</v>
      </c>
      <c r="CM167" s="198">
        <v>423</v>
      </c>
      <c r="CN167" s="472">
        <v>449</v>
      </c>
      <c r="CO167" s="16">
        <v>33</v>
      </c>
      <c r="CP167" s="366">
        <f t="shared" si="158"/>
        <v>1458</v>
      </c>
      <c r="CQ167" s="368">
        <v>496</v>
      </c>
      <c r="CR167" s="16">
        <v>532</v>
      </c>
      <c r="CS167" s="16">
        <v>490</v>
      </c>
      <c r="CT167" s="16">
        <v>486</v>
      </c>
      <c r="CU167" s="366">
        <f t="shared" si="159"/>
        <v>2004</v>
      </c>
      <c r="CV167" s="368">
        <v>387</v>
      </c>
      <c r="CW167" s="16">
        <v>348</v>
      </c>
      <c r="CX167" s="16">
        <v>408</v>
      </c>
      <c r="CY167" s="16">
        <v>376</v>
      </c>
      <c r="CZ167" s="366">
        <f t="shared" si="160"/>
        <v>1519</v>
      </c>
      <c r="DA167" s="16">
        <v>328</v>
      </c>
      <c r="DB167" s="16">
        <v>415</v>
      </c>
      <c r="DC167" s="16"/>
      <c r="DD167" s="16"/>
      <c r="DE167" s="17">
        <f t="shared" si="161"/>
        <v>743</v>
      </c>
      <c r="DF167" s="16"/>
      <c r="DG167" s="443"/>
      <c r="DH167" s="443"/>
      <c r="DI167" s="443"/>
      <c r="DJ167" s="17">
        <f t="shared" si="162"/>
        <v>0</v>
      </c>
      <c r="DK167" s="16"/>
      <c r="DL167" s="443"/>
      <c r="DM167" s="443"/>
      <c r="DN167" s="16"/>
      <c r="DO167" s="17"/>
      <c r="DP167" s="16"/>
      <c r="DQ167" s="16"/>
      <c r="DR167" s="16"/>
      <c r="DS167" s="16"/>
      <c r="DT167" s="17"/>
      <c r="DU167" s="17"/>
      <c r="DV167" s="17"/>
    </row>
    <row r="168" spans="1:126" s="13" customFormat="1" collapsed="1">
      <c r="A168" s="32"/>
      <c r="B168" s="41" t="s">
        <v>629</v>
      </c>
      <c r="C168" s="17"/>
      <c r="D168" s="17"/>
      <c r="E168" s="17"/>
      <c r="F168" s="17"/>
      <c r="G168" s="17"/>
      <c r="H168" s="17"/>
      <c r="I168" s="17"/>
      <c r="N168" s="17"/>
      <c r="S168" s="17"/>
      <c r="X168" s="17"/>
      <c r="AC168" s="17"/>
      <c r="AH168" s="17"/>
      <c r="AM168" s="17"/>
      <c r="AR168" s="17"/>
      <c r="AU168" s="16"/>
      <c r="AW168" s="17"/>
      <c r="AX168" s="16"/>
      <c r="AY168" s="16"/>
      <c r="AZ168" s="16"/>
      <c r="BA168" s="16"/>
      <c r="BB168" s="366"/>
      <c r="BC168" s="16"/>
      <c r="BD168" s="16"/>
      <c r="BE168" s="16"/>
      <c r="BF168" s="16"/>
      <c r="BG168" s="366"/>
      <c r="BH168" s="16"/>
      <c r="BI168" s="16"/>
      <c r="BJ168" s="16"/>
      <c r="BK168" s="16"/>
      <c r="BL168" s="366"/>
      <c r="BM168" s="16"/>
      <c r="BN168" s="16"/>
      <c r="BO168" s="16"/>
      <c r="BP168" s="16"/>
      <c r="BQ168" s="366"/>
      <c r="BR168" s="16"/>
      <c r="BS168" s="16"/>
      <c r="BT168" s="16"/>
      <c r="BU168" s="16"/>
      <c r="BV168" s="366"/>
      <c r="BW168" s="16"/>
      <c r="BX168" s="16"/>
      <c r="BY168" s="16"/>
      <c r="BZ168" s="16"/>
      <c r="CA168" s="366"/>
      <c r="CB168" s="16"/>
      <c r="CC168" s="16"/>
      <c r="CD168" s="16"/>
      <c r="CE168" s="16"/>
      <c r="CF168" s="366"/>
      <c r="CG168" s="16"/>
      <c r="CH168" s="16"/>
      <c r="CI168" s="16"/>
      <c r="CJ168" s="16"/>
      <c r="CK168" s="366"/>
      <c r="CL168" s="198">
        <v>809.19999999999993</v>
      </c>
      <c r="CM168" s="198">
        <v>639.19999999999993</v>
      </c>
      <c r="CN168" s="198">
        <v>679.15</v>
      </c>
      <c r="CO168" s="16">
        <v>231.45000000000027</v>
      </c>
      <c r="CP168" s="366">
        <v>2359</v>
      </c>
      <c r="CQ168" s="368">
        <v>756.8888888888888</v>
      </c>
      <c r="CR168" s="368">
        <v>827.01809954751127</v>
      </c>
      <c r="CS168" s="368">
        <v>775.82284980744544</v>
      </c>
      <c r="CT168" s="16">
        <v>1039.2701617561543</v>
      </c>
      <c r="CU168" s="366">
        <v>3399</v>
      </c>
      <c r="CV168" s="368">
        <v>655</v>
      </c>
      <c r="CW168" s="16">
        <v>579</v>
      </c>
      <c r="CX168" s="16">
        <v>686</v>
      </c>
      <c r="CY168" s="16">
        <v>528</v>
      </c>
      <c r="CZ168" s="366">
        <f t="shared" si="160"/>
        <v>2448</v>
      </c>
      <c r="DA168" s="16">
        <v>571</v>
      </c>
      <c r="DB168" s="16">
        <v>644</v>
      </c>
      <c r="DC168" s="16">
        <v>560</v>
      </c>
      <c r="DD168" s="16">
        <v>604</v>
      </c>
      <c r="DE168" s="17">
        <f t="shared" si="161"/>
        <v>2379</v>
      </c>
      <c r="DF168" s="16">
        <v>996</v>
      </c>
      <c r="DG168" s="443">
        <v>127</v>
      </c>
      <c r="DH168" s="443">
        <v>647</v>
      </c>
      <c r="DI168" s="443">
        <v>824</v>
      </c>
      <c r="DJ168" s="17">
        <f t="shared" si="162"/>
        <v>2594</v>
      </c>
      <c r="DK168" s="443">
        <v>678</v>
      </c>
      <c r="DL168" s="443">
        <v>805</v>
      </c>
      <c r="DM168" s="443">
        <v>859</v>
      </c>
      <c r="DN168" s="16"/>
      <c r="DO168" s="17"/>
      <c r="DP168" s="443"/>
      <c r="DQ168" s="16"/>
      <c r="DR168" s="16"/>
      <c r="DS168" s="16"/>
      <c r="DT168" s="17"/>
      <c r="DU168" s="17"/>
      <c r="DV168" s="17"/>
    </row>
    <row r="169" spans="1:126" s="13" customFormat="1">
      <c r="A169" s="32"/>
      <c r="B169" s="180" t="s">
        <v>213</v>
      </c>
      <c r="C169" s="17"/>
      <c r="D169" s="17"/>
      <c r="E169" s="17"/>
      <c r="F169" s="17"/>
      <c r="G169" s="17"/>
      <c r="H169" s="17"/>
      <c r="I169" s="17"/>
      <c r="N169" s="17"/>
      <c r="S169" s="17"/>
      <c r="X169" s="17"/>
      <c r="AC169" s="17"/>
      <c r="AH169" s="17"/>
      <c r="AM169" s="17"/>
      <c r="AR169" s="17"/>
      <c r="AU169" s="16"/>
      <c r="AW169" s="17"/>
      <c r="AX169" s="16">
        <f>AX193+AX194</f>
        <v>0</v>
      </c>
      <c r="AY169" s="16">
        <f>AY193+AY194</f>
        <v>0</v>
      </c>
      <c r="AZ169" s="472">
        <f>AZ193+AZ194</f>
        <v>0</v>
      </c>
      <c r="BA169" s="16">
        <f>BA193+BA194</f>
        <v>0</v>
      </c>
      <c r="BB169" s="366">
        <f>SUM(AX169:BA169)</f>
        <v>0</v>
      </c>
      <c r="BC169" s="16">
        <f>BC193+BC194</f>
        <v>0</v>
      </c>
      <c r="BD169" s="16">
        <f>BD193+BD194</f>
        <v>0</v>
      </c>
      <c r="BE169" s="472">
        <f>BE193+BE194</f>
        <v>0</v>
      </c>
      <c r="BF169" s="16">
        <f>BF193+BF194</f>
        <v>0</v>
      </c>
      <c r="BG169" s="366">
        <f>SUM(BC169:BF169)</f>
        <v>0</v>
      </c>
      <c r="BH169" s="16">
        <f>BH193+BH194</f>
        <v>0</v>
      </c>
      <c r="BI169" s="16">
        <f>BI193+BI194</f>
        <v>0</v>
      </c>
      <c r="BJ169" s="472">
        <f>BJ193+BJ194</f>
        <v>4</v>
      </c>
      <c r="BK169" s="16">
        <f>BK193+BK194</f>
        <v>0</v>
      </c>
      <c r="BL169" s="366">
        <f>SUM(BH169:BK169)</f>
        <v>4</v>
      </c>
      <c r="BM169" s="16">
        <f>BM193+BM194</f>
        <v>-14</v>
      </c>
      <c r="BN169" s="16">
        <f>BN193+BN194</f>
        <v>-33</v>
      </c>
      <c r="BO169" s="472">
        <f>BO193+BO194</f>
        <v>-43</v>
      </c>
      <c r="BP169" s="16">
        <f>BP193+BP194</f>
        <v>-48</v>
      </c>
      <c r="BQ169" s="366">
        <f>SUM(BM169:BP169)</f>
        <v>-138</v>
      </c>
      <c r="BR169" s="16">
        <f>BR193+BR194</f>
        <v>-44</v>
      </c>
      <c r="BS169" s="16">
        <f>BS193+BS194</f>
        <v>-44</v>
      </c>
      <c r="BT169" s="472">
        <f>BT193+BT194</f>
        <v>-27</v>
      </c>
      <c r="BU169" s="16">
        <f>BU193+BU194</f>
        <v>-32</v>
      </c>
      <c r="BV169" s="366">
        <f>SUM(BR169:BU169)</f>
        <v>-147</v>
      </c>
      <c r="BW169" s="16">
        <f>BW193+BW194</f>
        <v>-26</v>
      </c>
      <c r="BX169" s="16">
        <f>BX193+BX194</f>
        <v>-40</v>
      </c>
      <c r="BY169" s="472">
        <f>BY193+BY194</f>
        <v>-16</v>
      </c>
      <c r="BZ169" s="16">
        <f>BZ193+BZ194</f>
        <v>-45</v>
      </c>
      <c r="CA169" s="366">
        <f>SUM(BW169:BZ169)</f>
        <v>-127</v>
      </c>
      <c r="CB169" s="16">
        <f>CB193+CB194</f>
        <v>-40</v>
      </c>
      <c r="CC169" s="16">
        <f>CC193+CC194</f>
        <v>-42</v>
      </c>
      <c r="CD169" s="472">
        <f>CD193+CD194</f>
        <v>-12</v>
      </c>
      <c r="CE169" s="16">
        <f>CE193+CE194</f>
        <v>-27</v>
      </c>
      <c r="CF169" s="366">
        <f>SUM(CB169:CE169)</f>
        <v>-121</v>
      </c>
      <c r="CG169" s="16">
        <v>-84</v>
      </c>
      <c r="CH169" s="16">
        <v>-85</v>
      </c>
      <c r="CI169" s="472">
        <v>-75</v>
      </c>
      <c r="CJ169" s="16">
        <v>-62</v>
      </c>
      <c r="CK169" s="366">
        <f>SUM(CG169:CJ169)</f>
        <v>-306</v>
      </c>
      <c r="CL169" s="198">
        <v>-45</v>
      </c>
      <c r="CM169" s="198">
        <v>2</v>
      </c>
      <c r="CN169" s="472">
        <v>-19</v>
      </c>
      <c r="CO169" s="16">
        <v>24</v>
      </c>
      <c r="CP169" s="366">
        <v>-38</v>
      </c>
      <c r="CQ169" s="368">
        <v>4</v>
      </c>
      <c r="CR169" s="16">
        <v>-5</v>
      </c>
      <c r="CS169" s="16">
        <v>8</v>
      </c>
      <c r="CT169" s="16">
        <v>-18</v>
      </c>
      <c r="CU169" s="366">
        <v>-11</v>
      </c>
      <c r="CV169" s="368">
        <f>-34+35</f>
        <v>1</v>
      </c>
      <c r="CW169" s="16">
        <f>-47+34</f>
        <v>-13</v>
      </c>
      <c r="CX169" s="16">
        <f>-50+37</f>
        <v>-13</v>
      </c>
      <c r="CY169" s="16">
        <f>-43+45</f>
        <v>2</v>
      </c>
      <c r="CZ169" s="366">
        <f t="shared" si="160"/>
        <v>-23</v>
      </c>
      <c r="DA169" s="16">
        <f>13+38</f>
        <v>51</v>
      </c>
      <c r="DB169" s="16">
        <f>-60+44</f>
        <v>-16</v>
      </c>
      <c r="DC169" s="16">
        <v>-69</v>
      </c>
      <c r="DD169" s="16">
        <v>-8</v>
      </c>
      <c r="DE169" s="17">
        <f t="shared" si="161"/>
        <v>-42</v>
      </c>
      <c r="DF169" s="16">
        <v>-5</v>
      </c>
      <c r="DG169" s="443">
        <v>-36</v>
      </c>
      <c r="DH169" s="443">
        <v>-14</v>
      </c>
      <c r="DI169" s="443">
        <v>7</v>
      </c>
      <c r="DJ169" s="17">
        <f t="shared" si="162"/>
        <v>-48</v>
      </c>
      <c r="DK169" s="443">
        <v>12</v>
      </c>
      <c r="DL169" s="443">
        <v>24</v>
      </c>
      <c r="DM169" s="443">
        <v>-14</v>
      </c>
      <c r="DN169" s="16"/>
      <c r="DO169" s="17"/>
      <c r="DP169" s="443"/>
      <c r="DQ169" s="16"/>
      <c r="DR169" s="16"/>
      <c r="DS169" s="16"/>
      <c r="DT169" s="17"/>
      <c r="DU169" s="17"/>
      <c r="DV169" s="17"/>
    </row>
    <row r="170" spans="1:126" s="13" customFormat="1">
      <c r="A170" s="32"/>
      <c r="B170" s="180" t="s">
        <v>577</v>
      </c>
      <c r="C170" s="17"/>
      <c r="D170" s="17"/>
      <c r="E170" s="17"/>
      <c r="F170" s="17"/>
      <c r="G170" s="17"/>
      <c r="H170" s="17"/>
      <c r="I170" s="17"/>
      <c r="N170" s="17"/>
      <c r="S170" s="17"/>
      <c r="X170" s="17"/>
      <c r="AC170" s="17"/>
      <c r="AH170" s="17"/>
      <c r="AM170" s="17"/>
      <c r="AR170" s="17"/>
      <c r="AU170" s="16"/>
      <c r="AW170" s="17"/>
      <c r="AX170" s="761">
        <f>AX201*($CK$170/$CK$201)</f>
        <v>-56.816870144284131</v>
      </c>
      <c r="AY170" s="761">
        <f>AY201*($CK$170/$CK$201)</f>
        <v>-56.466148723640401</v>
      </c>
      <c r="AZ170" s="761">
        <f>AZ201*($CK$170/$CK$201)</f>
        <v>-57.869034406215313</v>
      </c>
      <c r="BA170" s="761">
        <f>BA201*($CK$170/$CK$201)</f>
        <v>-69.442841287458378</v>
      </c>
      <c r="BB170" s="762">
        <f>SUM(AX170:BA170)</f>
        <v>-240.59489456159824</v>
      </c>
      <c r="BC170" s="761">
        <f>BC201*($CK$170/$CK$201)</f>
        <v>-47.698113207547166</v>
      </c>
      <c r="BD170" s="761">
        <f>BD201*($CK$170/$CK$201)</f>
        <v>-57.869034406215313</v>
      </c>
      <c r="BE170" s="761">
        <f>BE201*($CK$170/$CK$201)</f>
        <v>-53.660377358490564</v>
      </c>
      <c r="BF170" s="761">
        <f>BF201*($CK$170/$CK$201)</f>
        <v>-67.689234184239737</v>
      </c>
      <c r="BG170" s="762">
        <f>SUM(BC170:BF170)</f>
        <v>-226.91675915649279</v>
      </c>
      <c r="BH170" s="761">
        <f>BH201*($CK$170/$CK$201)</f>
        <v>-42.437291897891228</v>
      </c>
      <c r="BI170" s="761">
        <f>BI201*($CK$170/$CK$201)</f>
        <v>22.446170921198668</v>
      </c>
      <c r="BJ170" s="761">
        <f>BJ201*($CK$170/$CK$201)</f>
        <v>-63.831298557158711</v>
      </c>
      <c r="BK170" s="761">
        <f>BK201*($CK$170/$CK$201)</f>
        <v>-77.158712541620417</v>
      </c>
      <c r="BL170" s="762">
        <f>SUM(BH170:BK170)</f>
        <v>-160.98113207547169</v>
      </c>
      <c r="BM170" s="761">
        <f>BM201*($CK$170/$CK$201)</f>
        <v>-43.489456159822417</v>
      </c>
      <c r="BN170" s="761">
        <f>BN201*($CK$170/$CK$201)</f>
        <v>-70.49500554938956</v>
      </c>
      <c r="BO170" s="761">
        <f>BO201*($CK$170/$CK$201)</f>
        <v>-53.660377358490564</v>
      </c>
      <c r="BP170" s="761">
        <f>BP201*($CK$170/$CK$201)</f>
        <v>-183.42730299667036</v>
      </c>
      <c r="BQ170" s="762">
        <f>SUM(BM170:BP170)</f>
        <v>-351.07214206437288</v>
      </c>
      <c r="BR170" s="761">
        <f>BR201*($CK$170/$CK$201)</f>
        <v>-47.698113207547166</v>
      </c>
      <c r="BS170" s="761">
        <f>BS201*($CK$170/$CK$201)</f>
        <v>-39.982241953385127</v>
      </c>
      <c r="BT170" s="761">
        <f>BT201*($CK$170/$CK$201)</f>
        <v>-44.541620421753606</v>
      </c>
      <c r="BU170" s="761">
        <f>BU201*($CK$170/$CK$201)</f>
        <v>-208.67924528301887</v>
      </c>
      <c r="BV170" s="762">
        <f>SUM(BR170:BU170)</f>
        <v>-340.90122086570477</v>
      </c>
      <c r="BW170" s="761">
        <f>BW201*($CK$170/$CK$201)</f>
        <v>-65.584905660377359</v>
      </c>
      <c r="BX170" s="761">
        <f>BX201*($CK$170/$CK$201)</f>
        <v>-50.503884572697004</v>
      </c>
      <c r="BY170" s="761">
        <f>BY201*($CK$170/$CK$201)</f>
        <v>-40.332963374028857</v>
      </c>
      <c r="BZ170" s="761">
        <f>BZ201*($CK$170/$CK$201)</f>
        <v>-99.254162042175366</v>
      </c>
      <c r="CA170" s="762">
        <f t="shared" ref="CA170" si="178">SUM(BW170:BZ170)</f>
        <v>-255.67591564927858</v>
      </c>
      <c r="CB170" s="761">
        <f>CB201*($CK$170/$CK$201)</f>
        <v>-71.722530521642625</v>
      </c>
      <c r="CC170" s="761">
        <f>CC201*($CK$170/$CK$201)</f>
        <v>-99.078801331853498</v>
      </c>
      <c r="CD170" s="761">
        <f>CD201*($CK$170/$CK$201)</f>
        <v>-95.571587125416201</v>
      </c>
      <c r="CE170" s="761">
        <f>CE201*($CK$170/$CK$201)</f>
        <v>-78.736958934517205</v>
      </c>
      <c r="CF170" s="762">
        <f>SUM(CB170:CE170)</f>
        <v>-345.1098779134295</v>
      </c>
      <c r="CG170" s="198">
        <v>-61</v>
      </c>
      <c r="CH170" s="198">
        <v>-51</v>
      </c>
      <c r="CI170" s="198">
        <v>-52</v>
      </c>
      <c r="CJ170" s="198">
        <v>-152</v>
      </c>
      <c r="CK170" s="366">
        <f>SUM(CG170:CJ170)</f>
        <v>-316</v>
      </c>
      <c r="CL170" s="16">
        <v>-140</v>
      </c>
      <c r="CM170" s="16">
        <v>-184</v>
      </c>
      <c r="CN170" s="472">
        <v>-84</v>
      </c>
      <c r="CO170" s="16">
        <v>-99</v>
      </c>
      <c r="CP170" s="366">
        <v>-507</v>
      </c>
      <c r="CQ170" s="368">
        <v>-81</v>
      </c>
      <c r="CR170" s="16">
        <v>-149</v>
      </c>
      <c r="CS170" s="16">
        <v>-89</v>
      </c>
      <c r="CT170" s="16">
        <v>-218</v>
      </c>
      <c r="CU170" s="366">
        <v>-537</v>
      </c>
      <c r="CV170" s="368">
        <v>-136</v>
      </c>
      <c r="CW170" s="16">
        <v>-42</v>
      </c>
      <c r="CX170" s="16">
        <v>-77</v>
      </c>
      <c r="CY170" s="16">
        <v>-63</v>
      </c>
      <c r="CZ170" s="366">
        <f t="shared" si="160"/>
        <v>-318</v>
      </c>
      <c r="DA170" s="16">
        <v>-43</v>
      </c>
      <c r="DB170" s="16">
        <v>-59</v>
      </c>
      <c r="DC170" s="16">
        <v>-63</v>
      </c>
      <c r="DD170" s="16">
        <v>-110</v>
      </c>
      <c r="DE170" s="17">
        <f t="shared" si="161"/>
        <v>-275</v>
      </c>
      <c r="DF170" s="16">
        <v>-96</v>
      </c>
      <c r="DG170" s="443">
        <v>-930</v>
      </c>
      <c r="DH170" s="443">
        <v>100</v>
      </c>
      <c r="DI170" s="443">
        <v>-7</v>
      </c>
      <c r="DJ170" s="17">
        <f t="shared" si="162"/>
        <v>-933</v>
      </c>
      <c r="DK170" s="443">
        <v>-38</v>
      </c>
      <c r="DL170" s="443">
        <v>-47</v>
      </c>
      <c r="DM170" s="443">
        <v>-25</v>
      </c>
      <c r="DN170" s="16"/>
      <c r="DO170" s="17"/>
      <c r="DP170" s="443"/>
      <c r="DQ170" s="16"/>
      <c r="DR170" s="16"/>
      <c r="DS170" s="16"/>
      <c r="DT170" s="17"/>
      <c r="DU170" s="17"/>
      <c r="DV170" s="17"/>
    </row>
    <row r="171" spans="1:126" s="13" customFormat="1">
      <c r="A171" s="32"/>
      <c r="B171" s="180" t="s">
        <v>507</v>
      </c>
      <c r="C171" s="17">
        <f t="shared" ref="C171:BA171" si="179">C196</f>
        <v>0</v>
      </c>
      <c r="D171" s="17">
        <f t="shared" si="179"/>
        <v>0</v>
      </c>
      <c r="E171" s="17">
        <f t="shared" si="179"/>
        <v>0</v>
      </c>
      <c r="F171" s="17">
        <f t="shared" si="179"/>
        <v>0</v>
      </c>
      <c r="G171" s="17">
        <f t="shared" si="179"/>
        <v>0</v>
      </c>
      <c r="H171" s="17">
        <f t="shared" si="179"/>
        <v>0</v>
      </c>
      <c r="I171" s="17">
        <f t="shared" si="179"/>
        <v>-109</v>
      </c>
      <c r="J171" s="13">
        <f t="shared" si="179"/>
        <v>-121</v>
      </c>
      <c r="K171" s="13">
        <f t="shared" si="179"/>
        <v>-118</v>
      </c>
      <c r="L171" s="13">
        <f t="shared" si="179"/>
        <v>-117</v>
      </c>
      <c r="M171" s="13">
        <f t="shared" si="179"/>
        <v>-118</v>
      </c>
      <c r="N171" s="17">
        <f t="shared" si="179"/>
        <v>-474</v>
      </c>
      <c r="O171" s="13">
        <f t="shared" si="179"/>
        <v>-116</v>
      </c>
      <c r="P171" s="13">
        <f t="shared" si="179"/>
        <v>-116</v>
      </c>
      <c r="Q171" s="13">
        <f t="shared" si="179"/>
        <v>-117</v>
      </c>
      <c r="R171" s="13">
        <f t="shared" si="179"/>
        <v>-116</v>
      </c>
      <c r="S171" s="17">
        <f t="shared" si="179"/>
        <v>-465</v>
      </c>
      <c r="T171" s="13">
        <f t="shared" si="179"/>
        <v>-90</v>
      </c>
      <c r="U171" s="13">
        <f t="shared" si="179"/>
        <v>-100</v>
      </c>
      <c r="V171" s="13">
        <f t="shared" si="179"/>
        <v>-93</v>
      </c>
      <c r="W171" s="13">
        <f t="shared" si="179"/>
        <v>-79</v>
      </c>
      <c r="X171" s="17">
        <f t="shared" si="179"/>
        <v>-362</v>
      </c>
      <c r="Y171" s="13">
        <f t="shared" si="179"/>
        <v>-62</v>
      </c>
      <c r="Z171" s="13">
        <f t="shared" si="179"/>
        <v>-63</v>
      </c>
      <c r="AA171" s="13">
        <f t="shared" si="179"/>
        <v>-114</v>
      </c>
      <c r="AB171" s="13">
        <f t="shared" si="179"/>
        <v>-20</v>
      </c>
      <c r="AC171" s="17">
        <f t="shared" si="179"/>
        <v>-259</v>
      </c>
      <c r="AD171" s="13">
        <f t="shared" si="179"/>
        <v>-33</v>
      </c>
      <c r="AE171" s="13">
        <f t="shared" si="179"/>
        <v>-34</v>
      </c>
      <c r="AF171" s="13">
        <f t="shared" si="179"/>
        <v>-26</v>
      </c>
      <c r="AG171" s="13">
        <f t="shared" si="179"/>
        <v>-30</v>
      </c>
      <c r="AH171" s="17">
        <f t="shared" si="179"/>
        <v>-123</v>
      </c>
      <c r="AI171" s="13">
        <f t="shared" si="179"/>
        <v>11</v>
      </c>
      <c r="AJ171" s="13">
        <f t="shared" si="179"/>
        <v>11</v>
      </c>
      <c r="AK171" s="13">
        <f t="shared" si="179"/>
        <v>-1</v>
      </c>
      <c r="AL171" s="13">
        <f t="shared" si="179"/>
        <v>6</v>
      </c>
      <c r="AM171" s="17">
        <f t="shared" si="179"/>
        <v>27</v>
      </c>
      <c r="AN171" s="13">
        <f t="shared" si="179"/>
        <v>-53</v>
      </c>
      <c r="AO171" s="13">
        <f t="shared" si="179"/>
        <v>-55</v>
      </c>
      <c r="AP171" s="13">
        <f t="shared" si="179"/>
        <v>-62</v>
      </c>
      <c r="AQ171" s="13">
        <f t="shared" si="179"/>
        <v>-60</v>
      </c>
      <c r="AR171" s="17">
        <f t="shared" si="179"/>
        <v>-230</v>
      </c>
      <c r="AS171" s="13">
        <f t="shared" si="179"/>
        <v>-89</v>
      </c>
      <c r="AT171" s="13">
        <f t="shared" si="179"/>
        <v>-90</v>
      </c>
      <c r="AU171" s="16">
        <f t="shared" si="179"/>
        <v>-75</v>
      </c>
      <c r="AV171" s="13">
        <f t="shared" si="179"/>
        <v>-83</v>
      </c>
      <c r="AW171" s="17">
        <f t="shared" si="179"/>
        <v>-337</v>
      </c>
      <c r="AX171" s="16">
        <f t="shared" si="179"/>
        <v>-70</v>
      </c>
      <c r="AY171" s="16">
        <f t="shared" si="179"/>
        <v>-71</v>
      </c>
      <c r="AZ171" s="472">
        <f t="shared" si="179"/>
        <v>-47</v>
      </c>
      <c r="BA171" s="16">
        <f t="shared" si="179"/>
        <v>-67</v>
      </c>
      <c r="BB171" s="366">
        <f t="shared" si="150"/>
        <v>-255</v>
      </c>
      <c r="BC171" s="16">
        <f t="shared" ref="BC171:BF171" si="180">BC196</f>
        <v>-71</v>
      </c>
      <c r="BD171" s="16">
        <f t="shared" si="180"/>
        <v>-72</v>
      </c>
      <c r="BE171" s="472">
        <f t="shared" si="180"/>
        <v>-46</v>
      </c>
      <c r="BF171" s="16">
        <f t="shared" si="180"/>
        <v>-60</v>
      </c>
      <c r="BG171" s="366">
        <f t="shared" si="151"/>
        <v>-249</v>
      </c>
      <c r="BH171" s="16">
        <f t="shared" ref="BH171:BK171" si="181">BH196</f>
        <v>87</v>
      </c>
      <c r="BI171" s="16">
        <f t="shared" si="181"/>
        <v>87</v>
      </c>
      <c r="BJ171" s="472">
        <f t="shared" si="181"/>
        <v>42</v>
      </c>
      <c r="BK171" s="16">
        <f t="shared" si="181"/>
        <v>70</v>
      </c>
      <c r="BL171" s="366">
        <f t="shared" si="152"/>
        <v>286</v>
      </c>
      <c r="BM171" s="16">
        <f t="shared" ref="BM171:BP171" si="182">BM196</f>
        <v>49</v>
      </c>
      <c r="BN171" s="16">
        <f t="shared" si="182"/>
        <v>49</v>
      </c>
      <c r="BO171" s="472">
        <f t="shared" si="182"/>
        <v>43</v>
      </c>
      <c r="BP171" s="16">
        <f t="shared" si="182"/>
        <v>44</v>
      </c>
      <c r="BQ171" s="366">
        <f t="shared" si="153"/>
        <v>185</v>
      </c>
      <c r="BR171" s="16">
        <f t="shared" ref="BR171:BU171" si="183">BR196</f>
        <v>105</v>
      </c>
      <c r="BS171" s="16">
        <f t="shared" si="183"/>
        <v>109</v>
      </c>
      <c r="BT171" s="472">
        <f t="shared" si="183"/>
        <v>104</v>
      </c>
      <c r="BU171" s="16">
        <f t="shared" si="183"/>
        <v>117</v>
      </c>
      <c r="BV171" s="366">
        <f t="shared" si="154"/>
        <v>435</v>
      </c>
      <c r="BW171" s="16">
        <f t="shared" ref="BW171:CE171" si="184">BW196</f>
        <v>315</v>
      </c>
      <c r="BX171" s="16">
        <f t="shared" si="184"/>
        <v>315</v>
      </c>
      <c r="BY171" s="472">
        <f t="shared" si="184"/>
        <v>348</v>
      </c>
      <c r="BZ171" s="16">
        <f t="shared" si="184"/>
        <v>325</v>
      </c>
      <c r="CA171" s="366">
        <f t="shared" si="155"/>
        <v>1303</v>
      </c>
      <c r="CB171" s="16">
        <f t="shared" si="184"/>
        <v>354</v>
      </c>
      <c r="CC171" s="16">
        <f t="shared" si="184"/>
        <v>353</v>
      </c>
      <c r="CD171" s="472">
        <f t="shared" si="184"/>
        <v>365</v>
      </c>
      <c r="CE171" s="16">
        <f t="shared" si="184"/>
        <v>356</v>
      </c>
      <c r="CF171" s="366">
        <f t="shared" si="156"/>
        <v>1428</v>
      </c>
      <c r="CG171" s="16">
        <v>356</v>
      </c>
      <c r="CH171" s="16">
        <v>353</v>
      </c>
      <c r="CI171" s="472">
        <v>351</v>
      </c>
      <c r="CJ171" s="16">
        <v>355</v>
      </c>
      <c r="CK171" s="366">
        <f t="shared" si="157"/>
        <v>1415</v>
      </c>
      <c r="CL171" s="16">
        <v>351</v>
      </c>
      <c r="CM171" s="16">
        <v>349</v>
      </c>
      <c r="CN171" s="472">
        <v>352</v>
      </c>
      <c r="CO171" s="16">
        <v>340</v>
      </c>
      <c r="CP171" s="366">
        <v>1392</v>
      </c>
      <c r="CQ171" s="368">
        <v>393</v>
      </c>
      <c r="CR171" s="16">
        <v>395</v>
      </c>
      <c r="CS171" s="16">
        <v>469</v>
      </c>
      <c r="CT171" s="16">
        <v>397</v>
      </c>
      <c r="CU171" s="366">
        <v>1654</v>
      </c>
      <c r="CV171" s="368">
        <f>378-30</f>
        <v>348</v>
      </c>
      <c r="CW171" s="16">
        <f>379-30</f>
        <v>349</v>
      </c>
      <c r="CX171" s="16">
        <f>378-30</f>
        <v>348</v>
      </c>
      <c r="CY171" s="16">
        <f>385-31</f>
        <v>354</v>
      </c>
      <c r="CZ171" s="366">
        <f t="shared" si="160"/>
        <v>1399</v>
      </c>
      <c r="DA171" s="16">
        <f>314-25</f>
        <v>289</v>
      </c>
      <c r="DB171" s="16">
        <f>309-25</f>
        <v>284</v>
      </c>
      <c r="DC171" s="16">
        <v>272</v>
      </c>
      <c r="DD171" s="16">
        <v>282</v>
      </c>
      <c r="DE171" s="17">
        <f t="shared" si="161"/>
        <v>1127</v>
      </c>
      <c r="DF171" s="16">
        <v>214</v>
      </c>
      <c r="DG171" s="443">
        <v>212</v>
      </c>
      <c r="DH171" s="443">
        <v>210</v>
      </c>
      <c r="DI171" s="443">
        <v>197</v>
      </c>
      <c r="DJ171" s="17">
        <f t="shared" si="162"/>
        <v>833</v>
      </c>
      <c r="DK171" s="443">
        <v>185</v>
      </c>
      <c r="DL171" s="443">
        <v>186</v>
      </c>
      <c r="DM171" s="443">
        <v>199</v>
      </c>
      <c r="DN171" s="16"/>
      <c r="DO171" s="17"/>
      <c r="DP171" s="443"/>
      <c r="DQ171" s="16"/>
      <c r="DR171" s="16"/>
      <c r="DS171" s="16"/>
      <c r="DT171" s="17"/>
      <c r="DU171" s="17"/>
      <c r="DV171" s="17"/>
    </row>
    <row r="172" spans="1:126" s="13" customFormat="1">
      <c r="A172" s="32"/>
      <c r="B172" s="180" t="s">
        <v>568</v>
      </c>
      <c r="C172" s="17"/>
      <c r="D172" s="17"/>
      <c r="E172" s="17"/>
      <c r="F172" s="17"/>
      <c r="G172" s="17"/>
      <c r="H172" s="17"/>
      <c r="I172" s="17"/>
      <c r="N172" s="17"/>
      <c r="S172" s="17"/>
      <c r="X172" s="17"/>
      <c r="AC172" s="17"/>
      <c r="AH172" s="17"/>
      <c r="AM172" s="17"/>
      <c r="AR172" s="17"/>
      <c r="AU172" s="16"/>
      <c r="AW172" s="17"/>
      <c r="AX172" s="16">
        <f>BB172/4</f>
        <v>-85.704201101928362</v>
      </c>
      <c r="AY172" s="16">
        <f>BB172/4</f>
        <v>-85.704201101928362</v>
      </c>
      <c r="AZ172" s="16">
        <f>BB172/4</f>
        <v>-85.704201101928362</v>
      </c>
      <c r="BA172" s="16">
        <f>BB172/4</f>
        <v>-85.704201101928362</v>
      </c>
      <c r="BB172" s="762">
        <f>BB202*(-910/$CK$202)</f>
        <v>-342.81680440771345</v>
      </c>
      <c r="BC172" s="761">
        <f>BG172/4</f>
        <v>-110.45971074380165</v>
      </c>
      <c r="BD172" s="761">
        <f>BG172/4</f>
        <v>-110.45971074380165</v>
      </c>
      <c r="BE172" s="761">
        <f>BG172/4</f>
        <v>-110.45971074380165</v>
      </c>
      <c r="BF172" s="761">
        <f>BG172/4</f>
        <v>-110.45971074380165</v>
      </c>
      <c r="BG172" s="762">
        <f>BG202*(-910/$CK$202)</f>
        <v>-441.8388429752066</v>
      </c>
      <c r="BH172" s="761">
        <f>BL172/4</f>
        <v>-111.71315426997245</v>
      </c>
      <c r="BI172" s="761">
        <f>BL172/4</f>
        <v>-111.71315426997245</v>
      </c>
      <c r="BJ172" s="761">
        <f>BL172/4</f>
        <v>-111.71315426997245</v>
      </c>
      <c r="BK172" s="761">
        <f>BL172/4</f>
        <v>-111.71315426997245</v>
      </c>
      <c r="BL172" s="762">
        <f>BL202*(-910/$CK$202)</f>
        <v>-446.8526170798898</v>
      </c>
      <c r="BM172" s="761">
        <f>BQ172/4</f>
        <v>-113.12327823691459</v>
      </c>
      <c r="BN172" s="761">
        <f>BQ172/4</f>
        <v>-113.12327823691459</v>
      </c>
      <c r="BO172" s="761">
        <f>BQ172/4</f>
        <v>-113.12327823691459</v>
      </c>
      <c r="BP172" s="761">
        <f>BQ172/4</f>
        <v>-113.12327823691459</v>
      </c>
      <c r="BQ172" s="762">
        <f>BQ202*(-910/$CK$202)</f>
        <v>-452.49311294765835</v>
      </c>
      <c r="BR172" s="761">
        <f>BV172/4</f>
        <v>-121.89738292011019</v>
      </c>
      <c r="BS172" s="761">
        <f>BV172/4</f>
        <v>-121.89738292011019</v>
      </c>
      <c r="BT172" s="761">
        <f>BV172/4</f>
        <v>-121.89738292011019</v>
      </c>
      <c r="BU172" s="761">
        <f>BV172/4</f>
        <v>-121.89738292011019</v>
      </c>
      <c r="BV172" s="762">
        <f>BV202*(-910/$CK$202)</f>
        <v>-487.58953168044076</v>
      </c>
      <c r="BW172" s="761">
        <f>CA172/4</f>
        <v>-130.67148760330576</v>
      </c>
      <c r="BX172" s="761">
        <f>CA172/4</f>
        <v>-130.67148760330576</v>
      </c>
      <c r="BY172" s="761">
        <f>CA172/4</f>
        <v>-130.67148760330576</v>
      </c>
      <c r="BZ172" s="761">
        <f>CA172/4</f>
        <v>-130.67148760330576</v>
      </c>
      <c r="CA172" s="762">
        <f>CA202*(-910/$CK$202)</f>
        <v>-522.68595041322305</v>
      </c>
      <c r="CB172" s="761">
        <f>CF172/4</f>
        <v>-152.92011019283746</v>
      </c>
      <c r="CC172" s="761">
        <f>CF172/4</f>
        <v>-152.92011019283746</v>
      </c>
      <c r="CD172" s="761">
        <f>CF172/4</f>
        <v>-152.92011019283746</v>
      </c>
      <c r="CE172" s="761">
        <f>CF172/4</f>
        <v>-152.92011019283746</v>
      </c>
      <c r="CF172" s="762">
        <f>CF202*(-910/$CK$202)</f>
        <v>-611.68044077134982</v>
      </c>
      <c r="CG172" s="16">
        <v>-588</v>
      </c>
      <c r="CH172" s="16">
        <v>-571</v>
      </c>
      <c r="CI172" s="472">
        <v>-581</v>
      </c>
      <c r="CJ172" s="16">
        <v>-594</v>
      </c>
      <c r="CK172" s="366">
        <f t="shared" ref="CK172" si="185">SUM(CG172:CJ172)</f>
        <v>-2334</v>
      </c>
      <c r="CL172" s="16">
        <v>-644</v>
      </c>
      <c r="CM172" s="770">
        <v>-545</v>
      </c>
      <c r="CN172" s="770">
        <v>-523</v>
      </c>
      <c r="CO172" s="16">
        <v>-561</v>
      </c>
      <c r="CP172" s="366">
        <f t="shared" si="158"/>
        <v>-2273</v>
      </c>
      <c r="CQ172" s="368">
        <v>-516</v>
      </c>
      <c r="CR172" s="16">
        <v>-519</v>
      </c>
      <c r="CS172" s="16">
        <v>-586</v>
      </c>
      <c r="CT172" s="16">
        <v>-582</v>
      </c>
      <c r="CU172" s="366">
        <f t="shared" si="159"/>
        <v>-2203</v>
      </c>
      <c r="CV172" s="368">
        <v>-484</v>
      </c>
      <c r="CW172" s="16">
        <v>-448</v>
      </c>
      <c r="CX172" s="16">
        <v>-482</v>
      </c>
      <c r="CY172" s="16">
        <v>-479</v>
      </c>
      <c r="CZ172" s="366">
        <f t="shared" si="160"/>
        <v>-1893</v>
      </c>
      <c r="DA172" s="16">
        <v>-493</v>
      </c>
      <c r="DB172" s="16">
        <v>-489</v>
      </c>
      <c r="DC172" s="16">
        <v>-517</v>
      </c>
      <c r="DD172" s="16">
        <v>-499</v>
      </c>
      <c r="DE172" s="17">
        <f t="shared" si="161"/>
        <v>-1998</v>
      </c>
      <c r="DF172" s="16">
        <v>-500</v>
      </c>
      <c r="DG172" s="443">
        <v>0</v>
      </c>
      <c r="DH172" s="443">
        <v>0</v>
      </c>
      <c r="DI172" s="443">
        <v>0</v>
      </c>
      <c r="DJ172" s="17">
        <f t="shared" si="162"/>
        <v>-500</v>
      </c>
      <c r="DK172" s="443">
        <v>-470</v>
      </c>
      <c r="DL172" s="443">
        <v>-487</v>
      </c>
      <c r="DM172" s="443">
        <v>-507</v>
      </c>
      <c r="DN172" s="16"/>
      <c r="DO172" s="17"/>
      <c r="DP172" s="443"/>
      <c r="DQ172" s="16"/>
      <c r="DR172" s="16"/>
      <c r="DS172" s="16"/>
      <c r="DT172" s="17"/>
      <c r="DU172" s="17"/>
      <c r="DV172" s="17"/>
    </row>
    <row r="173" spans="1:126" s="13" customFormat="1">
      <c r="A173" s="32"/>
      <c r="B173" s="180" t="s">
        <v>575</v>
      </c>
      <c r="C173" s="17"/>
      <c r="D173" s="17"/>
      <c r="E173" s="17"/>
      <c r="F173" s="17"/>
      <c r="G173" s="17"/>
      <c r="H173" s="17"/>
      <c r="I173" s="17"/>
      <c r="N173" s="17"/>
      <c r="S173" s="17"/>
      <c r="X173" s="17"/>
      <c r="AC173" s="17"/>
      <c r="AH173" s="17"/>
      <c r="AM173" s="17"/>
      <c r="AR173" s="17"/>
      <c r="AU173" s="16"/>
      <c r="AW173" s="17"/>
      <c r="AX173" s="16"/>
      <c r="AY173" s="16"/>
      <c r="AZ173" s="472"/>
      <c r="BA173" s="16"/>
      <c r="BB173" s="366"/>
      <c r="BC173" s="16"/>
      <c r="BD173" s="16"/>
      <c r="BE173" s="472"/>
      <c r="BF173" s="16"/>
      <c r="BG173" s="366"/>
      <c r="BH173" s="16"/>
      <c r="BI173" s="16"/>
      <c r="BJ173" s="472"/>
      <c r="BK173" s="16"/>
      <c r="BL173" s="366"/>
      <c r="BM173" s="16"/>
      <c r="BN173" s="16"/>
      <c r="BO173" s="472"/>
      <c r="BP173" s="16"/>
      <c r="BQ173" s="366"/>
      <c r="BR173" s="16"/>
      <c r="BS173" s="16"/>
      <c r="BT173" s="472"/>
      <c r="BU173" s="16"/>
      <c r="BV173" s="366"/>
      <c r="BW173" s="16"/>
      <c r="BX173" s="16"/>
      <c r="BY173" s="472"/>
      <c r="BZ173" s="16"/>
      <c r="CA173" s="366"/>
      <c r="CB173" s="16"/>
      <c r="CC173" s="16"/>
      <c r="CD173" s="472"/>
      <c r="CE173" s="16"/>
      <c r="CF173" s="366"/>
      <c r="CG173" s="16"/>
      <c r="CH173" s="16"/>
      <c r="CI173" s="472"/>
      <c r="CJ173" s="16"/>
      <c r="CK173" s="366"/>
      <c r="CL173" s="16"/>
      <c r="CM173" s="16">
        <v>-3200</v>
      </c>
      <c r="CN173" s="472"/>
      <c r="CO173" s="16"/>
      <c r="CP173" s="366">
        <f t="shared" si="158"/>
        <v>-3200</v>
      </c>
      <c r="CQ173" s="368"/>
      <c r="CR173" s="16"/>
      <c r="CS173" s="16"/>
      <c r="CT173" s="16"/>
      <c r="CU173" s="366">
        <f t="shared" si="159"/>
        <v>0</v>
      </c>
      <c r="CV173" s="368"/>
      <c r="CW173" s="16"/>
      <c r="CX173" s="16"/>
      <c r="CY173" s="16"/>
      <c r="CZ173" s="366">
        <f t="shared" si="160"/>
        <v>0</v>
      </c>
      <c r="DA173" s="16"/>
      <c r="DB173" s="16"/>
      <c r="DC173" s="16"/>
      <c r="DD173" s="16"/>
      <c r="DE173" s="17">
        <f t="shared" si="161"/>
        <v>0</v>
      </c>
      <c r="DF173" s="16"/>
      <c r="DG173" s="443">
        <v>-504</v>
      </c>
      <c r="DH173" s="443">
        <v>-534</v>
      </c>
      <c r="DI173" s="443">
        <v>-520</v>
      </c>
      <c r="DJ173" s="17">
        <f t="shared" si="162"/>
        <v>-1558</v>
      </c>
      <c r="DK173" s="16"/>
      <c r="DL173" s="443">
        <v>0</v>
      </c>
      <c r="DM173" s="443">
        <v>0</v>
      </c>
      <c r="DN173" s="16"/>
      <c r="DO173" s="17"/>
      <c r="DP173" s="16"/>
      <c r="DQ173" s="16"/>
      <c r="DR173" s="16"/>
      <c r="DS173" s="16"/>
      <c r="DT173" s="17"/>
      <c r="DU173" s="17"/>
      <c r="DV173" s="17"/>
    </row>
    <row r="174" spans="1:126" s="13" customFormat="1">
      <c r="A174" s="32"/>
      <c r="B174" s="179" t="s">
        <v>132</v>
      </c>
      <c r="C174" s="75">
        <f t="shared" ref="C174:AH174" si="186">SUM(C164:C173)</f>
        <v>1117</v>
      </c>
      <c r="D174" s="75">
        <f t="shared" si="186"/>
        <v>1311</v>
      </c>
      <c r="E174" s="75">
        <f t="shared" si="186"/>
        <v>881</v>
      </c>
      <c r="F174" s="75">
        <f t="shared" si="186"/>
        <v>1814</v>
      </c>
      <c r="G174" s="75">
        <f t="shared" si="186"/>
        <v>1978</v>
      </c>
      <c r="H174" s="75">
        <f t="shared" si="186"/>
        <v>1847</v>
      </c>
      <c r="I174" s="75">
        <f t="shared" si="186"/>
        <v>1508</v>
      </c>
      <c r="J174" s="190">
        <f t="shared" si="186"/>
        <v>216</v>
      </c>
      <c r="K174" s="190">
        <f t="shared" si="186"/>
        <v>317</v>
      </c>
      <c r="L174" s="190">
        <f t="shared" si="186"/>
        <v>345</v>
      </c>
      <c r="M174" s="190">
        <f t="shared" si="186"/>
        <v>314</v>
      </c>
      <c r="N174" s="75">
        <f t="shared" si="186"/>
        <v>1192</v>
      </c>
      <c r="O174" s="190">
        <f t="shared" si="186"/>
        <v>376</v>
      </c>
      <c r="P174" s="190">
        <f t="shared" si="186"/>
        <v>422</v>
      </c>
      <c r="Q174" s="190">
        <f t="shared" si="186"/>
        <v>441</v>
      </c>
      <c r="R174" s="190">
        <f t="shared" si="186"/>
        <v>420</v>
      </c>
      <c r="S174" s="75">
        <f t="shared" si="186"/>
        <v>1659</v>
      </c>
      <c r="T174" s="190">
        <f t="shared" si="186"/>
        <v>521</v>
      </c>
      <c r="U174" s="190">
        <f t="shared" si="186"/>
        <v>647</v>
      </c>
      <c r="V174" s="190">
        <f t="shared" si="186"/>
        <v>570</v>
      </c>
      <c r="W174" s="190">
        <f t="shared" si="186"/>
        <v>549</v>
      </c>
      <c r="X174" s="75">
        <f t="shared" si="186"/>
        <v>2287</v>
      </c>
      <c r="Y174" s="190">
        <f t="shared" si="186"/>
        <v>646</v>
      </c>
      <c r="Z174" s="190">
        <f t="shared" si="186"/>
        <v>705</v>
      </c>
      <c r="AA174" s="190">
        <f t="shared" si="186"/>
        <v>638</v>
      </c>
      <c r="AB174" s="190">
        <f t="shared" si="186"/>
        <v>730</v>
      </c>
      <c r="AC174" s="75">
        <f t="shared" si="186"/>
        <v>2719</v>
      </c>
      <c r="AD174" s="190">
        <f t="shared" si="186"/>
        <v>722</v>
      </c>
      <c r="AE174" s="190">
        <f t="shared" si="186"/>
        <v>792</v>
      </c>
      <c r="AF174" s="190">
        <f t="shared" si="186"/>
        <v>790</v>
      </c>
      <c r="AG174" s="190">
        <f t="shared" si="186"/>
        <v>794</v>
      </c>
      <c r="AH174" s="75">
        <f t="shared" si="186"/>
        <v>3098</v>
      </c>
      <c r="AI174" s="190">
        <f t="shared" ref="AI174:BN174" si="187">SUM(AI164:AI173)</f>
        <v>639</v>
      </c>
      <c r="AJ174" s="190">
        <f t="shared" si="187"/>
        <v>665</v>
      </c>
      <c r="AK174" s="190">
        <f t="shared" si="187"/>
        <v>690</v>
      </c>
      <c r="AL174" s="190">
        <f t="shared" si="187"/>
        <v>725</v>
      </c>
      <c r="AM174" s="75">
        <f t="shared" si="187"/>
        <v>2719</v>
      </c>
      <c r="AN174" s="190">
        <f t="shared" si="187"/>
        <v>604</v>
      </c>
      <c r="AO174" s="190">
        <f t="shared" si="187"/>
        <v>671</v>
      </c>
      <c r="AP174" s="190">
        <f t="shared" si="187"/>
        <v>740</v>
      </c>
      <c r="AQ174" s="190">
        <f t="shared" si="187"/>
        <v>660</v>
      </c>
      <c r="AR174" s="75">
        <f t="shared" si="187"/>
        <v>2675</v>
      </c>
      <c r="AS174" s="190">
        <f t="shared" si="187"/>
        <v>511</v>
      </c>
      <c r="AT174" s="190">
        <f t="shared" si="187"/>
        <v>519</v>
      </c>
      <c r="AU174" s="76">
        <f t="shared" si="187"/>
        <v>625</v>
      </c>
      <c r="AV174" s="190">
        <f t="shared" si="187"/>
        <v>634</v>
      </c>
      <c r="AW174" s="75">
        <f t="shared" si="187"/>
        <v>2289</v>
      </c>
      <c r="AX174" s="76">
        <f t="shared" si="187"/>
        <v>1188.1032186459488</v>
      </c>
      <c r="AY174" s="76">
        <f t="shared" si="187"/>
        <v>1283.0099889012208</v>
      </c>
      <c r="AZ174" s="479">
        <f t="shared" si="187"/>
        <v>1356.382907880133</v>
      </c>
      <c r="BA174" s="76">
        <f t="shared" si="187"/>
        <v>1260.4594894561599</v>
      </c>
      <c r="BB174" s="496">
        <f t="shared" si="187"/>
        <v>5087.9556048834629</v>
      </c>
      <c r="BC174" s="76">
        <f t="shared" si="187"/>
        <v>1539.6792452830189</v>
      </c>
      <c r="BD174" s="76">
        <f t="shared" si="187"/>
        <v>1730.382907880133</v>
      </c>
      <c r="BE174" s="479">
        <f t="shared" si="187"/>
        <v>1601.2641509433961</v>
      </c>
      <c r="BF174" s="76">
        <f t="shared" si="187"/>
        <v>1561.9933407325195</v>
      </c>
      <c r="BG174" s="496">
        <f t="shared" si="187"/>
        <v>6433.3196448390672</v>
      </c>
      <c r="BH174" s="76">
        <f t="shared" si="187"/>
        <v>1704.2807991120976</v>
      </c>
      <c r="BI174" s="76">
        <f t="shared" si="187"/>
        <v>1917.0332963374033</v>
      </c>
      <c r="BJ174" s="479">
        <f t="shared" si="187"/>
        <v>1863.9678135405104</v>
      </c>
      <c r="BK174" s="76">
        <f t="shared" si="187"/>
        <v>1864.5105438401777</v>
      </c>
      <c r="BL174" s="496">
        <f t="shared" si="187"/>
        <v>7349.7924528301883</v>
      </c>
      <c r="BM174" s="76">
        <f t="shared" si="187"/>
        <v>1777.5604883462822</v>
      </c>
      <c r="BN174" s="76">
        <f t="shared" si="187"/>
        <v>1603.7391786903443</v>
      </c>
      <c r="BO174" s="479">
        <f t="shared" ref="BO174:CK174" si="188">SUM(BO164:BO173)</f>
        <v>1600.2641509433963</v>
      </c>
      <c r="BP174" s="76">
        <f t="shared" si="188"/>
        <v>113.75915649278571</v>
      </c>
      <c r="BQ174" s="496">
        <f t="shared" si="188"/>
        <v>5095.3229744728078</v>
      </c>
      <c r="BR174" s="76">
        <f t="shared" si="188"/>
        <v>1497.6792452830189</v>
      </c>
      <c r="BS174" s="76">
        <f t="shared" si="188"/>
        <v>1854.6281908990013</v>
      </c>
      <c r="BT174" s="479">
        <f t="shared" si="188"/>
        <v>1683.8401775804662</v>
      </c>
      <c r="BU174" s="76">
        <f t="shared" si="188"/>
        <v>1363.4716981132074</v>
      </c>
      <c r="BV174" s="496">
        <f t="shared" si="188"/>
        <v>6399.6193118756937</v>
      </c>
      <c r="BW174" s="76">
        <f t="shared" si="188"/>
        <v>1733.433962264151</v>
      </c>
      <c r="BX174" s="76">
        <f t="shared" si="188"/>
        <v>1855.4250832408434</v>
      </c>
      <c r="BY174" s="479">
        <f t="shared" si="188"/>
        <v>1825.7214206437293</v>
      </c>
      <c r="BZ174" s="76">
        <f t="shared" si="188"/>
        <v>1852.3840177580464</v>
      </c>
      <c r="CA174" s="496">
        <f t="shared" si="188"/>
        <v>7266.9644839067696</v>
      </c>
      <c r="CB174" s="76">
        <f t="shared" si="188"/>
        <v>2332.645372604055</v>
      </c>
      <c r="CC174" s="76">
        <f t="shared" si="188"/>
        <v>2255.9172926928454</v>
      </c>
      <c r="CD174" s="479">
        <f t="shared" si="188"/>
        <v>2102.9849952455643</v>
      </c>
      <c r="CE174" s="76">
        <f t="shared" si="188"/>
        <v>2345.5099674986168</v>
      </c>
      <c r="CF174" s="75">
        <f t="shared" si="188"/>
        <v>9037.0576280410805</v>
      </c>
      <c r="CG174" s="76">
        <f t="shared" si="188"/>
        <v>1904</v>
      </c>
      <c r="CH174" s="76">
        <f t="shared" si="188"/>
        <v>2265</v>
      </c>
      <c r="CI174" s="479">
        <f t="shared" si="188"/>
        <v>2344</v>
      </c>
      <c r="CJ174" s="76">
        <f t="shared" si="188"/>
        <v>1932</v>
      </c>
      <c r="CK174" s="75">
        <f t="shared" si="188"/>
        <v>8445</v>
      </c>
      <c r="CL174" s="76">
        <f>SUM(CL169:CL172,CL168,CL164:CL165,CL173)</f>
        <v>2179.3111111111111</v>
      </c>
      <c r="CM174" s="76">
        <f t="shared" ref="CM174:CO174" si="189">SUM(CM169:CM172,CM168,CM164:CM165,CM173)</f>
        <v>-3592.8180995475113</v>
      </c>
      <c r="CN174" s="76">
        <f t="shared" si="189"/>
        <v>421.32715019255454</v>
      </c>
      <c r="CO174" s="76">
        <f t="shared" si="189"/>
        <v>171.17983824384555</v>
      </c>
      <c r="CP174" s="496">
        <f>SUM(CL174:CO174)</f>
        <v>-821.00000000000011</v>
      </c>
      <c r="CQ174" s="76">
        <f>SUM(CQ169:CQ172,CQ168,CQ164:CQ165)</f>
        <v>1018</v>
      </c>
      <c r="CR174" s="76">
        <f t="shared" ref="CR174:CT174" si="190">SUM(CR169:CR172,CR168,CR164:CR165)</f>
        <v>1287</v>
      </c>
      <c r="CS174" s="76">
        <f t="shared" si="190"/>
        <v>1348</v>
      </c>
      <c r="CT174" s="76">
        <f t="shared" si="190"/>
        <v>1482.9999999999998</v>
      </c>
      <c r="CU174" s="496">
        <f t="shared" si="159"/>
        <v>5136</v>
      </c>
      <c r="CV174" s="76">
        <f>SUM(CV168:CV173,CV164:CV165)</f>
        <v>1102</v>
      </c>
      <c r="CW174" s="76">
        <f t="shared" ref="CW174:DF174" si="191">SUM(CW168:CW173,CW164:CW165)</f>
        <v>1391</v>
      </c>
      <c r="CX174" s="76">
        <f t="shared" si="191"/>
        <v>1520</v>
      </c>
      <c r="CY174" s="76">
        <f t="shared" si="191"/>
        <v>1491</v>
      </c>
      <c r="CZ174" s="496">
        <f>SUM(CV174:CY174)</f>
        <v>5504</v>
      </c>
      <c r="DA174" s="76">
        <f t="shared" si="191"/>
        <v>1687</v>
      </c>
      <c r="DB174" s="76">
        <f t="shared" si="191"/>
        <v>1493</v>
      </c>
      <c r="DC174" s="76">
        <f t="shared" si="191"/>
        <v>-1396</v>
      </c>
      <c r="DD174" s="76">
        <f t="shared" si="191"/>
        <v>1777</v>
      </c>
      <c r="DE174" s="496">
        <f>SUM(DA174:DD174)</f>
        <v>3561</v>
      </c>
      <c r="DF174" s="76">
        <f t="shared" si="191"/>
        <v>1870</v>
      </c>
      <c r="DG174" s="76">
        <f t="shared" ref="DG174:DI174" si="192">SUM(DG168:DG173,DG164:DG165)</f>
        <v>529</v>
      </c>
      <c r="DH174" s="76">
        <f t="shared" si="192"/>
        <v>2028</v>
      </c>
      <c r="DI174" s="76">
        <f t="shared" si="192"/>
        <v>2111</v>
      </c>
      <c r="DJ174" s="496">
        <f>SUM(DF174:DI174)</f>
        <v>6538</v>
      </c>
      <c r="DK174" s="76">
        <f t="shared" ref="DK174:DL174" si="193">SUM(DK168:DK173,DK164:DK165)</f>
        <v>2035</v>
      </c>
      <c r="DL174" s="76">
        <f t="shared" si="193"/>
        <v>2146</v>
      </c>
      <c r="DM174" s="76">
        <f t="shared" ref="DM174" si="194">SUM(DM168:DM173,DM164:DM165)</f>
        <v>2523</v>
      </c>
      <c r="DN174" s="16"/>
      <c r="DO174" s="17"/>
      <c r="DP174" s="76"/>
      <c r="DQ174" s="16"/>
      <c r="DR174" s="16"/>
      <c r="DS174" s="16"/>
      <c r="DT174" s="17"/>
      <c r="DU174" s="17"/>
      <c r="DV174" s="17"/>
    </row>
    <row r="175" spans="1:126" s="13" customFormat="1">
      <c r="A175" s="32"/>
      <c r="B175" s="42"/>
      <c r="C175" s="17"/>
      <c r="D175" s="17"/>
      <c r="E175" s="17"/>
      <c r="F175" s="17"/>
      <c r="G175" s="17"/>
      <c r="H175" s="17"/>
      <c r="I175" s="17"/>
      <c r="N175" s="17"/>
      <c r="S175" s="17"/>
      <c r="X175" s="17"/>
      <c r="AC175" s="17"/>
      <c r="AH175" s="17"/>
      <c r="AM175" s="17"/>
      <c r="AR175" s="17"/>
      <c r="AU175" s="16"/>
      <c r="AW175" s="17"/>
      <c r="AZ175" s="12"/>
      <c r="BA175" s="12"/>
      <c r="BB175" s="17"/>
      <c r="BD175" s="16"/>
      <c r="BE175" s="16"/>
      <c r="BF175" s="16"/>
      <c r="BG175" s="17"/>
      <c r="BH175" s="16"/>
      <c r="BI175" s="16"/>
      <c r="BJ175" s="472"/>
      <c r="BK175" s="16"/>
      <c r="BL175" s="17"/>
      <c r="BM175" s="16"/>
      <c r="BN175" s="16"/>
      <c r="BO175" s="472"/>
      <c r="BP175" s="16"/>
      <c r="BQ175" s="366"/>
      <c r="BR175" s="16"/>
      <c r="BS175" s="368"/>
      <c r="BT175" s="472"/>
      <c r="BU175" s="16"/>
      <c r="BV175" s="366"/>
      <c r="BW175" s="16"/>
      <c r="BX175" s="16"/>
      <c r="BY175" s="472"/>
      <c r="BZ175" s="16"/>
      <c r="CA175" s="366"/>
      <c r="CB175" s="16"/>
      <c r="CC175" s="16"/>
      <c r="CD175" s="472"/>
      <c r="CE175" s="16"/>
      <c r="CF175" s="17"/>
      <c r="CG175" s="16"/>
      <c r="CH175" s="16"/>
      <c r="CI175" s="472"/>
      <c r="CJ175" s="16"/>
      <c r="CK175" s="195"/>
      <c r="CL175" s="16"/>
      <c r="CM175" s="16"/>
      <c r="CN175" s="472"/>
      <c r="CO175" s="16"/>
      <c r="CP175" s="17"/>
      <c r="CQ175" s="16"/>
      <c r="CR175" s="16"/>
      <c r="CS175" s="16"/>
      <c r="CT175" s="16"/>
      <c r="CU175" s="17"/>
      <c r="CV175" s="16"/>
      <c r="CW175" s="16"/>
      <c r="CX175" s="16"/>
      <c r="CY175" s="16"/>
      <c r="CZ175" s="17"/>
      <c r="DA175" s="16"/>
      <c r="DB175" s="16"/>
      <c r="DC175" s="16"/>
      <c r="DD175" s="16"/>
      <c r="DE175" s="17"/>
      <c r="DF175" s="16"/>
      <c r="DG175" s="16"/>
      <c r="DH175" s="16"/>
      <c r="DI175" s="16"/>
      <c r="DJ175" s="17"/>
      <c r="DK175" s="16"/>
      <c r="DL175" s="16"/>
      <c r="DM175" s="16"/>
      <c r="DN175" s="16"/>
      <c r="DO175" s="17"/>
      <c r="DP175" s="16"/>
      <c r="DQ175" s="16"/>
      <c r="DR175" s="16"/>
      <c r="DS175" s="16"/>
      <c r="DT175" s="17"/>
      <c r="DU175" s="17"/>
      <c r="DV175" s="17"/>
    </row>
    <row r="176" spans="1:126" s="13" customFormat="1" hidden="1" outlineLevel="1">
      <c r="A176" s="32"/>
      <c r="B176" s="108" t="s">
        <v>502</v>
      </c>
      <c r="C176" s="17"/>
      <c r="D176" s="17"/>
      <c r="E176" s="17"/>
      <c r="F176" s="17"/>
      <c r="G176" s="17"/>
      <c r="H176" s="17"/>
      <c r="I176" s="17"/>
      <c r="N176" s="17"/>
      <c r="S176" s="17"/>
      <c r="X176" s="17"/>
      <c r="AC176" s="17"/>
      <c r="AH176" s="17"/>
      <c r="AM176" s="17"/>
      <c r="AR176" s="17"/>
      <c r="AU176" s="16"/>
      <c r="AW176" s="17"/>
      <c r="AZ176" s="12"/>
      <c r="BA176" s="12"/>
      <c r="BB176" s="17"/>
      <c r="BD176" s="16"/>
      <c r="BE176" s="16"/>
      <c r="BF176" s="16"/>
      <c r="BG176" s="17"/>
      <c r="BH176" s="16"/>
      <c r="BI176" s="16"/>
      <c r="BJ176" s="472"/>
      <c r="BK176" s="16"/>
      <c r="BL176" s="17"/>
      <c r="BM176" s="16"/>
      <c r="BN176" s="16"/>
      <c r="BO176" s="472"/>
      <c r="BP176" s="16"/>
      <c r="BQ176" s="366"/>
      <c r="BR176" s="16"/>
      <c r="BS176" s="368"/>
      <c r="BT176" s="472"/>
      <c r="BU176" s="16"/>
      <c r="BV176" s="366"/>
      <c r="BW176" s="16"/>
      <c r="BX176" s="16"/>
      <c r="BY176" s="472"/>
      <c r="BZ176" s="16"/>
      <c r="CA176" s="366"/>
      <c r="CB176" s="16"/>
      <c r="CC176" s="16"/>
      <c r="CD176" s="472"/>
      <c r="CE176" s="16"/>
      <c r="CF176" s="17"/>
      <c r="CG176" s="16"/>
      <c r="CH176" s="16"/>
      <c r="CI176" s="472"/>
      <c r="CJ176" s="16"/>
      <c r="CK176" s="17"/>
      <c r="CL176" s="16"/>
      <c r="CM176" s="16"/>
      <c r="CN176" s="472"/>
      <c r="CO176" s="16"/>
      <c r="CP176" s="17"/>
      <c r="CQ176" s="16"/>
      <c r="CR176" s="16"/>
      <c r="CS176" s="16"/>
      <c r="CT176" s="16"/>
      <c r="CU176" s="17"/>
      <c r="CV176" s="16"/>
      <c r="CW176" s="16"/>
      <c r="CX176" s="16"/>
      <c r="CY176" s="16"/>
      <c r="CZ176" s="17"/>
      <c r="DA176" s="16"/>
      <c r="DB176" s="16"/>
      <c r="DC176" s="16"/>
      <c r="DD176" s="16"/>
      <c r="DE176" s="17"/>
      <c r="DF176" s="16"/>
      <c r="DG176" s="16"/>
      <c r="DH176" s="16"/>
      <c r="DI176" s="16"/>
      <c r="DJ176" s="17"/>
      <c r="DK176" s="16"/>
      <c r="DL176" s="16"/>
      <c r="DM176" s="16"/>
      <c r="DN176" s="16"/>
      <c r="DO176" s="17"/>
      <c r="DP176" s="16"/>
      <c r="DQ176" s="16"/>
      <c r="DR176" s="16"/>
      <c r="DS176" s="16"/>
      <c r="DT176" s="17"/>
      <c r="DU176" s="17"/>
      <c r="DV176" s="17"/>
    </row>
    <row r="177" spans="1:126" s="13" customFormat="1" hidden="1" outlineLevel="1">
      <c r="A177" s="32"/>
      <c r="B177" s="165" t="s">
        <v>193</v>
      </c>
      <c r="C177" s="309">
        <v>465</v>
      </c>
      <c r="D177" s="309">
        <v>533</v>
      </c>
      <c r="E177" s="309">
        <v>493</v>
      </c>
      <c r="F177" s="309">
        <v>798</v>
      </c>
      <c r="G177" s="309">
        <v>847</v>
      </c>
      <c r="H177" s="309">
        <v>1057</v>
      </c>
      <c r="I177" s="309">
        <v>1301</v>
      </c>
      <c r="J177" s="313">
        <v>302</v>
      </c>
      <c r="K177" s="313">
        <v>342</v>
      </c>
      <c r="L177" s="313">
        <v>385</v>
      </c>
      <c r="M177" s="313">
        <v>384</v>
      </c>
      <c r="N177" s="17">
        <f t="shared" ref="N177:N186" si="195">SUM(J177:M177)</f>
        <v>1413</v>
      </c>
      <c r="O177" s="316">
        <v>422</v>
      </c>
      <c r="P177" s="316">
        <v>422</v>
      </c>
      <c r="Q177" s="316">
        <v>442</v>
      </c>
      <c r="R177" s="316">
        <v>426</v>
      </c>
      <c r="S177" s="17">
        <f t="shared" ref="S177:S186" si="196">SUM(O177:R177)</f>
        <v>1712</v>
      </c>
      <c r="T177" s="322">
        <v>439</v>
      </c>
      <c r="U177" s="322">
        <v>472</v>
      </c>
      <c r="V177" s="322">
        <v>463</v>
      </c>
      <c r="W177" s="322">
        <v>514</v>
      </c>
      <c r="X177" s="17">
        <f t="shared" ref="X177:X186" si="197">SUM(T177:W177)</f>
        <v>1888</v>
      </c>
      <c r="Y177" s="326">
        <v>574</v>
      </c>
      <c r="Z177" s="326">
        <v>532</v>
      </c>
      <c r="AA177" s="326">
        <v>567</v>
      </c>
      <c r="AB177" s="326">
        <v>648</v>
      </c>
      <c r="AC177" s="17">
        <f t="shared" ref="AC177:AC186" si="198">SUM(Y177:AB177)</f>
        <v>2321</v>
      </c>
      <c r="AD177" s="330">
        <v>580</v>
      </c>
      <c r="AE177" s="330">
        <v>671</v>
      </c>
      <c r="AF177" s="330">
        <v>648</v>
      </c>
      <c r="AG177" s="330">
        <v>578</v>
      </c>
      <c r="AH177" s="17">
        <f t="shared" ref="AH177:AH186" si="199">SUM(AD177:AG177)</f>
        <v>2477</v>
      </c>
      <c r="AI177" s="332">
        <v>506</v>
      </c>
      <c r="AJ177" s="332">
        <v>631</v>
      </c>
      <c r="AK177" s="332">
        <v>633</v>
      </c>
      <c r="AL177" s="332">
        <v>677</v>
      </c>
      <c r="AM177" s="17">
        <f t="shared" ref="AM177:AM186" si="200">SUM(AI177:AL177)</f>
        <v>2447</v>
      </c>
      <c r="AN177" s="338">
        <v>596</v>
      </c>
      <c r="AO177" s="338">
        <v>641</v>
      </c>
      <c r="AP177" s="338">
        <v>678</v>
      </c>
      <c r="AQ177" s="338">
        <v>660</v>
      </c>
      <c r="AR177" s="17">
        <f t="shared" ref="AR177:AR186" si="201">SUM(AN177:AQ177)</f>
        <v>2575</v>
      </c>
      <c r="AS177" s="340">
        <v>630</v>
      </c>
      <c r="AT177" s="340">
        <v>743</v>
      </c>
      <c r="AU177" s="341">
        <v>731</v>
      </c>
      <c r="AV177" s="340">
        <v>711</v>
      </c>
      <c r="AW177" s="17">
        <f t="shared" ref="AW177:AW186" si="202">SUM(AS177:AV177)</f>
        <v>2815</v>
      </c>
      <c r="AX177" s="350">
        <v>566</v>
      </c>
      <c r="AY177" s="350">
        <v>651</v>
      </c>
      <c r="AZ177" s="12">
        <v>651</v>
      </c>
      <c r="BA177" s="12">
        <v>644</v>
      </c>
      <c r="BB177" s="17">
        <f t="shared" ref="BB177:BB186" si="203">SUM(AX177:BA177)</f>
        <v>2512</v>
      </c>
      <c r="BC177" s="350">
        <v>575</v>
      </c>
      <c r="BD177" s="16">
        <v>650</v>
      </c>
      <c r="BE177" s="16">
        <v>681</v>
      </c>
      <c r="BF177" s="16">
        <v>684</v>
      </c>
      <c r="BG177" s="17">
        <f t="shared" ref="BG177:BG186" si="204">SUM(BC177:BF177)</f>
        <v>2590</v>
      </c>
      <c r="BH177" s="16">
        <v>570</v>
      </c>
      <c r="BI177" s="16">
        <v>693</v>
      </c>
      <c r="BJ177" s="472">
        <v>703</v>
      </c>
      <c r="BK177" s="16">
        <v>674</v>
      </c>
      <c r="BL177" s="17">
        <f t="shared" ref="BL177:BL186" si="205">SUM(BH177:BK177)</f>
        <v>2640</v>
      </c>
      <c r="BM177" s="16">
        <v>527</v>
      </c>
      <c r="BN177" s="16">
        <v>627</v>
      </c>
      <c r="BO177" s="472">
        <v>642</v>
      </c>
      <c r="BP177" s="16">
        <v>542</v>
      </c>
      <c r="BQ177" s="366">
        <f t="shared" ref="BQ177:BQ186" si="206">SUM(BM177:BP177)</f>
        <v>2338</v>
      </c>
      <c r="BR177" s="16">
        <v>466</v>
      </c>
      <c r="BS177" s="368">
        <v>581</v>
      </c>
      <c r="BT177" s="472">
        <v>584</v>
      </c>
      <c r="BU177" s="16">
        <v>516</v>
      </c>
      <c r="BV177" s="366">
        <f t="shared" ref="BV177:BV186" si="207">SUM(BR177:BU177)</f>
        <v>2147</v>
      </c>
      <c r="BW177" s="16">
        <v>444</v>
      </c>
      <c r="BX177" s="16">
        <v>539</v>
      </c>
      <c r="BY177" s="472">
        <v>549</v>
      </c>
      <c r="BZ177" s="16">
        <v>467</v>
      </c>
      <c r="CA177" s="366">
        <f t="shared" ref="CA177:CA185" si="208">SUM(BW177:BZ177)</f>
        <v>1999</v>
      </c>
      <c r="CB177" s="198">
        <v>450</v>
      </c>
      <c r="CC177" s="16">
        <v>488</v>
      </c>
      <c r="CD177" s="472">
        <v>486</v>
      </c>
      <c r="CE177" s="16">
        <v>491</v>
      </c>
      <c r="CF177" s="366">
        <f t="shared" ref="CF177" si="209">SUM(CB177:CE177)</f>
        <v>1915</v>
      </c>
      <c r="CG177" s="198">
        <v>426</v>
      </c>
      <c r="CH177" s="16">
        <v>515</v>
      </c>
      <c r="CI177" s="472">
        <v>508</v>
      </c>
      <c r="CJ177" s="16">
        <v>499</v>
      </c>
      <c r="CK177" s="366">
        <f t="shared" ref="CK177" si="210">SUM(CG177:CJ177)</f>
        <v>1948</v>
      </c>
      <c r="CL177" s="198"/>
      <c r="CM177" s="16"/>
      <c r="CN177" s="472"/>
      <c r="CO177" s="16"/>
      <c r="CP177" s="17"/>
      <c r="CQ177" s="16"/>
      <c r="CR177" s="16"/>
      <c r="CS177" s="16"/>
      <c r="CT177" s="16"/>
      <c r="CU177" s="17"/>
      <c r="CV177" s="16"/>
      <c r="CW177" s="16"/>
      <c r="CX177" s="16"/>
      <c r="CY177" s="16"/>
      <c r="CZ177" s="17"/>
      <c r="DA177" s="16"/>
      <c r="DB177" s="16"/>
      <c r="DC177" s="16"/>
      <c r="DD177" s="16"/>
      <c r="DE177" s="17"/>
      <c r="DF177" s="16"/>
      <c r="DG177" s="16"/>
      <c r="DH177" s="16"/>
      <c r="DI177" s="16"/>
      <c r="DJ177" s="17"/>
      <c r="DK177" s="16"/>
      <c r="DL177" s="16"/>
      <c r="DM177" s="16"/>
      <c r="DN177" s="16"/>
      <c r="DO177" s="17"/>
      <c r="DP177" s="16"/>
      <c r="DQ177" s="16"/>
      <c r="DR177" s="16"/>
      <c r="DS177" s="16"/>
      <c r="DT177" s="17"/>
      <c r="DU177" s="17"/>
      <c r="DV177" s="17"/>
    </row>
    <row r="178" spans="1:126" s="13" customFormat="1" ht="12.75" hidden="1" outlineLevel="1">
      <c r="A178" s="32"/>
      <c r="B178" s="165" t="s">
        <v>239</v>
      </c>
      <c r="C178" s="309"/>
      <c r="D178" s="309"/>
      <c r="E178" s="309"/>
      <c r="F178" s="309"/>
      <c r="G178" s="309"/>
      <c r="H178" s="309"/>
      <c r="I178" s="309"/>
      <c r="J178" s="313"/>
      <c r="K178" s="313">
        <v>32</v>
      </c>
      <c r="L178" s="313">
        <v>33</v>
      </c>
      <c r="M178" s="313"/>
      <c r="N178" s="17"/>
      <c r="O178" s="316">
        <v>39</v>
      </c>
      <c r="P178" s="316">
        <v>53</v>
      </c>
      <c r="Q178" s="316">
        <v>56</v>
      </c>
      <c r="R178" s="316">
        <f>+S178-148</f>
        <v>87</v>
      </c>
      <c r="S178" s="17">
        <v>235</v>
      </c>
      <c r="T178" s="322">
        <v>65</v>
      </c>
      <c r="U178" s="322">
        <v>65</v>
      </c>
      <c r="V178" s="322">
        <v>70</v>
      </c>
      <c r="W178" s="322">
        <f>+X178-200</f>
        <v>101</v>
      </c>
      <c r="X178" s="17">
        <v>301</v>
      </c>
      <c r="Y178" s="326">
        <v>86</v>
      </c>
      <c r="Z178" s="326">
        <v>101</v>
      </c>
      <c r="AA178" s="326">
        <v>119</v>
      </c>
      <c r="AB178" s="326">
        <f>+AC178-306</f>
        <v>137</v>
      </c>
      <c r="AC178" s="17">
        <v>443</v>
      </c>
      <c r="AD178" s="330">
        <v>115</v>
      </c>
      <c r="AE178" s="330">
        <v>126</v>
      </c>
      <c r="AF178" s="330">
        <v>154</v>
      </c>
      <c r="AG178" s="330">
        <f>+AH178-395</f>
        <v>147</v>
      </c>
      <c r="AH178" s="17">
        <v>542</v>
      </c>
      <c r="AI178" s="332">
        <v>93</v>
      </c>
      <c r="AJ178" s="332">
        <v>55</v>
      </c>
      <c r="AK178" s="332">
        <v>149</v>
      </c>
      <c r="AL178" s="332">
        <f>+AM178-297</f>
        <v>196</v>
      </c>
      <c r="AM178" s="17">
        <v>493</v>
      </c>
      <c r="AN178" s="406">
        <v>123</v>
      </c>
      <c r="AO178" s="406">
        <v>168</v>
      </c>
      <c r="AP178" s="406">
        <v>187</v>
      </c>
      <c r="AQ178" s="406">
        <v>236</v>
      </c>
      <c r="AR178" s="17">
        <v>714</v>
      </c>
      <c r="AS178" s="340">
        <v>162</v>
      </c>
      <c r="AT178" s="340">
        <v>206</v>
      </c>
      <c r="AU178" s="341">
        <v>194</v>
      </c>
      <c r="AV178" s="340">
        <v>130</v>
      </c>
      <c r="AW178" s="17">
        <v>692</v>
      </c>
      <c r="AX178" s="350"/>
      <c r="AY178" s="350"/>
      <c r="AZ178" s="12"/>
      <c r="BA178" s="12"/>
      <c r="BB178" s="17"/>
      <c r="BC178" s="350"/>
      <c r="BD178" s="16"/>
      <c r="BE178" s="16"/>
      <c r="BF178" s="16"/>
      <c r="BG178" s="17"/>
      <c r="BH178" s="16"/>
      <c r="BI178" s="16"/>
      <c r="BJ178" s="472"/>
      <c r="BK178" s="16"/>
      <c r="BL178" s="17"/>
      <c r="BM178" s="16"/>
      <c r="BN178" s="16"/>
      <c r="BO178" s="472"/>
      <c r="BP178" s="16"/>
      <c r="BQ178" s="366"/>
      <c r="BR178" s="16"/>
      <c r="BS178" s="368"/>
      <c r="BT178" s="472"/>
      <c r="BU178" s="16"/>
      <c r="BV178" s="366"/>
      <c r="BW178" s="16"/>
      <c r="BX178" s="16"/>
      <c r="BY178" s="472"/>
      <c r="BZ178" s="16"/>
      <c r="CA178" s="366"/>
      <c r="CB178" s="16"/>
      <c r="CC178" s="16"/>
      <c r="CD178" s="472"/>
      <c r="CE178" s="16"/>
      <c r="CF178" s="17"/>
      <c r="CG178" s="16"/>
      <c r="CH178" s="16"/>
      <c r="CI178" s="472"/>
      <c r="CJ178" s="16"/>
      <c r="CK178" s="17"/>
      <c r="CL178" s="16"/>
      <c r="CM178" s="16"/>
      <c r="CN178" s="472"/>
      <c r="CO178" s="16"/>
      <c r="CP178" s="17"/>
      <c r="CQ178" s="16"/>
      <c r="CR178" s="16"/>
      <c r="CS178" s="16"/>
      <c r="CT178" s="16"/>
      <c r="CU178" s="17"/>
      <c r="CV178" s="16"/>
      <c r="CW178" s="16"/>
      <c r="CX178" s="16"/>
      <c r="CY178" s="16"/>
      <c r="CZ178" s="17"/>
      <c r="DA178" s="16"/>
      <c r="DB178" s="16"/>
      <c r="DC178" s="16"/>
      <c r="DD178" s="16"/>
      <c r="DE178" s="17"/>
      <c r="DF178" s="16"/>
      <c r="DG178" s="16"/>
      <c r="DH178" s="16"/>
      <c r="DI178" s="16"/>
      <c r="DJ178" s="17"/>
      <c r="DK178" s="16"/>
      <c r="DL178" s="16"/>
      <c r="DM178" s="16"/>
      <c r="DN178" s="16"/>
      <c r="DO178" s="17"/>
      <c r="DP178" s="16"/>
      <c r="DQ178" s="16"/>
      <c r="DR178" s="16"/>
      <c r="DS178" s="16"/>
      <c r="DT178" s="17"/>
      <c r="DU178" s="17"/>
      <c r="DV178" s="17"/>
    </row>
    <row r="179" spans="1:126" s="13" customFormat="1" ht="12.75" hidden="1" outlineLevel="1">
      <c r="A179" s="32"/>
      <c r="B179" s="180" t="s">
        <v>238</v>
      </c>
      <c r="C179" s="309"/>
      <c r="D179" s="309"/>
      <c r="E179" s="309"/>
      <c r="F179" s="309"/>
      <c r="G179" s="309"/>
      <c r="H179" s="309"/>
      <c r="I179" s="309"/>
      <c r="J179" s="313"/>
      <c r="K179" s="313">
        <v>354</v>
      </c>
      <c r="L179" s="313">
        <v>301</v>
      </c>
      <c r="M179" s="313"/>
      <c r="N179" s="17"/>
      <c r="O179" s="316">
        <v>152</v>
      </c>
      <c r="P179" s="316">
        <v>393</v>
      </c>
      <c r="Q179" s="316">
        <v>367</v>
      </c>
      <c r="R179" s="316">
        <f>+S179-912</f>
        <v>192</v>
      </c>
      <c r="S179" s="17">
        <v>1104</v>
      </c>
      <c r="T179" s="322">
        <v>204</v>
      </c>
      <c r="U179" s="322">
        <v>410</v>
      </c>
      <c r="V179" s="322">
        <v>430</v>
      </c>
      <c r="W179" s="322">
        <f>+X179-1044</f>
        <v>193</v>
      </c>
      <c r="X179" s="17">
        <v>1237</v>
      </c>
      <c r="Y179" s="326">
        <v>213</v>
      </c>
      <c r="Z179" s="326">
        <v>489</v>
      </c>
      <c r="AA179" s="326">
        <v>420</v>
      </c>
      <c r="AB179" s="326">
        <f>+AC179-1122</f>
        <v>259</v>
      </c>
      <c r="AC179" s="17">
        <v>1381</v>
      </c>
      <c r="AD179" s="330">
        <v>248</v>
      </c>
      <c r="AE179" s="330">
        <v>487</v>
      </c>
      <c r="AF179" s="330">
        <v>421</v>
      </c>
      <c r="AG179" s="330">
        <f>+AH179-1156</f>
        <v>160</v>
      </c>
      <c r="AH179" s="17">
        <v>1316</v>
      </c>
      <c r="AI179" s="332">
        <v>22</v>
      </c>
      <c r="AJ179" s="332">
        <v>260</v>
      </c>
      <c r="AK179" s="332">
        <v>312</v>
      </c>
      <c r="AL179" s="332">
        <f>+AM179-594</f>
        <v>146</v>
      </c>
      <c r="AM179" s="17">
        <v>740</v>
      </c>
      <c r="AN179" s="405">
        <v>139</v>
      </c>
      <c r="AO179" s="405">
        <v>333</v>
      </c>
      <c r="AP179" s="405">
        <v>380</v>
      </c>
      <c r="AQ179" s="405">
        <v>210</v>
      </c>
      <c r="AR179" s="17">
        <v>1062</v>
      </c>
      <c r="AS179" s="340">
        <v>310</v>
      </c>
      <c r="AT179" s="340">
        <v>458</v>
      </c>
      <c r="AU179" s="341">
        <v>422</v>
      </c>
      <c r="AV179" s="340">
        <v>330</v>
      </c>
      <c r="AW179" s="17">
        <v>1520</v>
      </c>
      <c r="AX179" s="350"/>
      <c r="AY179" s="350"/>
      <c r="AZ179" s="12"/>
      <c r="BA179" s="12"/>
      <c r="BB179" s="17"/>
      <c r="BC179" s="350"/>
      <c r="BD179" s="16"/>
      <c r="BE179" s="16"/>
      <c r="BF179" s="16"/>
      <c r="BG179" s="17"/>
      <c r="BH179" s="16"/>
      <c r="BI179" s="16"/>
      <c r="BJ179" s="472"/>
      <c r="BK179" s="16"/>
      <c r="BL179" s="17"/>
      <c r="BM179" s="16"/>
      <c r="BN179" s="16"/>
      <c r="BO179" s="472"/>
      <c r="BP179" s="16"/>
      <c r="BQ179" s="366"/>
      <c r="BR179" s="16"/>
      <c r="BS179" s="368"/>
      <c r="BT179" s="472"/>
      <c r="BU179" s="16"/>
      <c r="BV179" s="366"/>
      <c r="BW179" s="16"/>
      <c r="BX179" s="16"/>
      <c r="BY179" s="472"/>
      <c r="BZ179" s="16"/>
      <c r="CA179" s="366"/>
      <c r="CB179" s="16"/>
      <c r="CC179" s="16"/>
      <c r="CD179" s="472"/>
      <c r="CE179" s="16"/>
      <c r="CF179" s="17"/>
      <c r="CG179" s="16"/>
      <c r="CH179" s="16"/>
      <c r="CI179" s="472"/>
      <c r="CJ179" s="16"/>
      <c r="CK179" s="17"/>
      <c r="CL179" s="16"/>
      <c r="CM179" s="16"/>
      <c r="CN179" s="472"/>
      <c r="CO179" s="472"/>
      <c r="CP179" s="17"/>
      <c r="CQ179" s="16"/>
      <c r="CR179" s="16"/>
      <c r="CS179" s="16"/>
      <c r="CT179" s="16"/>
      <c r="CU179" s="17"/>
      <c r="CV179" s="16"/>
      <c r="CW179" s="16"/>
      <c r="CX179" s="16"/>
      <c r="CY179" s="16"/>
      <c r="CZ179" s="17"/>
      <c r="DA179" s="16"/>
      <c r="DB179" s="16"/>
      <c r="DC179" s="16"/>
      <c r="DD179" s="16"/>
      <c r="DE179" s="17"/>
      <c r="DF179" s="16"/>
      <c r="DG179" s="16"/>
      <c r="DH179" s="16"/>
      <c r="DI179" s="16"/>
      <c r="DJ179" s="17"/>
      <c r="DK179" s="16"/>
      <c r="DL179" s="16"/>
      <c r="DM179" s="16"/>
      <c r="DN179" s="16"/>
      <c r="DO179" s="17"/>
      <c r="DP179" s="16"/>
      <c r="DQ179" s="16"/>
      <c r="DR179" s="16"/>
      <c r="DS179" s="16"/>
      <c r="DT179" s="17"/>
      <c r="DU179" s="17"/>
      <c r="DV179" s="17"/>
    </row>
    <row r="180" spans="1:126" s="13" customFormat="1" hidden="1" outlineLevel="1">
      <c r="A180" s="32"/>
      <c r="B180" s="165" t="s">
        <v>212</v>
      </c>
      <c r="C180" s="309">
        <v>458</v>
      </c>
      <c r="D180" s="309">
        <v>495</v>
      </c>
      <c r="E180" s="309">
        <v>459</v>
      </c>
      <c r="F180" s="309">
        <v>795</v>
      </c>
      <c r="G180" s="309">
        <v>590</v>
      </c>
      <c r="H180" s="309">
        <v>779</v>
      </c>
      <c r="I180" s="309">
        <v>906</v>
      </c>
      <c r="J180" s="313">
        <v>93</v>
      </c>
      <c r="K180" s="313">
        <v>386</v>
      </c>
      <c r="L180" s="313">
        <v>334</v>
      </c>
      <c r="M180" s="313">
        <v>147</v>
      </c>
      <c r="N180" s="17">
        <f t="shared" si="195"/>
        <v>960</v>
      </c>
      <c r="O180" s="316">
        <v>191</v>
      </c>
      <c r="P180" s="316">
        <v>446</v>
      </c>
      <c r="Q180" s="316">
        <v>423</v>
      </c>
      <c r="R180" s="316">
        <v>279</v>
      </c>
      <c r="S180" s="17">
        <f t="shared" si="196"/>
        <v>1339</v>
      </c>
      <c r="T180" s="322">
        <v>269</v>
      </c>
      <c r="U180" s="322">
        <v>475</v>
      </c>
      <c r="V180" s="322">
        <v>500</v>
      </c>
      <c r="W180" s="322">
        <v>294</v>
      </c>
      <c r="X180" s="17">
        <f t="shared" si="197"/>
        <v>1538</v>
      </c>
      <c r="Y180" s="326">
        <v>299</v>
      </c>
      <c r="Z180" s="326">
        <v>590</v>
      </c>
      <c r="AA180" s="326">
        <v>539</v>
      </c>
      <c r="AB180" s="326">
        <v>396</v>
      </c>
      <c r="AC180" s="17">
        <f t="shared" si="198"/>
        <v>1824</v>
      </c>
      <c r="AD180" s="330">
        <v>363</v>
      </c>
      <c r="AE180" s="330">
        <v>613</v>
      </c>
      <c r="AF180" s="330">
        <v>575</v>
      </c>
      <c r="AG180" s="330">
        <v>307</v>
      </c>
      <c r="AH180" s="17">
        <f t="shared" si="199"/>
        <v>1858</v>
      </c>
      <c r="AI180" s="332">
        <v>115</v>
      </c>
      <c r="AJ180" s="332">
        <v>315</v>
      </c>
      <c r="AK180" s="332">
        <v>461</v>
      </c>
      <c r="AL180" s="332">
        <v>342</v>
      </c>
      <c r="AM180" s="17">
        <f t="shared" si="200"/>
        <v>1233</v>
      </c>
      <c r="AN180" s="338">
        <v>262</v>
      </c>
      <c r="AO180" s="338">
        <v>501</v>
      </c>
      <c r="AP180" s="338">
        <v>567</v>
      </c>
      <c r="AQ180" s="338">
        <v>446</v>
      </c>
      <c r="AR180" s="17">
        <f t="shared" si="201"/>
        <v>1776</v>
      </c>
      <c r="AS180" s="340">
        <v>471</v>
      </c>
      <c r="AT180" s="340">
        <v>665</v>
      </c>
      <c r="AU180" s="341">
        <v>616</v>
      </c>
      <c r="AV180" s="340">
        <v>460</v>
      </c>
      <c r="AW180" s="17">
        <f t="shared" si="202"/>
        <v>2212</v>
      </c>
      <c r="AX180" s="350">
        <v>544</v>
      </c>
      <c r="AY180" s="350">
        <v>789</v>
      </c>
      <c r="AZ180" s="12">
        <v>632</v>
      </c>
      <c r="BA180" s="12">
        <v>460</v>
      </c>
      <c r="BB180" s="17">
        <f t="shared" si="203"/>
        <v>2425</v>
      </c>
      <c r="BC180" s="350">
        <v>520</v>
      </c>
      <c r="BD180" s="16">
        <v>752</v>
      </c>
      <c r="BE180" s="16">
        <v>696</v>
      </c>
      <c r="BF180" s="16">
        <v>622</v>
      </c>
      <c r="BG180" s="17">
        <f t="shared" si="204"/>
        <v>2590</v>
      </c>
      <c r="BH180" s="16">
        <v>537</v>
      </c>
      <c r="BI180" s="16">
        <v>815</v>
      </c>
      <c r="BJ180" s="472">
        <v>807</v>
      </c>
      <c r="BK180" s="16">
        <v>623</v>
      </c>
      <c r="BL180" s="17">
        <f t="shared" si="205"/>
        <v>2782</v>
      </c>
      <c r="BM180" s="16">
        <v>729</v>
      </c>
      <c r="BN180" s="16">
        <v>823</v>
      </c>
      <c r="BO180" s="472">
        <v>771</v>
      </c>
      <c r="BP180" s="16">
        <v>613</v>
      </c>
      <c r="BQ180" s="366">
        <f t="shared" si="206"/>
        <v>2936</v>
      </c>
      <c r="BR180" s="16">
        <v>606</v>
      </c>
      <c r="BS180" s="368">
        <v>872</v>
      </c>
      <c r="BT180" s="472">
        <v>801</v>
      </c>
      <c r="BU180" s="16">
        <v>677</v>
      </c>
      <c r="BV180" s="366">
        <f t="shared" si="207"/>
        <v>2956</v>
      </c>
      <c r="BW180" s="16">
        <v>931</v>
      </c>
      <c r="BX180" s="16">
        <v>840</v>
      </c>
      <c r="BY180" s="472">
        <v>794</v>
      </c>
      <c r="BZ180" s="16">
        <v>603</v>
      </c>
      <c r="CA180" s="366">
        <f t="shared" si="208"/>
        <v>3168</v>
      </c>
      <c r="CB180" s="16">
        <v>592</v>
      </c>
      <c r="CC180" s="16">
        <v>1645</v>
      </c>
      <c r="CD180" s="472">
        <v>844</v>
      </c>
      <c r="CE180" s="16">
        <v>696</v>
      </c>
      <c r="CF180" s="366">
        <f t="shared" ref="CF180:CF185" si="211">SUM(CB180:CE180)</f>
        <v>3777</v>
      </c>
      <c r="CG180" s="16">
        <v>529</v>
      </c>
      <c r="CH180" s="16">
        <v>836</v>
      </c>
      <c r="CI180" s="472">
        <v>685</v>
      </c>
      <c r="CJ180" s="16">
        <v>647</v>
      </c>
      <c r="CK180" s="366">
        <f t="shared" ref="CK180:CK185" si="212">SUM(CG180:CJ180)</f>
        <v>2697</v>
      </c>
      <c r="CL180" s="16"/>
      <c r="CM180" s="16"/>
      <c r="CN180" s="472"/>
      <c r="CO180" s="472"/>
      <c r="CP180" s="17"/>
      <c r="CQ180" s="16"/>
      <c r="CR180" s="16"/>
      <c r="CS180" s="16"/>
      <c r="CT180" s="16"/>
      <c r="CU180" s="17"/>
      <c r="CV180" s="16"/>
      <c r="CW180" s="16"/>
      <c r="CX180" s="16"/>
      <c r="CY180" s="16"/>
      <c r="CZ180" s="17"/>
      <c r="DA180" s="16"/>
      <c r="DB180" s="16"/>
      <c r="DC180" s="16"/>
      <c r="DD180" s="16"/>
      <c r="DE180" s="17"/>
      <c r="DF180" s="16"/>
      <c r="DG180" s="16"/>
      <c r="DH180" s="16"/>
      <c r="DI180" s="16"/>
      <c r="DJ180" s="17"/>
      <c r="DK180" s="16"/>
      <c r="DL180" s="16"/>
      <c r="DM180" s="16"/>
      <c r="DN180" s="16"/>
      <c r="DO180" s="17"/>
      <c r="DP180" s="16"/>
      <c r="DQ180" s="16"/>
      <c r="DR180" s="16"/>
      <c r="DS180" s="16"/>
      <c r="DT180" s="17"/>
      <c r="DU180" s="17"/>
      <c r="DV180" s="17"/>
    </row>
    <row r="181" spans="1:126" s="13" customFormat="1" hidden="1" outlineLevel="1">
      <c r="A181" s="32"/>
      <c r="B181" s="165" t="s">
        <v>194</v>
      </c>
      <c r="C181" s="309">
        <v>816</v>
      </c>
      <c r="D181" s="309">
        <v>1024</v>
      </c>
      <c r="E181" s="309">
        <v>634</v>
      </c>
      <c r="F181" s="309">
        <v>1200</v>
      </c>
      <c r="G181" s="309">
        <v>1308</v>
      </c>
      <c r="H181" s="309">
        <v>1282</v>
      </c>
      <c r="I181" s="309">
        <v>1063</v>
      </c>
      <c r="J181" s="313">
        <v>206</v>
      </c>
      <c r="K181" s="313">
        <v>295</v>
      </c>
      <c r="L181" s="313">
        <v>302</v>
      </c>
      <c r="M181" s="313">
        <v>280</v>
      </c>
      <c r="N181" s="195">
        <f t="shared" si="195"/>
        <v>1083</v>
      </c>
      <c r="O181" s="316">
        <v>340</v>
      </c>
      <c r="P181" s="316">
        <v>368</v>
      </c>
      <c r="Q181" s="316">
        <v>379</v>
      </c>
      <c r="R181" s="316">
        <v>362</v>
      </c>
      <c r="S181" s="195">
        <f t="shared" si="196"/>
        <v>1449</v>
      </c>
      <c r="T181" s="322">
        <v>430</v>
      </c>
      <c r="U181" s="322">
        <v>535</v>
      </c>
      <c r="V181" s="322">
        <v>443</v>
      </c>
      <c r="W181" s="322">
        <v>409</v>
      </c>
      <c r="X181" s="195">
        <f t="shared" si="197"/>
        <v>1817</v>
      </c>
      <c r="Y181" s="326">
        <v>490</v>
      </c>
      <c r="Z181" s="326">
        <v>522</v>
      </c>
      <c r="AA181" s="326">
        <v>503</v>
      </c>
      <c r="AB181" s="326">
        <v>496</v>
      </c>
      <c r="AC181" s="17">
        <f t="shared" si="198"/>
        <v>2011</v>
      </c>
      <c r="AD181" s="330">
        <v>526</v>
      </c>
      <c r="AE181" s="330">
        <v>546</v>
      </c>
      <c r="AF181" s="330">
        <v>530</v>
      </c>
      <c r="AG181" s="330">
        <v>520</v>
      </c>
      <c r="AH181" s="17">
        <f t="shared" si="199"/>
        <v>2122</v>
      </c>
      <c r="AI181" s="332">
        <v>436</v>
      </c>
      <c r="AJ181" s="332">
        <v>467</v>
      </c>
      <c r="AK181" s="332">
        <v>444</v>
      </c>
      <c r="AL181" s="332">
        <v>488</v>
      </c>
      <c r="AM181" s="17">
        <f t="shared" si="200"/>
        <v>1835</v>
      </c>
      <c r="AN181" s="338">
        <v>436</v>
      </c>
      <c r="AO181" s="338">
        <v>522</v>
      </c>
      <c r="AP181" s="338">
        <v>547</v>
      </c>
      <c r="AQ181" s="338">
        <v>482</v>
      </c>
      <c r="AR181" s="17">
        <f t="shared" si="201"/>
        <v>1987</v>
      </c>
      <c r="AS181" s="340">
        <v>428</v>
      </c>
      <c r="AT181" s="340">
        <v>424</v>
      </c>
      <c r="AU181" s="341">
        <v>496</v>
      </c>
      <c r="AV181" s="340">
        <v>519</v>
      </c>
      <c r="AW181" s="17">
        <f t="shared" si="202"/>
        <v>1867</v>
      </c>
      <c r="AX181" s="350">
        <v>389</v>
      </c>
      <c r="AY181" s="350">
        <v>427</v>
      </c>
      <c r="AZ181" s="12">
        <v>409</v>
      </c>
      <c r="BA181" s="12">
        <v>364</v>
      </c>
      <c r="BB181" s="17">
        <f t="shared" si="203"/>
        <v>1589</v>
      </c>
      <c r="BC181" s="350">
        <v>406</v>
      </c>
      <c r="BD181" s="16">
        <v>567</v>
      </c>
      <c r="BE181" s="16">
        <v>439</v>
      </c>
      <c r="BF181" s="16">
        <v>464</v>
      </c>
      <c r="BG181" s="17">
        <f t="shared" si="204"/>
        <v>1876</v>
      </c>
      <c r="BH181" s="16">
        <v>388</v>
      </c>
      <c r="BI181" s="16">
        <v>432</v>
      </c>
      <c r="BJ181" s="472">
        <v>633</v>
      </c>
      <c r="BK181" s="16">
        <v>547</v>
      </c>
      <c r="BL181" s="17">
        <f t="shared" si="205"/>
        <v>2000</v>
      </c>
      <c r="BM181" s="16">
        <v>419</v>
      </c>
      <c r="BN181" s="16">
        <v>487</v>
      </c>
      <c r="BO181" s="472">
        <v>419</v>
      </c>
      <c r="BP181" s="16">
        <v>-464</v>
      </c>
      <c r="BQ181" s="366">
        <f t="shared" si="206"/>
        <v>861</v>
      </c>
      <c r="BR181" s="16">
        <v>410</v>
      </c>
      <c r="BS181" s="368">
        <v>386</v>
      </c>
      <c r="BT181" s="472">
        <v>340</v>
      </c>
      <c r="BU181" s="16">
        <v>409</v>
      </c>
      <c r="BV181" s="366">
        <f t="shared" si="207"/>
        <v>1545</v>
      </c>
      <c r="BW181" s="16">
        <v>355</v>
      </c>
      <c r="BX181" s="16">
        <v>363</v>
      </c>
      <c r="BY181" s="472">
        <v>190</v>
      </c>
      <c r="BZ181" s="16">
        <v>392</v>
      </c>
      <c r="CA181" s="366">
        <f t="shared" si="208"/>
        <v>1300</v>
      </c>
      <c r="CB181" s="16">
        <v>413</v>
      </c>
      <c r="CC181" s="16">
        <v>397</v>
      </c>
      <c r="CD181" s="472">
        <v>109</v>
      </c>
      <c r="CE181" s="16">
        <v>350</v>
      </c>
      <c r="CF181" s="366">
        <f t="shared" si="211"/>
        <v>1269</v>
      </c>
      <c r="CG181" s="16">
        <v>433</v>
      </c>
      <c r="CH181" s="16">
        <v>424</v>
      </c>
      <c r="CI181" s="472">
        <v>471</v>
      </c>
      <c r="CJ181" s="16">
        <v>340</v>
      </c>
      <c r="CK181" s="366">
        <f t="shared" si="212"/>
        <v>1668</v>
      </c>
      <c r="CL181" s="16"/>
      <c r="CM181" s="16"/>
      <c r="CN181" s="472"/>
      <c r="CO181" s="472"/>
      <c r="CP181" s="17"/>
      <c r="CQ181" s="16"/>
      <c r="CR181" s="16"/>
      <c r="CS181" s="16"/>
      <c r="CT181" s="16"/>
      <c r="CU181" s="17"/>
      <c r="CV181" s="16"/>
      <c r="CW181" s="16"/>
      <c r="CX181" s="16"/>
      <c r="CY181" s="16"/>
      <c r="CZ181" s="17"/>
      <c r="DA181" s="16"/>
      <c r="DB181" s="16"/>
      <c r="DC181" s="16"/>
      <c r="DD181" s="16"/>
      <c r="DE181" s="17"/>
      <c r="DF181" s="16"/>
      <c r="DG181" s="16"/>
      <c r="DH181" s="16"/>
      <c r="DI181" s="16"/>
      <c r="DJ181" s="17"/>
      <c r="DK181" s="16"/>
      <c r="DL181" s="16"/>
      <c r="DM181" s="16"/>
      <c r="DN181" s="16"/>
      <c r="DO181" s="17"/>
      <c r="DP181" s="16"/>
      <c r="DQ181" s="16"/>
      <c r="DR181" s="16"/>
      <c r="DS181" s="16"/>
      <c r="DT181" s="17"/>
      <c r="DU181" s="17"/>
      <c r="DV181" s="17"/>
    </row>
    <row r="182" spans="1:126" s="13" customFormat="1" hidden="1" outlineLevel="1">
      <c r="A182" s="32"/>
      <c r="B182" s="165" t="s">
        <v>241</v>
      </c>
      <c r="C182" s="309">
        <v>301</v>
      </c>
      <c r="D182" s="309">
        <v>287</v>
      </c>
      <c r="E182" s="309">
        <v>247</v>
      </c>
      <c r="F182" s="309">
        <v>614</v>
      </c>
      <c r="G182" s="309">
        <v>670</v>
      </c>
      <c r="H182" s="309">
        <v>565</v>
      </c>
      <c r="I182" s="309">
        <v>554</v>
      </c>
      <c r="J182" s="314">
        <v>131</v>
      </c>
      <c r="K182" s="313">
        <v>140</v>
      </c>
      <c r="L182" s="313">
        <v>160</v>
      </c>
      <c r="M182" s="313">
        <v>152</v>
      </c>
      <c r="N182" s="17">
        <f t="shared" si="195"/>
        <v>583</v>
      </c>
      <c r="O182" s="316">
        <v>152</v>
      </c>
      <c r="P182" s="316">
        <v>170</v>
      </c>
      <c r="Q182" s="316">
        <v>179</v>
      </c>
      <c r="R182" s="316">
        <v>174</v>
      </c>
      <c r="S182" s="17">
        <f t="shared" si="196"/>
        <v>675</v>
      </c>
      <c r="T182" s="322">
        <v>181</v>
      </c>
      <c r="U182" s="322">
        <v>212</v>
      </c>
      <c r="V182" s="322">
        <v>220</v>
      </c>
      <c r="W182" s="322">
        <v>219</v>
      </c>
      <c r="X182" s="17">
        <f t="shared" si="197"/>
        <v>832</v>
      </c>
      <c r="Y182" s="326">
        <v>218</v>
      </c>
      <c r="Z182" s="326">
        <v>246</v>
      </c>
      <c r="AA182" s="326">
        <v>249</v>
      </c>
      <c r="AB182" s="326">
        <v>254</v>
      </c>
      <c r="AC182" s="17">
        <f t="shared" si="198"/>
        <v>967</v>
      </c>
      <c r="AD182" s="330">
        <v>229</v>
      </c>
      <c r="AE182" s="330">
        <v>280</v>
      </c>
      <c r="AF182" s="330">
        <v>286</v>
      </c>
      <c r="AG182" s="330">
        <v>304</v>
      </c>
      <c r="AH182" s="17">
        <f t="shared" si="199"/>
        <v>1099</v>
      </c>
      <c r="AI182" s="332">
        <v>192</v>
      </c>
      <c r="AJ182" s="332">
        <v>187</v>
      </c>
      <c r="AK182" s="332">
        <v>247</v>
      </c>
      <c r="AL182" s="332">
        <v>231</v>
      </c>
      <c r="AM182" s="17">
        <f t="shared" si="200"/>
        <v>857</v>
      </c>
      <c r="AN182" s="338">
        <v>221</v>
      </c>
      <c r="AO182" s="338">
        <v>204</v>
      </c>
      <c r="AP182" s="338">
        <v>255</v>
      </c>
      <c r="AQ182" s="338">
        <v>238</v>
      </c>
      <c r="AR182" s="17">
        <f t="shared" si="201"/>
        <v>918</v>
      </c>
      <c r="AS182" s="340">
        <v>172</v>
      </c>
      <c r="AT182" s="340">
        <v>185</v>
      </c>
      <c r="AU182" s="341">
        <v>204</v>
      </c>
      <c r="AV182" s="340">
        <v>198</v>
      </c>
      <c r="AW182" s="17">
        <f t="shared" si="202"/>
        <v>759</v>
      </c>
      <c r="AX182" s="350">
        <v>198</v>
      </c>
      <c r="AY182" s="350">
        <v>211</v>
      </c>
      <c r="AZ182" s="12">
        <v>271</v>
      </c>
      <c r="BA182" s="12">
        <v>264</v>
      </c>
      <c r="BB182" s="17">
        <f t="shared" si="203"/>
        <v>944</v>
      </c>
      <c r="BC182" s="350">
        <v>501</v>
      </c>
      <c r="BD182" s="16">
        <v>499</v>
      </c>
      <c r="BE182" s="16">
        <v>501</v>
      </c>
      <c r="BF182" s="16">
        <v>517</v>
      </c>
      <c r="BG182" s="17">
        <f t="shared" si="204"/>
        <v>2018</v>
      </c>
      <c r="BH182" s="16">
        <v>590</v>
      </c>
      <c r="BI182" s="16">
        <v>602</v>
      </c>
      <c r="BJ182" s="472">
        <v>575</v>
      </c>
      <c r="BK182" s="16">
        <v>588</v>
      </c>
      <c r="BL182" s="17">
        <f t="shared" si="205"/>
        <v>2355</v>
      </c>
      <c r="BM182" s="16">
        <v>569</v>
      </c>
      <c r="BN182" s="16">
        <v>580</v>
      </c>
      <c r="BO182" s="472">
        <v>572</v>
      </c>
      <c r="BP182" s="16">
        <v>167</v>
      </c>
      <c r="BQ182" s="366">
        <f t="shared" si="206"/>
        <v>1888</v>
      </c>
      <c r="BR182" s="16">
        <v>538</v>
      </c>
      <c r="BS182" s="368">
        <v>582</v>
      </c>
      <c r="BT182" s="472">
        <v>600</v>
      </c>
      <c r="BU182" s="16">
        <v>578</v>
      </c>
      <c r="BV182" s="366">
        <f t="shared" si="207"/>
        <v>2298</v>
      </c>
      <c r="BW182" s="16">
        <v>530</v>
      </c>
      <c r="BX182" s="16">
        <v>534</v>
      </c>
      <c r="BY182" s="472">
        <v>573</v>
      </c>
      <c r="BZ182" s="16">
        <v>553</v>
      </c>
      <c r="CA182" s="366">
        <f t="shared" si="208"/>
        <v>2190</v>
      </c>
      <c r="CB182" s="16">
        <v>588</v>
      </c>
      <c r="CC182" s="16">
        <v>569</v>
      </c>
      <c r="CD182" s="472">
        <v>610</v>
      </c>
      <c r="CE182" s="16">
        <v>536</v>
      </c>
      <c r="CF182" s="366">
        <f t="shared" si="211"/>
        <v>2303</v>
      </c>
      <c r="CG182" s="16">
        <v>856</v>
      </c>
      <c r="CH182" s="16">
        <v>1172</v>
      </c>
      <c r="CI182" s="472">
        <v>1167</v>
      </c>
      <c r="CJ182" s="16">
        <v>905</v>
      </c>
      <c r="CK182" s="366">
        <f t="shared" si="212"/>
        <v>4100</v>
      </c>
      <c r="CL182" s="16"/>
      <c r="CM182" s="16"/>
      <c r="CN182" s="472"/>
      <c r="CO182" s="16"/>
      <c r="CP182" s="17"/>
      <c r="CQ182" s="16"/>
      <c r="CR182" s="16"/>
      <c r="CS182" s="16"/>
      <c r="CT182" s="16"/>
      <c r="CU182" s="17"/>
      <c r="CV182" s="16"/>
      <c r="CW182" s="16"/>
      <c r="CX182" s="16"/>
      <c r="CY182" s="16"/>
      <c r="CZ182" s="17"/>
      <c r="DA182" s="16"/>
      <c r="DB182" s="16"/>
      <c r="DC182" s="16"/>
      <c r="DD182" s="16"/>
      <c r="DE182" s="17"/>
      <c r="DF182" s="16"/>
      <c r="DG182" s="16"/>
      <c r="DH182" s="16"/>
      <c r="DI182" s="16"/>
      <c r="DJ182" s="17"/>
      <c r="DK182" s="16"/>
      <c r="DL182" s="16"/>
      <c r="DM182" s="16"/>
      <c r="DN182" s="16"/>
      <c r="DO182" s="17"/>
      <c r="DP182" s="16"/>
      <c r="DQ182" s="16"/>
      <c r="DR182" s="16"/>
      <c r="DS182" s="16"/>
      <c r="DT182" s="17"/>
      <c r="DU182" s="17"/>
      <c r="DV182" s="17"/>
    </row>
    <row r="183" spans="1:126" s="13" customFormat="1" hidden="1" outlineLevel="1">
      <c r="A183" s="32"/>
      <c r="B183" s="165" t="s">
        <v>195</v>
      </c>
      <c r="C183" s="309"/>
      <c r="D183" s="309"/>
      <c r="E183" s="309"/>
      <c r="F183" s="309"/>
      <c r="G183" s="309"/>
      <c r="H183" s="309">
        <v>176</v>
      </c>
      <c r="I183" s="309">
        <v>190</v>
      </c>
      <c r="J183" s="313">
        <v>46</v>
      </c>
      <c r="K183" s="313">
        <v>50</v>
      </c>
      <c r="L183" s="313">
        <v>54</v>
      </c>
      <c r="M183" s="313">
        <v>50</v>
      </c>
      <c r="N183" s="17">
        <f t="shared" si="195"/>
        <v>200</v>
      </c>
      <c r="O183" s="316">
        <v>53</v>
      </c>
      <c r="P183" s="316">
        <v>63</v>
      </c>
      <c r="Q183" s="316">
        <v>64</v>
      </c>
      <c r="R183" s="316">
        <v>70</v>
      </c>
      <c r="S183" s="17">
        <f t="shared" si="196"/>
        <v>250</v>
      </c>
      <c r="T183" s="322">
        <v>3</v>
      </c>
      <c r="U183" s="322">
        <v>42</v>
      </c>
      <c r="V183" s="322">
        <v>70</v>
      </c>
      <c r="W183" s="322">
        <v>58</v>
      </c>
      <c r="X183" s="17">
        <f t="shared" si="197"/>
        <v>173</v>
      </c>
      <c r="Y183" s="326">
        <v>73</v>
      </c>
      <c r="Z183" s="326">
        <v>87</v>
      </c>
      <c r="AA183" s="326">
        <v>103</v>
      </c>
      <c r="AB183" s="326">
        <v>110</v>
      </c>
      <c r="AC183" s="17">
        <f t="shared" si="198"/>
        <v>373</v>
      </c>
      <c r="AD183" s="330">
        <v>82</v>
      </c>
      <c r="AE183" s="330">
        <v>111</v>
      </c>
      <c r="AF183" s="330">
        <v>133</v>
      </c>
      <c r="AG183" s="330">
        <v>152</v>
      </c>
      <c r="AH183" s="17">
        <f t="shared" si="199"/>
        <v>478</v>
      </c>
      <c r="AI183" s="332">
        <v>116</v>
      </c>
      <c r="AJ183" s="332">
        <v>133</v>
      </c>
      <c r="AK183" s="332">
        <v>157</v>
      </c>
      <c r="AL183" s="332">
        <v>202</v>
      </c>
      <c r="AM183" s="17">
        <f t="shared" si="200"/>
        <v>608</v>
      </c>
      <c r="AN183" s="338">
        <v>145</v>
      </c>
      <c r="AO183" s="338">
        <v>169</v>
      </c>
      <c r="AP183" s="338">
        <v>163</v>
      </c>
      <c r="AQ183" s="338">
        <v>239</v>
      </c>
      <c r="AR183" s="17">
        <f>SUM(AN183:AQ183)</f>
        <v>716</v>
      </c>
      <c r="AS183" s="340">
        <v>141</v>
      </c>
      <c r="AT183" s="340">
        <v>277</v>
      </c>
      <c r="AU183" s="341">
        <v>215</v>
      </c>
      <c r="AV183" s="340">
        <v>207</v>
      </c>
      <c r="AW183" s="17">
        <f t="shared" si="202"/>
        <v>840</v>
      </c>
      <c r="AX183" s="350">
        <v>136</v>
      </c>
      <c r="AY183" s="350">
        <v>213</v>
      </c>
      <c r="AZ183" s="12">
        <v>203</v>
      </c>
      <c r="BA183" s="12">
        <v>160</v>
      </c>
      <c r="BB183" s="17">
        <f t="shared" si="203"/>
        <v>712</v>
      </c>
      <c r="BC183" s="350">
        <v>90</v>
      </c>
      <c r="BD183" s="16">
        <v>156</v>
      </c>
      <c r="BE183" s="16">
        <v>159</v>
      </c>
      <c r="BF183" s="16">
        <v>189</v>
      </c>
      <c r="BG183" s="17">
        <f t="shared" si="204"/>
        <v>594</v>
      </c>
      <c r="BH183" s="16">
        <v>86</v>
      </c>
      <c r="BI183" s="16">
        <v>-317</v>
      </c>
      <c r="BJ183" s="472">
        <v>152</v>
      </c>
      <c r="BK183" s="16">
        <v>298</v>
      </c>
      <c r="BL183" s="17">
        <f t="shared" si="205"/>
        <v>219</v>
      </c>
      <c r="BM183" s="16">
        <v>92</v>
      </c>
      <c r="BN183" s="16">
        <v>165</v>
      </c>
      <c r="BO183" s="472">
        <v>27</v>
      </c>
      <c r="BP183" s="16">
        <v>0</v>
      </c>
      <c r="BQ183" s="366">
        <f t="shared" si="206"/>
        <v>284</v>
      </c>
      <c r="BR183" s="16"/>
      <c r="BS183" s="368"/>
      <c r="BT183" s="472"/>
      <c r="BU183" s="16"/>
      <c r="BV183" s="366">
        <f t="shared" si="207"/>
        <v>0</v>
      </c>
      <c r="BW183" s="16"/>
      <c r="BX183" s="16"/>
      <c r="BY183" s="472"/>
      <c r="BZ183" s="16"/>
      <c r="CA183" s="366">
        <f t="shared" si="208"/>
        <v>0</v>
      </c>
      <c r="CB183" s="16"/>
      <c r="CC183" s="16"/>
      <c r="CD183" s="472"/>
      <c r="CE183" s="16"/>
      <c r="CF183" s="366">
        <f t="shared" si="211"/>
        <v>0</v>
      </c>
      <c r="CG183" s="16"/>
      <c r="CH183" s="16"/>
      <c r="CI183" s="472"/>
      <c r="CJ183" s="16"/>
      <c r="CK183" s="366">
        <f t="shared" si="212"/>
        <v>0</v>
      </c>
      <c r="CL183" s="16"/>
      <c r="CM183" s="16"/>
      <c r="CN183" s="472"/>
      <c r="CO183" s="16"/>
      <c r="CP183" s="17"/>
      <c r="CQ183" s="16"/>
      <c r="CR183" s="16"/>
      <c r="CS183" s="16"/>
      <c r="CT183" s="16"/>
      <c r="CU183" s="17"/>
      <c r="CV183" s="16"/>
      <c r="CW183" s="16"/>
      <c r="CX183" s="16"/>
      <c r="CY183" s="16"/>
      <c r="CZ183" s="17"/>
      <c r="DA183" s="16"/>
      <c r="DB183" s="16"/>
      <c r="DC183" s="16"/>
      <c r="DD183" s="16"/>
      <c r="DE183" s="17"/>
      <c r="DF183" s="16"/>
      <c r="DG183" s="16"/>
      <c r="DH183" s="16"/>
      <c r="DI183" s="16"/>
      <c r="DJ183" s="17"/>
      <c r="DK183" s="16"/>
      <c r="DL183" s="16"/>
      <c r="DM183" s="16"/>
      <c r="DN183" s="16"/>
      <c r="DO183" s="17"/>
      <c r="DP183" s="16"/>
      <c r="DQ183" s="16"/>
      <c r="DR183" s="16"/>
      <c r="DS183" s="16"/>
      <c r="DT183" s="17"/>
      <c r="DU183" s="17"/>
      <c r="DV183" s="17"/>
    </row>
    <row r="184" spans="1:126" s="13" customFormat="1" hidden="1" outlineLevel="1">
      <c r="A184" s="32"/>
      <c r="B184" s="165" t="s">
        <v>213</v>
      </c>
      <c r="C184" s="309"/>
      <c r="D184" s="309">
        <v>-89</v>
      </c>
      <c r="E184" s="309">
        <v>-85</v>
      </c>
      <c r="F184" s="309">
        <v>-39</v>
      </c>
      <c r="G184" s="309">
        <v>25</v>
      </c>
      <c r="H184" s="309">
        <v>-27</v>
      </c>
      <c r="I184" s="309">
        <v>-92</v>
      </c>
      <c r="J184" s="313">
        <v>217</v>
      </c>
      <c r="K184" s="313">
        <v>74</v>
      </c>
      <c r="L184" s="313">
        <v>-26</v>
      </c>
      <c r="M184" s="313">
        <v>103</v>
      </c>
      <c r="N184" s="17">
        <f t="shared" si="195"/>
        <v>368</v>
      </c>
      <c r="O184" s="316">
        <v>11</v>
      </c>
      <c r="P184" s="316">
        <v>102</v>
      </c>
      <c r="Q184" s="316">
        <v>-26</v>
      </c>
      <c r="R184" s="316">
        <v>-6</v>
      </c>
      <c r="S184" s="17">
        <f t="shared" si="196"/>
        <v>81</v>
      </c>
      <c r="T184" s="322">
        <v>45</v>
      </c>
      <c r="U184" s="322">
        <v>84</v>
      </c>
      <c r="V184" s="322">
        <v>31</v>
      </c>
      <c r="W184" s="322">
        <v>27</v>
      </c>
      <c r="X184" s="17">
        <f t="shared" si="197"/>
        <v>187</v>
      </c>
      <c r="Y184" s="326">
        <v>-63</v>
      </c>
      <c r="Z184" s="326">
        <v>-20</v>
      </c>
      <c r="AA184" s="326">
        <v>11</v>
      </c>
      <c r="AB184" s="326">
        <v>12</v>
      </c>
      <c r="AC184" s="17">
        <f t="shared" si="198"/>
        <v>-60</v>
      </c>
      <c r="AD184" s="330">
        <v>-9</v>
      </c>
      <c r="AE184" s="330">
        <v>-13</v>
      </c>
      <c r="AF184" s="330">
        <v>-33</v>
      </c>
      <c r="AG184" s="330">
        <v>-62</v>
      </c>
      <c r="AH184" s="17">
        <f t="shared" si="199"/>
        <v>-117</v>
      </c>
      <c r="AI184" s="332">
        <v>-37</v>
      </c>
      <c r="AJ184" s="332">
        <v>-7</v>
      </c>
      <c r="AK184" s="332">
        <v>-98</v>
      </c>
      <c r="AL184" s="332">
        <v>-113</v>
      </c>
      <c r="AM184" s="17">
        <f t="shared" si="200"/>
        <v>-255</v>
      </c>
      <c r="AN184" s="338">
        <v>-60</v>
      </c>
      <c r="AO184" s="338">
        <v>-62</v>
      </c>
      <c r="AP184" s="338">
        <v>-199</v>
      </c>
      <c r="AQ184" s="338">
        <v>-88</v>
      </c>
      <c r="AR184" s="17">
        <f t="shared" si="201"/>
        <v>-409</v>
      </c>
      <c r="AS184" s="340">
        <v>-65</v>
      </c>
      <c r="AT184" s="340">
        <v>-40</v>
      </c>
      <c r="AU184" s="341">
        <v>-75</v>
      </c>
      <c r="AV184" s="340">
        <v>-250</v>
      </c>
      <c r="AW184" s="17">
        <f t="shared" si="202"/>
        <v>-430</v>
      </c>
      <c r="AX184" s="350">
        <v>-24</v>
      </c>
      <c r="AY184" s="350">
        <v>-8</v>
      </c>
      <c r="AZ184" s="12">
        <v>-22</v>
      </c>
      <c r="BA184" s="12">
        <v>-18</v>
      </c>
      <c r="BB184" s="17">
        <f t="shared" si="203"/>
        <v>-72</v>
      </c>
      <c r="BC184" s="350">
        <v>21</v>
      </c>
      <c r="BD184" s="16">
        <v>4</v>
      </c>
      <c r="BE184" s="16">
        <v>7</v>
      </c>
      <c r="BF184" s="16">
        <v>-10</v>
      </c>
      <c r="BG184" s="17">
        <f t="shared" si="204"/>
        <v>22</v>
      </c>
      <c r="BH184" s="16">
        <v>39</v>
      </c>
      <c r="BI184" s="16">
        <v>249</v>
      </c>
      <c r="BJ184" s="472">
        <v>0</v>
      </c>
      <c r="BK184" s="16">
        <v>-27</v>
      </c>
      <c r="BL184" s="17">
        <f t="shared" si="205"/>
        <v>261</v>
      </c>
      <c r="BM184" s="16">
        <v>48</v>
      </c>
      <c r="BN184" s="16">
        <v>-10</v>
      </c>
      <c r="BO184" s="472">
        <v>-1</v>
      </c>
      <c r="BP184" s="16">
        <v>-333</v>
      </c>
      <c r="BQ184" s="366">
        <f t="shared" si="206"/>
        <v>-296</v>
      </c>
      <c r="BR184" s="16">
        <v>16</v>
      </c>
      <c r="BS184" s="368">
        <v>13</v>
      </c>
      <c r="BT184" s="472">
        <v>18</v>
      </c>
      <c r="BU184" s="16">
        <v>-415</v>
      </c>
      <c r="BV184" s="366">
        <f t="shared" si="207"/>
        <v>-368</v>
      </c>
      <c r="BW184" s="16">
        <v>-15</v>
      </c>
      <c r="BX184" s="16">
        <v>-5</v>
      </c>
      <c r="BY184" s="472">
        <v>27</v>
      </c>
      <c r="BZ184" s="16">
        <v>-95</v>
      </c>
      <c r="CA184" s="366">
        <f t="shared" si="208"/>
        <v>-88</v>
      </c>
      <c r="CB184" s="16">
        <v>-11</v>
      </c>
      <c r="CC184" s="16">
        <v>-97</v>
      </c>
      <c r="CD184" s="472">
        <v>-102</v>
      </c>
      <c r="CE184" s="16">
        <v>-26</v>
      </c>
      <c r="CF184" s="366">
        <f t="shared" si="211"/>
        <v>-236</v>
      </c>
      <c r="CG184" s="16">
        <v>-101</v>
      </c>
      <c r="CH184" s="16">
        <v>-239</v>
      </c>
      <c r="CI184" s="472">
        <v>-232</v>
      </c>
      <c r="CJ184" s="16">
        <v>-360</v>
      </c>
      <c r="CK184" s="366">
        <f t="shared" si="212"/>
        <v>-932</v>
      </c>
      <c r="CL184" s="16"/>
      <c r="CM184" s="16"/>
      <c r="CN184" s="472"/>
      <c r="CO184" s="16"/>
      <c r="CP184" s="17"/>
      <c r="CQ184" s="16"/>
      <c r="CR184" s="16"/>
      <c r="CS184" s="16"/>
      <c r="CT184" s="16"/>
      <c r="CU184" s="17"/>
      <c r="CV184" s="16"/>
      <c r="CW184" s="16"/>
      <c r="CX184" s="16"/>
      <c r="CY184" s="16"/>
      <c r="CZ184" s="17"/>
      <c r="DA184" s="16"/>
      <c r="DB184" s="16"/>
      <c r="DC184" s="16"/>
      <c r="DD184" s="16"/>
      <c r="DE184" s="17"/>
      <c r="DF184" s="16"/>
      <c r="DG184" s="16"/>
      <c r="DH184" s="16"/>
      <c r="DI184" s="16"/>
      <c r="DJ184" s="17"/>
      <c r="DK184" s="16"/>
      <c r="DL184" s="16"/>
      <c r="DM184" s="16"/>
      <c r="DN184" s="16"/>
      <c r="DO184" s="17"/>
      <c r="DP184" s="16"/>
      <c r="DQ184" s="16"/>
      <c r="DR184" s="16"/>
      <c r="DS184" s="16"/>
      <c r="DT184" s="17"/>
      <c r="DU184" s="17"/>
      <c r="DV184" s="17"/>
    </row>
    <row r="185" spans="1:126" s="13" customFormat="1" hidden="1" outlineLevel="1">
      <c r="A185" s="32"/>
      <c r="B185" s="165" t="s">
        <v>214</v>
      </c>
      <c r="C185" s="309"/>
      <c r="D185" s="309">
        <v>-243</v>
      </c>
      <c r="E185" s="309">
        <v>-231</v>
      </c>
      <c r="F185" s="309">
        <v>-228</v>
      </c>
      <c r="G185" s="309">
        <v>-207</v>
      </c>
      <c r="H185" s="309">
        <v>-175</v>
      </c>
      <c r="I185" s="309">
        <v>-275</v>
      </c>
      <c r="J185" s="313">
        <v>-75</v>
      </c>
      <c r="K185" s="313">
        <v>-70</v>
      </c>
      <c r="L185" s="313">
        <v>-79</v>
      </c>
      <c r="M185" s="313">
        <v>-82</v>
      </c>
      <c r="N185" s="17">
        <f t="shared" si="195"/>
        <v>-306</v>
      </c>
      <c r="O185" s="316">
        <v>-81</v>
      </c>
      <c r="P185" s="316">
        <v>-82</v>
      </c>
      <c r="Q185" s="316">
        <v>-77</v>
      </c>
      <c r="R185" s="316">
        <v>-84</v>
      </c>
      <c r="S185" s="17">
        <f t="shared" si="196"/>
        <v>-324</v>
      </c>
      <c r="T185" s="322">
        <v>-85</v>
      </c>
      <c r="U185" s="322">
        <v>-79</v>
      </c>
      <c r="V185" s="322">
        <v>-80</v>
      </c>
      <c r="W185" s="322">
        <v>-93</v>
      </c>
      <c r="X185" s="17">
        <f t="shared" si="197"/>
        <v>-337</v>
      </c>
      <c r="Y185" s="326">
        <v>-87</v>
      </c>
      <c r="Z185" s="326">
        <v>-92</v>
      </c>
      <c r="AA185" s="326">
        <v>-84</v>
      </c>
      <c r="AB185" s="326">
        <v>-123</v>
      </c>
      <c r="AC185" s="17">
        <f t="shared" si="198"/>
        <v>-386</v>
      </c>
      <c r="AD185" s="330">
        <v>-97</v>
      </c>
      <c r="AE185" s="330">
        <v>-109</v>
      </c>
      <c r="AF185" s="330">
        <v>-90</v>
      </c>
      <c r="AG185" s="330">
        <v>-112</v>
      </c>
      <c r="AH185" s="17">
        <f t="shared" si="199"/>
        <v>-408</v>
      </c>
      <c r="AI185" s="332">
        <v>-78</v>
      </c>
      <c r="AJ185" s="332">
        <v>-89</v>
      </c>
      <c r="AK185" s="332">
        <v>-73</v>
      </c>
      <c r="AL185" s="332">
        <v>-108</v>
      </c>
      <c r="AM185" s="17">
        <f t="shared" si="200"/>
        <v>-348</v>
      </c>
      <c r="AN185" s="338">
        <v>-77</v>
      </c>
      <c r="AO185" s="338">
        <v>-93</v>
      </c>
      <c r="AP185" s="338">
        <v>-83</v>
      </c>
      <c r="AQ185" s="338">
        <v>-124</v>
      </c>
      <c r="AR185" s="17">
        <f t="shared" si="201"/>
        <v>-377</v>
      </c>
      <c r="AS185" s="340">
        <f>-89+12</f>
        <v>-77</v>
      </c>
      <c r="AT185" s="340">
        <v>-104</v>
      </c>
      <c r="AU185" s="341">
        <f>-102+66</f>
        <v>-36</v>
      </c>
      <c r="AV185" s="340"/>
      <c r="AW185" s="17">
        <f t="shared" si="202"/>
        <v>-217</v>
      </c>
      <c r="AX185" s="350">
        <v>-96</v>
      </c>
      <c r="AY185" s="350">
        <v>-104</v>
      </c>
      <c r="AZ185" s="12">
        <v>-103</v>
      </c>
      <c r="BA185" s="12">
        <v>-123</v>
      </c>
      <c r="BB185" s="17">
        <f t="shared" si="203"/>
        <v>-426</v>
      </c>
      <c r="BC185" s="350">
        <v>-107</v>
      </c>
      <c r="BD185" s="16">
        <v>-121</v>
      </c>
      <c r="BE185" s="16">
        <v>-117</v>
      </c>
      <c r="BF185" s="16">
        <v>-136</v>
      </c>
      <c r="BG185" s="17">
        <f t="shared" si="204"/>
        <v>-481</v>
      </c>
      <c r="BH185" s="16">
        <v>-112</v>
      </c>
      <c r="BI185" s="16">
        <v>-119</v>
      </c>
      <c r="BJ185" s="472">
        <v>-124</v>
      </c>
      <c r="BK185" s="16">
        <v>-133</v>
      </c>
      <c r="BL185" s="17">
        <f t="shared" si="205"/>
        <v>-488</v>
      </c>
      <c r="BM185" s="16">
        <v>-110</v>
      </c>
      <c r="BN185" s="16">
        <v>-120</v>
      </c>
      <c r="BO185" s="472">
        <v>-101</v>
      </c>
      <c r="BP185" s="16">
        <v>-133</v>
      </c>
      <c r="BQ185" s="366">
        <f t="shared" si="206"/>
        <v>-464</v>
      </c>
      <c r="BR185" s="16">
        <v>-91</v>
      </c>
      <c r="BS185" s="368">
        <v>-97</v>
      </c>
      <c r="BT185" s="472">
        <v>-92</v>
      </c>
      <c r="BU185" s="16">
        <v>-126</v>
      </c>
      <c r="BV185" s="366">
        <f t="shared" si="207"/>
        <v>-406</v>
      </c>
      <c r="BW185" s="16">
        <v>-102</v>
      </c>
      <c r="BX185" s="16">
        <v>-105</v>
      </c>
      <c r="BY185" s="472">
        <v>-103</v>
      </c>
      <c r="BZ185" s="16">
        <v>-124</v>
      </c>
      <c r="CA185" s="366">
        <f t="shared" si="208"/>
        <v>-434</v>
      </c>
      <c r="CB185" s="16">
        <v>-104</v>
      </c>
      <c r="CC185" s="16">
        <v>-126</v>
      </c>
      <c r="CD185" s="472">
        <v>-109</v>
      </c>
      <c r="CE185" s="16">
        <v>-136</v>
      </c>
      <c r="CF185" s="366">
        <f t="shared" si="211"/>
        <v>-475</v>
      </c>
      <c r="CG185" s="16">
        <v>-98</v>
      </c>
      <c r="CH185" s="16">
        <v>-124</v>
      </c>
      <c r="CI185" s="472">
        <v>-113</v>
      </c>
      <c r="CJ185" s="16">
        <v>-180</v>
      </c>
      <c r="CK185" s="366">
        <f t="shared" si="212"/>
        <v>-515</v>
      </c>
      <c r="CL185" s="16"/>
      <c r="CM185" s="16"/>
      <c r="CN185" s="472"/>
      <c r="CO185" s="16"/>
      <c r="CP185" s="17"/>
      <c r="CQ185" s="16"/>
      <c r="CR185" s="16"/>
      <c r="CS185" s="16"/>
      <c r="CT185" s="16"/>
      <c r="CU185" s="17"/>
      <c r="CV185" s="16"/>
      <c r="CW185" s="16"/>
      <c r="CX185" s="16"/>
      <c r="CY185" s="16"/>
      <c r="CZ185" s="17"/>
      <c r="DA185" s="16"/>
      <c r="DB185" s="16"/>
      <c r="DC185" s="16"/>
      <c r="DD185" s="16"/>
      <c r="DE185" s="17"/>
      <c r="DF185" s="16"/>
      <c r="DG185" s="16"/>
      <c r="DH185" s="16"/>
      <c r="DI185" s="16"/>
      <c r="DJ185" s="17"/>
      <c r="DK185" s="16"/>
      <c r="DL185" s="16"/>
      <c r="DM185" s="16"/>
      <c r="DN185" s="16"/>
      <c r="DO185" s="17"/>
      <c r="DP185" s="16"/>
      <c r="DQ185" s="16"/>
      <c r="DR185" s="16"/>
      <c r="DS185" s="16"/>
      <c r="DT185" s="17"/>
      <c r="DU185" s="17"/>
      <c r="DV185" s="17"/>
    </row>
    <row r="186" spans="1:126" s="13" customFormat="1" hidden="1" outlineLevel="1">
      <c r="A186" s="32"/>
      <c r="B186" s="108" t="s">
        <v>138</v>
      </c>
      <c r="C186" s="310">
        <v>2040</v>
      </c>
      <c r="D186" s="310">
        <v>2007</v>
      </c>
      <c r="E186" s="310">
        <v>1517</v>
      </c>
      <c r="F186" s="310">
        <v>3140</v>
      </c>
      <c r="G186" s="310">
        <v>3233</v>
      </c>
      <c r="H186" s="310">
        <v>3657</v>
      </c>
      <c r="I186" s="310">
        <v>3647</v>
      </c>
      <c r="J186" s="315">
        <v>920</v>
      </c>
      <c r="K186" s="315">
        <v>1217</v>
      </c>
      <c r="L186" s="315">
        <v>1130</v>
      </c>
      <c r="M186" s="315">
        <v>1034</v>
      </c>
      <c r="N186" s="75">
        <f t="shared" si="195"/>
        <v>4301</v>
      </c>
      <c r="O186" s="317">
        <v>1088</v>
      </c>
      <c r="P186" s="317">
        <v>1489</v>
      </c>
      <c r="Q186" s="317">
        <v>1384</v>
      </c>
      <c r="R186" s="317">
        <v>1221</v>
      </c>
      <c r="S186" s="75">
        <f t="shared" si="196"/>
        <v>5182</v>
      </c>
      <c r="T186" s="323">
        <v>1282</v>
      </c>
      <c r="U186" s="323">
        <v>1741</v>
      </c>
      <c r="V186" s="323">
        <v>1647</v>
      </c>
      <c r="W186" s="323">
        <v>1428</v>
      </c>
      <c r="X186" s="75">
        <f t="shared" si="197"/>
        <v>6098</v>
      </c>
      <c r="Y186" s="327">
        <v>1504</v>
      </c>
      <c r="Z186" s="327">
        <v>1865</v>
      </c>
      <c r="AA186" s="327">
        <v>1888</v>
      </c>
      <c r="AB186" s="327">
        <v>1793</v>
      </c>
      <c r="AC186" s="75">
        <f t="shared" si="198"/>
        <v>7050</v>
      </c>
      <c r="AD186" s="331">
        <v>1674</v>
      </c>
      <c r="AE186" s="331">
        <v>2099</v>
      </c>
      <c r="AF186" s="331">
        <v>2049</v>
      </c>
      <c r="AG186" s="331">
        <v>1687</v>
      </c>
      <c r="AH186" s="75">
        <f t="shared" si="199"/>
        <v>7509</v>
      </c>
      <c r="AI186" s="333">
        <v>1250</v>
      </c>
      <c r="AJ186" s="333">
        <v>1637</v>
      </c>
      <c r="AK186" s="333">
        <v>1771</v>
      </c>
      <c r="AL186" s="333">
        <v>1719</v>
      </c>
      <c r="AM186" s="75">
        <f t="shared" si="200"/>
        <v>6377</v>
      </c>
      <c r="AN186" s="339">
        <v>1523</v>
      </c>
      <c r="AO186" s="339">
        <v>1882</v>
      </c>
      <c r="AP186" s="339">
        <v>1928</v>
      </c>
      <c r="AQ186" s="339">
        <v>1853</v>
      </c>
      <c r="AR186" s="75">
        <f t="shared" si="201"/>
        <v>7186</v>
      </c>
      <c r="AS186" s="342">
        <v>1688</v>
      </c>
      <c r="AT186" s="342">
        <v>2150</v>
      </c>
      <c r="AU186" s="343">
        <v>2202</v>
      </c>
      <c r="AV186" s="342">
        <v>2059</v>
      </c>
      <c r="AW186" s="75">
        <f t="shared" si="202"/>
        <v>8099</v>
      </c>
      <c r="AX186" s="234">
        <f>SUM(AX180:AX185)+AX177</f>
        <v>1713</v>
      </c>
      <c r="AY186" s="234">
        <f>SUM(AY180:AY185)+AY177</f>
        <v>2179</v>
      </c>
      <c r="AZ186" s="234">
        <f>SUM(AZ180:AZ185)+AZ177</f>
        <v>2041</v>
      </c>
      <c r="BA186" s="234">
        <f>SUM(BA180:BA185)+BA177</f>
        <v>1751</v>
      </c>
      <c r="BB186" s="75">
        <f t="shared" si="203"/>
        <v>7684</v>
      </c>
      <c r="BC186" s="234">
        <f>SUM(BC180:BC185)+BC177</f>
        <v>2006</v>
      </c>
      <c r="BD186" s="234">
        <f>SUM(BD180:BD185)+BD177</f>
        <v>2507</v>
      </c>
      <c r="BE186" s="234">
        <f>SUM(BE180:BE185)+BE177</f>
        <v>2366</v>
      </c>
      <c r="BF186" s="234">
        <f>SUM(BF180:BF185)+BF177</f>
        <v>2330</v>
      </c>
      <c r="BG186" s="75">
        <f t="shared" si="204"/>
        <v>9209</v>
      </c>
      <c r="BH186" s="234">
        <f>SUM(BH180:BH185)+BH177</f>
        <v>2098</v>
      </c>
      <c r="BI186" s="234">
        <f>SUM(BI180:BI185)+BI177</f>
        <v>2355</v>
      </c>
      <c r="BJ186" s="474">
        <f>SUM(BJ180:BJ185)+BJ177</f>
        <v>2746</v>
      </c>
      <c r="BK186" s="474">
        <f>SUM(BK180:BK185)+BK177</f>
        <v>2570</v>
      </c>
      <c r="BL186" s="75">
        <f t="shared" si="205"/>
        <v>9769</v>
      </c>
      <c r="BM186" s="474">
        <f>SUM(BM180:BM185)+BM177-BM183</f>
        <v>2182</v>
      </c>
      <c r="BN186" s="474">
        <f>SUM(BN180:BN185)+BN177-BN183</f>
        <v>2387</v>
      </c>
      <c r="BO186" s="474">
        <f>SUM(BO180:BO185)+BO177-BO183</f>
        <v>2302</v>
      </c>
      <c r="BP186" s="474">
        <f>SUM(BP180:BP185)+BP177-BP183</f>
        <v>392</v>
      </c>
      <c r="BQ186" s="496">
        <f t="shared" si="206"/>
        <v>7263</v>
      </c>
      <c r="BR186" s="474">
        <f>SUM(BR177:BR185)</f>
        <v>1945</v>
      </c>
      <c r="BS186" s="227">
        <f>SUM(BS177:BS185)</f>
        <v>2337</v>
      </c>
      <c r="BT186" s="227">
        <f>SUM(BT177:BT185)</f>
        <v>2251</v>
      </c>
      <c r="BU186" s="227">
        <f>SUM(BU177:BU185)</f>
        <v>1639</v>
      </c>
      <c r="BV186" s="496">
        <f t="shared" si="207"/>
        <v>8172</v>
      </c>
      <c r="BW186" s="227">
        <f t="shared" ref="BW186:CJ186" si="213">SUM(BW177:BW185)</f>
        <v>2143</v>
      </c>
      <c r="BX186" s="227">
        <f t="shared" si="213"/>
        <v>2166</v>
      </c>
      <c r="BY186" s="227">
        <f t="shared" si="213"/>
        <v>2030</v>
      </c>
      <c r="BZ186" s="227">
        <f t="shared" si="213"/>
        <v>1796</v>
      </c>
      <c r="CA186" s="496">
        <f t="shared" si="213"/>
        <v>8135</v>
      </c>
      <c r="CB186" s="227">
        <f t="shared" si="213"/>
        <v>1928</v>
      </c>
      <c r="CC186" s="227">
        <f t="shared" si="213"/>
        <v>2876</v>
      </c>
      <c r="CD186" s="227">
        <f t="shared" si="213"/>
        <v>1838</v>
      </c>
      <c r="CE186" s="227">
        <f t="shared" si="213"/>
        <v>1911</v>
      </c>
      <c r="CF186" s="496">
        <f t="shared" si="213"/>
        <v>8553</v>
      </c>
      <c r="CG186" s="227">
        <f t="shared" si="213"/>
        <v>2045</v>
      </c>
      <c r="CH186" s="227">
        <f t="shared" si="213"/>
        <v>2584</v>
      </c>
      <c r="CI186" s="227">
        <f t="shared" si="213"/>
        <v>2486</v>
      </c>
      <c r="CJ186" s="227">
        <f t="shared" si="213"/>
        <v>1851</v>
      </c>
      <c r="CK186" s="496">
        <f t="shared" ref="CK186" si="214">SUM(CK177:CK185)</f>
        <v>8966</v>
      </c>
      <c r="CL186" s="227"/>
      <c r="CM186" s="474"/>
      <c r="CN186" s="474"/>
      <c r="CO186" s="16"/>
      <c r="CP186" s="17"/>
      <c r="CQ186" s="16"/>
      <c r="CR186" s="16"/>
      <c r="CS186" s="16"/>
      <c r="CT186" s="16"/>
      <c r="CU186" s="17"/>
      <c r="CV186" s="16"/>
      <c r="CW186" s="16"/>
      <c r="CX186" s="16"/>
      <c r="CY186" s="16"/>
      <c r="CZ186" s="17"/>
      <c r="DA186" s="16"/>
      <c r="DB186" s="16"/>
      <c r="DC186" s="16"/>
      <c r="DD186" s="16"/>
      <c r="DE186" s="17"/>
      <c r="DF186" s="16"/>
      <c r="DG186" s="16"/>
      <c r="DH186" s="16"/>
      <c r="DI186" s="16"/>
      <c r="DJ186" s="17"/>
      <c r="DK186" s="16"/>
      <c r="DL186" s="16"/>
      <c r="DM186" s="16"/>
      <c r="DN186" s="16"/>
      <c r="DO186" s="17"/>
      <c r="DP186" s="16"/>
      <c r="DQ186" s="16"/>
      <c r="DR186" s="16"/>
      <c r="DS186" s="16"/>
      <c r="DT186" s="17"/>
      <c r="DU186" s="17"/>
      <c r="DV186" s="17"/>
    </row>
    <row r="187" spans="1:126" s="13" customFormat="1" hidden="1" outlineLevel="1">
      <c r="A187" s="32"/>
      <c r="B187" s="45"/>
      <c r="C187" s="241"/>
      <c r="D187" s="17"/>
      <c r="E187" s="17"/>
      <c r="F187" s="17"/>
      <c r="G187" s="17"/>
      <c r="H187" s="17"/>
      <c r="I187" s="17"/>
      <c r="N187" s="17"/>
      <c r="S187" s="17"/>
      <c r="X187" s="17"/>
      <c r="AC187" s="17"/>
      <c r="AH187" s="17"/>
      <c r="AM187" s="17"/>
      <c r="AR187" s="17"/>
      <c r="AU187" s="16"/>
      <c r="AW187" s="17"/>
      <c r="AZ187" s="16"/>
      <c r="BA187" s="16"/>
      <c r="BB187" s="17"/>
      <c r="BD187" s="16"/>
      <c r="BE187" s="16"/>
      <c r="BF187" s="16"/>
      <c r="BG187" s="17"/>
      <c r="BH187" s="16"/>
      <c r="BI187" s="16"/>
      <c r="BJ187" s="471"/>
      <c r="BK187" s="16"/>
      <c r="BL187" s="17"/>
      <c r="BM187" s="16"/>
      <c r="BN187" s="16"/>
      <c r="BO187" s="471"/>
      <c r="BP187" s="16"/>
      <c r="BQ187" s="17"/>
      <c r="BR187" s="16"/>
      <c r="BS187" s="368"/>
      <c r="BT187" s="471"/>
      <c r="BU187" s="16"/>
      <c r="BV187" s="17"/>
      <c r="BW187" s="16"/>
      <c r="BX187" s="16"/>
      <c r="BY187" s="471"/>
      <c r="BZ187" s="16"/>
      <c r="CA187" s="17"/>
      <c r="CB187" s="16"/>
      <c r="CC187" s="16"/>
      <c r="CD187" s="471"/>
      <c r="CE187" s="16"/>
      <c r="CF187" s="17"/>
      <c r="CG187" s="16"/>
      <c r="CH187" s="16"/>
      <c r="CI187" s="471"/>
      <c r="CJ187" s="16"/>
      <c r="CK187" s="17"/>
      <c r="CL187" s="16"/>
      <c r="CM187" s="16"/>
      <c r="CN187" s="471"/>
      <c r="CO187" s="16"/>
      <c r="CP187" s="17"/>
      <c r="CQ187" s="16"/>
      <c r="CR187" s="16"/>
      <c r="CS187" s="16"/>
      <c r="CT187" s="16"/>
      <c r="CU187" s="17"/>
      <c r="CV187" s="16"/>
      <c r="CW187" s="16"/>
      <c r="CX187" s="16"/>
      <c r="CY187" s="16"/>
      <c r="CZ187" s="17"/>
      <c r="DA187" s="16"/>
      <c r="DB187" s="16"/>
      <c r="DC187" s="16"/>
      <c r="DD187" s="16"/>
      <c r="DE187" s="17"/>
      <c r="DF187" s="16"/>
      <c r="DG187" s="16"/>
      <c r="DH187" s="16"/>
      <c r="DI187" s="16"/>
      <c r="DJ187" s="17"/>
      <c r="DK187" s="16"/>
      <c r="DL187" s="16"/>
      <c r="DM187" s="16"/>
      <c r="DN187" s="16"/>
      <c r="DO187" s="17"/>
      <c r="DP187" s="16"/>
      <c r="DQ187" s="16"/>
      <c r="DR187" s="16"/>
      <c r="DS187" s="16"/>
      <c r="DT187" s="17"/>
      <c r="DU187" s="17"/>
      <c r="DV187" s="17"/>
    </row>
    <row r="188" spans="1:126" s="13" customFormat="1" hidden="1" outlineLevel="1">
      <c r="A188" s="32"/>
      <c r="B188" s="42" t="s">
        <v>503</v>
      </c>
      <c r="C188" s="241"/>
      <c r="D188" s="17"/>
      <c r="E188" s="17"/>
      <c r="F188" s="17"/>
      <c r="G188" s="17"/>
      <c r="H188" s="17"/>
      <c r="I188" s="17"/>
      <c r="N188" s="17"/>
      <c r="S188" s="17"/>
      <c r="X188" s="17"/>
      <c r="AC188" s="17"/>
      <c r="AH188" s="17"/>
      <c r="AM188" s="17"/>
      <c r="AR188" s="17"/>
      <c r="AU188" s="16"/>
      <c r="AW188" s="17"/>
      <c r="AZ188" s="16"/>
      <c r="BA188" s="16"/>
      <c r="BB188" s="17"/>
      <c r="BD188" s="16"/>
      <c r="BE188" s="16"/>
      <c r="BF188" s="16"/>
      <c r="BG188" s="17"/>
      <c r="BH188" s="16"/>
      <c r="BI188" s="16"/>
      <c r="BJ188" s="471"/>
      <c r="BK188" s="16"/>
      <c r="BL188" s="17"/>
      <c r="BM188" s="16"/>
      <c r="BN188" s="16"/>
      <c r="BO188" s="471"/>
      <c r="BP188" s="16"/>
      <c r="BQ188" s="17"/>
      <c r="BR188" s="16"/>
      <c r="BS188" s="368"/>
      <c r="BT188" s="471"/>
      <c r="BU188" s="16"/>
      <c r="BV188" s="17"/>
      <c r="BW188" s="16"/>
      <c r="BX188" s="16"/>
      <c r="BY188" s="471"/>
      <c r="BZ188" s="16"/>
      <c r="CA188" s="17"/>
      <c r="CB188" s="16"/>
      <c r="CC188" s="16"/>
      <c r="CD188" s="471"/>
      <c r="CE188" s="16"/>
      <c r="CF188" s="17"/>
      <c r="CG188" s="16"/>
      <c r="CH188" s="16"/>
      <c r="CI188" s="471"/>
      <c r="CJ188" s="16"/>
      <c r="CK188" s="17"/>
      <c r="CL188" s="16"/>
      <c r="CM188" s="16"/>
      <c r="CN188" s="471"/>
      <c r="CO188" s="16"/>
      <c r="CP188" s="17"/>
      <c r="CQ188" s="16"/>
      <c r="CR188" s="16"/>
      <c r="CS188" s="16"/>
      <c r="CT188" s="16"/>
      <c r="CU188" s="17"/>
      <c r="CV188" s="16"/>
      <c r="CW188" s="16"/>
      <c r="CX188" s="16"/>
      <c r="CY188" s="16"/>
      <c r="CZ188" s="17"/>
      <c r="DA188" s="16"/>
      <c r="DB188" s="16"/>
      <c r="DC188" s="16"/>
      <c r="DD188" s="16"/>
      <c r="DE188" s="17"/>
      <c r="DF188" s="16"/>
      <c r="DG188" s="16"/>
      <c r="DH188" s="16"/>
      <c r="DI188" s="16"/>
      <c r="DJ188" s="17"/>
      <c r="DK188" s="16"/>
      <c r="DL188" s="16"/>
      <c r="DM188" s="16"/>
      <c r="DN188" s="16"/>
      <c r="DO188" s="17"/>
      <c r="DP188" s="16"/>
      <c r="DQ188" s="16"/>
      <c r="DR188" s="16"/>
      <c r="DS188" s="16"/>
      <c r="DT188" s="17"/>
      <c r="DU188" s="17"/>
      <c r="DV188" s="17"/>
    </row>
    <row r="189" spans="1:126" s="13" customFormat="1" hidden="1" outlineLevel="1">
      <c r="A189" s="32"/>
      <c r="B189" s="3" t="s">
        <v>493</v>
      </c>
      <c r="C189" s="241"/>
      <c r="D189" s="17"/>
      <c r="E189" s="17"/>
      <c r="F189" s="17"/>
      <c r="G189" s="17"/>
      <c r="H189" s="17"/>
      <c r="I189" s="17"/>
      <c r="N189" s="17"/>
      <c r="S189" s="17"/>
      <c r="X189" s="17"/>
      <c r="AC189" s="17"/>
      <c r="AH189" s="17"/>
      <c r="AM189" s="17"/>
      <c r="AR189" s="17"/>
      <c r="AU189" s="16"/>
      <c r="AW189" s="618"/>
      <c r="AX189" s="619">
        <v>238</v>
      </c>
      <c r="AY189" s="619">
        <v>269</v>
      </c>
      <c r="AZ189" s="619">
        <v>278</v>
      </c>
      <c r="BA189" s="619">
        <v>262</v>
      </c>
      <c r="BB189" s="620">
        <f>SUM(AX189:BA189)</f>
        <v>1047</v>
      </c>
      <c r="BC189" s="619">
        <v>262</v>
      </c>
      <c r="BD189" s="619">
        <v>326</v>
      </c>
      <c r="BE189" s="619">
        <v>286</v>
      </c>
      <c r="BF189" s="619">
        <v>241</v>
      </c>
      <c r="BG189" s="620">
        <f>SUM(BC189:BF189)</f>
        <v>1115</v>
      </c>
      <c r="BH189" s="619">
        <v>226</v>
      </c>
      <c r="BI189" s="619">
        <v>219</v>
      </c>
      <c r="BJ189" s="621">
        <v>230</v>
      </c>
      <c r="BK189" s="619">
        <v>299</v>
      </c>
      <c r="BL189" s="620">
        <f>SUM(BH189:BK189)</f>
        <v>974</v>
      </c>
      <c r="BM189" s="619">
        <v>183</v>
      </c>
      <c r="BN189" s="619">
        <v>202</v>
      </c>
      <c r="BO189" s="622">
        <v>198</v>
      </c>
      <c r="BP189" s="622">
        <v>281</v>
      </c>
      <c r="BQ189" s="620">
        <f>SUM(BM189:BP189)</f>
        <v>864</v>
      </c>
      <c r="BR189" s="619">
        <v>147</v>
      </c>
      <c r="BS189" s="619">
        <v>375</v>
      </c>
      <c r="BT189" s="622">
        <v>209</v>
      </c>
      <c r="BU189" s="458">
        <v>219</v>
      </c>
      <c r="BV189" s="620">
        <f>SUM(BR189:BU189)</f>
        <v>950</v>
      </c>
      <c r="BW189" s="619">
        <v>212</v>
      </c>
      <c r="BX189" s="619">
        <v>245</v>
      </c>
      <c r="BY189" s="621">
        <v>231</v>
      </c>
      <c r="BZ189" s="619">
        <v>247</v>
      </c>
      <c r="CA189" s="620">
        <f>SUM(BW189:BZ189)</f>
        <v>935</v>
      </c>
      <c r="CB189" s="619">
        <v>273</v>
      </c>
      <c r="CC189" s="619">
        <v>262</v>
      </c>
      <c r="CD189" s="619">
        <v>241</v>
      </c>
      <c r="CE189" s="619">
        <v>247</v>
      </c>
      <c r="CF189" s="620">
        <f>SUM(CB189:CE189)</f>
        <v>1023</v>
      </c>
      <c r="CG189" s="621">
        <v>258</v>
      </c>
      <c r="CH189" s="621">
        <v>264</v>
      </c>
      <c r="CI189" s="621">
        <v>282</v>
      </c>
      <c r="CJ189" s="629">
        <v>307</v>
      </c>
      <c r="CK189" s="620">
        <f>SUM(CG189:CJ189)</f>
        <v>1111</v>
      </c>
      <c r="CL189" s="16"/>
      <c r="CM189" s="16"/>
      <c r="CN189" s="471"/>
      <c r="CO189" s="16"/>
      <c r="CP189" s="17"/>
      <c r="CQ189" s="16"/>
      <c r="CR189" s="16"/>
      <c r="CS189" s="16"/>
      <c r="CT189" s="16"/>
      <c r="CU189" s="17"/>
      <c r="CV189" s="16"/>
      <c r="CW189" s="16"/>
      <c r="CX189" s="16"/>
      <c r="CY189" s="16"/>
      <c r="CZ189" s="17"/>
      <c r="DA189" s="16"/>
      <c r="DB189" s="16"/>
      <c r="DC189" s="16"/>
      <c r="DD189" s="16"/>
      <c r="DE189" s="17"/>
      <c r="DF189" s="16"/>
      <c r="DG189" s="16"/>
      <c r="DH189" s="16"/>
      <c r="DI189" s="16"/>
      <c r="DJ189" s="17"/>
      <c r="DK189" s="16"/>
      <c r="DL189" s="16"/>
      <c r="DM189" s="16"/>
      <c r="DN189" s="16"/>
      <c r="DO189" s="17"/>
      <c r="DP189" s="16"/>
      <c r="DQ189" s="16"/>
      <c r="DR189" s="16"/>
      <c r="DS189" s="16"/>
      <c r="DT189" s="17"/>
      <c r="DU189" s="17"/>
      <c r="DV189" s="17"/>
    </row>
    <row r="190" spans="1:126" s="13" customFormat="1" hidden="1" outlineLevel="1">
      <c r="A190" s="32"/>
      <c r="B190" s="3" t="s">
        <v>494</v>
      </c>
      <c r="C190" s="241"/>
      <c r="D190" s="17"/>
      <c r="E190" s="17"/>
      <c r="F190" s="17"/>
      <c r="G190" s="17"/>
      <c r="H190" s="17"/>
      <c r="I190" s="17"/>
      <c r="N190" s="17"/>
      <c r="S190" s="17"/>
      <c r="X190" s="17"/>
      <c r="AC190" s="17"/>
      <c r="AH190" s="17"/>
      <c r="AM190" s="17"/>
      <c r="AR190" s="17"/>
      <c r="AU190" s="16"/>
      <c r="AW190" s="618"/>
      <c r="AX190" s="619">
        <v>136</v>
      </c>
      <c r="AY190" s="619">
        <v>138</v>
      </c>
      <c r="AZ190" s="619">
        <v>126</v>
      </c>
      <c r="BA190" s="619">
        <v>136</v>
      </c>
      <c r="BB190" s="620">
        <f>SUM(AX190:BA190)</f>
        <v>536</v>
      </c>
      <c r="BC190" s="619">
        <v>124</v>
      </c>
      <c r="BD190" s="619">
        <v>131</v>
      </c>
      <c r="BE190" s="619">
        <v>134</v>
      </c>
      <c r="BF190" s="619">
        <v>121</v>
      </c>
      <c r="BG190" s="620">
        <f>SUM(BC190:BF190)</f>
        <v>510</v>
      </c>
      <c r="BH190" s="619">
        <v>125</v>
      </c>
      <c r="BI190" s="619">
        <v>127</v>
      </c>
      <c r="BJ190" s="621">
        <v>118</v>
      </c>
      <c r="BK190" s="619">
        <v>131</v>
      </c>
      <c r="BL190" s="620">
        <f>SUM(BH190:BK190)</f>
        <v>501</v>
      </c>
      <c r="BM190" s="619">
        <v>295</v>
      </c>
      <c r="BN190" s="619">
        <v>122</v>
      </c>
      <c r="BO190" s="622">
        <v>118</v>
      </c>
      <c r="BP190" s="622">
        <v>111</v>
      </c>
      <c r="BQ190" s="620">
        <f>SUM(BM190:BP190)</f>
        <v>646</v>
      </c>
      <c r="BR190" s="619">
        <v>100</v>
      </c>
      <c r="BS190" s="619">
        <v>124</v>
      </c>
      <c r="BT190" s="622">
        <v>122</v>
      </c>
      <c r="BU190" s="458">
        <v>121</v>
      </c>
      <c r="BV190" s="620">
        <f>SUM(BR190:BU190)</f>
        <v>467</v>
      </c>
      <c r="BW190" s="619">
        <v>111</v>
      </c>
      <c r="BX190" s="619">
        <v>115</v>
      </c>
      <c r="BY190" s="621">
        <v>112</v>
      </c>
      <c r="BZ190" s="619">
        <v>117</v>
      </c>
      <c r="CA190" s="620">
        <f>SUM(BW190:BZ190)</f>
        <v>455</v>
      </c>
      <c r="CB190" s="619">
        <v>117</v>
      </c>
      <c r="CC190" s="619">
        <v>128</v>
      </c>
      <c r="CD190" s="619">
        <v>149</v>
      </c>
      <c r="CE190" s="619">
        <v>144</v>
      </c>
      <c r="CF190" s="620">
        <f>SUM(CB190:CE190)</f>
        <v>538</v>
      </c>
      <c r="CG190" s="621">
        <v>187</v>
      </c>
      <c r="CH190" s="621">
        <v>161</v>
      </c>
      <c r="CI190" s="621">
        <v>161</v>
      </c>
      <c r="CJ190" s="629">
        <v>149</v>
      </c>
      <c r="CK190" s="620">
        <f>SUM(CG190:CJ190)</f>
        <v>658</v>
      </c>
      <c r="CL190" s="16"/>
      <c r="CM190" s="16"/>
      <c r="CN190" s="471"/>
      <c r="CO190" s="16"/>
      <c r="CP190" s="17"/>
      <c r="CQ190" s="16"/>
      <c r="CR190" s="16"/>
      <c r="CS190" s="16"/>
      <c r="CT190" s="16"/>
      <c r="CU190" s="17"/>
      <c r="CV190" s="16"/>
      <c r="CW190" s="16"/>
      <c r="CX190" s="16"/>
      <c r="CY190" s="16"/>
      <c r="CZ190" s="17"/>
      <c r="DA190" s="16"/>
      <c r="DB190" s="16"/>
      <c r="DC190" s="16"/>
      <c r="DD190" s="16"/>
      <c r="DE190" s="17"/>
      <c r="DF190" s="16"/>
      <c r="DG190" s="16"/>
      <c r="DH190" s="16"/>
      <c r="DI190" s="16"/>
      <c r="DJ190" s="17"/>
      <c r="DK190" s="16"/>
      <c r="DL190" s="16"/>
      <c r="DM190" s="16"/>
      <c r="DN190" s="16"/>
      <c r="DO190" s="17"/>
      <c r="DP190" s="16"/>
      <c r="DQ190" s="16"/>
      <c r="DR190" s="16"/>
      <c r="DS190" s="16"/>
      <c r="DT190" s="17"/>
      <c r="DU190" s="17"/>
      <c r="DV190" s="17"/>
    </row>
    <row r="191" spans="1:126" s="13" customFormat="1" hidden="1" outlineLevel="1">
      <c r="A191" s="32"/>
      <c r="B191" s="3" t="s">
        <v>495</v>
      </c>
      <c r="C191" s="241"/>
      <c r="D191" s="17"/>
      <c r="E191" s="17"/>
      <c r="F191" s="17"/>
      <c r="G191" s="17"/>
      <c r="H191" s="17"/>
      <c r="I191" s="17"/>
      <c r="N191" s="17"/>
      <c r="S191" s="17"/>
      <c r="X191" s="17"/>
      <c r="AC191" s="17"/>
      <c r="AH191" s="17"/>
      <c r="AM191" s="17"/>
      <c r="AR191" s="17"/>
      <c r="AU191" s="16"/>
      <c r="AW191" s="618"/>
      <c r="AX191" s="619">
        <v>221</v>
      </c>
      <c r="AY191" s="619">
        <v>209</v>
      </c>
      <c r="AZ191" s="619">
        <v>233</v>
      </c>
      <c r="BA191" s="619">
        <v>198</v>
      </c>
      <c r="BB191" s="620">
        <f>SUM(AX191:BA191)</f>
        <v>861</v>
      </c>
      <c r="BC191" s="619">
        <v>214</v>
      </c>
      <c r="BD191" s="619">
        <v>213</v>
      </c>
      <c r="BE191" s="619">
        <v>202</v>
      </c>
      <c r="BF191" s="619">
        <v>201</v>
      </c>
      <c r="BG191" s="620">
        <f>SUM(BC191:BF191)</f>
        <v>830</v>
      </c>
      <c r="BH191" s="619">
        <v>208</v>
      </c>
      <c r="BI191" s="619">
        <v>190</v>
      </c>
      <c r="BJ191" s="621">
        <v>190</v>
      </c>
      <c r="BK191" s="619">
        <v>212</v>
      </c>
      <c r="BL191" s="620">
        <f>SUM(BH191:BK191)</f>
        <v>800</v>
      </c>
      <c r="BM191" s="619">
        <v>207</v>
      </c>
      <c r="BN191" s="619">
        <v>184</v>
      </c>
      <c r="BO191" s="622">
        <v>219</v>
      </c>
      <c r="BP191" s="622">
        <v>258</v>
      </c>
      <c r="BQ191" s="620">
        <f>SUM(BM191:BP191)</f>
        <v>868</v>
      </c>
      <c r="BR191" s="619">
        <v>192</v>
      </c>
      <c r="BS191" s="619">
        <v>223</v>
      </c>
      <c r="BT191" s="622">
        <v>241</v>
      </c>
      <c r="BU191" s="458">
        <v>260</v>
      </c>
      <c r="BV191" s="620">
        <f>SUM(BR191:BU191)</f>
        <v>916</v>
      </c>
      <c r="BW191" s="619">
        <v>216</v>
      </c>
      <c r="BX191" s="619">
        <v>236</v>
      </c>
      <c r="BY191" s="621">
        <v>280</v>
      </c>
      <c r="BZ191" s="619">
        <v>278</v>
      </c>
      <c r="CA191" s="620">
        <f>SUM(BW191:BZ191)</f>
        <v>1010</v>
      </c>
      <c r="CB191" s="619">
        <v>212</v>
      </c>
      <c r="CC191" s="619">
        <v>231</v>
      </c>
      <c r="CD191" s="619">
        <v>257</v>
      </c>
      <c r="CE191" s="619">
        <v>273</v>
      </c>
      <c r="CF191" s="620">
        <f>SUM(CB191:CE191)</f>
        <v>973</v>
      </c>
      <c r="CG191" s="621">
        <v>190</v>
      </c>
      <c r="CH191" s="621">
        <v>253</v>
      </c>
      <c r="CI191" s="621">
        <v>219</v>
      </c>
      <c r="CJ191" s="629">
        <v>297</v>
      </c>
      <c r="CK191" s="620">
        <f>SUM(CG191:CJ191)</f>
        <v>959</v>
      </c>
      <c r="CL191" s="16"/>
      <c r="CM191" s="16"/>
      <c r="CN191" s="471"/>
      <c r="CO191" s="16"/>
      <c r="CP191" s="17"/>
      <c r="CQ191" s="16"/>
      <c r="CR191" s="16"/>
      <c r="CS191" s="16"/>
      <c r="CT191" s="16"/>
      <c r="CU191" s="17"/>
      <c r="CV191" s="16"/>
      <c r="CW191" s="16"/>
      <c r="CX191" s="16"/>
      <c r="CY191" s="16"/>
      <c r="CZ191" s="17"/>
      <c r="DA191" s="16"/>
      <c r="DB191" s="16"/>
      <c r="DC191" s="16"/>
      <c r="DD191" s="16"/>
      <c r="DE191" s="17"/>
      <c r="DF191" s="16"/>
      <c r="DG191" s="16"/>
      <c r="DH191" s="16"/>
      <c r="DI191" s="16"/>
      <c r="DJ191" s="17"/>
      <c r="DK191" s="16"/>
      <c r="DL191" s="16"/>
      <c r="DM191" s="16"/>
      <c r="DN191" s="16"/>
      <c r="DO191" s="17"/>
      <c r="DP191" s="16"/>
      <c r="DQ191" s="16"/>
      <c r="DR191" s="16"/>
      <c r="DS191" s="16"/>
      <c r="DT191" s="17"/>
      <c r="DU191" s="17"/>
      <c r="DV191" s="17"/>
    </row>
    <row r="192" spans="1:126" s="13" customFormat="1" hidden="1" outlineLevel="1">
      <c r="A192" s="32"/>
      <c r="B192" s="623" t="s">
        <v>496</v>
      </c>
      <c r="C192" s="241"/>
      <c r="D192" s="17"/>
      <c r="E192" s="17"/>
      <c r="F192" s="17"/>
      <c r="G192" s="17"/>
      <c r="H192" s="17"/>
      <c r="I192" s="17"/>
      <c r="N192" s="17"/>
      <c r="S192" s="17"/>
      <c r="X192" s="17"/>
      <c r="AC192" s="17"/>
      <c r="AH192" s="17"/>
      <c r="AM192" s="17"/>
      <c r="AR192" s="17"/>
      <c r="AU192" s="16"/>
      <c r="AW192" s="618"/>
      <c r="AX192" s="619">
        <v>223</v>
      </c>
      <c r="AY192" s="619">
        <v>246</v>
      </c>
      <c r="AZ192" s="619">
        <v>236</v>
      </c>
      <c r="BA192" s="619">
        <v>283</v>
      </c>
      <c r="BB192" s="620">
        <f>SUM(AX192:BA192)</f>
        <v>988</v>
      </c>
      <c r="BC192" s="619">
        <v>227</v>
      </c>
      <c r="BD192" s="619">
        <v>216</v>
      </c>
      <c r="BE192" s="619">
        <v>224</v>
      </c>
      <c r="BF192" s="619">
        <v>253</v>
      </c>
      <c r="BG192" s="620">
        <f>SUM(BC192:BF192)</f>
        <v>920</v>
      </c>
      <c r="BH192" s="619">
        <v>190</v>
      </c>
      <c r="BI192" s="619">
        <v>202</v>
      </c>
      <c r="BJ192" s="621">
        <v>237</v>
      </c>
      <c r="BK192" s="619">
        <v>217</v>
      </c>
      <c r="BL192" s="620">
        <f>SUM(BH192:BK192)</f>
        <v>846</v>
      </c>
      <c r="BM192" s="619">
        <v>182</v>
      </c>
      <c r="BN192" s="619">
        <v>195</v>
      </c>
      <c r="BO192" s="622">
        <v>213</v>
      </c>
      <c r="BP192" s="622">
        <v>239</v>
      </c>
      <c r="BQ192" s="620">
        <f>SUM(BM192:BP192)</f>
        <v>829</v>
      </c>
      <c r="BR192" s="619">
        <v>173</v>
      </c>
      <c r="BS192" s="619">
        <v>203</v>
      </c>
      <c r="BT192" s="622">
        <v>210</v>
      </c>
      <c r="BU192" s="458">
        <v>231</v>
      </c>
      <c r="BV192" s="620">
        <f>SUM(BR192:BU192)</f>
        <v>817</v>
      </c>
      <c r="BW192" s="619">
        <v>190</v>
      </c>
      <c r="BX192" s="619">
        <v>218</v>
      </c>
      <c r="BY192" s="621">
        <v>212</v>
      </c>
      <c r="BZ192" s="619">
        <v>242</v>
      </c>
      <c r="CA192" s="620">
        <f>SUM(BW192:BZ192)</f>
        <v>862</v>
      </c>
      <c r="CB192" s="619">
        <v>193</v>
      </c>
      <c r="CC192" s="619">
        <v>206</v>
      </c>
      <c r="CD192" s="619">
        <v>223</v>
      </c>
      <c r="CE192" s="619">
        <v>262</v>
      </c>
      <c r="CF192" s="620">
        <f>SUM(CB192:CE192)</f>
        <v>884</v>
      </c>
      <c r="CG192" s="621">
        <v>212</v>
      </c>
      <c r="CH192" s="621">
        <v>229</v>
      </c>
      <c r="CI192" s="621">
        <v>272</v>
      </c>
      <c r="CJ192" s="629">
        <v>278</v>
      </c>
      <c r="CK192" s="620">
        <f>SUM(CG192:CJ192)</f>
        <v>991</v>
      </c>
      <c r="CL192" s="16"/>
      <c r="CM192" s="16"/>
      <c r="CN192" s="471"/>
      <c r="CO192" s="16"/>
      <c r="CP192" s="17"/>
      <c r="CQ192" s="16"/>
      <c r="CR192" s="16"/>
      <c r="CS192" s="16"/>
      <c r="CT192" s="16"/>
      <c r="CU192" s="17"/>
      <c r="CV192" s="16"/>
      <c r="CW192" s="16"/>
      <c r="CX192" s="16"/>
      <c r="CY192" s="16"/>
      <c r="CZ192" s="17"/>
      <c r="DA192" s="16"/>
      <c r="DB192" s="16"/>
      <c r="DC192" s="16"/>
      <c r="DD192" s="16"/>
      <c r="DE192" s="17"/>
      <c r="DF192" s="16"/>
      <c r="DG192" s="16"/>
      <c r="DH192" s="16"/>
      <c r="DI192" s="16"/>
      <c r="DJ192" s="17"/>
      <c r="DK192" s="16"/>
      <c r="DL192" s="16"/>
      <c r="DM192" s="16"/>
      <c r="DN192" s="16"/>
      <c r="DO192" s="17"/>
      <c r="DP192" s="16"/>
      <c r="DQ192" s="16"/>
      <c r="DR192" s="16"/>
      <c r="DS192" s="16"/>
      <c r="DT192" s="17"/>
      <c r="DU192" s="17"/>
      <c r="DV192" s="17"/>
    </row>
    <row r="193" spans="1:126" s="13" customFormat="1" hidden="1" outlineLevel="1">
      <c r="A193" s="32"/>
      <c r="B193" s="180" t="s">
        <v>497</v>
      </c>
      <c r="C193" s="241"/>
      <c r="D193" s="17"/>
      <c r="E193" s="17"/>
      <c r="F193" s="17"/>
      <c r="G193" s="17"/>
      <c r="H193" s="17"/>
      <c r="I193" s="17"/>
      <c r="N193" s="17"/>
      <c r="S193" s="17"/>
      <c r="X193" s="17"/>
      <c r="AC193" s="17"/>
      <c r="AH193" s="17"/>
      <c r="AM193" s="17"/>
      <c r="AR193" s="17"/>
      <c r="AU193" s="16"/>
      <c r="AW193" s="618"/>
      <c r="AX193" s="458"/>
      <c r="AY193" s="458"/>
      <c r="AZ193" s="458"/>
      <c r="BA193" s="458"/>
      <c r="BB193" s="620"/>
      <c r="BC193" s="619"/>
      <c r="BD193" s="619"/>
      <c r="BE193" s="619"/>
      <c r="BF193" s="619"/>
      <c r="BG193" s="620"/>
      <c r="BH193" s="619"/>
      <c r="BI193" s="619"/>
      <c r="BJ193" s="621">
        <v>5</v>
      </c>
      <c r="BK193" s="619"/>
      <c r="BL193" s="620"/>
      <c r="BM193" s="619"/>
      <c r="BN193" s="619">
        <v>-1</v>
      </c>
      <c r="BO193" s="622">
        <v>20</v>
      </c>
      <c r="BP193" s="622">
        <v>11</v>
      </c>
      <c r="BQ193" s="620">
        <f t="shared" ref="BQ193:BQ194" si="215">SUM(BM193:BP193)</f>
        <v>30</v>
      </c>
      <c r="BR193" s="619">
        <v>14</v>
      </c>
      <c r="BS193" s="619">
        <v>7</v>
      </c>
      <c r="BT193" s="622">
        <v>19</v>
      </c>
      <c r="BU193" s="458">
        <v>11</v>
      </c>
      <c r="BV193" s="620">
        <f t="shared" ref="BV193:BV194" si="216">SUM(BR193:BU193)</f>
        <v>51</v>
      </c>
      <c r="BW193" s="619">
        <v>16</v>
      </c>
      <c r="BX193" s="619">
        <v>2</v>
      </c>
      <c r="BY193" s="621">
        <v>23</v>
      </c>
      <c r="BZ193" s="619">
        <v>-8</v>
      </c>
      <c r="CA193" s="620">
        <f t="shared" ref="CA193:CA196" si="217">SUM(BW193:BZ193)</f>
        <v>33</v>
      </c>
      <c r="CB193" s="619">
        <v>-7</v>
      </c>
      <c r="CC193" s="619">
        <v>-8</v>
      </c>
      <c r="CD193" s="619">
        <v>18</v>
      </c>
      <c r="CE193" s="619">
        <v>2</v>
      </c>
      <c r="CF193" s="620">
        <f t="shared" ref="CF193:CF196" si="218">SUM(CB193:CE193)</f>
        <v>5</v>
      </c>
      <c r="CG193" s="621">
        <v>-9</v>
      </c>
      <c r="CH193" s="621">
        <v>-3</v>
      </c>
      <c r="CI193" s="621">
        <v>14</v>
      </c>
      <c r="CJ193" s="629">
        <v>6</v>
      </c>
      <c r="CK193" s="620">
        <f t="shared" ref="CK193:CK196" si="219">SUM(CG193:CJ193)</f>
        <v>8</v>
      </c>
      <c r="CL193" s="16"/>
      <c r="CM193" s="16"/>
      <c r="CN193" s="471"/>
      <c r="CO193" s="16"/>
      <c r="CP193" s="17"/>
      <c r="CQ193" s="16"/>
      <c r="CR193" s="16"/>
      <c r="CS193" s="16"/>
      <c r="CT193" s="16"/>
      <c r="CU193" s="17"/>
      <c r="CV193" s="16"/>
      <c r="CW193" s="16"/>
      <c r="CX193" s="16"/>
      <c r="CY193" s="16"/>
      <c r="CZ193" s="17"/>
      <c r="DA193" s="16"/>
      <c r="DB193" s="16"/>
      <c r="DC193" s="16"/>
      <c r="DD193" s="16"/>
      <c r="DE193" s="17"/>
      <c r="DF193" s="16"/>
      <c r="DG193" s="16"/>
      <c r="DH193" s="16"/>
      <c r="DI193" s="16"/>
      <c r="DJ193" s="17"/>
      <c r="DK193" s="16"/>
      <c r="DL193" s="16"/>
      <c r="DM193" s="16"/>
      <c r="DN193" s="16"/>
      <c r="DO193" s="17"/>
      <c r="DP193" s="16"/>
      <c r="DQ193" s="16"/>
      <c r="DR193" s="16"/>
      <c r="DS193" s="16"/>
      <c r="DT193" s="17"/>
      <c r="DU193" s="17"/>
      <c r="DV193" s="17"/>
    </row>
    <row r="194" spans="1:126" s="13" customFormat="1" hidden="1" outlineLevel="1">
      <c r="A194" s="32"/>
      <c r="B194" s="180" t="s">
        <v>504</v>
      </c>
      <c r="C194" s="241"/>
      <c r="D194" s="17"/>
      <c r="E194" s="17"/>
      <c r="F194" s="17"/>
      <c r="G194" s="17"/>
      <c r="H194" s="17"/>
      <c r="I194" s="17"/>
      <c r="N194" s="17"/>
      <c r="S194" s="17"/>
      <c r="X194" s="17"/>
      <c r="AC194" s="17"/>
      <c r="AH194" s="17"/>
      <c r="AM194" s="17"/>
      <c r="AR194" s="17"/>
      <c r="AU194" s="16"/>
      <c r="AW194" s="618"/>
      <c r="AX194" s="458"/>
      <c r="AY194" s="458"/>
      <c r="AZ194" s="458"/>
      <c r="BA194" s="458"/>
      <c r="BB194" s="620"/>
      <c r="BC194" s="619"/>
      <c r="BD194" s="619"/>
      <c r="BE194" s="619"/>
      <c r="BF194" s="619"/>
      <c r="BG194" s="620"/>
      <c r="BH194" s="619"/>
      <c r="BI194" s="619"/>
      <c r="BJ194" s="621">
        <v>-1</v>
      </c>
      <c r="BK194" s="619"/>
      <c r="BL194" s="620"/>
      <c r="BM194" s="619">
        <v>-14</v>
      </c>
      <c r="BN194" s="619">
        <v>-32</v>
      </c>
      <c r="BO194" s="622">
        <v>-63</v>
      </c>
      <c r="BP194" s="622">
        <v>-59</v>
      </c>
      <c r="BQ194" s="620">
        <f t="shared" si="215"/>
        <v>-168</v>
      </c>
      <c r="BR194" s="619">
        <v>-58</v>
      </c>
      <c r="BS194" s="619">
        <v>-51</v>
      </c>
      <c r="BT194" s="622">
        <v>-46</v>
      </c>
      <c r="BU194" s="458">
        <v>-43</v>
      </c>
      <c r="BV194" s="620">
        <f t="shared" si="216"/>
        <v>-198</v>
      </c>
      <c r="BW194" s="619">
        <v>-42</v>
      </c>
      <c r="BX194" s="619">
        <v>-42</v>
      </c>
      <c r="BY194" s="621">
        <v>-39</v>
      </c>
      <c r="BZ194" s="619">
        <v>-37</v>
      </c>
      <c r="CA194" s="620">
        <f t="shared" si="217"/>
        <v>-160</v>
      </c>
      <c r="CB194" s="619">
        <v>-33</v>
      </c>
      <c r="CC194" s="619">
        <v>-34</v>
      </c>
      <c r="CD194" s="619">
        <v>-30</v>
      </c>
      <c r="CE194" s="619">
        <v>-29</v>
      </c>
      <c r="CF194" s="620">
        <f t="shared" si="218"/>
        <v>-126</v>
      </c>
      <c r="CG194" s="621">
        <v>-28</v>
      </c>
      <c r="CH194" s="621">
        <v>-27</v>
      </c>
      <c r="CI194" s="621">
        <v>-28</v>
      </c>
      <c r="CJ194" s="629">
        <v>-29</v>
      </c>
      <c r="CK194" s="620">
        <f t="shared" si="219"/>
        <v>-112</v>
      </c>
      <c r="CL194" s="16"/>
      <c r="CM194" s="16"/>
      <c r="CN194" s="471"/>
      <c r="CO194" s="16"/>
      <c r="CP194" s="17"/>
      <c r="CQ194" s="16"/>
      <c r="CR194" s="16"/>
      <c r="CS194" s="16"/>
      <c r="CT194" s="16"/>
      <c r="CU194" s="17"/>
      <c r="CV194" s="16"/>
      <c r="CW194" s="16"/>
      <c r="CX194" s="16"/>
      <c r="CY194" s="16"/>
      <c r="CZ194" s="17"/>
      <c r="DA194" s="16"/>
      <c r="DB194" s="16"/>
      <c r="DC194" s="16"/>
      <c r="DD194" s="16"/>
      <c r="DE194" s="17"/>
      <c r="DF194" s="16"/>
      <c r="DG194" s="16"/>
      <c r="DH194" s="16"/>
      <c r="DI194" s="16"/>
      <c r="DJ194" s="17"/>
      <c r="DK194" s="16"/>
      <c r="DL194" s="16"/>
      <c r="DM194" s="16"/>
      <c r="DN194" s="16"/>
      <c r="DO194" s="17"/>
      <c r="DP194" s="16"/>
      <c r="DQ194" s="16"/>
      <c r="DR194" s="16"/>
      <c r="DS194" s="16"/>
      <c r="DT194" s="17"/>
      <c r="DU194" s="17"/>
      <c r="DV194" s="17"/>
    </row>
    <row r="195" spans="1:126" s="190" customFormat="1" hidden="1" outlineLevel="1">
      <c r="A195" s="37"/>
      <c r="B195" s="179" t="s">
        <v>516</v>
      </c>
      <c r="C195" s="650">
        <f t="shared" ref="C195:AV195" si="220">C199-C196-C198</f>
        <v>1084</v>
      </c>
      <c r="D195" s="650">
        <f t="shared" si="220"/>
        <v>2036</v>
      </c>
      <c r="E195" s="650">
        <f t="shared" si="220"/>
        <v>1527</v>
      </c>
      <c r="F195" s="650">
        <f t="shared" si="220"/>
        <v>1729</v>
      </c>
      <c r="G195" s="650">
        <f t="shared" si="220"/>
        <v>1265</v>
      </c>
      <c r="H195" s="650">
        <f t="shared" si="220"/>
        <v>1625</v>
      </c>
      <c r="I195" s="650">
        <f t="shared" si="220"/>
        <v>1569</v>
      </c>
      <c r="J195" s="651">
        <f t="shared" si="220"/>
        <v>433</v>
      </c>
      <c r="K195" s="651">
        <f t="shared" si="220"/>
        <v>528</v>
      </c>
      <c r="L195" s="651">
        <f t="shared" si="220"/>
        <v>522</v>
      </c>
      <c r="M195" s="651">
        <f t="shared" si="220"/>
        <v>624</v>
      </c>
      <c r="N195" s="650">
        <f t="shared" si="220"/>
        <v>2107</v>
      </c>
      <c r="O195" s="651">
        <f t="shared" si="220"/>
        <v>543</v>
      </c>
      <c r="P195" s="651">
        <f t="shared" si="220"/>
        <v>597</v>
      </c>
      <c r="Q195" s="651">
        <f t="shared" si="220"/>
        <v>597</v>
      </c>
      <c r="R195" s="651">
        <f t="shared" si="220"/>
        <v>698</v>
      </c>
      <c r="S195" s="650">
        <f t="shared" si="220"/>
        <v>2435</v>
      </c>
      <c r="T195" s="651">
        <f t="shared" si="220"/>
        <v>600</v>
      </c>
      <c r="U195" s="651">
        <f t="shared" si="220"/>
        <v>673</v>
      </c>
      <c r="V195" s="651">
        <f t="shared" si="220"/>
        <v>675</v>
      </c>
      <c r="W195" s="651">
        <f t="shared" si="220"/>
        <v>713</v>
      </c>
      <c r="X195" s="650">
        <f t="shared" si="220"/>
        <v>2534</v>
      </c>
      <c r="Y195" s="651">
        <f t="shared" si="220"/>
        <v>641</v>
      </c>
      <c r="Z195" s="651">
        <f t="shared" si="220"/>
        <v>710</v>
      </c>
      <c r="AA195" s="651">
        <f t="shared" si="220"/>
        <v>687</v>
      </c>
      <c r="AB195" s="651">
        <f t="shared" si="220"/>
        <v>784</v>
      </c>
      <c r="AC195" s="650">
        <f t="shared" si="220"/>
        <v>2822</v>
      </c>
      <c r="AD195" s="651">
        <f t="shared" si="220"/>
        <v>679</v>
      </c>
      <c r="AE195" s="651">
        <f t="shared" si="220"/>
        <v>766</v>
      </c>
      <c r="AF195" s="651">
        <f t="shared" si="220"/>
        <v>753</v>
      </c>
      <c r="AG195" s="651">
        <f t="shared" si="220"/>
        <v>812</v>
      </c>
      <c r="AH195" s="650">
        <f t="shared" si="220"/>
        <v>3010</v>
      </c>
      <c r="AI195" s="651">
        <f t="shared" si="220"/>
        <v>753</v>
      </c>
      <c r="AJ195" s="651">
        <f t="shared" si="220"/>
        <v>816</v>
      </c>
      <c r="AK195" s="651">
        <f t="shared" si="220"/>
        <v>821</v>
      </c>
      <c r="AL195" s="651">
        <f t="shared" si="220"/>
        <v>868</v>
      </c>
      <c r="AM195" s="650">
        <f t="shared" si="220"/>
        <v>3258</v>
      </c>
      <c r="AN195" s="651">
        <f t="shared" si="220"/>
        <v>809</v>
      </c>
      <c r="AO195" s="651">
        <f t="shared" si="220"/>
        <v>466</v>
      </c>
      <c r="AP195" s="651">
        <f t="shared" si="220"/>
        <v>870</v>
      </c>
      <c r="AQ195" s="651">
        <f t="shared" si="220"/>
        <v>925</v>
      </c>
      <c r="AR195" s="650">
        <f t="shared" si="220"/>
        <v>3070</v>
      </c>
      <c r="AS195" s="651">
        <f t="shared" si="220"/>
        <v>717</v>
      </c>
      <c r="AT195" s="651">
        <f t="shared" si="220"/>
        <v>827</v>
      </c>
      <c r="AU195" s="652">
        <f t="shared" si="220"/>
        <v>848</v>
      </c>
      <c r="AV195" s="651">
        <f t="shared" si="220"/>
        <v>992</v>
      </c>
      <c r="AW195" s="645">
        <f>AW199-AW196-AW198</f>
        <v>3384</v>
      </c>
      <c r="AX195" s="646">
        <f t="shared" ref="AX195:BA195" si="221">AX199-AX196-AX198</f>
        <v>818</v>
      </c>
      <c r="AY195" s="646">
        <f t="shared" si="221"/>
        <v>862</v>
      </c>
      <c r="AZ195" s="646">
        <f t="shared" si="221"/>
        <v>873</v>
      </c>
      <c r="BA195" s="646">
        <f t="shared" si="221"/>
        <v>879</v>
      </c>
      <c r="BB195" s="645">
        <f>SUM(BB189:BB194)</f>
        <v>3432</v>
      </c>
      <c r="BC195" s="646">
        <f t="shared" ref="BC195:CK195" si="222">SUM(BC189:BC194)</f>
        <v>827</v>
      </c>
      <c r="BD195" s="646">
        <f t="shared" si="222"/>
        <v>886</v>
      </c>
      <c r="BE195" s="646">
        <f t="shared" si="222"/>
        <v>846</v>
      </c>
      <c r="BF195" s="646">
        <f t="shared" si="222"/>
        <v>816</v>
      </c>
      <c r="BG195" s="645">
        <f t="shared" si="222"/>
        <v>3375</v>
      </c>
      <c r="BH195" s="646">
        <f t="shared" si="222"/>
        <v>749</v>
      </c>
      <c r="BI195" s="646">
        <f t="shared" si="222"/>
        <v>738</v>
      </c>
      <c r="BJ195" s="647">
        <f t="shared" si="222"/>
        <v>779</v>
      </c>
      <c r="BK195" s="646">
        <f t="shared" si="222"/>
        <v>859</v>
      </c>
      <c r="BL195" s="645">
        <f t="shared" si="222"/>
        <v>3121</v>
      </c>
      <c r="BM195" s="646">
        <f t="shared" si="222"/>
        <v>853</v>
      </c>
      <c r="BN195" s="646">
        <f t="shared" si="222"/>
        <v>670</v>
      </c>
      <c r="BO195" s="648">
        <f t="shared" si="222"/>
        <v>705</v>
      </c>
      <c r="BP195" s="648">
        <f t="shared" si="222"/>
        <v>841</v>
      </c>
      <c r="BQ195" s="645">
        <f t="shared" si="222"/>
        <v>3069</v>
      </c>
      <c r="BR195" s="646">
        <f t="shared" si="222"/>
        <v>568</v>
      </c>
      <c r="BS195" s="646">
        <f t="shared" si="222"/>
        <v>881</v>
      </c>
      <c r="BT195" s="648">
        <f t="shared" si="222"/>
        <v>755</v>
      </c>
      <c r="BU195" s="644">
        <f t="shared" si="222"/>
        <v>799</v>
      </c>
      <c r="BV195" s="645">
        <f t="shared" si="222"/>
        <v>3003</v>
      </c>
      <c r="BW195" s="646">
        <f t="shared" si="222"/>
        <v>703</v>
      </c>
      <c r="BX195" s="646">
        <f t="shared" si="222"/>
        <v>774</v>
      </c>
      <c r="BY195" s="647">
        <f t="shared" si="222"/>
        <v>819</v>
      </c>
      <c r="BZ195" s="646">
        <f t="shared" si="222"/>
        <v>839</v>
      </c>
      <c r="CA195" s="645">
        <f t="shared" si="222"/>
        <v>3135</v>
      </c>
      <c r="CB195" s="646">
        <f t="shared" si="222"/>
        <v>755</v>
      </c>
      <c r="CC195" s="646">
        <f t="shared" si="222"/>
        <v>785</v>
      </c>
      <c r="CD195" s="646">
        <f t="shared" si="222"/>
        <v>858</v>
      </c>
      <c r="CE195" s="646">
        <f t="shared" si="222"/>
        <v>899</v>
      </c>
      <c r="CF195" s="645">
        <f t="shared" si="222"/>
        <v>3297</v>
      </c>
      <c r="CG195" s="647">
        <f t="shared" si="222"/>
        <v>810</v>
      </c>
      <c r="CH195" s="647">
        <f t="shared" si="222"/>
        <v>877</v>
      </c>
      <c r="CI195" s="647">
        <f t="shared" si="222"/>
        <v>920</v>
      </c>
      <c r="CJ195" s="649">
        <f t="shared" si="222"/>
        <v>1008</v>
      </c>
      <c r="CK195" s="645">
        <f t="shared" si="222"/>
        <v>3615</v>
      </c>
      <c r="CL195" s="76"/>
      <c r="CM195" s="76"/>
      <c r="CN195" s="486"/>
      <c r="CO195" s="76"/>
      <c r="CP195" s="75"/>
      <c r="CQ195" s="76"/>
      <c r="CR195" s="76"/>
      <c r="CS195" s="76"/>
      <c r="CT195" s="76"/>
      <c r="CU195" s="75"/>
      <c r="CV195" s="76"/>
      <c r="CW195" s="76"/>
      <c r="CX195" s="76"/>
      <c r="CY195" s="76"/>
      <c r="CZ195" s="75"/>
      <c r="DA195" s="76"/>
      <c r="DB195" s="76"/>
      <c r="DC195" s="76"/>
      <c r="DD195" s="76"/>
      <c r="DE195" s="75"/>
      <c r="DF195" s="76"/>
      <c r="DG195" s="76"/>
      <c r="DH195" s="76"/>
      <c r="DI195" s="76"/>
      <c r="DJ195" s="75"/>
      <c r="DK195" s="76"/>
      <c r="DL195" s="76"/>
      <c r="DM195" s="76"/>
      <c r="DN195" s="76"/>
      <c r="DO195" s="75"/>
      <c r="DP195" s="76"/>
      <c r="DQ195" s="76"/>
      <c r="DR195" s="76"/>
      <c r="DS195" s="76"/>
      <c r="DT195" s="75"/>
      <c r="DU195" s="75"/>
      <c r="DV195" s="75"/>
    </row>
    <row r="196" spans="1:126" s="13" customFormat="1" hidden="1" outlineLevel="1">
      <c r="A196" s="32"/>
      <c r="B196" s="41" t="s">
        <v>505</v>
      </c>
      <c r="C196" s="195">
        <v>0</v>
      </c>
      <c r="D196" s="17">
        <v>0</v>
      </c>
      <c r="E196" s="17">
        <v>0</v>
      </c>
      <c r="F196" s="17">
        <v>0</v>
      </c>
      <c r="G196" s="17">
        <v>0</v>
      </c>
      <c r="H196" s="17">
        <v>0</v>
      </c>
      <c r="I196" s="17">
        <v>-109</v>
      </c>
      <c r="J196" s="13">
        <v>-121</v>
      </c>
      <c r="K196" s="13">
        <v>-118</v>
      </c>
      <c r="L196" s="13">
        <v>-117</v>
      </c>
      <c r="M196" s="13">
        <v>-118</v>
      </c>
      <c r="N196" s="17">
        <v>-474</v>
      </c>
      <c r="O196" s="13">
        <v>-116</v>
      </c>
      <c r="P196" s="13">
        <v>-116</v>
      </c>
      <c r="Q196" s="13">
        <v>-117</v>
      </c>
      <c r="R196" s="13">
        <v>-116</v>
      </c>
      <c r="S196" s="17">
        <v>-465</v>
      </c>
      <c r="T196" s="13">
        <v>-90</v>
      </c>
      <c r="U196" s="13">
        <v>-100</v>
      </c>
      <c r="V196" s="13">
        <v>-93</v>
      </c>
      <c r="W196" s="13">
        <v>-79</v>
      </c>
      <c r="X196" s="17">
        <v>-362</v>
      </c>
      <c r="Y196" s="13">
        <v>-62</v>
      </c>
      <c r="Z196" s="13">
        <v>-63</v>
      </c>
      <c r="AA196" s="13">
        <v>-114</v>
      </c>
      <c r="AB196" s="13">
        <v>-20</v>
      </c>
      <c r="AC196" s="17">
        <v>-259</v>
      </c>
      <c r="AD196" s="13">
        <v>-33</v>
      </c>
      <c r="AE196" s="13">
        <v>-34</v>
      </c>
      <c r="AF196" s="13">
        <v>-26</v>
      </c>
      <c r="AG196" s="13">
        <v>-30</v>
      </c>
      <c r="AH196" s="17">
        <v>-123</v>
      </c>
      <c r="AI196" s="13">
        <v>11</v>
      </c>
      <c r="AJ196" s="13">
        <v>11</v>
      </c>
      <c r="AK196" s="13">
        <v>-1</v>
      </c>
      <c r="AL196" s="13">
        <v>6</v>
      </c>
      <c r="AM196" s="17">
        <v>27</v>
      </c>
      <c r="AN196" s="13">
        <v>-53</v>
      </c>
      <c r="AO196" s="13">
        <v>-55</v>
      </c>
      <c r="AP196" s="13">
        <v>-62</v>
      </c>
      <c r="AQ196" s="13">
        <v>-60</v>
      </c>
      <c r="AR196" s="17">
        <v>-230</v>
      </c>
      <c r="AS196" s="13">
        <v>-89</v>
      </c>
      <c r="AT196" s="13">
        <v>-90</v>
      </c>
      <c r="AU196" s="16">
        <v>-75</v>
      </c>
      <c r="AV196" s="13">
        <v>-83</v>
      </c>
      <c r="AW196" s="620">
        <v>-337</v>
      </c>
      <c r="AX196" s="619">
        <v>-70</v>
      </c>
      <c r="AY196" s="619">
        <v>-71</v>
      </c>
      <c r="AZ196" s="619">
        <v>-47</v>
      </c>
      <c r="BA196" s="621">
        <v>-67</v>
      </c>
      <c r="BB196" s="620">
        <f>SUM(AX196:BA196)</f>
        <v>-255</v>
      </c>
      <c r="BC196" s="619">
        <v>-71</v>
      </c>
      <c r="BD196" s="619">
        <v>-72</v>
      </c>
      <c r="BE196" s="619">
        <v>-46</v>
      </c>
      <c r="BF196" s="619">
        <v>-60</v>
      </c>
      <c r="BG196" s="620">
        <f>SUM(BC196:BF196)</f>
        <v>-249</v>
      </c>
      <c r="BH196" s="619">
        <v>87</v>
      </c>
      <c r="BI196" s="619">
        <v>87</v>
      </c>
      <c r="BJ196" s="621">
        <v>42</v>
      </c>
      <c r="BK196" s="619">
        <v>70</v>
      </c>
      <c r="BL196" s="620">
        <f>SUM(BH196:BK196)</f>
        <v>286</v>
      </c>
      <c r="BM196" s="619">
        <v>49</v>
      </c>
      <c r="BN196" s="619">
        <v>49</v>
      </c>
      <c r="BO196" s="622">
        <v>43</v>
      </c>
      <c r="BP196" s="622">
        <v>44</v>
      </c>
      <c r="BQ196" s="620">
        <f>SUM(BM196:BP196)</f>
        <v>185</v>
      </c>
      <c r="BR196" s="619">
        <v>105</v>
      </c>
      <c r="BS196" s="619">
        <v>109</v>
      </c>
      <c r="BT196" s="622">
        <v>104</v>
      </c>
      <c r="BU196" s="458">
        <v>117</v>
      </c>
      <c r="BV196" s="620">
        <f>SUM(BR196:BU196)</f>
        <v>435</v>
      </c>
      <c r="BW196" s="619">
        <v>315</v>
      </c>
      <c r="BX196" s="619">
        <v>315</v>
      </c>
      <c r="BY196" s="621">
        <v>348</v>
      </c>
      <c r="BZ196" s="619">
        <v>325</v>
      </c>
      <c r="CA196" s="620">
        <f t="shared" si="217"/>
        <v>1303</v>
      </c>
      <c r="CB196" s="619">
        <v>354</v>
      </c>
      <c r="CC196" s="619">
        <v>353</v>
      </c>
      <c r="CD196" s="619">
        <v>365</v>
      </c>
      <c r="CE196" s="619">
        <v>356</v>
      </c>
      <c r="CF196" s="620">
        <f t="shared" si="218"/>
        <v>1428</v>
      </c>
      <c r="CG196" s="621">
        <v>366</v>
      </c>
      <c r="CH196" s="621">
        <v>363</v>
      </c>
      <c r="CI196" s="621">
        <v>361</v>
      </c>
      <c r="CJ196" s="629">
        <v>364</v>
      </c>
      <c r="CK196" s="620">
        <f t="shared" si="219"/>
        <v>1454</v>
      </c>
      <c r="CL196" s="16"/>
      <c r="CM196" s="16"/>
      <c r="CN196" s="471"/>
      <c r="CO196" s="16"/>
      <c r="CP196" s="17"/>
      <c r="CQ196" s="16"/>
      <c r="CR196" s="16"/>
      <c r="CS196" s="16"/>
      <c r="CT196" s="16"/>
      <c r="CU196" s="17"/>
      <c r="CV196" s="16"/>
      <c r="CW196" s="16"/>
      <c r="CX196" s="16"/>
      <c r="CY196" s="16"/>
      <c r="CZ196" s="17"/>
      <c r="DA196" s="16"/>
      <c r="DB196" s="16"/>
      <c r="DC196" s="16"/>
      <c r="DD196" s="16"/>
      <c r="DE196" s="17"/>
      <c r="DF196" s="16"/>
      <c r="DG196" s="16"/>
      <c r="DH196" s="16"/>
      <c r="DI196" s="16"/>
      <c r="DJ196" s="17"/>
      <c r="DK196" s="16"/>
      <c r="DL196" s="16"/>
      <c r="DM196" s="16"/>
      <c r="DN196" s="16"/>
      <c r="DO196" s="17"/>
      <c r="DP196" s="16"/>
      <c r="DQ196" s="16"/>
      <c r="DR196" s="16"/>
      <c r="DS196" s="16"/>
      <c r="DT196" s="17"/>
      <c r="DU196" s="17"/>
      <c r="DV196" s="17"/>
    </row>
    <row r="197" spans="1:126" s="13" customFormat="1" hidden="1" outlineLevel="1">
      <c r="A197" s="32"/>
      <c r="B197" s="41" t="s">
        <v>399</v>
      </c>
      <c r="C197" s="195"/>
      <c r="D197" s="17"/>
      <c r="E197" s="17"/>
      <c r="F197" s="17"/>
      <c r="G197" s="17"/>
      <c r="H197" s="17"/>
      <c r="I197" s="17"/>
      <c r="N197" s="17"/>
      <c r="S197" s="17"/>
      <c r="X197" s="17"/>
      <c r="AC197" s="17"/>
      <c r="AH197" s="17"/>
      <c r="AM197" s="17"/>
      <c r="AR197" s="17"/>
      <c r="AU197" s="16"/>
      <c r="AW197" s="620"/>
      <c r="AX197" s="619"/>
      <c r="AY197" s="619"/>
      <c r="AZ197" s="619"/>
      <c r="BA197" s="621"/>
      <c r="BB197" s="620"/>
      <c r="BC197" s="619"/>
      <c r="BD197" s="619"/>
      <c r="BE197" s="619"/>
      <c r="BF197" s="619"/>
      <c r="BG197" s="620"/>
      <c r="BH197" s="619"/>
      <c r="BI197" s="619"/>
      <c r="BJ197" s="621"/>
      <c r="BK197" s="619"/>
      <c r="BL197" s="620"/>
      <c r="BM197" s="619">
        <v>-33</v>
      </c>
      <c r="BN197" s="619">
        <v>-36</v>
      </c>
      <c r="BO197" s="622">
        <v>-42</v>
      </c>
      <c r="BP197" s="622">
        <v>-29</v>
      </c>
      <c r="BQ197" s="620">
        <f>SUM(BM197:BP197)</f>
        <v>-140</v>
      </c>
      <c r="BR197" s="619">
        <v>-33</v>
      </c>
      <c r="BS197" s="619">
        <v>-34</v>
      </c>
      <c r="BT197" s="622">
        <v>-42</v>
      </c>
      <c r="BU197" s="458">
        <v>-32</v>
      </c>
      <c r="BV197" s="620">
        <f>SUM(BR197:BU197)</f>
        <v>-141</v>
      </c>
      <c r="BW197" s="619">
        <v>-37</v>
      </c>
      <c r="BX197" s="619">
        <v>-37</v>
      </c>
      <c r="BY197" s="621">
        <v>-39</v>
      </c>
      <c r="BZ197" s="619">
        <v>-35</v>
      </c>
      <c r="CA197" s="620">
        <f>SUM(BW197:BZ197)</f>
        <v>-148</v>
      </c>
      <c r="CB197" s="619">
        <v>-40</v>
      </c>
      <c r="CC197" s="619">
        <v>-41</v>
      </c>
      <c r="CD197" s="619">
        <v>-45</v>
      </c>
      <c r="CE197" s="619">
        <v>-44</v>
      </c>
      <c r="CF197" s="620">
        <f>SUM(CB197:CE197)</f>
        <v>-170</v>
      </c>
      <c r="CG197" s="621">
        <v>-47</v>
      </c>
      <c r="CH197" s="621">
        <v>-46</v>
      </c>
      <c r="CI197" s="621">
        <v>-47</v>
      </c>
      <c r="CJ197" s="629">
        <v>-44</v>
      </c>
      <c r="CK197" s="620">
        <f>SUM(CG197:CJ197)</f>
        <v>-184</v>
      </c>
      <c r="CL197" s="16"/>
      <c r="CM197" s="16"/>
      <c r="CN197" s="471"/>
      <c r="CO197" s="16"/>
      <c r="CP197" s="17"/>
      <c r="CQ197" s="16"/>
      <c r="CR197" s="16"/>
      <c r="CS197" s="16"/>
      <c r="CT197" s="16"/>
      <c r="CU197" s="17"/>
      <c r="CV197" s="16"/>
      <c r="CW197" s="16"/>
      <c r="CX197" s="16"/>
      <c r="CY197" s="16"/>
      <c r="CZ197" s="17"/>
      <c r="DA197" s="16"/>
      <c r="DB197" s="16"/>
      <c r="DC197" s="16"/>
      <c r="DD197" s="16"/>
      <c r="DE197" s="17"/>
      <c r="DF197" s="16"/>
      <c r="DG197" s="16"/>
      <c r="DH197" s="16"/>
      <c r="DI197" s="16"/>
      <c r="DJ197" s="17"/>
      <c r="DK197" s="16"/>
      <c r="DL197" s="16"/>
      <c r="DM197" s="16"/>
      <c r="DN197" s="16"/>
      <c r="DO197" s="17"/>
      <c r="DP197" s="16"/>
      <c r="DQ197" s="16"/>
      <c r="DR197" s="16"/>
      <c r="DS197" s="16"/>
      <c r="DT197" s="17"/>
      <c r="DU197" s="17"/>
      <c r="DV197" s="17"/>
    </row>
    <row r="198" spans="1:126" s="13" customFormat="1" hidden="1" outlineLevel="1">
      <c r="A198" s="32"/>
      <c r="B198" s="3" t="s">
        <v>506</v>
      </c>
      <c r="C198" s="195"/>
      <c r="D198" s="17"/>
      <c r="E198" s="17"/>
      <c r="F198" s="17">
        <v>-104</v>
      </c>
      <c r="G198" s="17">
        <v>-90</v>
      </c>
      <c r="H198" s="17">
        <v>-46</v>
      </c>
      <c r="I198" s="17">
        <v>-144</v>
      </c>
      <c r="J198" s="13">
        <v>-61</v>
      </c>
      <c r="K198" s="13">
        <v>-70</v>
      </c>
      <c r="L198" s="13">
        <v>-48</v>
      </c>
      <c r="M198" s="13">
        <v>-66</v>
      </c>
      <c r="N198" s="17">
        <v>-245</v>
      </c>
      <c r="O198" s="13">
        <v>-50</v>
      </c>
      <c r="P198" s="13">
        <v>-54</v>
      </c>
      <c r="Q198" s="13">
        <v>-66</v>
      </c>
      <c r="R198" s="13">
        <v>-113</v>
      </c>
      <c r="S198" s="17">
        <v>-283</v>
      </c>
      <c r="T198" s="13">
        <v>-56</v>
      </c>
      <c r="U198" s="13">
        <v>-61</v>
      </c>
      <c r="V198" s="13">
        <v>-45</v>
      </c>
      <c r="W198" s="13">
        <v>-170</v>
      </c>
      <c r="X198" s="17">
        <v>-332</v>
      </c>
      <c r="Y198" s="13">
        <v>-69</v>
      </c>
      <c r="Z198" s="13">
        <v>-59</v>
      </c>
      <c r="AA198" s="13">
        <v>-96</v>
      </c>
      <c r="AB198" s="13">
        <v>-11</v>
      </c>
      <c r="AC198" s="17">
        <v>-235</v>
      </c>
      <c r="AD198" s="13">
        <v>-38</v>
      </c>
      <c r="AE198" s="13">
        <v>-70</v>
      </c>
      <c r="AF198" s="13">
        <v>-47</v>
      </c>
      <c r="AG198" s="13">
        <v>-136</v>
      </c>
      <c r="AH198" s="17">
        <v>-291</v>
      </c>
      <c r="AI198" s="13">
        <v>-52</v>
      </c>
      <c r="AJ198" s="13">
        <v>-62</v>
      </c>
      <c r="AK198" s="13">
        <v>-55</v>
      </c>
      <c r="AL198" s="13">
        <v>-74</v>
      </c>
      <c r="AM198" s="17">
        <v>-243</v>
      </c>
      <c r="AN198" s="13">
        <v>-47</v>
      </c>
      <c r="AO198" s="13">
        <v>-66</v>
      </c>
      <c r="AP198" s="13">
        <v>-59</v>
      </c>
      <c r="AQ198" s="13">
        <v>-61</v>
      </c>
      <c r="AR198" s="17">
        <v>-233</v>
      </c>
      <c r="AS198" s="13">
        <v>-37</v>
      </c>
      <c r="AT198" s="13">
        <v>-56</v>
      </c>
      <c r="AU198" s="16">
        <v>-48</v>
      </c>
      <c r="AV198" s="13">
        <v>-49</v>
      </c>
      <c r="AW198" s="620">
        <v>-190</v>
      </c>
      <c r="AX198" s="619">
        <v>-42</v>
      </c>
      <c r="AY198" s="619">
        <v>-49</v>
      </c>
      <c r="AZ198" s="619">
        <v>-40</v>
      </c>
      <c r="BA198" s="621">
        <v>-57</v>
      </c>
      <c r="BB198" s="620">
        <f>SUM(AX198:BA198)</f>
        <v>-188</v>
      </c>
      <c r="BC198" s="619">
        <v>-50</v>
      </c>
      <c r="BD198" s="619">
        <v>-48</v>
      </c>
      <c r="BE198" s="619">
        <v>-43</v>
      </c>
      <c r="BF198" s="619">
        <v>-47</v>
      </c>
      <c r="BG198" s="620">
        <f>SUM(BC198:BF198)</f>
        <v>-188</v>
      </c>
      <c r="BH198" s="619">
        <v>-48</v>
      </c>
      <c r="BI198" s="619">
        <v>-66</v>
      </c>
      <c r="BJ198" s="621">
        <f>-43-15</f>
        <v>-58</v>
      </c>
      <c r="BK198" s="619">
        <v>-60</v>
      </c>
      <c r="BL198" s="620">
        <f>SUM(BH198:BK198)</f>
        <v>-232</v>
      </c>
      <c r="BM198" s="619">
        <v>-29</v>
      </c>
      <c r="BN198" s="619">
        <v>-35</v>
      </c>
      <c r="BO198" s="622">
        <v>-9</v>
      </c>
      <c r="BP198" s="622">
        <f>-28</f>
        <v>-28</v>
      </c>
      <c r="BQ198" s="620">
        <f>SUM(BM198:BP198)</f>
        <v>-101</v>
      </c>
      <c r="BR198" s="619">
        <v>-28</v>
      </c>
      <c r="BS198" s="619">
        <v>4</v>
      </c>
      <c r="BT198" s="622">
        <v>-11</v>
      </c>
      <c r="BU198" s="458">
        <v>-22</v>
      </c>
      <c r="BV198" s="620">
        <f>SUM(BR198:BU198)</f>
        <v>-57</v>
      </c>
      <c r="BW198" s="619">
        <v>-33</v>
      </c>
      <c r="BX198" s="619">
        <v>3</v>
      </c>
      <c r="BY198" s="621">
        <v>0</v>
      </c>
      <c r="BZ198" s="619">
        <v>-29</v>
      </c>
      <c r="CA198" s="620">
        <f>SUM(BW198:BZ198)</f>
        <v>-59</v>
      </c>
      <c r="CB198" s="619">
        <v>-28</v>
      </c>
      <c r="CC198" s="619">
        <v>3</v>
      </c>
      <c r="CD198" s="619">
        <v>5</v>
      </c>
      <c r="CE198" s="619">
        <v>3</v>
      </c>
      <c r="CF198" s="620">
        <f>SUM(CB198:CE198)</f>
        <v>-17</v>
      </c>
      <c r="CG198" s="621">
        <v>-16</v>
      </c>
      <c r="CH198" s="621">
        <v>-18</v>
      </c>
      <c r="CI198" s="621">
        <v>-28</v>
      </c>
      <c r="CJ198" s="629">
        <v>-49</v>
      </c>
      <c r="CK198" s="620">
        <f>SUM(CG198:CJ198)</f>
        <v>-111</v>
      </c>
      <c r="CL198" s="16"/>
      <c r="CM198" s="16"/>
      <c r="CN198" s="471"/>
      <c r="CO198" s="16"/>
      <c r="CP198" s="17"/>
      <c r="CQ198" s="16"/>
      <c r="CR198" s="16"/>
      <c r="CS198" s="16"/>
      <c r="CT198" s="16"/>
      <c r="CU198" s="17"/>
      <c r="CV198" s="16"/>
      <c r="CW198" s="16"/>
      <c r="CX198" s="16"/>
      <c r="CY198" s="16"/>
      <c r="CZ198" s="17"/>
      <c r="DA198" s="16"/>
      <c r="DB198" s="16"/>
      <c r="DC198" s="16"/>
      <c r="DD198" s="16"/>
      <c r="DE198" s="17"/>
      <c r="DF198" s="16"/>
      <c r="DG198" s="16"/>
      <c r="DH198" s="16"/>
      <c r="DI198" s="16"/>
      <c r="DJ198" s="17"/>
      <c r="DK198" s="16"/>
      <c r="DL198" s="16"/>
      <c r="DM198" s="16"/>
      <c r="DN198" s="16"/>
      <c r="DO198" s="17"/>
      <c r="DP198" s="16"/>
      <c r="DQ198" s="16"/>
      <c r="DR198" s="16"/>
      <c r="DS198" s="16"/>
      <c r="DT198" s="17"/>
      <c r="DU198" s="17"/>
      <c r="DV198" s="17"/>
    </row>
    <row r="199" spans="1:126" s="190" customFormat="1" hidden="1" outlineLevel="1">
      <c r="A199" s="37"/>
      <c r="B199" s="108" t="s">
        <v>132</v>
      </c>
      <c r="C199" s="75">
        <v>1084</v>
      </c>
      <c r="D199" s="75">
        <v>2036</v>
      </c>
      <c r="E199" s="75">
        <v>1527</v>
      </c>
      <c r="F199" s="75">
        <v>1625</v>
      </c>
      <c r="G199" s="75">
        <v>1175</v>
      </c>
      <c r="H199" s="75">
        <v>1579</v>
      </c>
      <c r="I199" s="75">
        <v>1316</v>
      </c>
      <c r="J199" s="190">
        <v>251</v>
      </c>
      <c r="K199" s="190">
        <v>340</v>
      </c>
      <c r="L199" s="190">
        <v>357</v>
      </c>
      <c r="M199" s="190">
        <v>440</v>
      </c>
      <c r="N199" s="75">
        <v>1388</v>
      </c>
      <c r="O199" s="190">
        <v>377</v>
      </c>
      <c r="P199" s="190">
        <v>427</v>
      </c>
      <c r="Q199" s="190">
        <v>414</v>
      </c>
      <c r="R199" s="190">
        <v>469</v>
      </c>
      <c r="S199" s="75">
        <v>1687</v>
      </c>
      <c r="T199" s="190">
        <v>454</v>
      </c>
      <c r="U199" s="190">
        <v>512</v>
      </c>
      <c r="V199" s="190">
        <v>537</v>
      </c>
      <c r="W199" s="190">
        <v>464</v>
      </c>
      <c r="X199" s="75">
        <v>1840</v>
      </c>
      <c r="Y199" s="190">
        <v>510</v>
      </c>
      <c r="Z199" s="190">
        <v>588</v>
      </c>
      <c r="AA199" s="190">
        <v>477</v>
      </c>
      <c r="AB199" s="190">
        <v>753</v>
      </c>
      <c r="AC199" s="75">
        <v>2328</v>
      </c>
      <c r="AD199" s="190">
        <v>608</v>
      </c>
      <c r="AE199" s="190">
        <v>662</v>
      </c>
      <c r="AF199" s="190">
        <v>680</v>
      </c>
      <c r="AG199" s="190">
        <v>646</v>
      </c>
      <c r="AH199" s="75">
        <v>2596</v>
      </c>
      <c r="AI199" s="190">
        <v>712</v>
      </c>
      <c r="AJ199" s="190">
        <v>765</v>
      </c>
      <c r="AK199" s="190">
        <v>765</v>
      </c>
      <c r="AL199" s="190">
        <v>800</v>
      </c>
      <c r="AM199" s="75">
        <v>3042</v>
      </c>
      <c r="AN199" s="190">
        <v>709</v>
      </c>
      <c r="AO199" s="190">
        <v>345</v>
      </c>
      <c r="AP199" s="190">
        <v>749</v>
      </c>
      <c r="AQ199" s="190">
        <v>804</v>
      </c>
      <c r="AR199" s="75">
        <v>2607</v>
      </c>
      <c r="AS199" s="190">
        <v>591</v>
      </c>
      <c r="AT199" s="190">
        <v>681</v>
      </c>
      <c r="AU199" s="76">
        <v>725</v>
      </c>
      <c r="AV199" s="190">
        <v>860</v>
      </c>
      <c r="AW199" s="75">
        <v>2857</v>
      </c>
      <c r="AX199" s="190">
        <v>706</v>
      </c>
      <c r="AY199" s="190">
        <v>742</v>
      </c>
      <c r="AZ199" s="76">
        <v>786</v>
      </c>
      <c r="BA199" s="76">
        <v>755</v>
      </c>
      <c r="BB199" s="75">
        <f>SUM(BB195:BB198)</f>
        <v>2989</v>
      </c>
      <c r="BC199" s="190">
        <f t="shared" ref="BC199:CK199" si="223">SUM(BC195:BC198)</f>
        <v>706</v>
      </c>
      <c r="BD199" s="76">
        <f t="shared" si="223"/>
        <v>766</v>
      </c>
      <c r="BE199" s="76">
        <f t="shared" si="223"/>
        <v>757</v>
      </c>
      <c r="BF199" s="76">
        <f t="shared" si="223"/>
        <v>709</v>
      </c>
      <c r="BG199" s="75">
        <f t="shared" si="223"/>
        <v>2938</v>
      </c>
      <c r="BH199" s="76">
        <f t="shared" si="223"/>
        <v>788</v>
      </c>
      <c r="BI199" s="76">
        <f t="shared" si="223"/>
        <v>759</v>
      </c>
      <c r="BJ199" s="486">
        <f t="shared" si="223"/>
        <v>763</v>
      </c>
      <c r="BK199" s="76">
        <f t="shared" si="223"/>
        <v>869</v>
      </c>
      <c r="BL199" s="75">
        <f t="shared" si="223"/>
        <v>3175</v>
      </c>
      <c r="BM199" s="76">
        <f t="shared" si="223"/>
        <v>840</v>
      </c>
      <c r="BN199" s="76">
        <f t="shared" si="223"/>
        <v>648</v>
      </c>
      <c r="BO199" s="486">
        <f t="shared" si="223"/>
        <v>697</v>
      </c>
      <c r="BP199" s="76">
        <f t="shared" si="223"/>
        <v>828</v>
      </c>
      <c r="BQ199" s="75">
        <f t="shared" si="223"/>
        <v>3013</v>
      </c>
      <c r="BR199" s="76">
        <f t="shared" si="223"/>
        <v>612</v>
      </c>
      <c r="BS199" s="498">
        <f t="shared" si="223"/>
        <v>960</v>
      </c>
      <c r="BT199" s="486">
        <f t="shared" si="223"/>
        <v>806</v>
      </c>
      <c r="BU199" s="76">
        <f t="shared" si="223"/>
        <v>862</v>
      </c>
      <c r="BV199" s="75">
        <f t="shared" si="223"/>
        <v>3240</v>
      </c>
      <c r="BW199" s="76">
        <f t="shared" si="223"/>
        <v>948</v>
      </c>
      <c r="BX199" s="76">
        <f t="shared" si="223"/>
        <v>1055</v>
      </c>
      <c r="BY199" s="486">
        <f t="shared" si="223"/>
        <v>1128</v>
      </c>
      <c r="BZ199" s="76">
        <f t="shared" si="223"/>
        <v>1100</v>
      </c>
      <c r="CA199" s="75">
        <f t="shared" si="223"/>
        <v>4231</v>
      </c>
      <c r="CB199" s="76">
        <f t="shared" si="223"/>
        <v>1041</v>
      </c>
      <c r="CC199" s="76">
        <f t="shared" si="223"/>
        <v>1100</v>
      </c>
      <c r="CD199" s="486">
        <f t="shared" si="223"/>
        <v>1183</v>
      </c>
      <c r="CE199" s="76">
        <f t="shared" si="223"/>
        <v>1214</v>
      </c>
      <c r="CF199" s="75">
        <f t="shared" si="223"/>
        <v>4538</v>
      </c>
      <c r="CG199" s="76">
        <f t="shared" si="223"/>
        <v>1113</v>
      </c>
      <c r="CH199" s="76">
        <f t="shared" si="223"/>
        <v>1176</v>
      </c>
      <c r="CI199" s="486">
        <f t="shared" si="223"/>
        <v>1206</v>
      </c>
      <c r="CJ199" s="76">
        <f t="shared" si="223"/>
        <v>1279</v>
      </c>
      <c r="CK199" s="75">
        <f t="shared" si="223"/>
        <v>4774</v>
      </c>
      <c r="CL199" s="76"/>
      <c r="CM199" s="76"/>
      <c r="CN199" s="486"/>
      <c r="CO199" s="76"/>
      <c r="CP199" s="75"/>
      <c r="CQ199" s="76"/>
      <c r="CR199" s="76"/>
      <c r="CS199" s="76"/>
      <c r="CT199" s="76"/>
      <c r="CU199" s="75"/>
      <c r="CV199" s="76"/>
      <c r="CW199" s="76"/>
      <c r="CX199" s="76"/>
      <c r="CY199" s="76"/>
      <c r="CZ199" s="75"/>
      <c r="DA199" s="76"/>
      <c r="DB199" s="76"/>
      <c r="DC199" s="76"/>
      <c r="DD199" s="76"/>
      <c r="DE199" s="75"/>
      <c r="DF199" s="76"/>
      <c r="DG199" s="76"/>
      <c r="DH199" s="76"/>
      <c r="DI199" s="76"/>
      <c r="DJ199" s="75"/>
      <c r="DK199" s="76"/>
      <c r="DL199" s="76"/>
      <c r="DM199" s="76"/>
      <c r="DN199" s="76"/>
      <c r="DO199" s="75"/>
      <c r="DP199" s="76"/>
      <c r="DQ199" s="76"/>
      <c r="DR199" s="76"/>
      <c r="DS199" s="76"/>
      <c r="DT199" s="75"/>
      <c r="DU199" s="75"/>
      <c r="DV199" s="75"/>
    </row>
    <row r="200" spans="1:126" s="190" customFormat="1" hidden="1" outlineLevel="1">
      <c r="A200" s="37"/>
      <c r="B200" s="108"/>
      <c r="C200" s="75"/>
      <c r="D200" s="75"/>
      <c r="E200" s="75"/>
      <c r="F200" s="75"/>
      <c r="G200" s="75"/>
      <c r="H200" s="75"/>
      <c r="I200" s="75"/>
      <c r="N200" s="75"/>
      <c r="S200" s="75"/>
      <c r="X200" s="75"/>
      <c r="AC200" s="75"/>
      <c r="AH200" s="75"/>
      <c r="AM200" s="75"/>
      <c r="AR200" s="75"/>
      <c r="AU200" s="76"/>
      <c r="AW200" s="75"/>
      <c r="AZ200" s="76"/>
      <c r="BA200" s="76"/>
      <c r="BB200" s="75"/>
      <c r="BD200" s="76"/>
      <c r="BE200" s="76"/>
      <c r="BF200" s="76"/>
      <c r="BG200" s="75"/>
      <c r="BH200" s="76"/>
      <c r="BI200" s="76"/>
      <c r="BJ200" s="486"/>
      <c r="BK200" s="76"/>
      <c r="BL200" s="75"/>
      <c r="BM200" s="76"/>
      <c r="BN200" s="76"/>
      <c r="BO200" s="486"/>
      <c r="BP200" s="76"/>
      <c r="BQ200" s="75"/>
      <c r="BR200" s="76"/>
      <c r="BS200" s="498"/>
      <c r="BT200" s="486"/>
      <c r="BU200" s="76"/>
      <c r="BV200" s="75"/>
      <c r="BW200" s="76"/>
      <c r="BX200" s="76"/>
      <c r="BY200" s="486"/>
      <c r="BZ200" s="76"/>
      <c r="CA200" s="75"/>
      <c r="CB200" s="76"/>
      <c r="CC200" s="76"/>
      <c r="CD200" s="486"/>
      <c r="CE200" s="76"/>
      <c r="CF200" s="75"/>
      <c r="CG200" s="76"/>
      <c r="CH200" s="76"/>
      <c r="CI200" s="486"/>
      <c r="CJ200" s="76"/>
      <c r="CK200" s="75"/>
      <c r="CL200" s="76"/>
      <c r="CM200" s="76"/>
      <c r="CN200" s="486"/>
      <c r="CO200" s="76"/>
      <c r="CP200" s="75"/>
      <c r="CQ200" s="76"/>
      <c r="CR200" s="76"/>
      <c r="CS200" s="76"/>
      <c r="CT200" s="76"/>
      <c r="CU200" s="75"/>
      <c r="CV200" s="76"/>
      <c r="CW200" s="76"/>
      <c r="CX200" s="76"/>
      <c r="CY200" s="76"/>
      <c r="CZ200" s="75"/>
      <c r="DA200" s="76"/>
      <c r="DB200" s="76"/>
      <c r="DC200" s="76"/>
      <c r="DD200" s="76"/>
      <c r="DE200" s="75"/>
      <c r="DF200" s="76"/>
      <c r="DG200" s="76"/>
      <c r="DH200" s="76"/>
      <c r="DI200" s="76"/>
      <c r="DJ200" s="75"/>
      <c r="DK200" s="76"/>
      <c r="DL200" s="76"/>
      <c r="DM200" s="76"/>
      <c r="DN200" s="76"/>
      <c r="DO200" s="75"/>
      <c r="DP200" s="76"/>
      <c r="DQ200" s="76"/>
      <c r="DR200" s="76"/>
      <c r="DS200" s="76"/>
      <c r="DT200" s="75"/>
      <c r="DU200" s="75"/>
      <c r="DV200" s="75"/>
    </row>
    <row r="201" spans="1:126" s="13" customFormat="1" hidden="1" outlineLevel="1">
      <c r="A201" s="32"/>
      <c r="B201" s="180" t="s">
        <v>576</v>
      </c>
      <c r="C201" s="17">
        <f t="shared" ref="C201:AH201" si="224">C184+C185+C197+C198</f>
        <v>0</v>
      </c>
      <c r="D201" s="17">
        <f t="shared" si="224"/>
        <v>-332</v>
      </c>
      <c r="E201" s="17">
        <f t="shared" si="224"/>
        <v>-316</v>
      </c>
      <c r="F201" s="17">
        <f t="shared" si="224"/>
        <v>-371</v>
      </c>
      <c r="G201" s="17">
        <f t="shared" si="224"/>
        <v>-272</v>
      </c>
      <c r="H201" s="17">
        <f t="shared" si="224"/>
        <v>-248</v>
      </c>
      <c r="I201" s="17">
        <f t="shared" si="224"/>
        <v>-511</v>
      </c>
      <c r="J201" s="13">
        <f t="shared" si="224"/>
        <v>81</v>
      </c>
      <c r="K201" s="13">
        <f t="shared" si="224"/>
        <v>-66</v>
      </c>
      <c r="L201" s="13">
        <f t="shared" si="224"/>
        <v>-153</v>
      </c>
      <c r="M201" s="13">
        <f t="shared" si="224"/>
        <v>-45</v>
      </c>
      <c r="N201" s="17">
        <f t="shared" si="224"/>
        <v>-183</v>
      </c>
      <c r="O201" s="13">
        <f t="shared" si="224"/>
        <v>-120</v>
      </c>
      <c r="P201" s="13">
        <f t="shared" si="224"/>
        <v>-34</v>
      </c>
      <c r="Q201" s="13">
        <f t="shared" si="224"/>
        <v>-169</v>
      </c>
      <c r="R201" s="13">
        <f t="shared" si="224"/>
        <v>-203</v>
      </c>
      <c r="S201" s="17">
        <f t="shared" si="224"/>
        <v>-526</v>
      </c>
      <c r="T201" s="13">
        <f t="shared" si="224"/>
        <v>-96</v>
      </c>
      <c r="U201" s="13">
        <f t="shared" si="224"/>
        <v>-56</v>
      </c>
      <c r="V201" s="13">
        <f t="shared" si="224"/>
        <v>-94</v>
      </c>
      <c r="W201" s="13">
        <f t="shared" si="224"/>
        <v>-236</v>
      </c>
      <c r="X201" s="17">
        <f t="shared" si="224"/>
        <v>-482</v>
      </c>
      <c r="Y201" s="13">
        <f t="shared" si="224"/>
        <v>-219</v>
      </c>
      <c r="Z201" s="13">
        <f t="shared" si="224"/>
        <v>-171</v>
      </c>
      <c r="AA201" s="13">
        <f t="shared" si="224"/>
        <v>-169</v>
      </c>
      <c r="AB201" s="13">
        <f t="shared" si="224"/>
        <v>-122</v>
      </c>
      <c r="AC201" s="17">
        <f t="shared" si="224"/>
        <v>-681</v>
      </c>
      <c r="AD201" s="13">
        <f t="shared" si="224"/>
        <v>-144</v>
      </c>
      <c r="AE201" s="13">
        <f t="shared" si="224"/>
        <v>-192</v>
      </c>
      <c r="AF201" s="13">
        <f t="shared" si="224"/>
        <v>-170</v>
      </c>
      <c r="AG201" s="13">
        <f t="shared" si="224"/>
        <v>-310</v>
      </c>
      <c r="AH201" s="17">
        <f t="shared" si="224"/>
        <v>-816</v>
      </c>
      <c r="AI201" s="13">
        <f t="shared" ref="AI201:BN201" si="225">AI184+AI185+AI197+AI198</f>
        <v>-167</v>
      </c>
      <c r="AJ201" s="13">
        <f t="shared" si="225"/>
        <v>-158</v>
      </c>
      <c r="AK201" s="13">
        <f t="shared" si="225"/>
        <v>-226</v>
      </c>
      <c r="AL201" s="13">
        <f t="shared" si="225"/>
        <v>-295</v>
      </c>
      <c r="AM201" s="17">
        <f t="shared" si="225"/>
        <v>-846</v>
      </c>
      <c r="AN201" s="13">
        <f t="shared" si="225"/>
        <v>-184</v>
      </c>
      <c r="AO201" s="13">
        <f t="shared" si="225"/>
        <v>-221</v>
      </c>
      <c r="AP201" s="13">
        <f t="shared" si="225"/>
        <v>-341</v>
      </c>
      <c r="AQ201" s="13">
        <f t="shared" si="225"/>
        <v>-273</v>
      </c>
      <c r="AR201" s="17">
        <f t="shared" si="225"/>
        <v>-1019</v>
      </c>
      <c r="AS201" s="13">
        <f t="shared" si="225"/>
        <v>-179</v>
      </c>
      <c r="AT201" s="13">
        <f t="shared" si="225"/>
        <v>-200</v>
      </c>
      <c r="AU201" s="16">
        <f t="shared" si="225"/>
        <v>-159</v>
      </c>
      <c r="AV201" s="13">
        <f t="shared" si="225"/>
        <v>-299</v>
      </c>
      <c r="AW201" s="17">
        <f t="shared" si="225"/>
        <v>-837</v>
      </c>
      <c r="AX201" s="13">
        <f t="shared" si="225"/>
        <v>-162</v>
      </c>
      <c r="AY201" s="13">
        <f t="shared" si="225"/>
        <v>-161</v>
      </c>
      <c r="AZ201" s="12">
        <f t="shared" si="225"/>
        <v>-165</v>
      </c>
      <c r="BA201" s="12">
        <f t="shared" si="225"/>
        <v>-198</v>
      </c>
      <c r="BB201" s="17">
        <f t="shared" si="225"/>
        <v>-686</v>
      </c>
      <c r="BC201" s="13">
        <f t="shared" si="225"/>
        <v>-136</v>
      </c>
      <c r="BD201" s="16">
        <f t="shared" si="225"/>
        <v>-165</v>
      </c>
      <c r="BE201" s="16">
        <f t="shared" si="225"/>
        <v>-153</v>
      </c>
      <c r="BF201" s="16">
        <f t="shared" si="225"/>
        <v>-193</v>
      </c>
      <c r="BG201" s="17">
        <f t="shared" si="225"/>
        <v>-647</v>
      </c>
      <c r="BH201" s="16">
        <f t="shared" si="225"/>
        <v>-121</v>
      </c>
      <c r="BI201" s="16">
        <f t="shared" si="225"/>
        <v>64</v>
      </c>
      <c r="BJ201" s="472">
        <f t="shared" si="225"/>
        <v>-182</v>
      </c>
      <c r="BK201" s="16">
        <f t="shared" si="225"/>
        <v>-220</v>
      </c>
      <c r="BL201" s="17">
        <f t="shared" si="225"/>
        <v>-459</v>
      </c>
      <c r="BM201" s="16">
        <f t="shared" si="225"/>
        <v>-124</v>
      </c>
      <c r="BN201" s="16">
        <f t="shared" si="225"/>
        <v>-201</v>
      </c>
      <c r="BO201" s="472">
        <f t="shared" ref="BO201:CA201" si="226">BO184+BO185+BO197+BO198</f>
        <v>-153</v>
      </c>
      <c r="BP201" s="16">
        <f t="shared" si="226"/>
        <v>-523</v>
      </c>
      <c r="BQ201" s="366">
        <f t="shared" si="226"/>
        <v>-1001</v>
      </c>
      <c r="BR201" s="16">
        <f t="shared" si="226"/>
        <v>-136</v>
      </c>
      <c r="BS201" s="368">
        <f t="shared" si="226"/>
        <v>-114</v>
      </c>
      <c r="BT201" s="472">
        <f t="shared" si="226"/>
        <v>-127</v>
      </c>
      <c r="BU201" s="16">
        <f t="shared" si="226"/>
        <v>-595</v>
      </c>
      <c r="BV201" s="366">
        <f t="shared" si="226"/>
        <v>-972</v>
      </c>
      <c r="BW201" s="16">
        <f t="shared" si="226"/>
        <v>-187</v>
      </c>
      <c r="BX201" s="16">
        <f t="shared" si="226"/>
        <v>-144</v>
      </c>
      <c r="BY201" s="472">
        <f t="shared" si="226"/>
        <v>-115</v>
      </c>
      <c r="BZ201" s="16">
        <f t="shared" si="226"/>
        <v>-283</v>
      </c>
      <c r="CA201" s="366">
        <f t="shared" si="226"/>
        <v>-729</v>
      </c>
      <c r="CB201" s="16">
        <f>CB184+CB185+CB197+CB198-86/4</f>
        <v>-204.5</v>
      </c>
      <c r="CC201" s="16">
        <f>CC184+CC185+CC197+CC198-86/4</f>
        <v>-282.5</v>
      </c>
      <c r="CD201" s="16">
        <f>CD184+CD185+CD197+CD198-86/4</f>
        <v>-272.5</v>
      </c>
      <c r="CE201" s="16">
        <f>CE184+CE185+CE197+CE198-86/4</f>
        <v>-224.5</v>
      </c>
      <c r="CF201" s="366">
        <f>SUM(CB201:CE201)</f>
        <v>-984</v>
      </c>
      <c r="CG201" s="16">
        <f>CG184+CG185+CG197+CG198+157</f>
        <v>-105</v>
      </c>
      <c r="CH201" s="16">
        <f>CH184+CH185+CH197+CH198+252</f>
        <v>-175</v>
      </c>
      <c r="CI201" s="16">
        <f>CI184+CI185+CI197+CI198-72</f>
        <v>-492</v>
      </c>
      <c r="CJ201" s="16">
        <f>CJ184+CJ185+CJ197+CJ198+504</f>
        <v>-129</v>
      </c>
      <c r="CK201" s="366">
        <f>SUM(CG201:CJ201)</f>
        <v>-901</v>
      </c>
      <c r="CL201" s="16"/>
      <c r="CM201" s="16"/>
      <c r="CN201" s="472"/>
      <c r="CO201" s="16"/>
      <c r="CP201" s="17"/>
      <c r="CQ201" s="16"/>
      <c r="CR201" s="16"/>
      <c r="CS201" s="16"/>
      <c r="CT201" s="16"/>
      <c r="CU201" s="17"/>
      <c r="CV201" s="16"/>
      <c r="CW201" s="16"/>
      <c r="CX201" s="16"/>
      <c r="CY201" s="16"/>
      <c r="CZ201" s="17"/>
      <c r="DA201" s="16"/>
      <c r="DB201" s="16"/>
      <c r="DC201" s="16"/>
      <c r="DD201" s="16"/>
      <c r="DE201" s="17"/>
      <c r="DF201" s="16"/>
      <c r="DG201" s="16"/>
      <c r="DH201" s="16"/>
      <c r="DI201" s="16"/>
      <c r="DJ201" s="17"/>
      <c r="DK201" s="16"/>
      <c r="DL201" s="16"/>
      <c r="DM201" s="16"/>
      <c r="DN201" s="16"/>
      <c r="DO201" s="17"/>
      <c r="DP201" s="16"/>
      <c r="DQ201" s="16"/>
      <c r="DR201" s="16"/>
      <c r="DS201" s="16"/>
      <c r="DT201" s="17"/>
      <c r="DU201" s="17"/>
      <c r="DV201" s="17"/>
    </row>
    <row r="202" spans="1:126" s="13" customFormat="1" hidden="1" outlineLevel="1">
      <c r="A202" s="32"/>
      <c r="B202" s="180" t="s">
        <v>578</v>
      </c>
      <c r="C202" s="17"/>
      <c r="D202" s="17"/>
      <c r="E202" s="17"/>
      <c r="F202" s="17"/>
      <c r="G202" s="17"/>
      <c r="H202" s="17"/>
      <c r="I202" s="17"/>
      <c r="N202" s="17"/>
      <c r="S202" s="17"/>
      <c r="X202" s="17"/>
      <c r="AC202" s="17"/>
      <c r="AH202" s="17"/>
      <c r="AM202" s="17"/>
      <c r="AR202" s="17"/>
      <c r="AS202" s="13">
        <f>AW202/4</f>
        <v>-99.5</v>
      </c>
      <c r="AT202" s="13">
        <f>AW202/4</f>
        <v>-99.5</v>
      </c>
      <c r="AU202" s="13">
        <f>AW202/4</f>
        <v>-99.5</v>
      </c>
      <c r="AV202" s="13">
        <f>AW202/4</f>
        <v>-99.5</v>
      </c>
      <c r="AW202" s="17">
        <v>-398</v>
      </c>
      <c r="AX202" s="13">
        <f>BB202/4</f>
        <v>-136.75</v>
      </c>
      <c r="AY202" s="13">
        <f>BB202/4</f>
        <v>-136.75</v>
      </c>
      <c r="AZ202" s="13">
        <f>BB202/4</f>
        <v>-136.75</v>
      </c>
      <c r="BA202" s="13">
        <f>BB202/4</f>
        <v>-136.75</v>
      </c>
      <c r="BB202" s="17">
        <v>-547</v>
      </c>
      <c r="BC202" s="13">
        <f>BG202/4</f>
        <v>-176.25</v>
      </c>
      <c r="BD202" s="13">
        <f>BG202/4</f>
        <v>-176.25</v>
      </c>
      <c r="BE202" s="13">
        <f>BG202/4</f>
        <v>-176.25</v>
      </c>
      <c r="BF202" s="13">
        <f>BG202/4</f>
        <v>-176.25</v>
      </c>
      <c r="BG202" s="17">
        <v>-705</v>
      </c>
      <c r="BH202" s="13">
        <f>BL202/4</f>
        <v>-178.25</v>
      </c>
      <c r="BI202" s="13">
        <f>BL202/4</f>
        <v>-178.25</v>
      </c>
      <c r="BJ202" s="13">
        <f>BL202/4</f>
        <v>-178.25</v>
      </c>
      <c r="BK202" s="13">
        <f>BL202/4</f>
        <v>-178.25</v>
      </c>
      <c r="BL202" s="17">
        <v>-713</v>
      </c>
      <c r="BM202" s="13">
        <f>BQ202/4</f>
        <v>-180.5</v>
      </c>
      <c r="BN202" s="13">
        <f>BQ202/4</f>
        <v>-180.5</v>
      </c>
      <c r="BO202" s="13">
        <f>BQ202/4</f>
        <v>-180.5</v>
      </c>
      <c r="BP202" s="13">
        <f>BQ202/4</f>
        <v>-180.5</v>
      </c>
      <c r="BQ202" s="366">
        <v>-722</v>
      </c>
      <c r="BR202" s="13">
        <f>BV202/4</f>
        <v>-194.5</v>
      </c>
      <c r="BS202" s="13">
        <f>BV202/4</f>
        <v>-194.5</v>
      </c>
      <c r="BT202" s="13">
        <f>BV202/4</f>
        <v>-194.5</v>
      </c>
      <c r="BU202" s="13">
        <f>BV202/4</f>
        <v>-194.5</v>
      </c>
      <c r="BV202" s="366">
        <v>-778</v>
      </c>
      <c r="BW202" s="13">
        <f>CA202/4</f>
        <v>-208.5</v>
      </c>
      <c r="BX202" s="13">
        <f>CA202/4</f>
        <v>-208.5</v>
      </c>
      <c r="BY202" s="13">
        <f>CA202/4</f>
        <v>-208.5</v>
      </c>
      <c r="BZ202" s="13">
        <f>CA202/4</f>
        <v>-208.5</v>
      </c>
      <c r="CA202" s="366">
        <v>-834</v>
      </c>
      <c r="CB202" s="13">
        <f>CF202/4</f>
        <v>-244</v>
      </c>
      <c r="CC202" s="13">
        <f>CF202/4</f>
        <v>-244</v>
      </c>
      <c r="CD202" s="13">
        <f>CF202/4</f>
        <v>-244</v>
      </c>
      <c r="CE202" s="13">
        <f>CF202/4</f>
        <v>-244</v>
      </c>
      <c r="CF202" s="366">
        <v>-976</v>
      </c>
      <c r="CG202" s="13">
        <f>CK202/4</f>
        <v>-363</v>
      </c>
      <c r="CH202" s="13">
        <f>CK202/4</f>
        <v>-363</v>
      </c>
      <c r="CI202" s="13">
        <f>CK202/4</f>
        <v>-363</v>
      </c>
      <c r="CJ202" s="13">
        <f>CK202/4</f>
        <v>-363</v>
      </c>
      <c r="CK202" s="366">
        <v>-1452</v>
      </c>
      <c r="CL202" s="16"/>
      <c r="CM202" s="16"/>
      <c r="CN202" s="472"/>
      <c r="CO202" s="16"/>
      <c r="CP202" s="17"/>
      <c r="CQ202" s="16"/>
      <c r="CR202" s="16"/>
      <c r="CS202" s="16"/>
      <c r="CT202" s="16"/>
      <c r="CU202" s="17"/>
      <c r="CV202" s="16"/>
      <c r="CW202" s="16"/>
      <c r="CX202" s="16"/>
      <c r="CY202" s="16"/>
      <c r="CZ202" s="17"/>
      <c r="DA202" s="16"/>
      <c r="DB202" s="16"/>
      <c r="DC202" s="16"/>
      <c r="DD202" s="16"/>
      <c r="DE202" s="17"/>
      <c r="DF202" s="16"/>
      <c r="DG202" s="16"/>
      <c r="DH202" s="16"/>
      <c r="DI202" s="16"/>
      <c r="DJ202" s="17"/>
      <c r="DK202" s="16"/>
      <c r="DL202" s="16"/>
      <c r="DM202" s="16"/>
      <c r="DN202" s="16"/>
      <c r="DO202" s="17"/>
      <c r="DP202" s="16"/>
      <c r="DQ202" s="16"/>
      <c r="DR202" s="16"/>
      <c r="DS202" s="16"/>
      <c r="DT202" s="17"/>
      <c r="DU202" s="17"/>
      <c r="DV202" s="17"/>
    </row>
    <row r="203" spans="1:126" s="13" customFormat="1" collapsed="1">
      <c r="A203" s="32"/>
      <c r="B203" s="45"/>
      <c r="C203" s="241"/>
      <c r="D203" s="17"/>
      <c r="E203" s="17"/>
      <c r="F203" s="17"/>
      <c r="G203" s="17"/>
      <c r="H203" s="17"/>
      <c r="I203" s="17"/>
      <c r="N203" s="17"/>
      <c r="S203" s="17"/>
      <c r="X203" s="17"/>
      <c r="AC203" s="17"/>
      <c r="AH203" s="17"/>
      <c r="AM203" s="17"/>
      <c r="AR203" s="17"/>
      <c r="AU203" s="16"/>
      <c r="AW203" s="17"/>
      <c r="AZ203" s="16"/>
      <c r="BA203" s="16"/>
      <c r="BB203" s="17"/>
      <c r="BD203" s="16"/>
      <c r="BE203" s="16"/>
      <c r="BF203" s="16"/>
      <c r="BG203" s="17"/>
      <c r="BH203" s="16"/>
      <c r="BI203" s="16"/>
      <c r="BJ203" s="471"/>
      <c r="BK203" s="16"/>
      <c r="BL203" s="17"/>
      <c r="BM203" s="16"/>
      <c r="BN203" s="16"/>
      <c r="BO203" s="471"/>
      <c r="BP203" s="16"/>
      <c r="BQ203" s="17"/>
      <c r="BR203" s="16"/>
      <c r="BS203" s="368"/>
      <c r="BT203" s="471"/>
      <c r="BU203" s="16"/>
      <c r="BV203" s="17"/>
      <c r="BW203" s="16"/>
      <c r="BX203" s="16"/>
      <c r="BY203" s="471"/>
      <c r="BZ203" s="16"/>
      <c r="CA203" s="17"/>
      <c r="CB203" s="16"/>
      <c r="CC203" s="16"/>
      <c r="CD203" s="471"/>
      <c r="CE203" s="16"/>
      <c r="CF203" s="17"/>
      <c r="CG203" s="16"/>
      <c r="CH203" s="16"/>
      <c r="CI203" s="471"/>
      <c r="CJ203" s="16"/>
      <c r="CK203" s="17"/>
      <c r="CL203" s="16"/>
      <c r="CM203" s="16"/>
      <c r="CN203" s="471"/>
      <c r="CO203" s="16"/>
      <c r="CP203" s="17"/>
      <c r="CQ203" s="16"/>
      <c r="CR203" s="16"/>
      <c r="CS203" s="16"/>
      <c r="CT203" s="16"/>
      <c r="CU203" s="17"/>
      <c r="CV203" s="16"/>
      <c r="CW203" s="16"/>
      <c r="CX203" s="16"/>
      <c r="CY203" s="16"/>
      <c r="CZ203" s="17"/>
      <c r="DA203" s="16"/>
      <c r="DB203" s="16"/>
      <c r="DC203" s="16"/>
      <c r="DD203" s="16"/>
      <c r="DE203" s="17"/>
      <c r="DF203" s="16"/>
      <c r="DG203" s="16"/>
      <c r="DH203" s="16"/>
      <c r="DI203" s="16"/>
      <c r="DJ203" s="17"/>
      <c r="DK203" s="16"/>
      <c r="DL203" s="16"/>
      <c r="DM203" s="16"/>
      <c r="DN203" s="16"/>
      <c r="DO203" s="17"/>
      <c r="DP203" s="16"/>
      <c r="DQ203" s="16"/>
      <c r="DR203" s="16"/>
      <c r="DS203" s="16"/>
      <c r="DT203" s="17"/>
      <c r="DU203" s="17"/>
      <c r="DV203" s="17"/>
    </row>
    <row r="204" spans="1:126" s="193" customFormat="1">
      <c r="A204" s="88"/>
      <c r="B204" s="450" t="s">
        <v>518</v>
      </c>
      <c r="C204" s="87"/>
      <c r="D204" s="87"/>
      <c r="E204" s="87"/>
      <c r="F204" s="87"/>
      <c r="G204" s="87"/>
      <c r="H204" s="87"/>
      <c r="I204" s="87"/>
      <c r="J204" s="88"/>
      <c r="K204" s="88"/>
      <c r="L204" s="88"/>
      <c r="M204" s="88"/>
      <c r="N204" s="87"/>
      <c r="O204" s="88"/>
      <c r="P204" s="88"/>
      <c r="Q204" s="88"/>
      <c r="R204" s="88"/>
      <c r="S204" s="87"/>
      <c r="T204" s="88"/>
      <c r="U204" s="88"/>
      <c r="V204" s="88"/>
      <c r="W204" s="88"/>
      <c r="X204" s="87"/>
      <c r="Y204" s="88"/>
      <c r="Z204" s="88"/>
      <c r="AA204" s="88"/>
      <c r="AB204" s="88"/>
      <c r="AC204" s="87"/>
      <c r="AD204" s="88"/>
      <c r="AE204" s="88"/>
      <c r="AF204" s="88"/>
      <c r="AG204" s="88"/>
      <c r="AH204" s="87"/>
      <c r="AI204" s="88"/>
      <c r="AJ204" s="88"/>
      <c r="AK204" s="88"/>
      <c r="AL204" s="88"/>
      <c r="AM204" s="87"/>
      <c r="AN204" s="88"/>
      <c r="AO204" s="88"/>
      <c r="AP204"/>
      <c r="AQ204" s="88"/>
      <c r="AR204" s="25"/>
      <c r="AS204" s="88"/>
      <c r="AT204" s="88"/>
      <c r="AU204" s="88"/>
      <c r="AV204" s="88"/>
      <c r="AW204" s="25"/>
      <c r="AX204" s="88"/>
      <c r="AY204" s="88"/>
      <c r="AZ204" s="88"/>
      <c r="BA204" s="88"/>
      <c r="BB204" s="25"/>
      <c r="BC204" s="88"/>
      <c r="BD204" s="88"/>
      <c r="BE204" s="88"/>
      <c r="BF204" s="88"/>
      <c r="BG204" s="87"/>
      <c r="BH204" s="88"/>
      <c r="BI204" s="88"/>
      <c r="BJ204" s="88"/>
      <c r="BK204" s="88"/>
      <c r="BL204" s="87"/>
      <c r="BM204" s="88"/>
      <c r="BN204" s="88"/>
      <c r="BO204" s="88"/>
      <c r="BP204" s="88"/>
      <c r="BQ204" s="87"/>
      <c r="BR204" s="88"/>
      <c r="BS204" s="88"/>
      <c r="BT204" s="88"/>
      <c r="BU204" s="88"/>
      <c r="BV204" s="87"/>
      <c r="BW204" s="88"/>
      <c r="BX204" s="88"/>
      <c r="BY204" s="88"/>
      <c r="BZ204" s="88"/>
      <c r="CA204" s="87"/>
      <c r="CB204" s="88"/>
      <c r="CC204" s="88"/>
      <c r="CD204" s="88"/>
      <c r="CE204" s="88"/>
      <c r="CF204" s="87"/>
      <c r="CG204" s="88"/>
      <c r="CH204" s="88"/>
      <c r="CI204" s="88"/>
      <c r="CJ204" s="88"/>
      <c r="CK204" s="87"/>
      <c r="CL204" s="88">
        <v>0.85</v>
      </c>
      <c r="CM204" s="88"/>
      <c r="CN204" s="88"/>
      <c r="CO204" s="88"/>
      <c r="CP204" s="87"/>
      <c r="CQ204" s="88"/>
      <c r="CR204" s="88"/>
      <c r="CS204" s="88"/>
      <c r="CT204" s="88"/>
      <c r="CU204" s="87"/>
      <c r="CV204" s="826"/>
      <c r="CW204" s="826"/>
      <c r="CX204" s="826"/>
      <c r="CY204" s="826"/>
      <c r="CZ204" s="87"/>
      <c r="DA204" s="88"/>
      <c r="DB204" s="88"/>
      <c r="DC204" s="88"/>
      <c r="DD204" s="88"/>
      <c r="DE204" s="87"/>
      <c r="DF204" s="88"/>
      <c r="DG204" s="88"/>
      <c r="DH204" s="88"/>
      <c r="DI204" s="88"/>
      <c r="DJ204" s="87"/>
      <c r="DK204" s="88"/>
      <c r="DL204" s="88"/>
      <c r="DM204" s="88"/>
      <c r="DN204" s="88"/>
      <c r="DO204" s="87"/>
      <c r="DP204" s="88"/>
      <c r="DQ204" s="88"/>
      <c r="DR204" s="88"/>
      <c r="DS204" s="88"/>
      <c r="DT204" s="87"/>
      <c r="DU204" s="87"/>
      <c r="DV204" s="87"/>
    </row>
    <row r="205" spans="1:126">
      <c r="B205" s="185" t="s">
        <v>194</v>
      </c>
      <c r="C205" s="25"/>
      <c r="D205" s="25"/>
      <c r="E205" s="25"/>
      <c r="F205" s="25"/>
      <c r="G205" s="25"/>
      <c r="H205" s="25">
        <v>13030</v>
      </c>
      <c r="I205" s="25">
        <v>14375</v>
      </c>
      <c r="N205" s="25">
        <v>12832</v>
      </c>
      <c r="S205" s="25">
        <v>16831</v>
      </c>
      <c r="X205" s="25">
        <v>16893</v>
      </c>
      <c r="AC205" s="25">
        <v>23607</v>
      </c>
      <c r="AH205" s="25">
        <v>23570</v>
      </c>
      <c r="AM205" s="25">
        <v>22614</v>
      </c>
      <c r="AR205" s="25">
        <v>23533</v>
      </c>
      <c r="AW205" s="25">
        <v>22400</v>
      </c>
      <c r="BB205" s="25">
        <v>43600</v>
      </c>
      <c r="BG205" s="25">
        <v>38500</v>
      </c>
      <c r="BL205" s="25">
        <v>50200</v>
      </c>
      <c r="BQ205" s="25">
        <v>52500</v>
      </c>
      <c r="BV205" s="25">
        <v>61800</v>
      </c>
      <c r="CA205" s="25">
        <v>64300</v>
      </c>
      <c r="CF205" s="25">
        <v>71100</v>
      </c>
      <c r="CK205" s="25">
        <v>85200</v>
      </c>
      <c r="CP205" s="25"/>
      <c r="CU205" s="25"/>
      <c r="CV205" s="826" t="e">
        <f>CV204/CV176</f>
        <v>#DIV/0!</v>
      </c>
      <c r="CZ205" s="25"/>
      <c r="DE205" s="25"/>
      <c r="DJ205" s="25"/>
      <c r="DO205" s="25"/>
      <c r="DP205"/>
      <c r="DQ205"/>
      <c r="DR205"/>
      <c r="DS205"/>
      <c r="DT205" s="25"/>
      <c r="DU205" s="25"/>
      <c r="DV205" s="25"/>
    </row>
    <row r="206" spans="1:126">
      <c r="B206" s="180" t="s">
        <v>472</v>
      </c>
      <c r="C206" s="25"/>
      <c r="D206" s="25"/>
      <c r="E206" s="25"/>
      <c r="F206" s="25"/>
      <c r="G206" s="25"/>
      <c r="H206" s="25">
        <v>0</v>
      </c>
      <c r="I206" s="25">
        <v>0</v>
      </c>
      <c r="N206" s="25">
        <v>2064</v>
      </c>
      <c r="S206" s="25">
        <v>2823</v>
      </c>
      <c r="X206" s="25">
        <v>4527</v>
      </c>
      <c r="AC206" s="25">
        <v>5152</v>
      </c>
      <c r="AH206" s="25">
        <v>5226</v>
      </c>
      <c r="AM206" s="25">
        <v>5077</v>
      </c>
      <c r="AR206" s="25">
        <v>5119</v>
      </c>
      <c r="AW206" s="25">
        <v>5400</v>
      </c>
      <c r="BB206" s="25">
        <v>10100</v>
      </c>
      <c r="BG206" s="25">
        <v>10200</v>
      </c>
      <c r="BL206" s="25">
        <v>11100</v>
      </c>
      <c r="BQ206" s="25">
        <v>13200</v>
      </c>
      <c r="BV206" s="25">
        <v>13400</v>
      </c>
      <c r="CA206" s="25">
        <v>13900</v>
      </c>
      <c r="CF206" s="25">
        <v>26600</v>
      </c>
      <c r="CK206" s="25">
        <v>29500</v>
      </c>
      <c r="CP206" s="25"/>
      <c r="CU206" s="25"/>
      <c r="CZ206" s="25"/>
      <c r="DE206" s="25"/>
      <c r="DJ206" s="25"/>
      <c r="DO206" s="25"/>
      <c r="DP206"/>
      <c r="DQ206"/>
      <c r="DR206"/>
      <c r="DS206"/>
      <c r="DT206" s="25"/>
      <c r="DU206" s="25"/>
      <c r="DV206" s="25"/>
    </row>
    <row r="207" spans="1:126">
      <c r="B207" s="180" t="s">
        <v>158</v>
      </c>
      <c r="C207" s="25"/>
      <c r="D207" s="25"/>
      <c r="E207" s="25"/>
      <c r="F207" s="25"/>
      <c r="G207" s="25"/>
      <c r="H207" s="25"/>
      <c r="I207" s="25"/>
      <c r="N207" s="25"/>
      <c r="S207" s="25"/>
      <c r="X207" s="25"/>
      <c r="AC207" s="25"/>
      <c r="AH207" s="25"/>
      <c r="AM207" s="25"/>
      <c r="AR207" s="25"/>
      <c r="AW207" s="25"/>
      <c r="BB207" s="25"/>
      <c r="BG207" s="25"/>
      <c r="BL207" s="25"/>
      <c r="BQ207" s="25"/>
      <c r="BV207" s="25"/>
      <c r="CA207" s="25"/>
      <c r="CF207" s="25"/>
      <c r="CK207" s="25"/>
      <c r="CP207" s="25"/>
      <c r="CU207" s="25">
        <v>93000</v>
      </c>
      <c r="CV207">
        <v>92000</v>
      </c>
      <c r="CW207">
        <v>96000</v>
      </c>
      <c r="CX207">
        <v>101000</v>
      </c>
      <c r="CY207">
        <f>CY211-CY210</f>
        <v>106000</v>
      </c>
      <c r="CZ207" s="25">
        <f>CY207</f>
        <v>106000</v>
      </c>
      <c r="DA207" s="185">
        <v>109000</v>
      </c>
      <c r="DB207" s="185">
        <v>112000</v>
      </c>
      <c r="DC207" s="185">
        <v>115000</v>
      </c>
      <c r="DD207" s="185">
        <v>118000</v>
      </c>
      <c r="DE207" s="25">
        <f>DD207</f>
        <v>118000</v>
      </c>
      <c r="DF207" s="185">
        <v>125000</v>
      </c>
      <c r="DG207" s="840">
        <v>129000</v>
      </c>
      <c r="DH207" s="840">
        <v>131000</v>
      </c>
      <c r="DI207" s="840">
        <v>125000</v>
      </c>
      <c r="DJ207" s="25">
        <f>DI207</f>
        <v>125000</v>
      </c>
      <c r="DK207" s="840">
        <v>125000</v>
      </c>
      <c r="DL207" s="840">
        <v>144000</v>
      </c>
      <c r="DM207" s="840">
        <v>148000</v>
      </c>
      <c r="DO207" s="25"/>
      <c r="DP207" s="840"/>
      <c r="DQ207"/>
      <c r="DR207"/>
      <c r="DS207"/>
      <c r="DT207" s="25"/>
      <c r="DU207" s="25"/>
      <c r="DV207" s="25"/>
    </row>
    <row r="208" spans="1:126">
      <c r="B208" s="180" t="s">
        <v>570</v>
      </c>
      <c r="C208" s="25"/>
      <c r="D208" s="25"/>
      <c r="E208" s="25"/>
      <c r="F208" s="25"/>
      <c r="G208" s="25"/>
      <c r="H208" s="25"/>
      <c r="I208" s="25"/>
      <c r="N208" s="25"/>
      <c r="S208" s="25"/>
      <c r="X208" s="25"/>
      <c r="AC208" s="25"/>
      <c r="AH208" s="25"/>
      <c r="AM208" s="25"/>
      <c r="AR208" s="25"/>
      <c r="AW208" s="25">
        <v>14319</v>
      </c>
      <c r="AX208">
        <v>14140</v>
      </c>
      <c r="AY208">
        <v>13910</v>
      </c>
      <c r="AZ208">
        <v>14389</v>
      </c>
      <c r="BA208">
        <v>13849</v>
      </c>
      <c r="BB208" s="25">
        <v>13849</v>
      </c>
      <c r="BC208">
        <v>12974</v>
      </c>
      <c r="BD208">
        <v>12827</v>
      </c>
      <c r="BE208">
        <v>13043</v>
      </c>
      <c r="BF208">
        <v>13607</v>
      </c>
      <c r="BG208" s="25">
        <v>13607</v>
      </c>
      <c r="BH208">
        <v>12920</v>
      </c>
      <c r="BI208">
        <v>13745</v>
      </c>
      <c r="BJ208">
        <v>13759</v>
      </c>
      <c r="BK208">
        <v>12807</v>
      </c>
      <c r="BL208" s="25">
        <v>12807</v>
      </c>
      <c r="BM208">
        <v>11832</v>
      </c>
      <c r="BN208">
        <v>12070</v>
      </c>
      <c r="BO208">
        <v>11850</v>
      </c>
      <c r="BP208">
        <v>13155</v>
      </c>
      <c r="BQ208" s="25">
        <v>13155</v>
      </c>
      <c r="BR208">
        <v>13704</v>
      </c>
      <c r="BS208">
        <v>14408</v>
      </c>
      <c r="BT208">
        <v>15067</v>
      </c>
      <c r="BU208">
        <v>14982</v>
      </c>
      <c r="BV208" s="25">
        <v>14982</v>
      </c>
      <c r="BW208">
        <v>15233</v>
      </c>
      <c r="BX208">
        <v>14731</v>
      </c>
      <c r="BY208">
        <v>15644</v>
      </c>
      <c r="BZ208">
        <v>15598</v>
      </c>
      <c r="CA208" s="25">
        <v>15598</v>
      </c>
      <c r="CB208">
        <v>14942</v>
      </c>
      <c r="CC208">
        <v>15789</v>
      </c>
      <c r="CD208">
        <v>16545</v>
      </c>
      <c r="CE208">
        <v>16887</v>
      </c>
      <c r="CF208" s="25">
        <v>16887</v>
      </c>
      <c r="CG208">
        <v>17029</v>
      </c>
      <c r="CH208">
        <v>18093</v>
      </c>
      <c r="CI208">
        <v>18377</v>
      </c>
      <c r="CJ208">
        <v>18737</v>
      </c>
      <c r="CK208" s="25">
        <f>CJ208</f>
        <v>18737</v>
      </c>
      <c r="CL208">
        <f>6775+11836+503</f>
        <v>19114</v>
      </c>
      <c r="CM208">
        <v>19000</v>
      </c>
      <c r="CN208">
        <v>18300</v>
      </c>
      <c r="CO208">
        <v>18700</v>
      </c>
      <c r="CP208" s="25">
        <f t="shared" ref="CP208:CP209" si="227">CO208</f>
        <v>18700</v>
      </c>
      <c r="CQ208">
        <v>19000</v>
      </c>
      <c r="CR208">
        <v>19400</v>
      </c>
      <c r="CS208">
        <v>18700</v>
      </c>
      <c r="CT208">
        <v>18000</v>
      </c>
      <c r="CU208" s="25">
        <f>CT208</f>
        <v>18000</v>
      </c>
      <c r="CV208" s="185">
        <v>17000</v>
      </c>
      <c r="CW208" s="185">
        <v>16000</v>
      </c>
      <c r="CX208" s="185">
        <v>17000</v>
      </c>
      <c r="CY208" s="185">
        <v>16000</v>
      </c>
      <c r="CZ208" s="25">
        <f t="shared" ref="CZ208:CZ210" si="228">CY208</f>
        <v>16000</v>
      </c>
      <c r="DA208" s="185">
        <v>17000</v>
      </c>
      <c r="DB208" s="185">
        <v>17000</v>
      </c>
      <c r="DE208" s="25">
        <f t="shared" ref="DE208:DE210" si="229">DD208</f>
        <v>0</v>
      </c>
      <c r="DF208" s="185"/>
      <c r="DG208" s="840"/>
      <c r="DH208" s="840"/>
      <c r="DI208" s="633"/>
      <c r="DJ208" s="25">
        <f t="shared" ref="DJ208:DJ210" si="230">DI208</f>
        <v>0</v>
      </c>
      <c r="DK208" s="185"/>
      <c r="DL208" s="840"/>
      <c r="DM208" s="840"/>
      <c r="DO208" s="25"/>
      <c r="DP208" s="185"/>
      <c r="DQ208"/>
      <c r="DR208"/>
      <c r="DS208"/>
      <c r="DT208" s="25"/>
      <c r="DU208" s="25"/>
      <c r="DV208" s="25"/>
    </row>
    <row r="209" spans="1:126">
      <c r="B209" s="180" t="s">
        <v>640</v>
      </c>
      <c r="C209" s="25"/>
      <c r="D209" s="25"/>
      <c r="E209" s="25"/>
      <c r="F209" s="25"/>
      <c r="G209" s="25"/>
      <c r="H209" s="25"/>
      <c r="I209" s="25"/>
      <c r="N209" s="25"/>
      <c r="S209" s="25"/>
      <c r="X209" s="25"/>
      <c r="AC209" s="25"/>
      <c r="AH209" s="25"/>
      <c r="AM209" s="25"/>
      <c r="AR209" s="25"/>
      <c r="AW209" s="25">
        <v>20993</v>
      </c>
      <c r="AX209">
        <v>20163</v>
      </c>
      <c r="AY209">
        <v>20013</v>
      </c>
      <c r="AZ209">
        <v>20626</v>
      </c>
      <c r="BA209">
        <v>22332</v>
      </c>
      <c r="BB209" s="25">
        <v>22332</v>
      </c>
      <c r="BC209">
        <v>20572</v>
      </c>
      <c r="BD209">
        <v>19608</v>
      </c>
      <c r="BE209">
        <v>19192</v>
      </c>
      <c r="BF209">
        <v>20078</v>
      </c>
      <c r="BG209" s="25">
        <v>20078</v>
      </c>
      <c r="BH209">
        <v>19263</v>
      </c>
      <c r="BI209">
        <v>19274</v>
      </c>
      <c r="BJ209">
        <v>19488</v>
      </c>
      <c r="BK209">
        <v>20764</v>
      </c>
      <c r="BL209" s="25">
        <v>20764</v>
      </c>
      <c r="BM209">
        <v>20653</v>
      </c>
      <c r="BN209">
        <v>22424</v>
      </c>
      <c r="BO209">
        <v>21721</v>
      </c>
      <c r="BP209">
        <v>21514</v>
      </c>
      <c r="BQ209" s="25">
        <v>21514</v>
      </c>
      <c r="BR209">
        <v>21064</v>
      </c>
      <c r="BS209">
        <v>20902</v>
      </c>
      <c r="BT209">
        <v>20744</v>
      </c>
      <c r="BU209">
        <v>21727</v>
      </c>
      <c r="BV209" s="25">
        <v>21727</v>
      </c>
      <c r="BW209">
        <v>20821</v>
      </c>
      <c r="BX209">
        <v>21437</v>
      </c>
      <c r="BY209">
        <v>21032</v>
      </c>
      <c r="BZ209">
        <v>22612</v>
      </c>
      <c r="CA209" s="25">
        <v>22612</v>
      </c>
      <c r="CB209">
        <v>23197</v>
      </c>
      <c r="CC209">
        <v>24092</v>
      </c>
      <c r="CD209">
        <v>25054</v>
      </c>
      <c r="CE209">
        <v>25533</v>
      </c>
      <c r="CF209" s="25">
        <v>25533</v>
      </c>
      <c r="CG209">
        <v>24044</v>
      </c>
      <c r="CH209">
        <v>25038</v>
      </c>
      <c r="CI209">
        <v>26237</v>
      </c>
      <c r="CJ209">
        <v>30015</v>
      </c>
      <c r="CK209" s="25">
        <f>CJ209</f>
        <v>30015</v>
      </c>
      <c r="CL209">
        <f>14335+17863</f>
        <v>32198</v>
      </c>
      <c r="CM209">
        <v>32800</v>
      </c>
      <c r="CN209">
        <v>31600</v>
      </c>
      <c r="CO209">
        <v>29600</v>
      </c>
      <c r="CP209" s="25">
        <f t="shared" si="227"/>
        <v>29600</v>
      </c>
      <c r="CQ209">
        <v>27700</v>
      </c>
      <c r="CR209">
        <v>29700</v>
      </c>
      <c r="CS209">
        <v>29600</v>
      </c>
      <c r="CT209">
        <v>29000</v>
      </c>
      <c r="CU209" s="25">
        <f>CT209</f>
        <v>29000</v>
      </c>
      <c r="CV209" s="185">
        <v>29000</v>
      </c>
      <c r="CW209" s="185">
        <v>30000</v>
      </c>
      <c r="CX209" s="185">
        <v>32000</v>
      </c>
      <c r="CY209" s="185">
        <v>34000</v>
      </c>
      <c r="CZ209" s="25">
        <f t="shared" si="228"/>
        <v>34000</v>
      </c>
      <c r="DA209" s="185">
        <v>35000</v>
      </c>
      <c r="DB209" s="185">
        <v>35000</v>
      </c>
      <c r="DC209" s="185">
        <v>50000</v>
      </c>
      <c r="DD209" s="185">
        <v>52000</v>
      </c>
      <c r="DE209" s="25">
        <f t="shared" si="229"/>
        <v>52000</v>
      </c>
      <c r="DF209" s="185">
        <v>53000</v>
      </c>
      <c r="DG209" s="840">
        <v>51000</v>
      </c>
      <c r="DH209" s="840">
        <v>60000</v>
      </c>
      <c r="DI209" s="840"/>
      <c r="DJ209" s="25">
        <f t="shared" si="230"/>
        <v>0</v>
      </c>
      <c r="DK209" s="840"/>
      <c r="DL209" s="840"/>
      <c r="DM209" s="840"/>
      <c r="DO209" s="25"/>
      <c r="DP209" s="840"/>
      <c r="DQ209"/>
      <c r="DR209"/>
      <c r="DS209"/>
      <c r="DT209" s="25"/>
      <c r="DU209" s="25"/>
      <c r="DV209" s="25"/>
    </row>
    <row r="210" spans="1:126">
      <c r="B210" s="180" t="s">
        <v>623</v>
      </c>
      <c r="C210" s="25"/>
      <c r="D210" s="25"/>
      <c r="E210" s="25"/>
      <c r="F210" s="25"/>
      <c r="G210" s="25"/>
      <c r="H210" s="25"/>
      <c r="I210" s="25"/>
      <c r="N210" s="25"/>
      <c r="S210" s="25"/>
      <c r="X210" s="25"/>
      <c r="AC210" s="25"/>
      <c r="AH210" s="25"/>
      <c r="AM210" s="25"/>
      <c r="AR210" s="25"/>
      <c r="AW210" s="25"/>
      <c r="BB210" s="25"/>
      <c r="BG210" s="25"/>
      <c r="BL210" s="25"/>
      <c r="BQ210" s="25"/>
      <c r="BV210" s="25"/>
      <c r="CA210" s="25"/>
      <c r="CF210" s="25"/>
      <c r="CK210" s="25"/>
      <c r="CP210" s="25"/>
      <c r="CU210" s="25">
        <v>63000</v>
      </c>
      <c r="CV210" s="185">
        <v>62000</v>
      </c>
      <c r="CW210" s="185">
        <v>65000</v>
      </c>
      <c r="CX210" s="185">
        <v>67000</v>
      </c>
      <c r="CY210" s="185">
        <v>69000</v>
      </c>
      <c r="CZ210" s="25">
        <f t="shared" si="228"/>
        <v>69000</v>
      </c>
      <c r="DA210" s="185">
        <v>71000</v>
      </c>
      <c r="DB210" s="185">
        <v>73000</v>
      </c>
      <c r="DC210" s="185">
        <v>75000</v>
      </c>
      <c r="DD210" s="185">
        <v>78000</v>
      </c>
      <c r="DE210" s="25">
        <f t="shared" si="229"/>
        <v>78000</v>
      </c>
      <c r="DF210" s="185">
        <v>77000</v>
      </c>
      <c r="DG210" s="840">
        <v>77000</v>
      </c>
      <c r="DH210" s="840">
        <v>90000</v>
      </c>
      <c r="DI210" s="840">
        <v>93000</v>
      </c>
      <c r="DJ210" s="25">
        <f t="shared" si="230"/>
        <v>93000</v>
      </c>
      <c r="DK210" s="840">
        <v>92000</v>
      </c>
      <c r="DL210" s="840">
        <v>92000</v>
      </c>
      <c r="DM210" s="840">
        <v>103000</v>
      </c>
      <c r="DO210" s="25"/>
      <c r="DP210" s="840"/>
      <c r="DQ210"/>
      <c r="DR210"/>
      <c r="DS210"/>
      <c r="DT210" s="25"/>
      <c r="DU210" s="25"/>
      <c r="DV210" s="25"/>
    </row>
    <row r="211" spans="1:126" s="108" customFormat="1">
      <c r="A211" s="37"/>
      <c r="B211" s="179" t="s">
        <v>235</v>
      </c>
      <c r="C211" s="101"/>
      <c r="D211" s="101"/>
      <c r="E211" s="101"/>
      <c r="F211" s="101"/>
      <c r="G211" s="101"/>
      <c r="H211" s="101">
        <v>38426</v>
      </c>
      <c r="I211" s="101">
        <v>41917</v>
      </c>
      <c r="J211" s="37"/>
      <c r="K211" s="37"/>
      <c r="L211" s="37"/>
      <c r="M211" s="37"/>
      <c r="N211" s="101">
        <v>47439</v>
      </c>
      <c r="O211" s="37"/>
      <c r="P211" s="37"/>
      <c r="Q211" s="37"/>
      <c r="R211" s="37"/>
      <c r="S211" s="101">
        <v>54073</v>
      </c>
      <c r="T211" s="37"/>
      <c r="U211" s="37"/>
      <c r="V211" s="37"/>
      <c r="W211" s="37"/>
      <c r="X211" s="101">
        <v>55258</v>
      </c>
      <c r="Y211" s="37"/>
      <c r="Z211" s="37"/>
      <c r="AA211" s="37"/>
      <c r="AB211" s="37"/>
      <c r="AC211" s="101">
        <v>65373</v>
      </c>
      <c r="AD211" s="37"/>
      <c r="AE211" s="37"/>
      <c r="AF211" s="37"/>
      <c r="AG211" s="37"/>
      <c r="AH211" s="101">
        <v>67680</v>
      </c>
      <c r="AI211" s="37"/>
      <c r="AJ211" s="37"/>
      <c r="AK211" s="37"/>
      <c r="AL211" s="37"/>
      <c r="AM211" s="101">
        <v>64568</v>
      </c>
      <c r="AN211" s="37"/>
      <c r="AO211" s="37"/>
      <c r="AP211" s="37"/>
      <c r="AQ211" s="37"/>
      <c r="AR211" s="101">
        <v>63203</v>
      </c>
      <c r="AS211" s="37"/>
      <c r="AT211" s="37"/>
      <c r="AU211" s="37"/>
      <c r="AV211" s="37"/>
      <c r="AW211" s="101">
        <f>SUM(AW205:AW209)</f>
        <v>63112</v>
      </c>
      <c r="AX211" s="37"/>
      <c r="AY211" s="37"/>
      <c r="AZ211" s="37"/>
      <c r="BA211" s="37"/>
      <c r="BB211" s="101">
        <f>SUM(BB205:BB209)</f>
        <v>89881</v>
      </c>
      <c r="BC211" s="37"/>
      <c r="BD211" s="37"/>
      <c r="BE211" s="37"/>
      <c r="BF211" s="37"/>
      <c r="BG211" s="101">
        <f>SUM(BG205:BG209)</f>
        <v>82385</v>
      </c>
      <c r="BH211" s="37"/>
      <c r="BI211" s="37"/>
      <c r="BJ211" s="37"/>
      <c r="BK211" s="37"/>
      <c r="BL211" s="101">
        <f>SUM(BL205:BL209)</f>
        <v>94871</v>
      </c>
      <c r="BM211" s="37"/>
      <c r="BN211" s="37"/>
      <c r="BO211" s="37"/>
      <c r="BP211" s="37"/>
      <c r="BQ211" s="101">
        <f>SUM(BQ205:BQ209)</f>
        <v>100369</v>
      </c>
      <c r="BR211" s="37"/>
      <c r="BS211" s="37"/>
      <c r="BT211" s="37"/>
      <c r="BU211" s="37"/>
      <c r="BV211" s="101">
        <f>SUM(BV205:BV209)</f>
        <v>111909</v>
      </c>
      <c r="BW211" s="37"/>
      <c r="BX211" s="37"/>
      <c r="BY211" s="37"/>
      <c r="BZ211" s="37"/>
      <c r="CA211" s="101">
        <f>SUM(CA205:CA209)</f>
        <v>116410</v>
      </c>
      <c r="CB211" s="37"/>
      <c r="CC211" s="37"/>
      <c r="CD211" s="37"/>
      <c r="CE211" s="37"/>
      <c r="CF211" s="101">
        <f>SUM(CF205:CF209)</f>
        <v>140120</v>
      </c>
      <c r="CG211" s="37"/>
      <c r="CH211" s="37"/>
      <c r="CI211" s="37"/>
      <c r="CJ211" s="37"/>
      <c r="CK211" s="101">
        <f>SUM(CK205:CK209)</f>
        <v>163452</v>
      </c>
      <c r="CL211" s="37"/>
      <c r="CM211" s="37"/>
      <c r="CN211" s="37"/>
      <c r="CO211" s="37"/>
      <c r="CP211" s="101"/>
      <c r="CQ211" s="37"/>
      <c r="CR211" s="37"/>
      <c r="CS211" s="37"/>
      <c r="CT211" s="37"/>
      <c r="CU211" s="101">
        <f>+CU207+CU210</f>
        <v>156000</v>
      </c>
      <c r="CV211" s="37">
        <f t="shared" ref="CV211:CX211" si="231">+CV207+CV210</f>
        <v>154000</v>
      </c>
      <c r="CW211" s="37">
        <f t="shared" si="231"/>
        <v>161000</v>
      </c>
      <c r="CX211" s="37">
        <f t="shared" si="231"/>
        <v>168000</v>
      </c>
      <c r="CY211" s="37">
        <v>175000</v>
      </c>
      <c r="CZ211" s="101">
        <f>CY211</f>
        <v>175000</v>
      </c>
      <c r="DA211" s="37">
        <v>180000</v>
      </c>
      <c r="DB211" s="37">
        <v>185000</v>
      </c>
      <c r="DC211" s="37">
        <f t="shared" ref="DC211:DH211" si="232">+SUM(DC210,DC207)</f>
        <v>190000</v>
      </c>
      <c r="DD211" s="37">
        <f t="shared" si="232"/>
        <v>196000</v>
      </c>
      <c r="DE211" s="101">
        <f t="shared" si="232"/>
        <v>196000</v>
      </c>
      <c r="DF211" s="37">
        <f t="shared" si="232"/>
        <v>202000</v>
      </c>
      <c r="DG211" s="37">
        <f t="shared" si="232"/>
        <v>206000</v>
      </c>
      <c r="DH211" s="37">
        <f t="shared" si="232"/>
        <v>221000</v>
      </c>
      <c r="DI211" s="37">
        <f t="shared" ref="DI211:DL211" si="233">+SUM(DI210,DI207)</f>
        <v>218000</v>
      </c>
      <c r="DJ211" s="101">
        <f t="shared" si="233"/>
        <v>218000</v>
      </c>
      <c r="DK211" s="37">
        <f t="shared" si="233"/>
        <v>217000</v>
      </c>
      <c r="DL211" s="37">
        <f t="shared" si="233"/>
        <v>236000</v>
      </c>
      <c r="DM211" s="37">
        <f t="shared" ref="DM211" si="234">+SUM(DM210,DM207)</f>
        <v>251000</v>
      </c>
      <c r="DN211" s="37"/>
      <c r="DO211" s="101"/>
      <c r="DP211" s="37"/>
      <c r="DQ211" s="37"/>
      <c r="DR211" s="37"/>
      <c r="DS211" s="37"/>
      <c r="DT211" s="101"/>
      <c r="DU211" s="101"/>
      <c r="DV211" s="101"/>
    </row>
    <row r="212" spans="1:126" s="13" customFormat="1">
      <c r="A212" s="32"/>
      <c r="B212" s="45"/>
      <c r="C212" s="241"/>
      <c r="D212" s="17"/>
      <c r="E212" s="17"/>
      <c r="F212" s="17"/>
      <c r="G212" s="17"/>
      <c r="H212" s="17"/>
      <c r="I212" s="17"/>
      <c r="N212" s="17"/>
      <c r="S212" s="17"/>
      <c r="X212" s="17"/>
      <c r="AC212" s="17"/>
      <c r="AH212" s="17"/>
      <c r="AM212" s="17"/>
      <c r="AR212" s="17"/>
      <c r="AU212" s="16"/>
      <c r="AW212" s="17"/>
      <c r="AZ212" s="16"/>
      <c r="BA212" s="16"/>
      <c r="BB212" s="17"/>
      <c r="BD212" s="16"/>
      <c r="BE212" s="16"/>
      <c r="BF212" s="16"/>
      <c r="BG212" s="17"/>
      <c r="BH212" s="16"/>
      <c r="BI212" s="16"/>
      <c r="BJ212" s="471"/>
      <c r="BK212" s="16"/>
      <c r="BL212" s="17"/>
      <c r="BM212" s="16"/>
      <c r="BN212" s="16"/>
      <c r="BO212" s="471"/>
      <c r="BP212" s="16"/>
      <c r="BQ212" s="17"/>
      <c r="BR212" s="16"/>
      <c r="BS212" s="368"/>
      <c r="BT212" s="471"/>
      <c r="BU212" s="16"/>
      <c r="BV212" s="17"/>
      <c r="BW212" s="16"/>
      <c r="BX212" s="16"/>
      <c r="BY212" s="471"/>
      <c r="BZ212" s="16"/>
      <c r="CA212" s="17"/>
      <c r="CB212" s="16"/>
      <c r="CC212" s="16"/>
      <c r="CD212" s="471"/>
      <c r="CE212" s="16"/>
      <c r="CF212" s="17"/>
      <c r="CG212" s="16"/>
      <c r="CH212" s="16"/>
      <c r="CI212" s="471"/>
      <c r="CJ212" s="16"/>
      <c r="CK212" s="17"/>
      <c r="CL212" s="16"/>
      <c r="CM212" s="16"/>
      <c r="CN212" s="471"/>
      <c r="CO212" s="16"/>
      <c r="CP212" s="17"/>
      <c r="CQ212" s="16"/>
      <c r="CR212" s="16"/>
      <c r="CS212" s="16"/>
      <c r="CT212" s="16"/>
      <c r="CU212" s="17"/>
      <c r="CV212" s="16"/>
      <c r="CW212" s="16"/>
      <c r="CX212" s="16"/>
      <c r="CY212" s="16"/>
      <c r="CZ212" s="17"/>
      <c r="DA212" s="16"/>
      <c r="DB212" s="16"/>
      <c r="DC212" s="16"/>
      <c r="DD212" s="16"/>
      <c r="DE212" s="17"/>
      <c r="DF212" s="16"/>
      <c r="DG212" s="16"/>
      <c r="DH212" s="16"/>
      <c r="DI212" s="16"/>
      <c r="DJ212" s="17"/>
      <c r="DK212" s="16"/>
      <c r="DL212" s="16"/>
      <c r="DM212" s="16"/>
      <c r="DN212" s="16"/>
      <c r="DO212" s="17"/>
      <c r="DP212" s="16"/>
      <c r="DQ212" s="16"/>
      <c r="DR212" s="16"/>
      <c r="DS212" s="16"/>
      <c r="DT212" s="17"/>
      <c r="DU212" s="17"/>
      <c r="DV212" s="17"/>
    </row>
    <row r="213" spans="1:126" s="13" customFormat="1">
      <c r="A213" s="32"/>
      <c r="B213" s="45"/>
      <c r="C213" s="17"/>
      <c r="D213" s="17"/>
      <c r="E213" s="17"/>
      <c r="F213" s="17"/>
      <c r="G213" s="17"/>
      <c r="H213" s="17"/>
      <c r="I213" s="17"/>
      <c r="N213" s="17"/>
      <c r="S213" s="17"/>
      <c r="X213" s="17"/>
      <c r="Y213" s="133"/>
      <c r="Z213" s="133"/>
      <c r="AA213" s="133"/>
      <c r="AB213" s="133"/>
      <c r="AC213" s="27"/>
      <c r="AD213" s="133"/>
      <c r="AE213" s="133"/>
      <c r="AF213" s="133"/>
      <c r="AG213" s="133"/>
      <c r="AH213" s="27"/>
      <c r="AI213" s="133"/>
      <c r="AJ213" s="133"/>
      <c r="AK213" s="133"/>
      <c r="AL213" s="133"/>
      <c r="AM213" s="27"/>
      <c r="AN213" s="133"/>
      <c r="AO213" s="133"/>
      <c r="AP213" s="133"/>
      <c r="AQ213" s="133"/>
      <c r="AR213" s="196"/>
      <c r="AS213" s="133"/>
      <c r="AT213" s="133"/>
      <c r="AU213" s="68"/>
      <c r="AV213" s="133"/>
      <c r="AW213" s="196"/>
      <c r="AX213" s="133"/>
      <c r="AY213" s="133"/>
      <c r="AZ213" s="16"/>
      <c r="BA213" s="16"/>
      <c r="BB213" s="196"/>
      <c r="BC213" s="133"/>
      <c r="BD213" s="16"/>
      <c r="BE213" s="16"/>
      <c r="BF213" s="16"/>
      <c r="BG213" s="17"/>
      <c r="BH213" s="16"/>
      <c r="BI213" s="16"/>
      <c r="BJ213" s="16"/>
      <c r="BK213" s="16"/>
      <c r="BL213" s="17"/>
      <c r="BM213" s="16"/>
      <c r="BN213" s="16"/>
      <c r="BO213" s="16"/>
      <c r="BP213" s="16"/>
      <c r="BQ213" s="17"/>
      <c r="BR213" s="16"/>
      <c r="BS213" s="368"/>
      <c r="BT213" s="16"/>
      <c r="BU213" s="16"/>
      <c r="BV213" s="17"/>
      <c r="BW213" s="16"/>
      <c r="BX213" s="16"/>
      <c r="BY213" s="16"/>
      <c r="BZ213" s="16"/>
      <c r="CA213" s="17"/>
      <c r="CB213" s="16"/>
      <c r="CC213" s="16"/>
      <c r="CD213" s="16"/>
      <c r="CE213" s="16"/>
      <c r="CF213" s="17"/>
      <c r="CG213" s="16"/>
      <c r="CH213" s="16"/>
      <c r="CI213" s="16"/>
      <c r="CJ213" s="16"/>
      <c r="CK213" s="17"/>
      <c r="CL213" s="16"/>
      <c r="CM213" s="16"/>
      <c r="CN213" s="16"/>
      <c r="CO213" s="16"/>
      <c r="CP213" s="17"/>
      <c r="CQ213" s="16"/>
      <c r="CR213" s="16"/>
      <c r="CS213" s="16"/>
      <c r="CT213" s="16"/>
      <c r="CU213" s="17"/>
      <c r="CV213" s="16"/>
      <c r="CW213" s="16"/>
      <c r="CX213" s="16"/>
      <c r="CY213" s="16"/>
      <c r="CZ213" s="17"/>
      <c r="DA213" s="16"/>
      <c r="DB213" s="16"/>
      <c r="DC213" s="16"/>
      <c r="DD213" s="16"/>
      <c r="DE213" s="17"/>
      <c r="DF213" s="16"/>
      <c r="DG213" s="16"/>
      <c r="DH213" s="16"/>
      <c r="DI213" s="16"/>
      <c r="DJ213" s="17"/>
      <c r="DK213" s="16"/>
      <c r="DL213" s="16"/>
      <c r="DM213" s="16"/>
      <c r="DN213" s="16"/>
      <c r="DO213" s="17"/>
      <c r="DP213" s="16"/>
      <c r="DQ213" s="16"/>
      <c r="DR213" s="16"/>
      <c r="DS213" s="16"/>
      <c r="DT213" s="17"/>
      <c r="DU213" s="17"/>
      <c r="DV213" s="17"/>
    </row>
    <row r="214" spans="1:126" s="425" customFormat="1">
      <c r="A214"/>
      <c r="B214" s="423" t="s">
        <v>185</v>
      </c>
      <c r="C214" s="424"/>
      <c r="D214" s="424"/>
      <c r="E214" s="424"/>
      <c r="F214" s="424"/>
      <c r="G214" s="424"/>
      <c r="H214" s="424"/>
      <c r="I214" s="424"/>
      <c r="N214" s="424"/>
      <c r="S214" s="424"/>
      <c r="X214" s="424"/>
      <c r="AC214" s="424"/>
      <c r="AH214" s="424"/>
      <c r="AM214" s="424"/>
      <c r="AR214" s="424"/>
      <c r="AU214" s="426"/>
      <c r="AW214" s="424"/>
      <c r="AZ214" s="426"/>
      <c r="BA214" s="426"/>
      <c r="BB214" s="424"/>
      <c r="BD214" s="426"/>
      <c r="BE214" s="426"/>
      <c r="BF214" s="426"/>
      <c r="BG214" s="424"/>
      <c r="BH214" s="426"/>
      <c r="BI214" s="426"/>
      <c r="BJ214" s="426"/>
      <c r="BK214" s="426"/>
      <c r="BL214" s="424"/>
      <c r="BM214" s="426"/>
      <c r="BN214" s="426"/>
      <c r="BO214" s="426"/>
      <c r="BP214" s="426"/>
      <c r="BQ214" s="424"/>
      <c r="BR214" s="426"/>
      <c r="BS214" s="503"/>
      <c r="BT214" s="426"/>
      <c r="BU214" s="426"/>
      <c r="BV214" s="424"/>
      <c r="BW214" s="426"/>
      <c r="BX214" s="426"/>
      <c r="BY214" s="426"/>
      <c r="BZ214" s="426"/>
      <c r="CA214" s="424"/>
      <c r="CB214" s="426"/>
      <c r="CC214" s="426"/>
      <c r="CD214" s="426"/>
      <c r="CE214" s="426"/>
      <c r="CF214" s="424"/>
      <c r="CG214" s="426"/>
      <c r="CH214" s="426"/>
      <c r="CI214" s="426"/>
      <c r="CJ214" s="426"/>
      <c r="CK214" s="424"/>
      <c r="CL214" s="426"/>
      <c r="CM214" s="426"/>
      <c r="CN214" s="426"/>
      <c r="CO214" s="426"/>
      <c r="CP214" s="424"/>
      <c r="CQ214" s="426"/>
      <c r="CR214" s="426"/>
      <c r="CS214" s="426"/>
      <c r="CT214" s="426"/>
      <c r="CU214" s="424"/>
      <c r="CV214" s="426"/>
      <c r="CW214" s="426"/>
      <c r="CX214" s="426"/>
      <c r="CY214" s="426"/>
      <c r="CZ214" s="424"/>
      <c r="DA214" s="426"/>
      <c r="DB214" s="426"/>
      <c r="DC214" s="426"/>
      <c r="DD214" s="426"/>
      <c r="DE214" s="424"/>
      <c r="DF214" s="426"/>
      <c r="DG214" s="426"/>
      <c r="DH214" s="426"/>
      <c r="DI214" s="426"/>
      <c r="DJ214" s="424"/>
      <c r="DK214" s="426"/>
      <c r="DL214" s="426"/>
      <c r="DM214" s="426"/>
      <c r="DN214" s="426"/>
      <c r="DO214" s="424"/>
      <c r="DP214" s="426"/>
      <c r="DQ214" s="426"/>
      <c r="DR214" s="426"/>
      <c r="DS214" s="426"/>
      <c r="DT214" s="424"/>
      <c r="DU214" s="424"/>
      <c r="DV214" s="424"/>
    </row>
    <row r="215" spans="1:126" s="428" customFormat="1">
      <c r="A215"/>
      <c r="B215" s="180" t="s">
        <v>147</v>
      </c>
      <c r="C215" s="427"/>
      <c r="D215" s="427"/>
      <c r="E215" s="427"/>
      <c r="F215" s="427"/>
      <c r="G215" s="427"/>
      <c r="H215" s="427"/>
      <c r="I215" s="427"/>
      <c r="N215" s="427"/>
      <c r="S215" s="427"/>
      <c r="X215" s="427"/>
      <c r="Y215" s="429"/>
      <c r="AC215" s="427"/>
      <c r="AH215" s="427"/>
      <c r="AM215" s="427"/>
      <c r="AR215" s="427"/>
      <c r="AU215" s="430"/>
      <c r="AW215" s="427"/>
      <c r="AZ215" s="430"/>
      <c r="BA215" s="430"/>
      <c r="BB215" s="427"/>
      <c r="BD215" s="430"/>
      <c r="BE215" s="430"/>
      <c r="BF215" s="430"/>
      <c r="BG215" s="427"/>
      <c r="BH215" s="430"/>
      <c r="BI215" s="430"/>
      <c r="BJ215" s="430"/>
      <c r="BK215" s="430"/>
      <c r="BL215" s="427"/>
      <c r="BM215" s="430"/>
      <c r="BN215" s="430"/>
      <c r="BO215" s="430"/>
      <c r="BP215" s="430"/>
      <c r="BQ215" s="427"/>
      <c r="BR215" s="430"/>
      <c r="BS215" s="504"/>
      <c r="BT215" s="430"/>
      <c r="BU215" s="430"/>
      <c r="BV215" s="427"/>
      <c r="BW215" s="430"/>
      <c r="BX215" s="430"/>
      <c r="BY215" s="430"/>
      <c r="BZ215" s="430"/>
      <c r="CA215" s="427"/>
      <c r="CB215" s="430"/>
      <c r="CC215" s="430"/>
      <c r="CD215" s="430"/>
      <c r="CE215" s="430"/>
      <c r="CF215" s="427"/>
      <c r="CG215" s="430"/>
      <c r="CH215" s="430"/>
      <c r="CI215" s="430"/>
      <c r="CJ215" s="430"/>
      <c r="CK215" s="431">
        <v>0.47</v>
      </c>
      <c r="CL215" s="430"/>
      <c r="CM215" s="430"/>
      <c r="CN215" s="430"/>
      <c r="CO215" s="430"/>
      <c r="CP215" s="431">
        <v>0.47</v>
      </c>
      <c r="CQ215" s="430"/>
      <c r="CR215" s="430"/>
      <c r="CS215" s="430"/>
      <c r="CT215" s="430"/>
      <c r="CU215" s="431">
        <v>0.47</v>
      </c>
      <c r="CV215" s="430"/>
      <c r="CW215" s="430"/>
      <c r="CX215" s="430"/>
      <c r="CY215" s="430"/>
      <c r="CZ215" s="431">
        <v>0.47</v>
      </c>
      <c r="DA215" s="430"/>
      <c r="DB215" s="430"/>
      <c r="DC215" s="430"/>
      <c r="DD215" s="430"/>
      <c r="DE215" s="431">
        <v>0.47</v>
      </c>
      <c r="DF215" s="430"/>
      <c r="DG215" s="430"/>
      <c r="DH215" s="430"/>
      <c r="DI215" s="430"/>
      <c r="DJ215" s="431">
        <v>0.47</v>
      </c>
      <c r="DK215" s="430"/>
      <c r="DL215" s="430"/>
      <c r="DM215" s="430"/>
      <c r="DN215" s="430"/>
      <c r="DO215" s="431">
        <v>0.47</v>
      </c>
      <c r="DP215" s="430"/>
      <c r="DQ215" s="430"/>
      <c r="DR215" s="430"/>
      <c r="DS215" s="430"/>
      <c r="DT215" s="431">
        <v>0.47</v>
      </c>
      <c r="DU215" s="431">
        <v>0.47</v>
      </c>
      <c r="DV215" s="431">
        <v>0.47</v>
      </c>
    </row>
    <row r="216" spans="1:126" s="428" customFormat="1">
      <c r="A216"/>
      <c r="B216" s="180" t="s">
        <v>605</v>
      </c>
      <c r="C216" s="427"/>
      <c r="D216" s="427"/>
      <c r="E216" s="427"/>
      <c r="F216" s="427"/>
      <c r="G216" s="427"/>
      <c r="H216" s="427"/>
      <c r="I216" s="427"/>
      <c r="N216" s="427"/>
      <c r="S216" s="427"/>
      <c r="X216" s="427"/>
      <c r="Y216" s="429"/>
      <c r="AC216" s="427"/>
      <c r="AH216" s="427"/>
      <c r="AM216" s="427"/>
      <c r="AR216" s="427"/>
      <c r="AU216" s="430"/>
      <c r="AW216" s="427"/>
      <c r="AZ216" s="430"/>
      <c r="BA216" s="430"/>
      <c r="BB216" s="427"/>
      <c r="BD216" s="430"/>
      <c r="BE216" s="430"/>
      <c r="BF216" s="430"/>
      <c r="BG216" s="427"/>
      <c r="BH216" s="430"/>
      <c r="BI216" s="430"/>
      <c r="BJ216" s="430"/>
      <c r="BK216" s="430"/>
      <c r="BL216" s="427"/>
      <c r="BM216" s="430"/>
      <c r="BN216" s="430"/>
      <c r="BO216" s="430"/>
      <c r="BP216" s="430"/>
      <c r="BQ216" s="427"/>
      <c r="BR216" s="430"/>
      <c r="BS216" s="504"/>
      <c r="BT216" s="430"/>
      <c r="BU216" s="430"/>
      <c r="BV216" s="427"/>
      <c r="BW216" s="430"/>
      <c r="BX216" s="430"/>
      <c r="BY216" s="430"/>
      <c r="BZ216" s="430"/>
      <c r="CA216" s="427"/>
      <c r="CB216" s="430"/>
      <c r="CC216" s="430"/>
      <c r="CD216" s="430"/>
      <c r="CE216" s="430"/>
      <c r="CF216" s="427"/>
      <c r="CG216" s="430"/>
      <c r="CH216" s="430"/>
      <c r="CI216" s="430"/>
      <c r="CJ216" s="430"/>
      <c r="CK216" s="431">
        <v>0.17</v>
      </c>
      <c r="CL216" s="430"/>
      <c r="CM216" s="430"/>
      <c r="CN216" s="430"/>
      <c r="CO216" s="430"/>
      <c r="CP216" s="431">
        <v>0.17</v>
      </c>
      <c r="CQ216" s="430"/>
      <c r="CR216" s="430"/>
      <c r="CS216" s="430"/>
      <c r="CT216" s="430"/>
      <c r="CU216" s="431">
        <v>0.17</v>
      </c>
      <c r="CV216" s="430"/>
      <c r="CW216" s="430"/>
      <c r="CX216" s="430"/>
      <c r="CY216" s="430"/>
      <c r="CZ216" s="431">
        <v>0.17</v>
      </c>
      <c r="DA216" s="430"/>
      <c r="DB216" s="430"/>
      <c r="DC216" s="430"/>
      <c r="DD216" s="430"/>
      <c r="DE216" s="431">
        <v>0.17</v>
      </c>
      <c r="DF216" s="430"/>
      <c r="DG216" s="430"/>
      <c r="DH216" s="430"/>
      <c r="DI216" s="430"/>
      <c r="DJ216" s="431">
        <v>0.17</v>
      </c>
      <c r="DK216" s="430"/>
      <c r="DL216" s="430"/>
      <c r="DM216" s="430"/>
      <c r="DN216" s="430"/>
      <c r="DO216" s="431">
        <v>0.17</v>
      </c>
      <c r="DP216" s="430"/>
      <c r="DQ216" s="430"/>
      <c r="DR216" s="430"/>
      <c r="DS216" s="430"/>
      <c r="DT216" s="431">
        <v>0.17</v>
      </c>
      <c r="DU216" s="431">
        <v>0.17</v>
      </c>
      <c r="DV216" s="431">
        <v>0.17</v>
      </c>
    </row>
    <row r="217" spans="1:126" s="428" customFormat="1">
      <c r="A217"/>
      <c r="B217" s="180" t="s">
        <v>606</v>
      </c>
      <c r="C217" s="427"/>
      <c r="D217" s="427"/>
      <c r="E217" s="427"/>
      <c r="F217" s="427"/>
      <c r="G217" s="427"/>
      <c r="H217" s="427"/>
      <c r="I217" s="427"/>
      <c r="N217" s="427"/>
      <c r="S217" s="427"/>
      <c r="X217" s="427"/>
      <c r="Y217" s="429"/>
      <c r="AC217" s="427"/>
      <c r="AH217" s="427"/>
      <c r="AM217" s="427"/>
      <c r="AR217" s="427"/>
      <c r="AU217" s="430"/>
      <c r="AW217" s="427"/>
      <c r="AZ217" s="430"/>
      <c r="BA217" s="430"/>
      <c r="BB217" s="427"/>
      <c r="BD217" s="430"/>
      <c r="BE217" s="430"/>
      <c r="BF217" s="430"/>
      <c r="BG217" s="427"/>
      <c r="BH217" s="430"/>
      <c r="BI217" s="430"/>
      <c r="BJ217" s="430"/>
      <c r="BK217" s="430"/>
      <c r="BL217" s="427"/>
      <c r="BM217" s="430"/>
      <c r="BN217" s="430"/>
      <c r="BO217" s="430"/>
      <c r="BP217" s="430"/>
      <c r="BQ217" s="427"/>
      <c r="BR217" s="430"/>
      <c r="BS217" s="504"/>
      <c r="BT217" s="430"/>
      <c r="BU217" s="430"/>
      <c r="BV217" s="427"/>
      <c r="BW217" s="430"/>
      <c r="BX217" s="430"/>
      <c r="BY217" s="430"/>
      <c r="BZ217" s="430"/>
      <c r="CA217" s="427"/>
      <c r="CB217" s="430"/>
      <c r="CC217" s="430"/>
      <c r="CD217" s="430"/>
      <c r="CE217" s="430"/>
      <c r="CF217" s="431"/>
      <c r="CG217" s="430"/>
      <c r="CH217" s="430"/>
      <c r="CI217" s="430"/>
      <c r="CJ217" s="430"/>
      <c r="CK217" s="431">
        <v>0.04</v>
      </c>
      <c r="CL217" s="430"/>
      <c r="CM217" s="430"/>
      <c r="CN217" s="430"/>
      <c r="CO217" s="430"/>
      <c r="CP217" s="431">
        <v>0.04</v>
      </c>
      <c r="CQ217" s="430"/>
      <c r="CR217" s="430"/>
      <c r="CS217" s="430"/>
      <c r="CT217" s="430"/>
      <c r="CU217" s="431">
        <v>0.04</v>
      </c>
      <c r="CV217" s="430"/>
      <c r="CW217" s="430"/>
      <c r="CX217" s="430"/>
      <c r="CY217" s="430"/>
      <c r="CZ217" s="431">
        <v>0.04</v>
      </c>
      <c r="DA217" s="430"/>
      <c r="DB217" s="430"/>
      <c r="DC217" s="430"/>
      <c r="DD217" s="430"/>
      <c r="DE217" s="431">
        <v>0.04</v>
      </c>
      <c r="DF217" s="430"/>
      <c r="DG217" s="430"/>
      <c r="DH217" s="430"/>
      <c r="DI217" s="430"/>
      <c r="DJ217" s="431">
        <v>0.04</v>
      </c>
      <c r="DK217" s="430"/>
      <c r="DL217" s="430"/>
      <c r="DM217" s="430"/>
      <c r="DN217" s="430"/>
      <c r="DO217" s="431">
        <v>0.04</v>
      </c>
      <c r="DP217" s="430"/>
      <c r="DQ217" s="430"/>
      <c r="DR217" s="430"/>
      <c r="DS217" s="430"/>
      <c r="DT217" s="431">
        <v>0.04</v>
      </c>
      <c r="DU217" s="431">
        <v>0.04</v>
      </c>
      <c r="DV217" s="431">
        <v>0.04</v>
      </c>
    </row>
    <row r="218" spans="1:126" s="428" customFormat="1">
      <c r="A218"/>
      <c r="B218" s="180" t="s">
        <v>215</v>
      </c>
      <c r="C218" s="427"/>
      <c r="D218" s="427"/>
      <c r="E218" s="427"/>
      <c r="F218" s="427"/>
      <c r="G218" s="427"/>
      <c r="H218" s="427"/>
      <c r="I218" s="427"/>
      <c r="N218" s="427"/>
      <c r="S218" s="427"/>
      <c r="X218" s="427"/>
      <c r="Y218" s="429"/>
      <c r="AC218" s="427"/>
      <c r="AH218" s="427"/>
      <c r="AM218" s="427"/>
      <c r="AR218" s="427"/>
      <c r="AU218" s="430"/>
      <c r="AW218" s="427"/>
      <c r="AZ218" s="430"/>
      <c r="BA218" s="430"/>
      <c r="BB218" s="427"/>
      <c r="BD218" s="430"/>
      <c r="BE218" s="430"/>
      <c r="BF218" s="430"/>
      <c r="BG218" s="427"/>
      <c r="BH218" s="430"/>
      <c r="BI218" s="430"/>
      <c r="BJ218" s="430"/>
      <c r="BK218" s="430"/>
      <c r="BL218" s="427"/>
      <c r="BM218" s="430"/>
      <c r="BN218" s="430"/>
      <c r="BO218" s="430"/>
      <c r="BP218" s="430"/>
      <c r="BQ218" s="427"/>
      <c r="BR218" s="430"/>
      <c r="BS218" s="504"/>
      <c r="BT218" s="430"/>
      <c r="BU218" s="430"/>
      <c r="BV218" s="427"/>
      <c r="BW218" s="430"/>
      <c r="BX218" s="430"/>
      <c r="BY218" s="430"/>
      <c r="BZ218" s="430"/>
      <c r="CA218" s="427"/>
      <c r="CB218" s="430"/>
      <c r="CC218" s="430"/>
      <c r="CD218" s="430"/>
      <c r="CE218" s="430"/>
      <c r="CF218" s="427"/>
      <c r="CG218" s="430"/>
      <c r="CH218" s="430"/>
      <c r="CI218" s="430"/>
      <c r="CJ218" s="430"/>
      <c r="CK218" s="431">
        <v>0.25</v>
      </c>
      <c r="CL218" s="430"/>
      <c r="CM218" s="430"/>
      <c r="CN218" s="430"/>
      <c r="CO218" s="430"/>
      <c r="CP218" s="431">
        <v>0.25</v>
      </c>
      <c r="CQ218" s="430"/>
      <c r="CR218" s="430"/>
      <c r="CS218" s="430"/>
      <c r="CT218" s="430"/>
      <c r="CU218" s="431">
        <v>0.25</v>
      </c>
      <c r="CV218" s="430"/>
      <c r="CW218" s="430"/>
      <c r="CX218" s="430"/>
      <c r="CY218" s="430"/>
      <c r="CZ218" s="431">
        <v>0.25</v>
      </c>
      <c r="DA218" s="430"/>
      <c r="DB218" s="430"/>
      <c r="DC218" s="430"/>
      <c r="DD218" s="430"/>
      <c r="DE218" s="431">
        <v>0.25</v>
      </c>
      <c r="DF218" s="430"/>
      <c r="DG218" s="430"/>
      <c r="DH218" s="430"/>
      <c r="DI218" s="430"/>
      <c r="DJ218" s="431">
        <v>0.25</v>
      </c>
      <c r="DK218" s="430"/>
      <c r="DL218" s="430"/>
      <c r="DM218" s="430"/>
      <c r="DN218" s="430"/>
      <c r="DO218" s="431">
        <v>0.25</v>
      </c>
      <c r="DP218" s="430"/>
      <c r="DQ218" s="430"/>
      <c r="DR218" s="430"/>
      <c r="DS218" s="430"/>
      <c r="DT218" s="431">
        <v>0.25</v>
      </c>
      <c r="DU218" s="431">
        <v>0.25</v>
      </c>
      <c r="DV218" s="431">
        <v>0.25</v>
      </c>
    </row>
    <row r="219" spans="1:126" s="428" customFormat="1">
      <c r="A219"/>
      <c r="B219" s="180" t="s">
        <v>216</v>
      </c>
      <c r="C219" s="427"/>
      <c r="D219" s="427"/>
      <c r="E219" s="427"/>
      <c r="F219" s="427"/>
      <c r="G219" s="427"/>
      <c r="H219" s="427"/>
      <c r="I219" s="427"/>
      <c r="N219" s="427"/>
      <c r="S219" s="427"/>
      <c r="X219" s="427"/>
      <c r="Y219" s="429"/>
      <c r="AC219" s="427"/>
      <c r="AH219" s="427"/>
      <c r="AM219" s="427"/>
      <c r="AR219" s="427"/>
      <c r="AU219" s="430"/>
      <c r="AW219" s="427"/>
      <c r="AZ219" s="430"/>
      <c r="BA219" s="430"/>
      <c r="BB219" s="427"/>
      <c r="BD219" s="430"/>
      <c r="BE219" s="430"/>
      <c r="BF219" s="430"/>
      <c r="BG219" s="427"/>
      <c r="BH219" s="430"/>
      <c r="BI219" s="430"/>
      <c r="BJ219" s="430"/>
      <c r="BK219" s="430"/>
      <c r="BL219" s="427"/>
      <c r="BM219" s="430"/>
      <c r="BN219" s="430"/>
      <c r="BO219" s="430"/>
      <c r="BP219" s="430"/>
      <c r="BQ219" s="427"/>
      <c r="BR219" s="430"/>
      <c r="BS219" s="504"/>
      <c r="BT219" s="430"/>
      <c r="BU219" s="430"/>
      <c r="BV219" s="427"/>
      <c r="BW219" s="430"/>
      <c r="BX219" s="430"/>
      <c r="BY219" s="430"/>
      <c r="BZ219" s="430"/>
      <c r="CA219" s="427"/>
      <c r="CB219" s="430"/>
      <c r="CC219" s="430"/>
      <c r="CD219" s="430"/>
      <c r="CE219" s="430"/>
      <c r="CF219" s="427"/>
      <c r="CG219" s="430"/>
      <c r="CH219" s="430"/>
      <c r="CI219" s="430"/>
      <c r="CJ219" s="430"/>
      <c r="CK219" s="431">
        <v>7.0000000000000007E-2</v>
      </c>
      <c r="CL219" s="430"/>
      <c r="CM219" s="430"/>
      <c r="CN219" s="430"/>
      <c r="CO219" s="430"/>
      <c r="CP219" s="431">
        <v>7.0000000000000007E-2</v>
      </c>
      <c r="CQ219" s="430"/>
      <c r="CR219" s="430"/>
      <c r="CS219" s="430"/>
      <c r="CT219" s="430"/>
      <c r="CU219" s="431">
        <v>7.0000000000000007E-2</v>
      </c>
      <c r="CV219" s="430"/>
      <c r="CW219" s="430"/>
      <c r="CX219" s="430"/>
      <c r="CY219" s="430"/>
      <c r="CZ219" s="431">
        <v>7.0000000000000007E-2</v>
      </c>
      <c r="DA219" s="430"/>
      <c r="DB219" s="430"/>
      <c r="DC219" s="430"/>
      <c r="DD219" s="430"/>
      <c r="DE219" s="431">
        <v>7.0000000000000007E-2</v>
      </c>
      <c r="DF219" s="430"/>
      <c r="DG219" s="430"/>
      <c r="DH219" s="430"/>
      <c r="DI219" s="430"/>
      <c r="DJ219" s="431">
        <v>7.0000000000000007E-2</v>
      </c>
      <c r="DK219" s="430"/>
      <c r="DL219" s="430"/>
      <c r="DM219" s="430"/>
      <c r="DN219" s="430"/>
      <c r="DO219" s="431">
        <v>7.0000000000000007E-2</v>
      </c>
      <c r="DP219" s="430"/>
      <c r="DQ219" s="430"/>
      <c r="DR219" s="430"/>
      <c r="DS219" s="430"/>
      <c r="DT219" s="431">
        <v>7.0000000000000007E-2</v>
      </c>
      <c r="DU219" s="431">
        <v>7.0000000000000007E-2</v>
      </c>
      <c r="DV219" s="431">
        <v>7.0000000000000007E-2</v>
      </c>
    </row>
    <row r="220" spans="1:126" s="428" customFormat="1">
      <c r="A220"/>
      <c r="B220" s="180" t="s">
        <v>132</v>
      </c>
      <c r="C220" s="427"/>
      <c r="D220" s="427"/>
      <c r="E220" s="427"/>
      <c r="F220" s="427"/>
      <c r="G220" s="427"/>
      <c r="H220" s="427"/>
      <c r="I220" s="427"/>
      <c r="N220" s="427"/>
      <c r="S220" s="427"/>
      <c r="X220" s="427"/>
      <c r="Y220" s="432"/>
      <c r="AC220" s="427"/>
      <c r="AH220" s="427"/>
      <c r="AM220" s="427"/>
      <c r="AR220" s="427"/>
      <c r="AU220" s="430"/>
      <c r="AW220" s="427"/>
      <c r="AZ220" s="430"/>
      <c r="BA220" s="430"/>
      <c r="BB220" s="427"/>
      <c r="BD220" s="430"/>
      <c r="BE220" s="430"/>
      <c r="BF220" s="430"/>
      <c r="BG220" s="427"/>
      <c r="BH220" s="430"/>
      <c r="BI220" s="430"/>
      <c r="BJ220" s="430"/>
      <c r="BK220" s="430"/>
      <c r="BL220" s="427"/>
      <c r="BM220" s="430"/>
      <c r="BN220" s="430"/>
      <c r="BO220" s="430"/>
      <c r="BP220" s="430"/>
      <c r="BQ220" s="427"/>
      <c r="BR220" s="430"/>
      <c r="BS220" s="504"/>
      <c r="BT220" s="430"/>
      <c r="BU220" s="430"/>
      <c r="BV220" s="427"/>
      <c r="BW220" s="430"/>
      <c r="BX220" s="430"/>
      <c r="BY220" s="430"/>
      <c r="BZ220" s="430"/>
      <c r="CA220" s="427"/>
      <c r="CB220" s="430"/>
      <c r="CC220" s="430"/>
      <c r="CD220" s="430"/>
      <c r="CE220" s="430"/>
      <c r="CF220" s="427"/>
      <c r="CG220" s="430"/>
      <c r="CH220" s="430"/>
      <c r="CI220" s="430"/>
      <c r="CJ220" s="430"/>
      <c r="CK220" s="431">
        <f>SUM(CK215:CK219)</f>
        <v>1</v>
      </c>
      <c r="CL220" s="430"/>
      <c r="CM220" s="430"/>
      <c r="CN220" s="430"/>
      <c r="CO220" s="430"/>
      <c r="CP220" s="431">
        <f>SUM(CP215:CP219)</f>
        <v>1</v>
      </c>
      <c r="CQ220" s="430"/>
      <c r="CR220" s="430"/>
      <c r="CS220" s="430"/>
      <c r="CT220" s="430"/>
      <c r="CU220" s="431">
        <f>SUM(CU215:CU219)</f>
        <v>1</v>
      </c>
      <c r="CV220" s="430"/>
      <c r="CW220" s="430"/>
      <c r="CX220" s="430"/>
      <c r="CY220" s="430"/>
      <c r="CZ220" s="431">
        <f>SUM(CZ215:CZ219)</f>
        <v>1</v>
      </c>
      <c r="DA220" s="430"/>
      <c r="DB220" s="430"/>
      <c r="DC220" s="430"/>
      <c r="DD220" s="430"/>
      <c r="DE220" s="431">
        <f>SUM(DE215:DE219)</f>
        <v>1</v>
      </c>
      <c r="DF220" s="430"/>
      <c r="DG220" s="430"/>
      <c r="DH220" s="430"/>
      <c r="DI220" s="430"/>
      <c r="DJ220" s="431">
        <f>SUM(DJ215:DJ219)</f>
        <v>1</v>
      </c>
      <c r="DK220" s="430"/>
      <c r="DL220" s="430"/>
      <c r="DM220" s="430"/>
      <c r="DN220" s="430"/>
      <c r="DO220" s="431">
        <f>SUM(DO215:DO219)</f>
        <v>1</v>
      </c>
      <c r="DP220" s="430"/>
      <c r="DQ220" s="430"/>
      <c r="DR220" s="430"/>
      <c r="DS220" s="430"/>
      <c r="DT220" s="431">
        <f>SUM(DT215:DT219)</f>
        <v>1</v>
      </c>
      <c r="DU220" s="431">
        <f>SUM(DU215:DU219)</f>
        <v>1</v>
      </c>
      <c r="DV220" s="431">
        <f>SUM(DV215:DV219)</f>
        <v>1</v>
      </c>
    </row>
    <row r="221" spans="1:126" s="133" customFormat="1">
      <c r="A221"/>
      <c r="B221" s="167"/>
      <c r="C221" s="25"/>
      <c r="D221" s="27"/>
      <c r="E221" s="27"/>
      <c r="F221" s="27"/>
      <c r="G221" s="27"/>
      <c r="H221" s="27"/>
      <c r="I221" s="27"/>
      <c r="N221" s="27"/>
      <c r="S221" s="27"/>
      <c r="X221" s="27"/>
      <c r="AC221" s="27"/>
      <c r="AH221" s="27"/>
      <c r="AM221" s="27"/>
      <c r="AR221" s="196"/>
      <c r="AU221" s="68"/>
      <c r="AW221" s="196"/>
      <c r="AZ221" s="68"/>
      <c r="BA221" s="68"/>
      <c r="BB221" s="196"/>
      <c r="BD221" s="68"/>
      <c r="BE221" s="68"/>
      <c r="BF221" s="68"/>
      <c r="BG221" s="27"/>
      <c r="BH221" s="68"/>
      <c r="BI221" s="68"/>
      <c r="BJ221" s="68"/>
      <c r="BK221" s="68"/>
      <c r="BL221" s="27"/>
      <c r="BM221" s="68"/>
      <c r="BN221" s="68"/>
      <c r="BO221" s="68"/>
      <c r="BP221" s="68"/>
      <c r="BQ221" s="27"/>
      <c r="BR221" s="68"/>
      <c r="BS221" s="373"/>
      <c r="BT221" s="68"/>
      <c r="BU221" s="68"/>
      <c r="BV221" s="27"/>
      <c r="BW221" s="68"/>
      <c r="BX221" s="68"/>
      <c r="BY221" s="68"/>
      <c r="BZ221" s="68"/>
      <c r="CA221" s="27"/>
      <c r="CB221" s="68"/>
      <c r="CC221" s="68"/>
      <c r="CD221" s="68"/>
      <c r="CE221" s="68"/>
      <c r="CF221" s="27"/>
      <c r="CG221" s="68"/>
      <c r="CH221" s="68"/>
      <c r="CI221" s="68"/>
      <c r="CJ221" s="68"/>
      <c r="CK221" s="27"/>
      <c r="CL221" s="68"/>
      <c r="CM221" s="68"/>
      <c r="CN221" s="68"/>
      <c r="CO221" s="68"/>
      <c r="CP221" s="27"/>
      <c r="CQ221" s="68"/>
      <c r="CR221" s="68"/>
      <c r="CS221" s="68"/>
      <c r="CT221" s="68"/>
      <c r="CU221" s="27"/>
      <c r="CV221" s="68"/>
      <c r="CW221" s="68"/>
      <c r="CX221" s="68"/>
      <c r="CY221" s="68"/>
      <c r="CZ221" s="27"/>
      <c r="DA221" s="68"/>
      <c r="DB221" s="68"/>
      <c r="DC221" s="68"/>
      <c r="DD221" s="68"/>
      <c r="DE221" s="27"/>
      <c r="DF221" s="68"/>
      <c r="DG221" s="68"/>
      <c r="DH221" s="68"/>
      <c r="DI221" s="68"/>
      <c r="DJ221" s="27"/>
      <c r="DK221" s="68"/>
      <c r="DL221" s="68"/>
      <c r="DM221" s="68"/>
      <c r="DN221" s="68"/>
      <c r="DO221" s="27"/>
      <c r="DP221" s="68"/>
      <c r="DQ221" s="68"/>
      <c r="DR221" s="68"/>
      <c r="DS221" s="68"/>
      <c r="DT221" s="27"/>
      <c r="DU221" s="27"/>
      <c r="DV221" s="27"/>
    </row>
    <row r="222" spans="1:126" s="133" customFormat="1">
      <c r="A222"/>
      <c r="B222" s="167" t="s">
        <v>149</v>
      </c>
      <c r="C222" s="25"/>
      <c r="D222" s="27"/>
      <c r="E222" s="27"/>
      <c r="F222" s="27"/>
      <c r="G222" s="27"/>
      <c r="H222" s="27"/>
      <c r="I222" s="27"/>
      <c r="N222" s="27"/>
      <c r="S222" s="27"/>
      <c r="X222" s="27"/>
      <c r="AC222" s="27"/>
      <c r="AH222" s="27"/>
      <c r="AM222" s="27"/>
      <c r="AR222" s="27"/>
      <c r="AU222" s="68"/>
      <c r="AW222" s="27"/>
      <c r="AZ222" s="68"/>
      <c r="BA222" s="68"/>
      <c r="BB222" s="27"/>
      <c r="BD222" s="68"/>
      <c r="BE222" s="68"/>
      <c r="BF222" s="68"/>
      <c r="BG222" s="27"/>
      <c r="BH222" s="68"/>
      <c r="BI222" s="68"/>
      <c r="BJ222" s="68"/>
      <c r="BK222" s="68"/>
      <c r="BL222" s="27"/>
      <c r="BM222" s="68"/>
      <c r="BN222" s="68"/>
      <c r="BO222" s="68"/>
      <c r="BP222" s="68"/>
      <c r="BQ222" s="27"/>
      <c r="BR222" s="68"/>
      <c r="BS222" s="373"/>
      <c r="BT222" s="68"/>
      <c r="BU222" s="68"/>
      <c r="BV222" s="27"/>
      <c r="BW222" s="68"/>
      <c r="BX222" s="68"/>
      <c r="BY222" s="68"/>
      <c r="BZ222" s="68"/>
      <c r="CA222" s="27"/>
      <c r="CB222" s="68"/>
      <c r="CC222" s="68"/>
      <c r="CD222" s="68"/>
      <c r="CE222" s="68"/>
      <c r="CF222" s="27"/>
      <c r="CG222" s="68"/>
      <c r="CH222" s="68"/>
      <c r="CI222" s="68"/>
      <c r="CJ222" s="68"/>
      <c r="CK222" s="27"/>
      <c r="CL222" s="68"/>
      <c r="CM222" s="68"/>
      <c r="CN222" s="68"/>
      <c r="CO222" s="68"/>
      <c r="CP222" s="27"/>
      <c r="CQ222" s="68"/>
      <c r="CR222" s="68"/>
      <c r="CS222" s="68"/>
      <c r="CT222" s="68"/>
      <c r="CU222" s="27"/>
      <c r="CV222" s="68"/>
      <c r="CW222" s="68"/>
      <c r="CX222" s="68"/>
      <c r="CY222" s="68"/>
      <c r="CZ222" s="27"/>
      <c r="DA222" s="68"/>
      <c r="DB222" s="68"/>
      <c r="DC222" s="68"/>
      <c r="DD222" s="68"/>
      <c r="DE222" s="27"/>
      <c r="DF222" s="68"/>
      <c r="DG222" s="68"/>
      <c r="DH222" s="68"/>
      <c r="DI222" s="68"/>
      <c r="DJ222" s="27"/>
      <c r="DK222" s="68"/>
      <c r="DL222" s="68"/>
      <c r="DM222" s="68"/>
      <c r="DN222" s="68"/>
      <c r="DO222" s="27"/>
      <c r="DP222" s="68"/>
      <c r="DQ222" s="68"/>
      <c r="DR222" s="68"/>
      <c r="DS222" s="68"/>
      <c r="DT222" s="27"/>
      <c r="DU222" s="27"/>
      <c r="DV222" s="27"/>
    </row>
    <row r="223" spans="1:126" s="133" customFormat="1">
      <c r="A223"/>
      <c r="B223" s="167" t="s">
        <v>150</v>
      </c>
      <c r="C223" s="25"/>
      <c r="D223" s="27"/>
      <c r="E223" s="27"/>
      <c r="F223" s="27"/>
      <c r="G223" s="27"/>
      <c r="H223" s="27"/>
      <c r="I223" s="27"/>
      <c r="N223" s="27"/>
      <c r="S223" s="27"/>
      <c r="X223" s="27"/>
      <c r="AC223" s="27"/>
      <c r="AH223" s="27"/>
      <c r="AM223" s="27"/>
      <c r="AR223" s="196"/>
      <c r="AU223" s="68"/>
      <c r="AW223" s="196"/>
      <c r="AZ223" s="68"/>
      <c r="BA223" s="68"/>
      <c r="BB223" s="196"/>
      <c r="BD223" s="68"/>
      <c r="BE223" s="68"/>
      <c r="BF223" s="68"/>
      <c r="BG223" s="197"/>
      <c r="BH223" s="68"/>
      <c r="BI223" s="68"/>
      <c r="BJ223" s="68"/>
      <c r="BK223" s="68"/>
      <c r="BL223" s="197"/>
      <c r="BM223" s="68"/>
      <c r="BN223" s="68"/>
      <c r="BO223" s="68"/>
      <c r="BP223" s="68"/>
      <c r="BQ223" s="197"/>
      <c r="BR223" s="68"/>
      <c r="BS223" s="373"/>
      <c r="BT223" s="68"/>
      <c r="BU223" s="68"/>
      <c r="BV223" s="197"/>
      <c r="BW223" s="68"/>
      <c r="BX223" s="68"/>
      <c r="BY223" s="68"/>
      <c r="BZ223" s="68"/>
      <c r="CA223" s="197"/>
      <c r="CB223" s="68"/>
      <c r="CC223" s="68"/>
      <c r="CD223" s="68"/>
      <c r="CE223" s="68"/>
      <c r="CF223" s="197"/>
      <c r="CG223" s="68"/>
      <c r="CH223" s="68"/>
      <c r="CI223" s="68"/>
      <c r="CJ223" s="68"/>
      <c r="CK223" s="197"/>
      <c r="CL223" s="68"/>
      <c r="CM223" s="68"/>
      <c r="CN223" s="68"/>
      <c r="CO223" s="68"/>
      <c r="CP223" s="197"/>
      <c r="CQ223" s="68"/>
      <c r="CR223" s="68"/>
      <c r="CS223" s="68"/>
      <c r="CT223" s="68"/>
      <c r="CU223" s="197"/>
      <c r="CV223" s="68"/>
      <c r="CW223" s="68"/>
      <c r="CX223" s="68"/>
      <c r="CY223" s="68"/>
      <c r="CZ223" s="197"/>
      <c r="DA223" s="68"/>
      <c r="DB223" s="68"/>
      <c r="DC223" s="68"/>
      <c r="DD223" s="68"/>
      <c r="DE223" s="197"/>
      <c r="DF223" s="68"/>
      <c r="DG223" s="68"/>
      <c r="DH223" s="68"/>
      <c r="DI223" s="68"/>
      <c r="DJ223" s="197"/>
      <c r="DK223" s="68"/>
      <c r="DL223" s="68"/>
      <c r="DM223" s="68"/>
      <c r="DN223" s="68"/>
      <c r="DO223" s="197"/>
      <c r="DP223" s="68"/>
      <c r="DQ223" s="68"/>
      <c r="DR223" s="68"/>
      <c r="DS223" s="68"/>
      <c r="DT223" s="197"/>
      <c r="DU223" s="197"/>
      <c r="DV223" s="197"/>
    </row>
    <row r="224" spans="1:126">
      <c r="B224" s="65"/>
      <c r="C224" s="25"/>
      <c r="D224" s="25"/>
      <c r="E224" s="25"/>
      <c r="F224" s="25"/>
      <c r="G224" s="25"/>
      <c r="H224" s="25"/>
      <c r="I224" s="25"/>
      <c r="J224" s="164"/>
      <c r="K224" s="164"/>
      <c r="L224" s="164"/>
      <c r="M224" s="164"/>
      <c r="N224" s="25"/>
      <c r="O224" s="164"/>
      <c r="P224" s="164"/>
      <c r="Q224" s="164"/>
      <c r="R224" s="164"/>
      <c r="S224" s="25"/>
      <c r="T224" s="164"/>
      <c r="U224" s="164"/>
      <c r="V224" s="164"/>
      <c r="W224" s="164"/>
      <c r="X224" s="25"/>
      <c r="Y224" s="164"/>
      <c r="Z224" s="164"/>
      <c r="AA224" s="164"/>
      <c r="AB224" s="164"/>
      <c r="AC224" s="25"/>
      <c r="AD224" s="164"/>
      <c r="AE224" s="164"/>
      <c r="AF224" s="164"/>
      <c r="AG224" s="164"/>
      <c r="AH224" s="25"/>
      <c r="AI224" s="164"/>
      <c r="AJ224" s="164"/>
      <c r="AK224" s="164"/>
      <c r="AL224" s="164"/>
      <c r="AM224" s="25"/>
      <c r="AN224" s="164"/>
      <c r="AO224" s="164"/>
      <c r="AP224" s="164"/>
      <c r="AQ224" s="164"/>
      <c r="AR224" s="25"/>
      <c r="AS224" s="164"/>
      <c r="AT224" s="164"/>
      <c r="AV224" s="164"/>
      <c r="AW224" s="25"/>
      <c r="AX224" s="164"/>
      <c r="AY224" s="164"/>
      <c r="BB224" s="25"/>
      <c r="BC224" s="164"/>
      <c r="BG224" s="25"/>
      <c r="BL224" s="25"/>
      <c r="BQ224" s="25"/>
      <c r="BS224" s="29"/>
      <c r="BV224" s="25"/>
      <c r="CA224" s="25"/>
      <c r="CF224" s="25"/>
      <c r="CK224" s="25"/>
      <c r="CP224" s="25"/>
      <c r="CU224" s="25"/>
      <c r="CZ224" s="25"/>
      <c r="DE224" s="25"/>
      <c r="DJ224" s="25"/>
      <c r="DO224" s="25"/>
      <c r="DP224"/>
      <c r="DQ224"/>
      <c r="DR224"/>
      <c r="DS224"/>
      <c r="DT224" s="25"/>
      <c r="DU224" s="25"/>
      <c r="DV224" s="25"/>
    </row>
    <row r="225" spans="2:126">
      <c r="B225" s="225" t="s">
        <v>171</v>
      </c>
      <c r="C225" s="25"/>
      <c r="D225" s="25"/>
      <c r="E225" s="25"/>
      <c r="F225" s="25"/>
      <c r="G225" s="25"/>
      <c r="H225" s="25"/>
      <c r="I225" s="25"/>
      <c r="J225" s="164"/>
      <c r="K225" s="164"/>
      <c r="L225" s="164"/>
      <c r="M225" s="164"/>
      <c r="N225" s="25"/>
      <c r="O225" s="164"/>
      <c r="P225" s="164"/>
      <c r="Q225" s="164"/>
      <c r="R225" s="164"/>
      <c r="S225" s="25"/>
      <c r="T225" s="164"/>
      <c r="U225" s="164"/>
      <c r="V225" s="164"/>
      <c r="W225" s="164"/>
      <c r="X225" s="25"/>
      <c r="Y225" s="164"/>
      <c r="Z225" s="164"/>
      <c r="AA225" s="164"/>
      <c r="AB225" s="164"/>
      <c r="AC225" s="25"/>
      <c r="AD225" s="164"/>
      <c r="AE225" s="164"/>
      <c r="AF225" s="164"/>
      <c r="AG225" s="164"/>
      <c r="AH225" s="25"/>
      <c r="AI225" s="164"/>
      <c r="AJ225" s="164"/>
      <c r="AK225" s="164"/>
      <c r="AL225" s="164"/>
      <c r="AM225" s="25"/>
      <c r="AN225" s="164"/>
      <c r="AO225" s="164"/>
      <c r="AP225" s="164"/>
      <c r="AQ225" s="164"/>
      <c r="AR225" s="25"/>
      <c r="AS225" s="164"/>
      <c r="AT225" s="164"/>
      <c r="AV225" s="164"/>
      <c r="AW225" s="25"/>
      <c r="AX225" s="164"/>
      <c r="AY225" s="164"/>
      <c r="BB225" s="25"/>
      <c r="BC225" s="164"/>
      <c r="BG225" s="25"/>
      <c r="BL225" s="25"/>
      <c r="BQ225" s="25"/>
      <c r="BS225" s="29"/>
      <c r="BV225" s="25"/>
      <c r="CA225" s="25"/>
      <c r="CF225" s="25"/>
      <c r="CK225" s="25"/>
      <c r="CP225" s="25"/>
      <c r="CU225" s="25"/>
      <c r="CZ225" s="25"/>
      <c r="DE225" s="25"/>
      <c r="DJ225" s="25"/>
      <c r="DO225" s="25"/>
      <c r="DP225"/>
      <c r="DQ225"/>
      <c r="DR225"/>
      <c r="DS225"/>
      <c r="DT225" s="25"/>
      <c r="DU225" s="25"/>
      <c r="DV225" s="25"/>
    </row>
    <row r="226" spans="2:126">
      <c r="B226" s="233" t="s">
        <v>259</v>
      </c>
      <c r="C226" s="25"/>
      <c r="D226" s="25"/>
      <c r="E226" s="25"/>
      <c r="F226" s="25"/>
      <c r="G226" s="25"/>
      <c r="H226" s="25"/>
      <c r="I226" s="25"/>
      <c r="J226" s="164"/>
      <c r="K226" s="164"/>
      <c r="L226" s="164"/>
      <c r="M226" s="164"/>
      <c r="N226" s="25"/>
      <c r="O226" s="164"/>
      <c r="P226" s="164"/>
      <c r="Q226" s="164"/>
      <c r="R226" s="164"/>
      <c r="S226" s="25"/>
      <c r="T226" s="164"/>
      <c r="U226" s="164"/>
      <c r="V226" s="164"/>
      <c r="W226" s="164"/>
      <c r="X226" s="25"/>
      <c r="Y226" s="164"/>
      <c r="Z226" s="164"/>
      <c r="AA226" s="164"/>
      <c r="AB226" s="164"/>
      <c r="AC226" s="25"/>
      <c r="AD226" s="164"/>
      <c r="AE226" s="164"/>
      <c r="AF226" s="164"/>
      <c r="AG226" s="164"/>
      <c r="AH226" s="25"/>
      <c r="AI226" s="164"/>
      <c r="AJ226" s="164"/>
      <c r="AK226" s="164"/>
      <c r="AL226" s="164"/>
      <c r="AM226" s="25"/>
      <c r="AN226" s="164"/>
      <c r="AO226" s="164"/>
      <c r="AP226" s="164"/>
      <c r="AQ226" s="164"/>
      <c r="AR226" s="25"/>
      <c r="AS226" s="164"/>
      <c r="AT226" s="164"/>
      <c r="AV226" s="164"/>
      <c r="AW226" s="25"/>
      <c r="AX226" s="164"/>
      <c r="AY226" s="164"/>
      <c r="BB226" s="25"/>
      <c r="BC226" s="164"/>
      <c r="BG226" s="25"/>
      <c r="BL226" s="25"/>
      <c r="BQ226" s="25"/>
      <c r="BR226" s="29"/>
      <c r="BS226" s="29"/>
      <c r="BT226" s="29"/>
      <c r="BU226" s="29"/>
      <c r="BV226" s="25"/>
      <c r="BW226" s="29"/>
      <c r="BX226" s="29"/>
      <c r="BY226" s="29"/>
      <c r="BZ226" s="29"/>
      <c r="CA226" s="601"/>
      <c r="CB226" s="29"/>
      <c r="CC226" s="29"/>
      <c r="CD226" s="29"/>
      <c r="CE226" s="29"/>
      <c r="CF226" s="601"/>
      <c r="CG226" s="29"/>
      <c r="CH226" s="29"/>
      <c r="CI226" s="29"/>
      <c r="CK226" s="25"/>
      <c r="CL226" s="29"/>
      <c r="CP226" s="25"/>
      <c r="CU226" s="25"/>
      <c r="CZ226" s="25"/>
      <c r="DE226" s="25"/>
      <c r="DJ226" s="25"/>
      <c r="DO226" s="25"/>
      <c r="DP226"/>
      <c r="DQ226"/>
      <c r="DR226"/>
      <c r="DS226"/>
      <c r="DT226" s="25"/>
      <c r="DU226" s="25"/>
      <c r="DV226" s="25"/>
    </row>
    <row r="227" spans="2:126">
      <c r="B227" s="233" t="s">
        <v>260</v>
      </c>
      <c r="C227" s="25"/>
      <c r="D227" s="25"/>
      <c r="E227" s="25"/>
      <c r="F227" s="25"/>
      <c r="G227" s="25"/>
      <c r="H227" s="25"/>
      <c r="I227" s="25"/>
      <c r="J227" s="164"/>
      <c r="K227" s="164"/>
      <c r="L227" s="164"/>
      <c r="M227" s="164"/>
      <c r="N227" s="25"/>
      <c r="O227" s="164"/>
      <c r="P227" s="164"/>
      <c r="Q227" s="164"/>
      <c r="R227" s="164"/>
      <c r="S227" s="25"/>
      <c r="T227" s="164"/>
      <c r="U227" s="164"/>
      <c r="V227" s="164"/>
      <c r="W227" s="164"/>
      <c r="X227" s="25"/>
      <c r="Y227" s="164"/>
      <c r="Z227" s="164"/>
      <c r="AA227" s="164"/>
      <c r="AB227" s="164"/>
      <c r="AC227" s="25"/>
      <c r="AD227" s="164"/>
      <c r="AE227" s="164"/>
      <c r="AF227" s="164"/>
      <c r="AG227" s="164"/>
      <c r="AH227" s="25"/>
      <c r="AI227" s="164"/>
      <c r="AJ227" s="164"/>
      <c r="AK227" s="164"/>
      <c r="AL227" s="164"/>
      <c r="AM227" s="25"/>
      <c r="AN227" s="164"/>
      <c r="AO227" s="164"/>
      <c r="AP227" s="164"/>
      <c r="AQ227" s="164"/>
      <c r="AR227" s="25"/>
      <c r="AS227" s="164"/>
      <c r="AT227" s="164"/>
      <c r="AV227" s="164"/>
      <c r="AW227" s="25"/>
      <c r="AX227" s="164"/>
      <c r="AY227" s="164"/>
      <c r="BB227" s="25"/>
      <c r="BC227" s="164"/>
      <c r="BG227" s="25"/>
      <c r="BH227" s="185"/>
      <c r="BI227" s="185"/>
      <c r="BL227" s="25"/>
      <c r="BM227" s="185"/>
      <c r="BN227" s="185"/>
      <c r="BO227" s="185"/>
      <c r="BP227" s="185"/>
      <c r="BQ227" s="25"/>
      <c r="BR227" s="185"/>
      <c r="BS227" s="185"/>
      <c r="BT227" s="185"/>
      <c r="BU227" s="185"/>
      <c r="BV227" s="25"/>
      <c r="BW227" s="185"/>
      <c r="BX227" s="185"/>
      <c r="BY227" s="185"/>
      <c r="BZ227" s="185"/>
      <c r="CA227" s="25"/>
      <c r="CB227" s="185"/>
      <c r="CC227" s="185"/>
      <c r="CD227" s="185"/>
      <c r="CE227" s="185"/>
      <c r="CF227" s="25"/>
      <c r="CG227" s="185"/>
      <c r="CH227" s="185"/>
      <c r="CI227" s="185"/>
      <c r="CK227" s="25"/>
      <c r="CL227" s="185"/>
      <c r="CM227" s="185"/>
      <c r="CP227" s="25"/>
      <c r="CU227" s="25"/>
      <c r="CZ227" s="25"/>
      <c r="DE227" s="25"/>
      <c r="DJ227" s="25"/>
      <c r="DO227" s="25"/>
      <c r="DP227"/>
      <c r="DQ227"/>
      <c r="DR227"/>
      <c r="DS227"/>
      <c r="DT227" s="25"/>
      <c r="DU227" s="25"/>
      <c r="DV227" s="25"/>
    </row>
    <row r="228" spans="2:126">
      <c r="B228" s="233" t="s">
        <v>261</v>
      </c>
      <c r="C228" s="25"/>
      <c r="D228" s="25"/>
      <c r="E228" s="25"/>
      <c r="F228" s="25"/>
      <c r="G228" s="25"/>
      <c r="H228" s="25"/>
      <c r="I228" s="25"/>
      <c r="J228" s="164"/>
      <c r="K228" s="164"/>
      <c r="L228" s="164"/>
      <c r="M228" s="164"/>
      <c r="N228" s="25"/>
      <c r="O228" s="164"/>
      <c r="P228" s="164"/>
      <c r="Q228" s="164"/>
      <c r="R228" s="164"/>
      <c r="S228" s="25"/>
      <c r="T228" s="164"/>
      <c r="U228" s="164"/>
      <c r="V228" s="164"/>
      <c r="W228" s="164"/>
      <c r="X228" s="25"/>
      <c r="Y228" s="164"/>
      <c r="Z228" s="164"/>
      <c r="AA228" s="164"/>
      <c r="AB228" s="164"/>
      <c r="AC228" s="25"/>
      <c r="AD228" s="164"/>
      <c r="AE228" s="164"/>
      <c r="AF228" s="164"/>
      <c r="AG228" s="164"/>
      <c r="AH228" s="25"/>
      <c r="AI228" s="164"/>
      <c r="AJ228" s="164"/>
      <c r="AK228" s="164"/>
      <c r="AL228" s="164"/>
      <c r="AM228" s="25"/>
      <c r="AN228" s="164"/>
      <c r="AO228" s="164"/>
      <c r="AP228" s="164"/>
      <c r="AQ228" s="164"/>
      <c r="AR228" s="25"/>
      <c r="AS228" s="164"/>
      <c r="AT228" s="164"/>
      <c r="AV228" s="164"/>
      <c r="AW228" s="25"/>
      <c r="AX228" s="164"/>
      <c r="AY228" s="164"/>
      <c r="BB228" s="25"/>
      <c r="BC228" s="164"/>
      <c r="BG228" s="25"/>
      <c r="BH228" s="185"/>
      <c r="BI228" s="185"/>
      <c r="BJ228" s="185"/>
      <c r="BK228" s="185"/>
      <c r="BL228" s="25"/>
      <c r="BM228" s="185"/>
      <c r="BN228" s="185"/>
      <c r="BO228" s="185"/>
      <c r="BP228" s="185"/>
      <c r="BQ228" s="25"/>
      <c r="BR228" s="185"/>
      <c r="BS228" s="185"/>
      <c r="BT228" s="185"/>
      <c r="BU228" s="185"/>
      <c r="BV228" s="25"/>
      <c r="BW228" s="185"/>
      <c r="BX228" s="185"/>
      <c r="BY228" s="185"/>
      <c r="BZ228" s="185"/>
      <c r="CA228" s="25"/>
      <c r="CB228" s="185"/>
      <c r="CC228" s="185"/>
      <c r="CD228" s="185"/>
      <c r="CE228" s="185"/>
      <c r="CF228" s="25"/>
      <c r="CG228" s="185"/>
      <c r="CH228" s="185"/>
      <c r="CI228" s="185"/>
      <c r="CK228" s="25"/>
      <c r="CL228" s="185"/>
      <c r="CM228" s="185"/>
      <c r="CN228" s="185"/>
      <c r="CP228" s="25"/>
      <c r="CU228" s="25"/>
      <c r="CZ228" s="25"/>
      <c r="DE228" s="25"/>
      <c r="DJ228" s="25"/>
      <c r="DO228" s="25"/>
      <c r="DP228"/>
      <c r="DQ228"/>
      <c r="DR228"/>
      <c r="DS228"/>
      <c r="DT228" s="25"/>
      <c r="DU228" s="25"/>
      <c r="DV228" s="25"/>
    </row>
    <row r="229" spans="2:126">
      <c r="B229" s="233" t="s">
        <v>262</v>
      </c>
      <c r="C229" s="25"/>
      <c r="D229" s="25"/>
      <c r="E229" s="25"/>
      <c r="F229" s="25"/>
      <c r="G229" s="25"/>
      <c r="H229" s="25"/>
      <c r="I229" s="25"/>
      <c r="J229" s="164"/>
      <c r="K229" s="164"/>
      <c r="L229" s="164"/>
      <c r="M229" s="164"/>
      <c r="N229" s="25"/>
      <c r="O229" s="164"/>
      <c r="P229" s="164"/>
      <c r="Q229" s="164"/>
      <c r="R229" s="164"/>
      <c r="S229" s="25"/>
      <c r="T229" s="164"/>
      <c r="U229" s="164"/>
      <c r="V229" s="164"/>
      <c r="W229" s="164"/>
      <c r="X229" s="25"/>
      <c r="Y229" s="164"/>
      <c r="Z229" s="164"/>
      <c r="AA229" s="164"/>
      <c r="AB229" s="164"/>
      <c r="AC229" s="25"/>
      <c r="AD229" s="164"/>
      <c r="AE229" s="164"/>
      <c r="AF229" s="164"/>
      <c r="AG229" s="164"/>
      <c r="AH229" s="25"/>
      <c r="AI229" s="164"/>
      <c r="AJ229" s="164"/>
      <c r="AK229" s="164"/>
      <c r="AL229" s="164"/>
      <c r="AM229" s="25"/>
      <c r="AN229" s="164"/>
      <c r="AO229" s="164"/>
      <c r="AP229" s="164"/>
      <c r="AQ229" s="164"/>
      <c r="AR229" s="25"/>
      <c r="AS229" s="164"/>
      <c r="AT229" s="164"/>
      <c r="AV229" s="164"/>
      <c r="AW229" s="25"/>
      <c r="AX229" s="164"/>
      <c r="AY229" s="164"/>
      <c r="BB229" s="25"/>
      <c r="BC229" s="164"/>
      <c r="BG229" s="25"/>
      <c r="BL229" s="25"/>
      <c r="BQ229" s="601"/>
      <c r="BR229" s="29"/>
      <c r="BS229" s="29"/>
      <c r="BT229" s="29"/>
      <c r="BU229" s="29"/>
      <c r="BV229" s="601"/>
      <c r="BW229" s="29"/>
      <c r="BX229" s="29"/>
      <c r="BY229" s="29"/>
      <c r="BZ229" s="29"/>
      <c r="CA229" s="601"/>
      <c r="CB229" s="29"/>
      <c r="CC229" s="29"/>
      <c r="CD229" s="29"/>
      <c r="CE229" s="29"/>
      <c r="CF229" s="601"/>
      <c r="CG229" s="29"/>
      <c r="CH229" s="29"/>
      <c r="CI229" s="29"/>
      <c r="CK229" s="25"/>
      <c r="CL229" s="29"/>
      <c r="CP229" s="25"/>
      <c r="CU229" s="25"/>
      <c r="CZ229" s="25"/>
      <c r="DE229" s="25"/>
      <c r="DJ229" s="25"/>
      <c r="DO229" s="25"/>
      <c r="DP229"/>
      <c r="DQ229"/>
      <c r="DR229"/>
      <c r="DS229"/>
      <c r="DT229" s="25"/>
      <c r="DU229" s="25"/>
      <c r="DV229" s="25"/>
    </row>
    <row r="230" spans="2:126">
      <c r="B230" s="233" t="s">
        <v>263</v>
      </c>
      <c r="C230" s="25"/>
      <c r="D230" s="25"/>
      <c r="E230" s="25"/>
      <c r="F230" s="25"/>
      <c r="G230" s="25"/>
      <c r="H230" s="25"/>
      <c r="I230" s="25"/>
      <c r="J230" s="164"/>
      <c r="K230" s="164"/>
      <c r="L230" s="164"/>
      <c r="M230" s="164"/>
      <c r="N230" s="25"/>
      <c r="O230" s="164"/>
      <c r="P230" s="164"/>
      <c r="Q230" s="164"/>
      <c r="R230" s="164"/>
      <c r="S230" s="25"/>
      <c r="T230" s="164"/>
      <c r="U230" s="164"/>
      <c r="V230" s="164"/>
      <c r="W230" s="164"/>
      <c r="X230" s="25"/>
      <c r="Y230" s="164"/>
      <c r="Z230" s="164"/>
      <c r="AA230" s="164"/>
      <c r="AB230" s="164"/>
      <c r="AC230" s="25"/>
      <c r="AD230" s="164"/>
      <c r="AE230" s="164"/>
      <c r="AF230" s="164"/>
      <c r="AG230" s="164"/>
      <c r="AH230" s="25"/>
      <c r="AI230" s="164"/>
      <c r="AJ230" s="164"/>
      <c r="AK230" s="164"/>
      <c r="AL230" s="164"/>
      <c r="AM230" s="25"/>
      <c r="AN230" s="164"/>
      <c r="AO230" s="164"/>
      <c r="AP230" s="164"/>
      <c r="AQ230" s="164"/>
      <c r="AR230" s="25"/>
      <c r="AS230" s="164"/>
      <c r="AT230" s="164"/>
      <c r="AV230" s="164"/>
      <c r="AW230" s="25"/>
      <c r="AX230" s="164"/>
      <c r="AY230" s="164"/>
      <c r="BB230" s="25"/>
      <c r="BC230" s="164"/>
      <c r="BG230" s="25"/>
      <c r="BL230" s="25"/>
      <c r="BQ230" s="25"/>
      <c r="BR230" s="29"/>
      <c r="BS230" s="29"/>
      <c r="BV230" s="25"/>
      <c r="CA230" s="25"/>
      <c r="CF230" s="25"/>
      <c r="CK230" s="25"/>
      <c r="CP230" s="25"/>
      <c r="CU230" s="25"/>
      <c r="CZ230" s="25"/>
      <c r="DE230" s="25"/>
      <c r="DJ230" s="25"/>
      <c r="DO230" s="25"/>
      <c r="DP230"/>
      <c r="DQ230"/>
      <c r="DR230"/>
      <c r="DS230"/>
      <c r="DT230" s="25"/>
      <c r="DU230" s="25"/>
      <c r="DV230" s="25"/>
    </row>
    <row r="231" spans="2:126">
      <c r="B231" s="233" t="s">
        <v>264</v>
      </c>
      <c r="C231" s="25"/>
      <c r="D231" s="25"/>
      <c r="E231" s="25"/>
      <c r="F231" s="25"/>
      <c r="G231" s="25"/>
      <c r="H231" s="25"/>
      <c r="I231" s="25"/>
      <c r="J231" s="164"/>
      <c r="K231" s="164"/>
      <c r="L231" s="164"/>
      <c r="M231" s="164"/>
      <c r="N231" s="25"/>
      <c r="O231" s="164"/>
      <c r="P231" s="164"/>
      <c r="Q231" s="164"/>
      <c r="R231" s="164"/>
      <c r="S231" s="25"/>
      <c r="T231" s="164"/>
      <c r="U231" s="164"/>
      <c r="V231" s="164"/>
      <c r="W231" s="164"/>
      <c r="X231" s="25"/>
      <c r="Y231" s="164"/>
      <c r="Z231" s="164"/>
      <c r="AA231" s="164"/>
      <c r="AB231" s="164"/>
      <c r="AC231" s="25"/>
      <c r="AD231" s="164"/>
      <c r="AE231" s="164"/>
      <c r="AF231" s="164"/>
      <c r="AG231" s="164"/>
      <c r="AH231" s="25"/>
      <c r="AI231" s="164"/>
      <c r="AJ231" s="164"/>
      <c r="AK231" s="164"/>
      <c r="AL231" s="164"/>
      <c r="AM231" s="25"/>
      <c r="AN231" s="164"/>
      <c r="AO231" s="164"/>
      <c r="AP231" s="164"/>
      <c r="AQ231" s="164"/>
      <c r="AR231" s="25"/>
      <c r="AS231" s="164"/>
      <c r="AT231" s="164"/>
      <c r="AV231" s="164"/>
      <c r="AW231" s="25"/>
      <c r="AX231" s="164"/>
      <c r="AY231" s="164"/>
      <c r="BB231" s="25"/>
      <c r="BC231" s="164"/>
      <c r="BG231" s="25"/>
      <c r="BL231" s="25"/>
      <c r="BQ231" s="25"/>
      <c r="BR231" s="29"/>
      <c r="BS231" s="29"/>
      <c r="BV231" s="25"/>
      <c r="CA231" s="25"/>
      <c r="CF231" s="25"/>
      <c r="CK231" s="25"/>
      <c r="CP231" s="25"/>
      <c r="CU231" s="25"/>
      <c r="CZ231" s="25"/>
      <c r="DE231" s="25"/>
      <c r="DJ231" s="25"/>
      <c r="DO231" s="25"/>
      <c r="DP231"/>
      <c r="DQ231"/>
      <c r="DR231"/>
      <c r="DS231"/>
      <c r="DT231" s="25"/>
      <c r="DU231" s="25"/>
      <c r="DV231" s="25"/>
    </row>
    <row r="232" spans="2:126">
      <c r="B232" s="42" t="s">
        <v>265</v>
      </c>
      <c r="C232" s="25"/>
      <c r="D232" s="25"/>
      <c r="E232" s="25"/>
      <c r="F232" s="25"/>
      <c r="G232" s="25"/>
      <c r="H232" s="25"/>
      <c r="I232" s="25"/>
      <c r="J232" s="164"/>
      <c r="K232" s="164"/>
      <c r="L232" s="164"/>
      <c r="M232" s="164"/>
      <c r="N232" s="25"/>
      <c r="O232" s="164"/>
      <c r="P232" s="164"/>
      <c r="Q232" s="164"/>
      <c r="R232" s="164"/>
      <c r="S232" s="25"/>
      <c r="T232" s="164"/>
      <c r="U232" s="164"/>
      <c r="V232" s="164"/>
      <c r="W232" s="164"/>
      <c r="X232" s="25"/>
      <c r="Y232" s="164"/>
      <c r="Z232" s="164"/>
      <c r="AA232" s="164"/>
      <c r="AB232" s="164"/>
      <c r="AC232" s="25"/>
      <c r="AD232" s="164"/>
      <c r="AE232" s="164"/>
      <c r="AF232" s="164"/>
      <c r="AG232" s="164"/>
      <c r="AH232" s="25"/>
      <c r="AI232" s="164"/>
      <c r="AJ232" s="164"/>
      <c r="AK232" s="164"/>
      <c r="AL232" s="164"/>
      <c r="AM232" s="25"/>
      <c r="AN232" s="164"/>
      <c r="AO232" s="164"/>
      <c r="AP232" s="164"/>
      <c r="AQ232" s="164"/>
      <c r="AR232" s="25"/>
      <c r="AS232" s="164"/>
      <c r="AT232" s="164"/>
      <c r="AV232" s="164"/>
      <c r="AW232" s="25"/>
      <c r="AX232" s="164"/>
      <c r="AY232" s="164"/>
      <c r="BB232" s="25"/>
      <c r="BC232" s="164"/>
      <c r="BD232" s="164"/>
      <c r="BE232" s="164"/>
      <c r="BF232" s="164"/>
      <c r="BG232" s="490"/>
      <c r="BH232" s="187"/>
      <c r="BI232" s="187"/>
      <c r="BJ232" s="187"/>
      <c r="BK232" s="187"/>
      <c r="BL232" s="490"/>
      <c r="BM232" s="187"/>
      <c r="BN232" s="187"/>
      <c r="BO232" s="187"/>
      <c r="BP232" s="164"/>
      <c r="BQ232" s="25"/>
      <c r="BR232" s="164"/>
      <c r="BS232" s="164"/>
      <c r="BT232" s="164"/>
      <c r="BU232" s="164"/>
      <c r="BV232" s="25"/>
      <c r="BW232" s="164"/>
      <c r="BX232" s="164"/>
      <c r="BY232" s="164"/>
      <c r="BZ232" s="164"/>
      <c r="CA232" s="25"/>
      <c r="CB232" s="164"/>
      <c r="CC232" s="164"/>
      <c r="CD232" s="164"/>
      <c r="CE232" s="164"/>
      <c r="CF232" s="25"/>
      <c r="CG232" s="164"/>
      <c r="CH232" s="164"/>
      <c r="CI232" s="164"/>
      <c r="CK232" s="25"/>
      <c r="CL232" s="164"/>
      <c r="CM232" s="187"/>
      <c r="CN232" s="164"/>
      <c r="CP232" s="25"/>
      <c r="CU232" s="25"/>
      <c r="CZ232" s="25"/>
      <c r="DE232" s="25"/>
      <c r="DJ232" s="25"/>
      <c r="DO232" s="25"/>
      <c r="DP232"/>
      <c r="DQ232"/>
      <c r="DR232"/>
      <c r="DS232"/>
      <c r="DT232" s="25"/>
      <c r="DU232" s="25"/>
      <c r="DV232" s="25"/>
    </row>
    <row r="233" spans="2:126">
      <c r="B233" s="65"/>
      <c r="C233" s="25"/>
      <c r="D233" s="25"/>
      <c r="E233" s="25"/>
      <c r="F233" s="25"/>
      <c r="G233" s="25"/>
      <c r="H233" s="25"/>
      <c r="I233" s="25"/>
      <c r="J233" s="164"/>
      <c r="K233" s="164"/>
      <c r="L233" s="164"/>
      <c r="M233" s="164"/>
      <c r="N233" s="25"/>
      <c r="O233" s="164"/>
      <c r="P233" s="164"/>
      <c r="Q233" s="164"/>
      <c r="R233" s="164"/>
      <c r="S233" s="25"/>
      <c r="T233" s="164"/>
      <c r="U233" s="164"/>
      <c r="V233" s="164"/>
      <c r="W233" s="164"/>
      <c r="X233" s="25"/>
      <c r="Y233" s="164"/>
      <c r="Z233" s="164"/>
      <c r="AA233" s="164"/>
      <c r="AB233" s="164"/>
      <c r="AC233" s="25"/>
      <c r="AD233" s="164"/>
      <c r="AE233" s="164"/>
      <c r="AF233" s="164"/>
      <c r="AG233" s="164"/>
      <c r="AH233" s="25"/>
      <c r="AI233" s="164"/>
      <c r="AJ233" s="164"/>
      <c r="AK233" s="164"/>
      <c r="AL233" s="164"/>
      <c r="AM233" s="25"/>
      <c r="AN233" s="164"/>
      <c r="AO233" s="164"/>
      <c r="AP233" s="164"/>
      <c r="AQ233" s="164"/>
      <c r="AR233" s="25"/>
      <c r="AS233" s="164"/>
      <c r="AT233" s="164"/>
      <c r="AV233" s="164"/>
      <c r="AW233" s="25"/>
      <c r="AX233" s="164"/>
      <c r="AY233" s="164"/>
      <c r="BB233" s="25"/>
      <c r="BC233" s="164"/>
      <c r="BG233" s="25"/>
      <c r="BL233" s="25"/>
      <c r="BQ233" s="25"/>
      <c r="BS233" s="29"/>
      <c r="BV233" s="25"/>
      <c r="CA233" s="25"/>
      <c r="CF233" s="25"/>
      <c r="CK233" s="25"/>
      <c r="CP233" s="25"/>
      <c r="CU233" s="25"/>
      <c r="CZ233" s="25"/>
      <c r="DE233" s="25"/>
      <c r="DJ233" s="25"/>
      <c r="DO233" s="25"/>
      <c r="DP233"/>
      <c r="DQ233"/>
      <c r="DR233"/>
      <c r="DS233"/>
      <c r="DT233" s="25"/>
      <c r="DU233" s="25"/>
      <c r="DV233" s="25"/>
    </row>
    <row r="234" spans="2:126">
      <c r="B234" s="65"/>
      <c r="C234" s="25"/>
      <c r="D234" s="25"/>
      <c r="E234" s="25"/>
      <c r="F234" s="25"/>
      <c r="G234" s="25"/>
      <c r="H234" s="25"/>
      <c r="I234" s="25"/>
      <c r="J234" s="164"/>
      <c r="K234" s="164"/>
      <c r="L234" s="164"/>
      <c r="M234" s="164"/>
      <c r="N234" s="25"/>
      <c r="O234" s="164"/>
      <c r="P234" s="164"/>
      <c r="Q234" s="164"/>
      <c r="R234" s="164"/>
      <c r="S234" s="25"/>
      <c r="T234" s="164"/>
      <c r="U234" s="164"/>
      <c r="V234" s="164"/>
      <c r="W234" s="164"/>
      <c r="X234" s="25"/>
      <c r="Y234" s="164"/>
      <c r="Z234" s="164"/>
      <c r="AA234" s="164"/>
      <c r="AB234" s="164"/>
      <c r="AC234" s="25"/>
      <c r="AD234" s="164"/>
      <c r="AE234" s="164"/>
      <c r="AF234" s="164"/>
      <c r="AG234" s="164"/>
      <c r="AH234" s="25"/>
      <c r="AI234" s="164"/>
      <c r="AJ234" s="164"/>
      <c r="AK234" s="164"/>
      <c r="AL234" s="164"/>
      <c r="AM234" s="25"/>
      <c r="AN234" s="164"/>
      <c r="AO234" s="164"/>
      <c r="AP234" s="164"/>
      <c r="AQ234" s="164"/>
      <c r="AR234" s="25"/>
      <c r="AS234" s="164"/>
      <c r="AT234" s="164"/>
      <c r="AV234" s="164"/>
      <c r="AW234" s="25"/>
      <c r="AX234" s="164"/>
      <c r="AY234" s="164"/>
      <c r="BB234" s="25"/>
      <c r="BC234" s="164"/>
      <c r="BG234" s="25"/>
      <c r="BL234" s="25"/>
      <c r="BQ234" s="25"/>
      <c r="BS234" s="29"/>
      <c r="BV234" s="25"/>
      <c r="CA234" s="25"/>
      <c r="CF234" s="25"/>
      <c r="CK234" s="25"/>
      <c r="CP234" s="25"/>
      <c r="CU234" s="25"/>
      <c r="CZ234" s="25"/>
      <c r="DE234" s="25"/>
      <c r="DJ234" s="25"/>
      <c r="DO234" s="25"/>
      <c r="DP234"/>
      <c r="DQ234"/>
      <c r="DR234"/>
      <c r="DS234"/>
      <c r="DT234" s="25"/>
      <c r="DU234" s="25"/>
      <c r="DV234" s="25"/>
    </row>
    <row r="235" spans="2:126">
      <c r="B235" s="225" t="s">
        <v>151</v>
      </c>
      <c r="C235" s="25"/>
      <c r="D235" s="25"/>
      <c r="E235" s="25"/>
      <c r="F235" s="25"/>
      <c r="G235" s="25"/>
      <c r="H235" s="25"/>
      <c r="I235" s="25"/>
      <c r="J235" s="164"/>
      <c r="K235" s="164"/>
      <c r="L235" s="164"/>
      <c r="M235" s="164"/>
      <c r="N235" s="25"/>
      <c r="O235" s="164"/>
      <c r="P235" s="164"/>
      <c r="Q235" s="164"/>
      <c r="R235" s="164"/>
      <c r="S235" s="25"/>
      <c r="T235" s="164"/>
      <c r="U235" s="164"/>
      <c r="V235" s="164"/>
      <c r="W235" s="164"/>
      <c r="X235" s="25"/>
      <c r="Y235" s="164"/>
      <c r="Z235" s="164"/>
      <c r="AA235" s="164"/>
      <c r="AB235" s="164"/>
      <c r="AC235" s="25"/>
      <c r="AD235" s="164"/>
      <c r="AE235" s="164"/>
      <c r="AF235" s="164"/>
      <c r="AG235" s="164"/>
      <c r="AH235" s="25"/>
      <c r="AI235" s="164"/>
      <c r="AJ235" s="164"/>
      <c r="AK235" s="164"/>
      <c r="AL235" s="164"/>
      <c r="AM235" s="25"/>
      <c r="AN235" s="164"/>
      <c r="AO235" s="164"/>
      <c r="AP235" s="164"/>
      <c r="AQ235" s="164"/>
      <c r="AR235" s="25"/>
      <c r="AS235" s="164"/>
      <c r="AT235" s="164"/>
      <c r="AV235" s="164"/>
      <c r="AW235" s="25"/>
      <c r="AX235" s="164"/>
      <c r="AY235" s="164"/>
      <c r="BB235" s="25"/>
      <c r="BC235" s="164"/>
      <c r="BG235" s="25"/>
      <c r="BL235" s="25"/>
      <c r="BQ235" s="25"/>
      <c r="BS235" s="29"/>
      <c r="BV235" s="25"/>
      <c r="CA235" s="25"/>
      <c r="CF235" s="25"/>
      <c r="CK235" s="25"/>
      <c r="CP235" s="25"/>
      <c r="CU235" s="25"/>
      <c r="CZ235" s="25"/>
      <c r="DE235" s="25"/>
      <c r="DJ235" s="25"/>
      <c r="DO235" s="25"/>
      <c r="DP235"/>
      <c r="DQ235"/>
      <c r="DR235"/>
      <c r="DS235"/>
      <c r="DT235" s="25"/>
      <c r="DU235" s="25"/>
      <c r="DV235" s="25"/>
    </row>
    <row r="236" spans="2:126">
      <c r="B236" s="65" t="s">
        <v>152</v>
      </c>
      <c r="C236" s="11"/>
      <c r="D236" s="11"/>
      <c r="E236" s="11"/>
      <c r="F236" s="11"/>
      <c r="G236" s="11"/>
      <c r="H236" s="11"/>
      <c r="I236" s="11"/>
      <c r="J236" s="192"/>
      <c r="K236" s="192"/>
      <c r="L236" s="192"/>
      <c r="M236" s="192"/>
      <c r="N236" s="11"/>
      <c r="O236" s="192"/>
      <c r="P236" s="192"/>
      <c r="Q236" s="192"/>
      <c r="R236" s="192"/>
      <c r="S236" s="11"/>
      <c r="T236" s="192"/>
      <c r="U236" s="192"/>
      <c r="V236" s="192"/>
      <c r="W236" s="192"/>
      <c r="X236" s="11"/>
      <c r="Y236" s="192"/>
      <c r="Z236" s="192"/>
      <c r="AA236" s="192"/>
      <c r="AB236" s="192"/>
      <c r="AC236" s="11"/>
      <c r="AD236" s="192"/>
      <c r="AE236" s="192"/>
      <c r="AF236" s="192"/>
      <c r="AG236" s="192"/>
      <c r="AH236" s="11"/>
      <c r="AI236" s="192"/>
      <c r="AJ236" s="192"/>
      <c r="AK236" s="192"/>
      <c r="AL236" s="192"/>
      <c r="AM236" s="11"/>
      <c r="AN236" s="192"/>
      <c r="AO236" s="192"/>
      <c r="AP236" s="192"/>
      <c r="AQ236" s="192"/>
      <c r="AR236" s="11"/>
      <c r="AS236" s="192"/>
      <c r="AT236" s="192"/>
      <c r="AU236" s="192"/>
      <c r="AV236" s="192"/>
      <c r="AW236" s="11"/>
      <c r="AX236" s="192"/>
      <c r="AY236" s="192"/>
      <c r="AZ236" s="192"/>
      <c r="BA236" s="192"/>
      <c r="BB236" s="11"/>
      <c r="BC236" s="192"/>
      <c r="BD236" s="192"/>
      <c r="BE236" s="192"/>
      <c r="BF236" s="10"/>
      <c r="BG236" s="11"/>
      <c r="BH236" s="10"/>
      <c r="BI236" s="10"/>
      <c r="BJ236" s="10"/>
      <c r="BK236" s="10"/>
      <c r="BL236" s="11"/>
      <c r="BM236" s="10"/>
      <c r="BN236" s="10"/>
      <c r="BO236" s="10"/>
      <c r="BP236" s="10"/>
      <c r="BQ236" s="11"/>
      <c r="BR236" s="10"/>
      <c r="BS236" s="372"/>
      <c r="BT236" s="372"/>
      <c r="BU236" s="372"/>
      <c r="BV236" s="11"/>
      <c r="BW236" s="372"/>
      <c r="BX236" s="372"/>
      <c r="BY236" s="10"/>
      <c r="BZ236" s="10"/>
      <c r="CA236" s="11"/>
      <c r="CB236" s="10"/>
      <c r="CC236" s="10"/>
      <c r="CD236" s="10"/>
      <c r="CE236" s="10"/>
      <c r="CF236" s="11"/>
      <c r="CG236" s="10"/>
      <c r="CH236" s="10"/>
      <c r="CI236" s="10"/>
      <c r="CJ236" s="10"/>
      <c r="CK236" s="11"/>
      <c r="CL236" s="10"/>
      <c r="CM236" s="10"/>
      <c r="CN236" s="10"/>
      <c r="CO236" s="10"/>
      <c r="CP236" s="11"/>
      <c r="CQ236" s="10">
        <v>0.47499999999999998</v>
      </c>
      <c r="CR236" s="10">
        <v>0.51</v>
      </c>
      <c r="CS236" s="10"/>
      <c r="CT236" s="10"/>
      <c r="CU236" s="11"/>
      <c r="CV236" s="10">
        <v>0.51</v>
      </c>
      <c r="CW236" s="10">
        <v>0.55000000000000004</v>
      </c>
      <c r="CX236" s="10">
        <v>0.55000000000000004</v>
      </c>
      <c r="CY236" s="10">
        <v>0.55000000000000004</v>
      </c>
      <c r="CZ236" s="11"/>
      <c r="DA236" s="10">
        <v>0.55000000000000004</v>
      </c>
      <c r="DB236" s="10">
        <v>0.59</v>
      </c>
      <c r="DC236" s="10">
        <v>0.59</v>
      </c>
      <c r="DD236" s="10">
        <v>0.59</v>
      </c>
      <c r="DE236" s="11"/>
      <c r="DF236" s="10">
        <v>0.59</v>
      </c>
      <c r="DG236" s="10">
        <v>0.63</v>
      </c>
      <c r="DH236" s="10">
        <v>0.63</v>
      </c>
      <c r="DI236" s="10">
        <v>0.63</v>
      </c>
      <c r="DJ236" s="11"/>
      <c r="DK236" s="10">
        <v>0.63</v>
      </c>
      <c r="DL236" s="10">
        <v>0.68</v>
      </c>
      <c r="DM236" s="10">
        <v>0.68</v>
      </c>
      <c r="DN236" s="10"/>
      <c r="DO236" s="11"/>
      <c r="DP236" s="10"/>
      <c r="DQ236" s="10"/>
      <c r="DR236" s="10"/>
      <c r="DS236" s="10"/>
      <c r="DT236" s="11"/>
      <c r="DU236" s="11"/>
      <c r="DV236" s="11"/>
    </row>
    <row r="237" spans="2:126">
      <c r="B237" s="65"/>
      <c r="C237" s="25"/>
      <c r="D237" s="25"/>
      <c r="E237" s="25"/>
      <c r="F237" s="25"/>
      <c r="G237" s="25"/>
      <c r="H237" s="25"/>
      <c r="I237" s="25"/>
      <c r="J237" s="164"/>
      <c r="K237" s="164"/>
      <c r="L237" s="164"/>
      <c r="M237" s="164"/>
      <c r="N237" s="25"/>
      <c r="O237" s="164"/>
      <c r="P237" s="164"/>
      <c r="Q237" s="164"/>
      <c r="R237" s="164"/>
      <c r="S237" s="25"/>
      <c r="T237" s="164"/>
      <c r="U237" s="164"/>
      <c r="V237" s="164"/>
      <c r="W237" s="164"/>
      <c r="X237" s="25"/>
      <c r="Y237" s="164"/>
      <c r="Z237" s="164"/>
      <c r="AA237" s="164"/>
      <c r="AB237" s="164"/>
      <c r="AC237" s="25"/>
      <c r="AD237" s="164"/>
      <c r="AE237" s="164"/>
      <c r="AF237" s="164"/>
      <c r="AG237" s="164"/>
      <c r="AH237" s="25"/>
      <c r="AI237" s="164"/>
      <c r="AJ237" s="164"/>
      <c r="AK237" s="164"/>
      <c r="AL237" s="164"/>
      <c r="AM237" s="25"/>
      <c r="AN237" s="164"/>
      <c r="AO237" s="164"/>
      <c r="AP237" s="164"/>
      <c r="AQ237" s="164"/>
      <c r="AR237" s="25"/>
      <c r="AS237" s="164"/>
      <c r="AT237" s="164"/>
      <c r="AV237" s="164"/>
      <c r="AW237" s="25"/>
      <c r="AX237" s="164"/>
      <c r="AY237" s="164"/>
      <c r="BB237" s="25"/>
      <c r="BC237" s="164"/>
      <c r="BG237" s="25"/>
      <c r="BL237" s="25"/>
      <c r="BQ237" s="25"/>
      <c r="BS237" s="29"/>
      <c r="BV237" s="25"/>
      <c r="CA237" s="25"/>
      <c r="CF237" s="25"/>
      <c r="CK237" s="25"/>
      <c r="CP237" s="25"/>
      <c r="CU237" s="25"/>
      <c r="CZ237" s="25"/>
      <c r="DE237" s="25"/>
      <c r="DJ237" s="25"/>
      <c r="DO237" s="25"/>
      <c r="DP237"/>
      <c r="DQ237"/>
      <c r="DR237"/>
      <c r="DS237"/>
      <c r="DT237" s="25"/>
      <c r="DU237" s="25"/>
      <c r="DV237" s="25"/>
    </row>
    <row r="238" spans="2:126">
      <c r="B238" s="225" t="s">
        <v>153</v>
      </c>
      <c r="C238" s="25"/>
      <c r="D238" s="25"/>
      <c r="E238" s="25"/>
      <c r="F238" s="25"/>
      <c r="G238" s="25"/>
      <c r="H238" s="25"/>
      <c r="I238" s="25"/>
      <c r="J238" s="164"/>
      <c r="K238" s="164"/>
      <c r="L238" s="164"/>
      <c r="M238" s="164"/>
      <c r="N238" s="25"/>
      <c r="O238" s="164"/>
      <c r="P238" s="164"/>
      <c r="Q238" s="164"/>
      <c r="R238" s="164"/>
      <c r="S238" s="25"/>
      <c r="T238" s="164"/>
      <c r="U238" s="164"/>
      <c r="V238" s="164"/>
      <c r="W238" s="164"/>
      <c r="X238" s="25"/>
      <c r="Y238" s="164"/>
      <c r="Z238" s="164"/>
      <c r="AA238" s="164"/>
      <c r="AB238" s="164"/>
      <c r="AC238" s="25"/>
      <c r="AD238" s="164"/>
      <c r="AE238" s="164"/>
      <c r="AF238" s="164"/>
      <c r="AG238" s="164"/>
      <c r="AH238" s="25"/>
      <c r="AI238" s="164"/>
      <c r="AJ238" s="164"/>
      <c r="AK238" s="164"/>
      <c r="AL238" s="164"/>
      <c r="AM238" s="25"/>
      <c r="AN238" s="164"/>
      <c r="AO238" s="164"/>
      <c r="AP238" s="164"/>
      <c r="AQ238" s="164"/>
      <c r="AR238" s="25"/>
      <c r="AS238" s="164"/>
      <c r="AT238" s="164"/>
      <c r="AV238" s="164"/>
      <c r="AW238" s="25"/>
      <c r="AX238" s="164"/>
      <c r="AY238" s="164"/>
      <c r="BB238" s="25"/>
      <c r="BC238" s="164"/>
      <c r="BG238" s="25"/>
      <c r="BL238" s="25"/>
      <c r="BQ238" s="25"/>
      <c r="BS238" s="29"/>
      <c r="BV238" s="25"/>
      <c r="CA238" s="25"/>
      <c r="CF238" s="25"/>
      <c r="CK238" s="25"/>
      <c r="CP238" s="25"/>
      <c r="CU238" s="25"/>
      <c r="CZ238" s="25"/>
      <c r="DE238" s="25"/>
      <c r="DJ238" s="25"/>
      <c r="DO238" s="25"/>
      <c r="DP238"/>
      <c r="DQ238"/>
      <c r="DR238"/>
      <c r="DS238"/>
      <c r="DT238" s="25"/>
      <c r="DU238" s="25"/>
      <c r="DV238" s="25"/>
    </row>
    <row r="239" spans="2:126">
      <c r="B239" s="42" t="s">
        <v>159</v>
      </c>
      <c r="C239" s="25"/>
      <c r="D239" s="25"/>
      <c r="E239" s="25"/>
      <c r="F239" s="25"/>
      <c r="G239" s="25"/>
      <c r="H239" s="25"/>
      <c r="I239" s="25"/>
      <c r="J239" s="164"/>
      <c r="K239" s="164"/>
      <c r="L239" s="164"/>
      <c r="M239" s="164"/>
      <c r="N239" s="25"/>
      <c r="O239" s="164"/>
      <c r="P239" s="164"/>
      <c r="Q239" s="164"/>
      <c r="R239" s="164"/>
      <c r="S239" s="25"/>
      <c r="T239" s="164"/>
      <c r="U239" s="164"/>
      <c r="V239" s="164"/>
      <c r="W239" s="164"/>
      <c r="X239" s="25"/>
      <c r="Y239" s="164"/>
      <c r="Z239" s="164"/>
      <c r="AA239" s="164"/>
      <c r="AB239" s="164"/>
      <c r="AC239" s="25"/>
      <c r="AD239" s="164"/>
      <c r="AE239" s="164"/>
      <c r="AF239" s="164"/>
      <c r="AG239" s="164"/>
      <c r="AH239" s="25"/>
      <c r="AI239" s="164"/>
      <c r="AJ239" s="164"/>
      <c r="AK239" s="164"/>
      <c r="AL239" s="164"/>
      <c r="AM239" s="25"/>
      <c r="AN239" s="164"/>
      <c r="AO239" s="164"/>
      <c r="AP239" s="164"/>
      <c r="AQ239" s="164"/>
      <c r="AR239" s="25"/>
      <c r="AS239" s="185"/>
      <c r="AT239" s="185"/>
      <c r="AU239" s="185"/>
      <c r="AV239" s="164"/>
      <c r="AW239" s="25"/>
      <c r="AX239" s="185"/>
      <c r="AY239" s="185"/>
      <c r="AZ239" s="185"/>
      <c r="BA239" s="185"/>
      <c r="BB239" s="25"/>
      <c r="BC239" s="185"/>
      <c r="BG239" s="25"/>
      <c r="BL239" s="25"/>
      <c r="BM239" s="185"/>
      <c r="BN239" s="185"/>
      <c r="BO239" s="185"/>
      <c r="BQ239" s="25"/>
      <c r="BR239" s="185"/>
      <c r="BS239" s="185"/>
      <c r="BT239" s="185"/>
      <c r="BV239" s="25"/>
      <c r="BW239" s="185"/>
      <c r="BX239" s="185"/>
      <c r="BY239" s="185"/>
      <c r="CA239" s="25"/>
      <c r="CB239" s="185"/>
      <c r="CC239" s="185"/>
      <c r="CD239" s="185"/>
      <c r="CF239" s="25"/>
      <c r="CG239" s="185"/>
      <c r="CH239" s="185"/>
      <c r="CI239" s="185"/>
      <c r="CK239" s="25"/>
      <c r="CL239" s="185"/>
      <c r="CM239" s="185"/>
      <c r="CP239" s="25"/>
      <c r="CU239" s="25"/>
      <c r="CZ239" s="25"/>
      <c r="DE239" s="25"/>
      <c r="DJ239" s="25"/>
      <c r="DO239" s="25"/>
      <c r="DP239"/>
      <c r="DQ239"/>
      <c r="DR239"/>
      <c r="DS239"/>
      <c r="DT239" s="25"/>
      <c r="DU239" s="25"/>
      <c r="DV239" s="25"/>
    </row>
    <row r="240" spans="2:126">
      <c r="B240" s="45"/>
      <c r="C240" s="25"/>
      <c r="D240" s="25"/>
      <c r="E240" s="25"/>
      <c r="F240" s="25"/>
      <c r="G240" s="25"/>
      <c r="H240" s="25"/>
      <c r="I240" s="25"/>
      <c r="J240" s="164"/>
      <c r="K240" s="164"/>
      <c r="L240" s="164"/>
      <c r="M240" s="164"/>
      <c r="N240" s="25"/>
      <c r="O240" s="164"/>
      <c r="P240" s="164"/>
      <c r="Q240" s="164"/>
      <c r="R240" s="164"/>
      <c r="S240" s="25"/>
      <c r="T240" s="164"/>
      <c r="U240" s="164"/>
      <c r="V240" s="164"/>
      <c r="W240" s="164"/>
      <c r="X240" s="25"/>
      <c r="Y240" s="164"/>
      <c r="Z240" s="164"/>
      <c r="AA240" s="164"/>
      <c r="AB240" s="164"/>
      <c r="AC240" s="25"/>
      <c r="AD240" s="164"/>
      <c r="AE240" s="164"/>
      <c r="AF240" s="164"/>
      <c r="AG240" s="164"/>
      <c r="AH240" s="25"/>
      <c r="AI240" s="164"/>
      <c r="AJ240" s="164"/>
      <c r="AK240" s="164"/>
      <c r="AL240" s="164"/>
      <c r="AM240" s="25"/>
      <c r="AN240" s="164"/>
      <c r="AO240" s="164"/>
      <c r="AP240" s="164"/>
      <c r="AQ240" s="164"/>
      <c r="AR240" s="25"/>
      <c r="AS240" s="164"/>
      <c r="AT240" s="164"/>
      <c r="AV240" s="164"/>
      <c r="AW240" s="25"/>
      <c r="AX240" s="164"/>
      <c r="AY240" s="164"/>
      <c r="BB240" s="25"/>
      <c r="BC240" s="164"/>
      <c r="BG240" s="25"/>
      <c r="BL240" s="25"/>
      <c r="BQ240" s="25"/>
      <c r="BS240" s="29"/>
      <c r="BV240" s="25"/>
      <c r="CA240" s="25"/>
      <c r="CF240" s="25"/>
      <c r="CK240" s="25"/>
      <c r="CP240" s="25"/>
      <c r="CU240" s="25"/>
      <c r="CZ240" s="25"/>
      <c r="DE240" s="25"/>
      <c r="DJ240" s="25"/>
      <c r="DO240" s="25"/>
      <c r="DP240"/>
      <c r="DQ240"/>
      <c r="DR240"/>
      <c r="DS240"/>
      <c r="DT240" s="25"/>
      <c r="DU240" s="25"/>
      <c r="DV240" s="25"/>
    </row>
    <row r="241" spans="1:126">
      <c r="B241" s="165" t="s">
        <v>317</v>
      </c>
      <c r="C241" s="25"/>
      <c r="D241" s="25"/>
      <c r="E241" s="25"/>
      <c r="F241" s="25"/>
      <c r="G241" s="25"/>
      <c r="H241" s="25"/>
      <c r="I241" s="25"/>
      <c r="J241" s="164"/>
      <c r="K241" s="164"/>
      <c r="L241" s="164"/>
      <c r="M241" s="164"/>
      <c r="N241" s="25"/>
      <c r="O241" s="164"/>
      <c r="P241" s="164"/>
      <c r="Q241" s="164"/>
      <c r="R241" s="164"/>
      <c r="S241" s="25"/>
      <c r="T241" s="164"/>
      <c r="U241" s="164"/>
      <c r="V241" s="164"/>
      <c r="W241" s="164"/>
      <c r="X241" s="25"/>
      <c r="Y241" s="164"/>
      <c r="Z241" s="164"/>
      <c r="AA241" s="164"/>
      <c r="AB241" s="164"/>
      <c r="AC241" s="25"/>
      <c r="AD241" s="164"/>
      <c r="AE241" s="164"/>
      <c r="AF241" s="164"/>
      <c r="AG241" s="164"/>
      <c r="AH241" s="25"/>
      <c r="AI241" s="164"/>
      <c r="AJ241" s="164"/>
      <c r="AK241" s="164"/>
      <c r="AL241" s="164"/>
      <c r="AM241" s="25"/>
      <c r="AN241" s="164"/>
      <c r="AO241" s="164"/>
      <c r="AP241" s="164"/>
      <c r="AQ241" s="164"/>
      <c r="AR241" s="25"/>
      <c r="AS241" s="164"/>
      <c r="AT241" s="164"/>
      <c r="AV241" s="164"/>
      <c r="AW241" s="25"/>
      <c r="AX241" s="164"/>
      <c r="AY241" s="164"/>
      <c r="BB241" s="25"/>
      <c r="BC241" s="164"/>
      <c r="BG241" s="25"/>
      <c r="BL241" s="25"/>
      <c r="BQ241" s="25"/>
      <c r="BS241" s="29"/>
      <c r="BV241" s="25"/>
      <c r="CA241" s="25"/>
      <c r="CF241" s="25"/>
      <c r="CK241" s="25"/>
      <c r="CP241" s="25"/>
      <c r="CU241" s="25"/>
      <c r="CZ241" s="25"/>
      <c r="DE241" s="25"/>
      <c r="DJ241" s="25"/>
      <c r="DO241" s="25"/>
      <c r="DP241"/>
      <c r="DQ241"/>
      <c r="DR241"/>
      <c r="DS241"/>
      <c r="DT241" s="25"/>
      <c r="DU241" s="25"/>
      <c r="DV241" s="25"/>
    </row>
    <row r="242" spans="1:126">
      <c r="B242" s="165" t="s">
        <v>155</v>
      </c>
      <c r="C242" s="87"/>
      <c r="D242" s="87"/>
      <c r="E242" s="87"/>
      <c r="F242" s="87"/>
      <c r="G242" s="87"/>
      <c r="H242" s="87"/>
      <c r="I242" s="87"/>
      <c r="J242" s="193"/>
      <c r="K242" s="193"/>
      <c r="L242" s="193"/>
      <c r="M242" s="193"/>
      <c r="N242" s="87"/>
      <c r="O242" s="193"/>
      <c r="P242" s="193"/>
      <c r="Q242" s="193"/>
      <c r="R242" s="193"/>
      <c r="S242" s="87"/>
      <c r="T242" s="193"/>
      <c r="U242" s="193"/>
      <c r="V242" s="193"/>
      <c r="W242" s="193"/>
      <c r="X242" s="87"/>
      <c r="Y242" s="193"/>
      <c r="Z242" s="193"/>
      <c r="AA242" s="193"/>
      <c r="AB242" s="193"/>
      <c r="AC242" s="87"/>
      <c r="AD242" s="193"/>
      <c r="AE242" s="193"/>
      <c r="AF242" s="193"/>
      <c r="AG242" s="193"/>
      <c r="AH242" s="87"/>
      <c r="AI242" s="193"/>
      <c r="AJ242" s="193"/>
      <c r="AK242" s="193"/>
      <c r="AL242" s="193"/>
      <c r="AM242" s="87"/>
      <c r="AN242" s="193"/>
      <c r="AO242" s="193"/>
      <c r="AP242" s="193"/>
      <c r="AQ242" s="193"/>
      <c r="AR242" s="87"/>
      <c r="AS242" s="164"/>
      <c r="AT242" s="164"/>
      <c r="AV242" s="193"/>
      <c r="AW242" s="87"/>
      <c r="AX242" s="164"/>
      <c r="AY242" s="164"/>
      <c r="BB242" s="87"/>
      <c r="BC242" s="164"/>
      <c r="BG242" s="87"/>
      <c r="BL242" s="87"/>
      <c r="BQ242" s="87"/>
      <c r="BS242" s="29"/>
      <c r="BV242" s="87"/>
      <c r="CA242" s="87"/>
      <c r="CF242" s="25"/>
      <c r="CK242" s="25"/>
      <c r="CP242" s="25"/>
      <c r="CU242" s="25"/>
      <c r="CZ242" s="25"/>
      <c r="DE242" s="25"/>
      <c r="DJ242" s="25"/>
      <c r="DO242" s="25"/>
      <c r="DP242"/>
      <c r="DQ242"/>
      <c r="DR242"/>
      <c r="DS242"/>
      <c r="DT242" s="25"/>
      <c r="DU242" s="25"/>
      <c r="DV242" s="25"/>
    </row>
    <row r="243" spans="1:126" s="108" customFormat="1">
      <c r="A243" s="37"/>
      <c r="B243" s="108" t="s">
        <v>156</v>
      </c>
      <c r="C243" s="101"/>
      <c r="D243" s="101"/>
      <c r="E243" s="101"/>
      <c r="F243" s="101"/>
      <c r="G243" s="101"/>
      <c r="H243" s="101"/>
      <c r="I243" s="101"/>
      <c r="N243" s="101"/>
      <c r="S243" s="101"/>
      <c r="X243" s="101"/>
      <c r="AC243" s="101"/>
      <c r="AH243" s="101"/>
      <c r="AM243" s="101"/>
      <c r="AR243" s="101"/>
      <c r="AU243" s="37"/>
      <c r="AW243" s="101"/>
      <c r="AZ243" s="37"/>
      <c r="BA243" s="37"/>
      <c r="BB243" s="101"/>
      <c r="BD243" s="37"/>
      <c r="BE243" s="37"/>
      <c r="BF243" s="37"/>
      <c r="BG243" s="101"/>
      <c r="BH243" s="37"/>
      <c r="BI243" s="37"/>
      <c r="BJ243" s="37"/>
      <c r="BK243" s="37"/>
      <c r="BL243" s="101"/>
      <c r="BM243" s="37"/>
      <c r="BN243" s="37"/>
      <c r="BO243" s="37"/>
      <c r="BP243" s="37"/>
      <c r="BQ243" s="101"/>
      <c r="BR243" s="37"/>
      <c r="BS243" s="182"/>
      <c r="BT243" s="37"/>
      <c r="BU243" s="37"/>
      <c r="BV243" s="101"/>
      <c r="BW243" s="37"/>
      <c r="BX243" s="37"/>
      <c r="BY243" s="37"/>
      <c r="BZ243" s="37"/>
      <c r="CA243" s="101"/>
      <c r="CB243" s="37"/>
      <c r="CC243" s="37"/>
      <c r="CD243" s="37"/>
      <c r="CE243" s="37"/>
      <c r="CF243" s="101"/>
      <c r="CG243" s="37"/>
      <c r="CH243" s="37"/>
      <c r="CI243" s="37"/>
      <c r="CJ243" s="37"/>
      <c r="CK243" s="101"/>
      <c r="CL243" s="37"/>
      <c r="CM243" s="37"/>
      <c r="CN243" s="37"/>
      <c r="CO243" s="37"/>
      <c r="CP243" s="101"/>
      <c r="CQ243" s="37"/>
      <c r="CR243" s="37"/>
      <c r="CS243" s="37"/>
      <c r="CT243" s="37"/>
      <c r="CU243" s="101"/>
      <c r="CV243" s="37"/>
      <c r="CW243" s="37"/>
      <c r="CX243" s="37"/>
      <c r="CY243" s="37"/>
      <c r="CZ243" s="101"/>
      <c r="DA243" s="37"/>
      <c r="DB243" s="37"/>
      <c r="DC243" s="37"/>
      <c r="DD243" s="37"/>
      <c r="DE243" s="101"/>
      <c r="DF243" s="37"/>
      <c r="DG243" s="37"/>
      <c r="DH243" s="37"/>
      <c r="DI243" s="37"/>
      <c r="DJ243" s="101"/>
      <c r="DK243" s="37"/>
      <c r="DL243" s="37"/>
      <c r="DM243" s="37"/>
      <c r="DN243" s="37"/>
      <c r="DO243" s="101"/>
      <c r="DP243" s="37"/>
      <c r="DQ243" s="37"/>
      <c r="DR243" s="37"/>
      <c r="DS243" s="37"/>
      <c r="DT243" s="101"/>
      <c r="DU243" s="101"/>
      <c r="DV243" s="101"/>
    </row>
    <row r="244" spans="1:126" s="108" customFormat="1">
      <c r="A244" s="37"/>
      <c r="B244" s="108" t="s">
        <v>391</v>
      </c>
      <c r="C244" s="101"/>
      <c r="D244" s="101"/>
      <c r="E244" s="101"/>
      <c r="F244" s="101"/>
      <c r="G244" s="101"/>
      <c r="H244" s="101"/>
      <c r="I244" s="101"/>
      <c r="N244" s="101"/>
      <c r="S244" s="101"/>
      <c r="X244" s="101"/>
      <c r="AC244" s="101"/>
      <c r="AH244" s="101"/>
      <c r="AM244" s="101"/>
      <c r="AR244" s="101"/>
      <c r="AU244" s="37"/>
      <c r="AW244" s="101"/>
      <c r="AZ244" s="37"/>
      <c r="BA244" s="37"/>
      <c r="BB244" s="101"/>
      <c r="BD244" s="37"/>
      <c r="BE244" s="37"/>
      <c r="BF244" s="37"/>
      <c r="BG244" s="101"/>
      <c r="BH244" s="37"/>
      <c r="BI244" s="37"/>
      <c r="BJ244" s="37"/>
      <c r="BK244" s="37"/>
      <c r="BL244" s="101"/>
      <c r="BM244" s="37"/>
      <c r="BN244" s="37"/>
      <c r="BO244" s="37"/>
      <c r="BP244" s="37"/>
      <c r="BQ244" s="101"/>
      <c r="BR244" s="37"/>
      <c r="BS244" s="37"/>
      <c r="BT244" s="37"/>
      <c r="BU244" s="37"/>
      <c r="BV244" s="101"/>
      <c r="BW244" s="37"/>
      <c r="BX244" s="37"/>
      <c r="BY244" s="37"/>
      <c r="BZ244" s="37"/>
      <c r="CA244" s="101"/>
      <c r="CB244" s="37"/>
      <c r="CC244" s="37"/>
      <c r="CD244" s="37"/>
      <c r="CE244" s="37"/>
      <c r="CF244" s="101"/>
      <c r="CG244" s="37"/>
      <c r="CH244" s="37"/>
      <c r="CI244" s="37"/>
      <c r="CJ244" s="37"/>
      <c r="CK244" s="101"/>
      <c r="CL244" s="37"/>
      <c r="CM244" s="37"/>
      <c r="CN244" s="37"/>
      <c r="CO244" s="37"/>
      <c r="CP244" s="101"/>
      <c r="CQ244" s="37"/>
      <c r="CR244" s="37"/>
      <c r="CS244" s="37"/>
      <c r="CT244" s="37"/>
      <c r="CU244" s="101"/>
      <c r="CV244" s="37"/>
      <c r="CW244" s="37"/>
      <c r="CX244" s="37"/>
      <c r="CY244" s="37"/>
      <c r="CZ244" s="101"/>
      <c r="DA244" s="37"/>
      <c r="DB244" s="37"/>
      <c r="DC244" s="37"/>
      <c r="DD244" s="37"/>
      <c r="DE244" s="101"/>
      <c r="DF244" s="37"/>
      <c r="DG244" s="37"/>
      <c r="DH244" s="37"/>
      <c r="DI244" s="37"/>
      <c r="DJ244" s="101"/>
      <c r="DK244" s="37"/>
      <c r="DL244" s="37"/>
      <c r="DM244" s="37"/>
      <c r="DN244" s="37"/>
      <c r="DO244" s="101"/>
      <c r="DP244" s="37"/>
      <c r="DQ244" s="37"/>
      <c r="DR244" s="37"/>
      <c r="DS244" s="37"/>
      <c r="DT244" s="101"/>
      <c r="DU244" s="101"/>
      <c r="DV244" s="101"/>
    </row>
    <row r="245" spans="1:126">
      <c r="B245" s="45"/>
      <c r="C245" s="25"/>
      <c r="D245" s="25"/>
      <c r="E245" s="25"/>
      <c r="F245" s="25"/>
      <c r="G245" s="25"/>
      <c r="H245" s="25"/>
      <c r="I245" s="25"/>
      <c r="J245" s="164"/>
      <c r="K245" s="164"/>
      <c r="L245" s="164"/>
      <c r="M245" s="164"/>
      <c r="N245" s="25"/>
      <c r="O245" s="164"/>
      <c r="P245" s="164"/>
      <c r="Q245" s="164"/>
      <c r="R245" s="164"/>
      <c r="S245" s="25"/>
      <c r="T245" s="164"/>
      <c r="U245" s="164"/>
      <c r="V245" s="164"/>
      <c r="W245" s="164"/>
      <c r="X245" s="25"/>
      <c r="Y245" s="164"/>
      <c r="Z245" s="164"/>
      <c r="AA245" s="164"/>
      <c r="AB245" s="164"/>
      <c r="AC245" s="25"/>
      <c r="AD245" s="164"/>
      <c r="AE245" s="164"/>
      <c r="AF245" s="164"/>
      <c r="AG245" s="164"/>
      <c r="AH245" s="25"/>
      <c r="AI245" s="164"/>
      <c r="AJ245" s="164"/>
      <c r="AK245" s="164"/>
      <c r="AL245" s="164"/>
      <c r="AM245" s="25"/>
      <c r="AN245" s="164"/>
      <c r="AO245" s="164"/>
      <c r="AP245" s="164"/>
      <c r="AQ245" s="164"/>
      <c r="AR245" s="25"/>
      <c r="AS245" s="164"/>
      <c r="AT245" s="164"/>
      <c r="AV245" s="164"/>
      <c r="AW245" s="25"/>
      <c r="AX245" s="164"/>
      <c r="AY245" s="164"/>
      <c r="BB245" s="25"/>
      <c r="BC245" s="164"/>
      <c r="BG245" s="25"/>
      <c r="BL245" s="25"/>
      <c r="BQ245" s="25"/>
      <c r="BV245" s="25"/>
      <c r="CA245" s="25"/>
      <c r="CF245" s="25"/>
      <c r="CK245" s="25"/>
      <c r="CP245" s="25"/>
      <c r="CU245" s="25"/>
      <c r="CZ245" s="25"/>
      <c r="DE245" s="25"/>
      <c r="DJ245" s="25"/>
      <c r="DO245" s="25"/>
      <c r="DP245"/>
      <c r="DQ245"/>
      <c r="DR245"/>
      <c r="DS245"/>
      <c r="DT245" s="25"/>
      <c r="DU245" s="25"/>
      <c r="DV245" s="25"/>
    </row>
    <row r="246" spans="1:126">
      <c r="B246" s="423" t="s">
        <v>63</v>
      </c>
      <c r="C246" s="25"/>
      <c r="D246" s="25"/>
      <c r="E246" s="25"/>
      <c r="F246" s="25"/>
      <c r="G246" s="25"/>
      <c r="H246" s="25"/>
      <c r="I246" s="25"/>
      <c r="J246" s="164"/>
      <c r="K246" s="164"/>
      <c r="L246" s="164"/>
      <c r="M246" s="164"/>
      <c r="N246" s="25"/>
      <c r="O246" s="164"/>
      <c r="P246" s="164"/>
      <c r="Q246" s="164"/>
      <c r="R246" s="164"/>
      <c r="S246" s="25"/>
      <c r="T246" s="164"/>
      <c r="U246" s="164"/>
      <c r="V246" s="164"/>
      <c r="W246" s="164"/>
      <c r="X246" s="25"/>
      <c r="Y246" s="164"/>
      <c r="Z246" s="164"/>
      <c r="AA246" s="164"/>
      <c r="AB246" s="164"/>
      <c r="AC246" s="25"/>
      <c r="AD246" s="164"/>
      <c r="AE246" s="164"/>
      <c r="AF246" s="164"/>
      <c r="AG246" s="164"/>
      <c r="AH246" s="25"/>
      <c r="AI246" s="164"/>
      <c r="AJ246" s="164"/>
      <c r="AK246" s="164"/>
      <c r="AL246" s="164"/>
      <c r="AM246" s="25"/>
      <c r="AN246" s="164"/>
      <c r="AO246" s="164"/>
      <c r="AP246" s="164"/>
      <c r="AQ246" s="164"/>
      <c r="AR246" s="25"/>
      <c r="AS246" s="164"/>
      <c r="AT246" s="164"/>
      <c r="AV246" s="164"/>
      <c r="AW246" s="25"/>
      <c r="AX246" s="164"/>
      <c r="AY246" s="164"/>
      <c r="BB246" s="25"/>
      <c r="BC246" s="164"/>
      <c r="BG246" s="25"/>
      <c r="BL246" s="25"/>
      <c r="BQ246" s="25"/>
      <c r="BV246" s="25"/>
      <c r="CA246" s="25"/>
      <c r="CF246" s="25"/>
      <c r="CK246" s="25"/>
      <c r="CP246" s="25"/>
      <c r="CU246" s="25"/>
      <c r="CZ246" s="25"/>
      <c r="DE246" s="25"/>
      <c r="DJ246" s="25"/>
      <c r="DO246" s="25"/>
      <c r="DP246"/>
      <c r="DQ246"/>
      <c r="DR246"/>
      <c r="DS246"/>
      <c r="DT246" s="25"/>
      <c r="DU246" s="25"/>
      <c r="DV246" s="25"/>
    </row>
    <row r="247" spans="1:126" s="189" customFormat="1">
      <c r="A247" s="29"/>
      <c r="B247" s="185" t="s">
        <v>184</v>
      </c>
      <c r="C247" s="184"/>
      <c r="D247" s="184"/>
      <c r="E247" s="184"/>
      <c r="F247" s="184"/>
      <c r="G247" s="184"/>
      <c r="H247" s="184"/>
      <c r="I247" s="184"/>
      <c r="J247" s="185"/>
      <c r="K247" s="185"/>
      <c r="L247" s="185"/>
      <c r="M247" s="185"/>
      <c r="N247" s="184"/>
      <c r="O247" s="185"/>
      <c r="P247" s="185"/>
      <c r="Q247" s="185"/>
      <c r="R247" s="185"/>
      <c r="S247" s="184"/>
      <c r="T247" s="185"/>
      <c r="U247" s="185"/>
      <c r="V247" s="185"/>
      <c r="W247" s="185"/>
      <c r="X247" s="184"/>
      <c r="Y247" s="185"/>
      <c r="Z247" s="185"/>
      <c r="AA247" s="185"/>
      <c r="AB247" s="185"/>
      <c r="AC247" s="184"/>
      <c r="AD247" s="185"/>
      <c r="AE247" s="185"/>
      <c r="AF247" s="185"/>
      <c r="AG247" s="185"/>
      <c r="AH247" s="184"/>
      <c r="AI247" s="185"/>
      <c r="AJ247" s="185"/>
      <c r="AK247" s="185"/>
      <c r="AL247" s="185"/>
      <c r="AM247" s="184"/>
      <c r="AN247" s="185"/>
      <c r="AO247" s="185"/>
      <c r="AP247" s="185"/>
      <c r="AQ247" s="185"/>
      <c r="AR247" s="433"/>
      <c r="AS247" s="185"/>
      <c r="AT247" s="185"/>
      <c r="AU247" s="29"/>
      <c r="AV247" s="185"/>
      <c r="AW247" s="433"/>
      <c r="AX247" s="185"/>
      <c r="AY247" s="185"/>
      <c r="AZ247" s="29"/>
      <c r="BA247" s="29"/>
      <c r="BB247" s="433"/>
      <c r="BC247" s="185"/>
      <c r="BD247" s="29"/>
      <c r="BE247" s="29"/>
      <c r="BF247" s="29"/>
      <c r="BG247" s="184"/>
      <c r="BH247" s="29"/>
      <c r="BI247" s="29"/>
      <c r="BJ247" s="29"/>
      <c r="BK247" s="29"/>
      <c r="BL247" s="184"/>
      <c r="BM247" s="29"/>
      <c r="BN247" s="29"/>
      <c r="BO247" s="29"/>
      <c r="BP247" s="29"/>
      <c r="BQ247" s="184"/>
      <c r="BR247" s="29"/>
      <c r="BS247" s="29"/>
      <c r="BT247" s="29"/>
      <c r="BU247" s="29"/>
      <c r="BV247" s="184"/>
      <c r="BW247" s="29"/>
      <c r="BX247" s="29"/>
      <c r="BY247" s="29"/>
      <c r="BZ247" s="29"/>
      <c r="CA247" s="184"/>
      <c r="CB247" s="29"/>
      <c r="CC247" s="29"/>
      <c r="CD247" s="29"/>
      <c r="CE247" s="29"/>
      <c r="CF247" s="184"/>
      <c r="CG247" s="29"/>
      <c r="CH247" s="29"/>
      <c r="CI247" s="29"/>
      <c r="CJ247" s="29"/>
      <c r="CK247" s="184"/>
      <c r="CL247" s="29"/>
      <c r="CM247" s="29"/>
      <c r="CN247" s="29"/>
      <c r="CO247" s="29"/>
      <c r="CP247" s="184"/>
      <c r="CQ247" s="29"/>
      <c r="CR247" s="29"/>
      <c r="CS247" s="29"/>
      <c r="CT247" s="29"/>
      <c r="CU247" s="184"/>
      <c r="CV247" s="29"/>
      <c r="CW247" s="29"/>
      <c r="CX247" s="29"/>
      <c r="CY247" s="29"/>
      <c r="CZ247" s="184"/>
      <c r="DA247" s="29"/>
      <c r="DB247" s="29"/>
      <c r="DC247" s="29"/>
      <c r="DD247" s="29"/>
      <c r="DE247" s="184"/>
      <c r="DF247" s="29"/>
      <c r="DG247" s="29"/>
      <c r="DH247" s="29"/>
      <c r="DI247" s="29"/>
      <c r="DJ247" s="184"/>
      <c r="DK247" s="29"/>
      <c r="DL247" s="29"/>
      <c r="DM247" s="29"/>
      <c r="DN247" s="29"/>
      <c r="DO247" s="184"/>
      <c r="DP247" s="29"/>
      <c r="DQ247" s="29"/>
      <c r="DR247" s="29"/>
      <c r="DS247" s="29"/>
      <c r="DT247" s="184"/>
      <c r="DU247" s="184"/>
      <c r="DV247" s="184"/>
    </row>
    <row r="248" spans="1:126" s="189" customFormat="1">
      <c r="A248" s="29"/>
      <c r="B248" s="232" t="s">
        <v>47</v>
      </c>
      <c r="C248" s="363"/>
      <c r="D248" s="363"/>
      <c r="E248" s="363"/>
      <c r="F248" s="363"/>
      <c r="G248" s="363"/>
      <c r="H248" s="363"/>
      <c r="I248" s="363"/>
      <c r="J248" s="232"/>
      <c r="K248" s="232"/>
      <c r="L248" s="232"/>
      <c r="M248" s="232"/>
      <c r="N248" s="363"/>
      <c r="O248" s="185"/>
      <c r="P248" s="185"/>
      <c r="Q248" s="185"/>
      <c r="R248" s="185"/>
      <c r="S248" s="363"/>
      <c r="T248" s="232"/>
      <c r="U248" s="232"/>
      <c r="V248" s="232"/>
      <c r="W248" s="232"/>
      <c r="X248" s="363"/>
      <c r="Y248" s="232"/>
      <c r="Z248" s="232"/>
      <c r="AA248" s="232"/>
      <c r="AB248" s="232"/>
      <c r="AC248" s="363"/>
      <c r="AD248" s="232"/>
      <c r="AE248" s="232"/>
      <c r="AF248" s="232"/>
      <c r="AG248" s="232"/>
      <c r="AH248" s="363"/>
      <c r="AI248" s="232"/>
      <c r="AJ248" s="232"/>
      <c r="AK248" s="232"/>
      <c r="AL248" s="232"/>
      <c r="AM248" s="363"/>
      <c r="AN248" s="232"/>
      <c r="AO248" s="232"/>
      <c r="AP248" s="232"/>
      <c r="AQ248" s="232"/>
      <c r="AR248" s="363"/>
      <c r="AS248" s="185"/>
      <c r="AT248" s="185"/>
      <c r="AU248" s="29"/>
      <c r="AV248" s="232"/>
      <c r="AW248" s="363"/>
      <c r="AX248" s="185"/>
      <c r="AY248" s="185"/>
      <c r="AZ248" s="185"/>
      <c r="BA248" s="185"/>
      <c r="BB248" s="363"/>
      <c r="BC248" s="185"/>
      <c r="BD248" s="29"/>
      <c r="BE248" s="29"/>
      <c r="BF248" s="29"/>
      <c r="BG248" s="363"/>
      <c r="BH248" s="29"/>
      <c r="BI248" s="29"/>
      <c r="BJ248" s="29"/>
      <c r="BK248" s="29"/>
      <c r="BL248" s="363"/>
      <c r="BM248" s="29"/>
      <c r="BN248" s="29"/>
      <c r="BO248" s="29"/>
      <c r="BP248" s="29"/>
      <c r="BQ248" s="363"/>
      <c r="BR248" s="29"/>
      <c r="BS248" s="29"/>
      <c r="BT248" s="29"/>
      <c r="BU248" s="29"/>
      <c r="BV248" s="363"/>
      <c r="BW248" s="29"/>
      <c r="BX248" s="29"/>
      <c r="BY248" s="29"/>
      <c r="BZ248" s="29"/>
      <c r="CA248" s="363">
        <v>-11178</v>
      </c>
      <c r="CB248" s="29"/>
      <c r="CC248" s="29"/>
      <c r="CD248" s="29"/>
      <c r="CE248" s="29"/>
      <c r="CF248" s="363">
        <f>-11787</f>
        <v>-11787</v>
      </c>
      <c r="CG248" s="29"/>
      <c r="CH248" s="29"/>
      <c r="CI248" s="29"/>
      <c r="CJ248" s="29"/>
      <c r="CK248" s="361">
        <v>-12931</v>
      </c>
      <c r="CL248" s="29"/>
      <c r="CM248" s="29"/>
      <c r="CN248" s="29"/>
      <c r="CO248" s="29"/>
      <c r="CP248" s="361">
        <v>-11384</v>
      </c>
      <c r="CQ248" s="29"/>
      <c r="CR248" s="29"/>
      <c r="CS248" s="29"/>
      <c r="CT248" s="29"/>
      <c r="CU248" s="361">
        <v>-12665</v>
      </c>
      <c r="CV248" s="29"/>
      <c r="CW248" s="29"/>
      <c r="CX248" s="29"/>
      <c r="CY248" s="29"/>
      <c r="CZ248" s="361">
        <v>-13946</v>
      </c>
      <c r="DA248" s="29"/>
      <c r="DB248" s="29"/>
      <c r="DC248" s="29"/>
      <c r="DD248" s="29"/>
      <c r="DE248" s="361">
        <f>CZ248-(CFLO!DE8*0.58)</f>
        <v>-15229.54</v>
      </c>
      <c r="DF248" s="29"/>
      <c r="DG248" s="29"/>
      <c r="DH248" s="29"/>
      <c r="DI248" s="29"/>
      <c r="DJ248" s="361">
        <f>DE248-(CFLO!DJ8*0.58)</f>
        <v>-17470.66</v>
      </c>
      <c r="DK248" s="29"/>
      <c r="DL248" s="29"/>
      <c r="DM248" s="29"/>
      <c r="DN248" s="29"/>
      <c r="DO248" s="361">
        <f>DJ248-(CFLO!DO8*0.58)</f>
        <v>-18830.759999999998</v>
      </c>
      <c r="DP248" s="29"/>
      <c r="DQ248" s="29"/>
      <c r="DR248" s="29"/>
      <c r="DS248" s="29"/>
      <c r="DT248" s="361" t="e">
        <f>DO248-(CFLO!#REF!*0.58)</f>
        <v>#REF!</v>
      </c>
      <c r="DU248" s="361" t="e">
        <f>DT248-(CFLO!DU8*0.58)</f>
        <v>#REF!</v>
      </c>
      <c r="DV248" s="361" t="e">
        <f>DU248-(CFLO!DV8*0.58)</f>
        <v>#REF!</v>
      </c>
    </row>
    <row r="249" spans="1:126" s="235" customFormat="1">
      <c r="A249" s="182"/>
      <c r="B249" s="179" t="s">
        <v>135</v>
      </c>
      <c r="C249" s="365"/>
      <c r="D249" s="365"/>
      <c r="E249" s="365"/>
      <c r="F249" s="365"/>
      <c r="G249" s="365"/>
      <c r="H249" s="365"/>
      <c r="I249" s="365"/>
      <c r="J249" s="179"/>
      <c r="K249" s="179"/>
      <c r="L249" s="179"/>
      <c r="M249" s="179"/>
      <c r="N249" s="365"/>
      <c r="O249" s="179"/>
      <c r="P249" s="179"/>
      <c r="Q249" s="179"/>
      <c r="R249" s="179"/>
      <c r="S249" s="365"/>
      <c r="T249" s="179"/>
      <c r="U249" s="179"/>
      <c r="V249" s="179"/>
      <c r="W249" s="179"/>
      <c r="X249" s="365"/>
      <c r="Y249" s="179"/>
      <c r="Z249" s="179"/>
      <c r="AA249" s="179"/>
      <c r="AB249" s="179"/>
      <c r="AC249" s="365"/>
      <c r="AD249" s="179"/>
      <c r="AE249" s="179"/>
      <c r="AF249" s="179"/>
      <c r="AG249" s="179"/>
      <c r="AH249" s="365"/>
      <c r="AI249" s="179"/>
      <c r="AJ249" s="179"/>
      <c r="AK249" s="179"/>
      <c r="AL249" s="179"/>
      <c r="AM249" s="365"/>
      <c r="AN249" s="179"/>
      <c r="AO249" s="179"/>
      <c r="AP249" s="179"/>
      <c r="AQ249" s="179"/>
      <c r="AR249" s="365"/>
      <c r="AS249" s="179"/>
      <c r="AT249" s="179"/>
      <c r="AU249" s="182"/>
      <c r="AV249" s="179"/>
      <c r="AW249" s="365"/>
      <c r="AX249" s="179"/>
      <c r="AY249" s="179"/>
      <c r="AZ249" s="182"/>
      <c r="BA249" s="182"/>
      <c r="BB249" s="365"/>
      <c r="BC249" s="179"/>
      <c r="BD249" s="182"/>
      <c r="BE249" s="182"/>
      <c r="BF249" s="182"/>
      <c r="BG249" s="365"/>
      <c r="BH249" s="182"/>
      <c r="BI249" s="182"/>
      <c r="BJ249" s="182"/>
      <c r="BK249" s="182"/>
      <c r="BL249" s="365"/>
      <c r="BM249" s="182"/>
      <c r="BN249" s="182"/>
      <c r="BO249" s="182"/>
      <c r="BP249" s="182"/>
      <c r="BQ249" s="365"/>
      <c r="BR249" s="182"/>
      <c r="BS249" s="182"/>
      <c r="BT249" s="182"/>
      <c r="BU249" s="182"/>
      <c r="BV249" s="365"/>
      <c r="BW249" s="182"/>
      <c r="BX249" s="182"/>
      <c r="BY249" s="182"/>
      <c r="BZ249" s="182"/>
      <c r="CA249" s="365"/>
      <c r="CB249" s="182"/>
      <c r="CC249" s="182"/>
      <c r="CD249" s="182"/>
      <c r="CE249" s="182"/>
      <c r="CF249" s="365"/>
      <c r="CG249" s="182"/>
      <c r="CH249" s="182"/>
      <c r="CI249" s="182"/>
      <c r="CJ249" s="182"/>
      <c r="CK249" s="365"/>
      <c r="CL249" s="182"/>
      <c r="CM249" s="182"/>
      <c r="CN249" s="182"/>
      <c r="CO249" s="182"/>
      <c r="CP249" s="365"/>
      <c r="CQ249" s="182"/>
      <c r="CR249" s="182"/>
      <c r="CS249" s="182"/>
      <c r="CT249" s="182"/>
      <c r="CU249" s="365"/>
      <c r="CV249" s="182"/>
      <c r="CW249" s="182"/>
      <c r="CX249" s="182"/>
      <c r="CY249" s="182"/>
      <c r="CZ249" s="365"/>
      <c r="DA249" s="182"/>
      <c r="DB249" s="182"/>
      <c r="DC249" s="182"/>
      <c r="DD249" s="182"/>
      <c r="DE249" s="365"/>
      <c r="DF249" s="182"/>
      <c r="DG249" s="182"/>
      <c r="DH249" s="182"/>
      <c r="DI249" s="182"/>
      <c r="DJ249" s="365"/>
      <c r="DK249" s="182"/>
      <c r="DL249" s="182"/>
      <c r="DM249" s="182"/>
      <c r="DN249" s="182"/>
      <c r="DO249" s="365"/>
      <c r="DP249" s="182"/>
      <c r="DQ249" s="182"/>
      <c r="DR249" s="182"/>
      <c r="DS249" s="182"/>
      <c r="DT249" s="365"/>
      <c r="DU249" s="365"/>
      <c r="DV249" s="365"/>
    </row>
    <row r="250" spans="1:126" s="202" customFormat="1">
      <c r="A250" s="200"/>
      <c r="B250" s="180" t="s">
        <v>187</v>
      </c>
      <c r="C250" s="433"/>
      <c r="D250" s="433"/>
      <c r="E250" s="433"/>
      <c r="F250" s="433"/>
      <c r="G250" s="433"/>
      <c r="H250" s="433"/>
      <c r="I250" s="433"/>
      <c r="J250" s="180"/>
      <c r="K250" s="180"/>
      <c r="L250" s="180"/>
      <c r="M250" s="180"/>
      <c r="N250" s="433"/>
      <c r="O250" s="180"/>
      <c r="P250" s="180"/>
      <c r="Q250" s="180"/>
      <c r="R250" s="180"/>
      <c r="S250" s="433"/>
      <c r="T250" s="180"/>
      <c r="U250" s="180"/>
      <c r="V250" s="180"/>
      <c r="W250" s="180"/>
      <c r="X250" s="433"/>
      <c r="Y250" s="180"/>
      <c r="Z250" s="180"/>
      <c r="AA250" s="180"/>
      <c r="AB250" s="180"/>
      <c r="AC250" s="433"/>
      <c r="AD250" s="180"/>
      <c r="AE250" s="180"/>
      <c r="AF250" s="180"/>
      <c r="AG250" s="180"/>
      <c r="AH250" s="433"/>
      <c r="AI250" s="180"/>
      <c r="AJ250" s="180"/>
      <c r="AK250" s="180"/>
      <c r="AL250" s="180"/>
      <c r="AM250" s="433"/>
      <c r="AN250" s="180"/>
      <c r="AO250" s="180"/>
      <c r="AP250" s="180"/>
      <c r="AQ250" s="180"/>
      <c r="AR250" s="433"/>
      <c r="AS250" s="180"/>
      <c r="AT250" s="180"/>
      <c r="AU250" s="200"/>
      <c r="AV250" s="180"/>
      <c r="AW250" s="433"/>
      <c r="AX250" s="180"/>
      <c r="AY250" s="180"/>
      <c r="AZ250" s="200"/>
      <c r="BA250" s="200"/>
      <c r="BB250" s="433"/>
      <c r="BC250" s="180"/>
      <c r="BD250" s="200"/>
      <c r="BE250" s="200"/>
      <c r="BF250" s="200"/>
      <c r="BG250" s="433"/>
      <c r="BH250" s="200"/>
      <c r="BI250" s="200"/>
      <c r="BJ250" s="200"/>
      <c r="BK250" s="200"/>
      <c r="BL250" s="433"/>
      <c r="BM250" s="200"/>
      <c r="BN250" s="200"/>
      <c r="BO250" s="200"/>
      <c r="BP250" s="200"/>
      <c r="BQ250" s="433"/>
      <c r="BR250" s="200"/>
      <c r="BS250" s="200"/>
      <c r="BT250" s="200"/>
      <c r="BU250" s="200"/>
      <c r="BV250" s="433"/>
      <c r="BW250" s="200"/>
      <c r="BX250" s="200"/>
      <c r="BY250" s="200"/>
      <c r="BZ250" s="200"/>
      <c r="CA250" s="433"/>
      <c r="CB250" s="200"/>
      <c r="CC250" s="200"/>
      <c r="CD250" s="200"/>
      <c r="CE250" s="200"/>
      <c r="CF250" s="433"/>
      <c r="CG250" s="200"/>
      <c r="CH250" s="200"/>
      <c r="CI250" s="200"/>
      <c r="CJ250" s="200"/>
      <c r="CK250" s="433"/>
      <c r="CL250" s="200"/>
      <c r="CM250" s="200"/>
      <c r="CN250" s="200"/>
      <c r="CO250" s="200"/>
      <c r="CP250" s="433"/>
      <c r="CQ250" s="200"/>
      <c r="CR250" s="200"/>
      <c r="CS250" s="200"/>
      <c r="CT250" s="200"/>
      <c r="CU250" s="433"/>
      <c r="CV250" s="200"/>
      <c r="CW250" s="200"/>
      <c r="CX250" s="200"/>
      <c r="CY250" s="200"/>
      <c r="CZ250" s="433"/>
      <c r="DA250" s="200"/>
      <c r="DB250" s="200"/>
      <c r="DC250" s="200"/>
      <c r="DD250" s="200"/>
      <c r="DE250" s="433"/>
      <c r="DF250" s="200"/>
      <c r="DG250" s="200"/>
      <c r="DH250" s="200"/>
      <c r="DI250" s="200"/>
      <c r="DJ250" s="433"/>
      <c r="DK250" s="200"/>
      <c r="DL250" s="200"/>
      <c r="DM250" s="200"/>
      <c r="DN250" s="200"/>
      <c r="DO250" s="433"/>
      <c r="DP250" s="200"/>
      <c r="DQ250" s="200"/>
      <c r="DR250" s="200"/>
      <c r="DS250" s="200"/>
      <c r="DT250" s="433"/>
      <c r="DU250" s="433"/>
      <c r="DV250" s="433"/>
    </row>
    <row r="251" spans="1:126">
      <c r="B251" s="165" t="s">
        <v>157</v>
      </c>
      <c r="C251" s="25"/>
      <c r="D251" s="25"/>
      <c r="E251" s="25"/>
      <c r="F251" s="25"/>
      <c r="G251" s="25"/>
      <c r="H251" s="25"/>
      <c r="I251" s="25"/>
      <c r="J251" s="164"/>
      <c r="K251" s="164"/>
      <c r="L251" s="164"/>
      <c r="M251" s="164"/>
      <c r="N251" s="25"/>
      <c r="O251" s="164"/>
      <c r="P251" s="164"/>
      <c r="Q251" s="164"/>
      <c r="R251" s="164"/>
      <c r="S251" s="25"/>
      <c r="T251" s="164"/>
      <c r="U251" s="164"/>
      <c r="V251" s="164"/>
      <c r="W251" s="164"/>
      <c r="X251" s="25"/>
      <c r="Y251" s="164"/>
      <c r="Z251" s="164"/>
      <c r="AA251" s="164"/>
      <c r="AB251" s="164"/>
      <c r="AC251" s="25"/>
      <c r="AD251" s="164"/>
      <c r="AE251" s="164"/>
      <c r="AF251" s="164"/>
      <c r="AG251" s="164"/>
      <c r="AH251" s="25"/>
      <c r="AI251" s="164"/>
      <c r="AJ251" s="164"/>
      <c r="AK251" s="164"/>
      <c r="AL251" s="164"/>
      <c r="AM251" s="25"/>
      <c r="AN251" s="164"/>
      <c r="AO251" s="164"/>
      <c r="AP251" s="164"/>
      <c r="AQ251" s="165"/>
      <c r="AR251" s="25"/>
      <c r="AS251" s="165"/>
      <c r="AT251" s="165"/>
      <c r="AU251" s="165"/>
      <c r="AV251" s="165"/>
      <c r="AW251" s="25"/>
      <c r="AX251" s="165"/>
      <c r="AY251" s="165"/>
      <c r="AZ251" s="3"/>
      <c r="BA251" s="3"/>
      <c r="BB251" s="25"/>
      <c r="BC251" s="165"/>
      <c r="BD251" s="99"/>
      <c r="BE251" s="99"/>
      <c r="BF251" s="99"/>
      <c r="BG251" s="25"/>
      <c r="BH251" s="99"/>
      <c r="BI251" s="99"/>
      <c r="BJ251" s="99"/>
      <c r="BK251" s="99"/>
      <c r="BL251" s="25"/>
      <c r="BM251" s="99"/>
      <c r="BN251" s="99"/>
      <c r="BO251" s="99"/>
      <c r="BP251" s="99"/>
      <c r="BQ251" s="25"/>
      <c r="BR251" s="99"/>
      <c r="BS251" s="99"/>
      <c r="BT251" s="99"/>
      <c r="BU251" s="99"/>
      <c r="BV251" s="25"/>
      <c r="BW251" s="99"/>
      <c r="BX251" s="99"/>
      <c r="BY251" s="99"/>
      <c r="BZ251" s="99"/>
      <c r="CA251" s="2"/>
      <c r="CB251" s="99"/>
      <c r="CC251" s="99"/>
      <c r="CD251" s="99"/>
      <c r="CE251" s="99"/>
      <c r="CF251" s="2"/>
      <c r="CG251" s="99"/>
      <c r="CH251" s="99"/>
      <c r="CI251" s="99"/>
      <c r="CJ251" s="99"/>
      <c r="CK251" s="100"/>
      <c r="CL251" s="99"/>
      <c r="CM251" s="99"/>
      <c r="CN251" s="99"/>
      <c r="CO251" s="99"/>
      <c r="CP251" s="100"/>
      <c r="CQ251" s="99"/>
      <c r="CR251" s="99"/>
      <c r="CS251" s="99"/>
      <c r="CT251" s="99"/>
      <c r="CU251" s="100"/>
      <c r="CV251" s="99"/>
      <c r="CW251" s="99"/>
      <c r="CX251" s="99"/>
      <c r="CY251" s="99"/>
      <c r="CZ251" s="100"/>
      <c r="DA251" s="99"/>
      <c r="DB251" s="99"/>
      <c r="DC251" s="99"/>
      <c r="DD251" s="99"/>
      <c r="DE251" s="100"/>
      <c r="DF251" s="99"/>
      <c r="DG251" s="99"/>
      <c r="DH251" s="99"/>
      <c r="DI251" s="99"/>
      <c r="DJ251" s="100"/>
      <c r="DK251" s="99"/>
      <c r="DL251" s="99"/>
      <c r="DM251" s="99"/>
      <c r="DN251" s="99"/>
      <c r="DO251" s="100"/>
      <c r="DP251" s="99"/>
      <c r="DQ251" s="99"/>
      <c r="DR251" s="99"/>
      <c r="DS251" s="99"/>
      <c r="DT251" s="100"/>
      <c r="DU251" s="100"/>
      <c r="DV251" s="100"/>
    </row>
    <row r="252" spans="1:126">
      <c r="B252" s="180"/>
      <c r="C252" s="25"/>
      <c r="D252" s="25"/>
      <c r="E252" s="25"/>
      <c r="F252" s="25"/>
      <c r="G252" s="25"/>
      <c r="H252" s="25"/>
      <c r="I252" s="25"/>
      <c r="J252" s="164"/>
      <c r="K252" s="164"/>
      <c r="L252" s="164"/>
      <c r="M252" s="164"/>
      <c r="N252" s="25"/>
      <c r="O252" s="164"/>
      <c r="P252" s="164"/>
      <c r="Q252" s="164"/>
      <c r="R252" s="164"/>
      <c r="S252" s="25"/>
      <c r="T252" s="164"/>
      <c r="U252" s="164"/>
      <c r="V252" s="164"/>
      <c r="W252" s="164"/>
      <c r="X252" s="25"/>
      <c r="Y252" s="164"/>
      <c r="Z252" s="164"/>
      <c r="AA252" s="164"/>
      <c r="AB252" s="164"/>
      <c r="AC252" s="25"/>
      <c r="AD252" s="164"/>
      <c r="AE252" s="164"/>
      <c r="AF252" s="164"/>
      <c r="AG252" s="164"/>
      <c r="AH252" s="25"/>
      <c r="AI252" s="164"/>
      <c r="AJ252" s="164"/>
      <c r="AK252" s="164"/>
      <c r="AL252" s="164"/>
      <c r="AM252" s="25"/>
      <c r="AN252" s="164"/>
      <c r="AO252" s="164"/>
      <c r="AP252" s="164"/>
      <c r="AQ252" s="165"/>
      <c r="AR252" s="25"/>
      <c r="AS252" s="165"/>
      <c r="AT252" s="165"/>
      <c r="AU252" s="165"/>
      <c r="AV252" s="165"/>
      <c r="AW252" s="25"/>
      <c r="AX252" s="165"/>
      <c r="AY252" s="165"/>
      <c r="AZ252" s="99"/>
      <c r="BA252" s="99"/>
      <c r="BB252" s="25"/>
      <c r="BC252" s="165"/>
      <c r="BD252" s="99"/>
      <c r="BE252" s="99"/>
      <c r="BF252" s="99"/>
      <c r="BG252" s="100"/>
      <c r="BH252" s="99"/>
      <c r="BI252" s="99"/>
      <c r="BJ252" s="99"/>
      <c r="BK252" s="99"/>
      <c r="BL252" s="100"/>
      <c r="BM252" s="99"/>
      <c r="BN252" s="99"/>
      <c r="BO252" s="99"/>
      <c r="BP252" s="99"/>
      <c r="BQ252" s="100"/>
      <c r="BR252" s="99"/>
      <c r="BS252" s="99"/>
      <c r="BT252" s="99"/>
      <c r="BU252" s="99"/>
      <c r="BV252" s="100"/>
      <c r="BW252" s="99"/>
      <c r="BX252" s="99"/>
      <c r="BY252" s="99"/>
      <c r="BZ252" s="99"/>
      <c r="CA252" s="100"/>
      <c r="CB252" s="99"/>
      <c r="CC252" s="99"/>
      <c r="CD252" s="99"/>
      <c r="CE252" s="99"/>
      <c r="CF252" s="100"/>
      <c r="CG252" s="99"/>
      <c r="CH252" s="99"/>
      <c r="CI252" s="99"/>
      <c r="CJ252" s="99"/>
      <c r="CK252" s="100"/>
      <c r="CL252" s="99"/>
      <c r="CM252" s="99"/>
      <c r="CN252" s="99"/>
      <c r="CO252" s="99"/>
      <c r="CP252" s="361"/>
      <c r="CQ252" s="99"/>
      <c r="CR252" s="99"/>
      <c r="CS252" s="99"/>
      <c r="CT252" s="99"/>
      <c r="CU252" s="361"/>
      <c r="CV252" s="99"/>
      <c r="CW252" s="99"/>
      <c r="CX252" s="99"/>
      <c r="CY252" s="99"/>
      <c r="CZ252" s="361"/>
      <c r="DA252" s="99"/>
      <c r="DB252" s="99"/>
      <c r="DC252" s="99"/>
      <c r="DD252" s="99"/>
      <c r="DE252" s="100"/>
      <c r="DF252" s="99"/>
      <c r="DG252" s="99"/>
      <c r="DH252" s="99"/>
      <c r="DI252" s="99"/>
      <c r="DJ252" s="100"/>
      <c r="DK252" s="99"/>
      <c r="DL252" s="99"/>
      <c r="DM252" s="99"/>
      <c r="DN252" s="99"/>
      <c r="DO252" s="100"/>
      <c r="DP252" s="99"/>
      <c r="DQ252" s="99"/>
      <c r="DR252" s="99"/>
      <c r="DS252" s="99"/>
      <c r="DT252" s="100"/>
      <c r="DU252" s="100"/>
      <c r="DV252" s="100"/>
    </row>
    <row r="253" spans="1:126">
      <c r="B253" s="185" t="s">
        <v>244</v>
      </c>
      <c r="C253" s="25"/>
      <c r="D253" s="25"/>
      <c r="E253" s="25"/>
      <c r="F253" s="25"/>
      <c r="G253" s="25"/>
      <c r="H253" s="25"/>
      <c r="I253" s="25"/>
      <c r="J253" s="164"/>
      <c r="K253" s="164"/>
      <c r="L253" s="164"/>
      <c r="M253" s="164"/>
      <c r="N253" s="25"/>
      <c r="O253" s="164"/>
      <c r="P253" s="164"/>
      <c r="Q253" s="164"/>
      <c r="R253" s="164"/>
      <c r="S253" s="25"/>
      <c r="T253" s="164"/>
      <c r="U253" s="164"/>
      <c r="V253" s="164"/>
      <c r="W253" s="164"/>
      <c r="X253" s="25"/>
      <c r="Y253" s="164"/>
      <c r="Z253" s="164"/>
      <c r="AA253" s="164"/>
      <c r="AB253" s="164"/>
      <c r="AC253" s="25"/>
      <c r="AD253" s="164"/>
      <c r="AE253" s="164"/>
      <c r="AF253" s="164"/>
      <c r="AG253" s="164"/>
      <c r="AH253" s="25"/>
      <c r="AI253" s="164"/>
      <c r="AJ253" s="164"/>
      <c r="AK253" s="164"/>
      <c r="AL253" s="164"/>
      <c r="AM253" s="25"/>
      <c r="AN253" s="164"/>
      <c r="AO253" s="164"/>
      <c r="AP253" s="164"/>
      <c r="AQ253" s="165"/>
      <c r="AR253" s="25"/>
      <c r="AS253" s="165"/>
      <c r="AT253" s="165"/>
      <c r="AU253" s="165"/>
      <c r="AV253" s="165"/>
      <c r="AW253" s="25"/>
      <c r="AX253" s="165"/>
      <c r="AY253" s="165"/>
      <c r="AZ253" s="99"/>
      <c r="BA253" s="99"/>
      <c r="BB253" s="25"/>
      <c r="BC253" s="165"/>
      <c r="BD253" s="99"/>
      <c r="BE253" s="99"/>
      <c r="BF253" s="99"/>
      <c r="BG253" s="2"/>
      <c r="BH253" s="99"/>
      <c r="BI253" s="99"/>
      <c r="BJ253" s="99"/>
      <c r="BK253" s="99"/>
      <c r="BL253" s="2"/>
      <c r="BM253" s="99"/>
      <c r="BN253" s="99"/>
      <c r="BO253" s="99"/>
      <c r="BP253" s="99"/>
      <c r="BQ253" s="2"/>
      <c r="BR253" s="99"/>
      <c r="BS253" s="99"/>
      <c r="BT253" s="99"/>
      <c r="BU253" s="99"/>
      <c r="BV253" s="2"/>
      <c r="BW253" s="99"/>
      <c r="BX253" s="99"/>
      <c r="BY253" s="99"/>
      <c r="BZ253" s="99"/>
      <c r="CA253" s="2"/>
      <c r="CB253" s="99"/>
      <c r="CC253" s="99"/>
      <c r="CD253" s="99"/>
      <c r="CE253" s="99"/>
      <c r="CF253" s="2"/>
      <c r="CG253" s="99"/>
      <c r="CH253" s="99"/>
      <c r="CI253" s="99"/>
      <c r="CJ253" s="99"/>
      <c r="CK253" s="100"/>
      <c r="CL253" s="99"/>
      <c r="CM253" s="99"/>
      <c r="CN253" s="99"/>
      <c r="CO253" s="99"/>
      <c r="CP253" s="100"/>
      <c r="CQ253" s="99"/>
      <c r="CR253" s="99"/>
      <c r="CS253" s="99"/>
      <c r="CT253" s="99"/>
      <c r="CU253" s="100"/>
      <c r="CV253" s="99"/>
      <c r="CW253" s="99"/>
      <c r="CX253" s="99"/>
      <c r="CY253" s="99"/>
      <c r="CZ253" s="100"/>
      <c r="DA253" s="99"/>
      <c r="DB253" s="99"/>
      <c r="DC253" s="99"/>
      <c r="DD253" s="99"/>
      <c r="DE253" s="100"/>
      <c r="DF253" s="99"/>
      <c r="DG253" s="99"/>
      <c r="DH253" s="99"/>
      <c r="DI253" s="99"/>
      <c r="DJ253" s="100"/>
      <c r="DK253" s="99"/>
      <c r="DL253" s="99"/>
      <c r="DM253" s="99"/>
      <c r="DN253" s="99"/>
      <c r="DO253" s="100"/>
      <c r="DP253" s="99"/>
      <c r="DQ253" s="99"/>
      <c r="DR253" s="99"/>
      <c r="DS253" s="99"/>
      <c r="DT253" s="100"/>
      <c r="DU253" s="100"/>
      <c r="DV253" s="100"/>
    </row>
    <row r="254" spans="1:126">
      <c r="B254" s="165" t="s">
        <v>134</v>
      </c>
      <c r="C254" s="25"/>
      <c r="D254" s="25"/>
      <c r="E254" s="25"/>
      <c r="F254" s="25"/>
      <c r="G254" s="25"/>
      <c r="H254" s="25"/>
      <c r="I254" s="25"/>
      <c r="J254" s="164"/>
      <c r="K254" s="164"/>
      <c r="L254" s="164"/>
      <c r="M254" s="164"/>
      <c r="N254" s="25"/>
      <c r="O254" s="164"/>
      <c r="P254" s="164"/>
      <c r="Q254" s="164"/>
      <c r="R254" s="164"/>
      <c r="S254" s="25"/>
      <c r="T254" s="164"/>
      <c r="U254" s="164"/>
      <c r="V254" s="164"/>
      <c r="W254" s="164"/>
      <c r="X254" s="25"/>
      <c r="Y254" s="164"/>
      <c r="Z254" s="164"/>
      <c r="AA254" s="164"/>
      <c r="AB254" s="164"/>
      <c r="AC254" s="25"/>
      <c r="AD254" s="164"/>
      <c r="AE254" s="164"/>
      <c r="AF254" s="164"/>
      <c r="AG254" s="164"/>
      <c r="AH254" s="25"/>
      <c r="AI254" s="164"/>
      <c r="AJ254" s="164"/>
      <c r="AK254" s="164"/>
      <c r="AL254" s="164"/>
      <c r="AM254" s="25"/>
      <c r="AN254" s="164"/>
      <c r="AO254" s="164"/>
      <c r="AP254" s="164"/>
      <c r="AQ254" s="165"/>
      <c r="AR254" s="25"/>
      <c r="AS254" s="185"/>
      <c r="AT254" s="180"/>
      <c r="AU254" s="165"/>
      <c r="AV254" s="165"/>
      <c r="AW254" s="25"/>
      <c r="AX254" s="185"/>
      <c r="AY254" s="180"/>
      <c r="AZ254" s="180"/>
      <c r="BA254" s="180"/>
      <c r="BB254" s="25"/>
      <c r="BC254" s="185"/>
      <c r="BD254" s="99"/>
      <c r="BE254" s="99"/>
      <c r="BF254" s="99"/>
      <c r="BG254" s="363"/>
      <c r="BH254" s="29"/>
      <c r="BI254" s="29"/>
      <c r="BJ254" s="29"/>
      <c r="BK254" s="29"/>
      <c r="BL254" s="363"/>
      <c r="BM254" s="29"/>
      <c r="BN254" s="29"/>
      <c r="BO254" s="29"/>
      <c r="BP254" s="29"/>
      <c r="BQ254" s="363"/>
      <c r="BR254" s="29"/>
      <c r="BS254" s="29"/>
      <c r="BT254" s="29"/>
      <c r="BU254" s="29"/>
      <c r="BV254" s="363">
        <v>-5236</v>
      </c>
      <c r="BW254" s="29"/>
      <c r="BX254" s="29"/>
      <c r="BY254" s="29"/>
      <c r="BZ254" s="29"/>
      <c r="CA254" s="363">
        <v>-6251</v>
      </c>
      <c r="CB254" s="29"/>
      <c r="CC254" s="29"/>
      <c r="CD254" s="29"/>
      <c r="CE254" s="29"/>
      <c r="CF254" s="363">
        <v>-7053</v>
      </c>
      <c r="CG254" s="29"/>
      <c r="CH254" s="29"/>
      <c r="CI254" s="29"/>
      <c r="CJ254" s="29"/>
      <c r="CK254" s="361">
        <v>-8403</v>
      </c>
      <c r="CL254" s="29"/>
      <c r="CM254" s="29"/>
      <c r="CN254" s="29"/>
      <c r="CO254" s="29"/>
      <c r="CP254" s="361">
        <v>-6932</v>
      </c>
      <c r="CQ254" s="29"/>
      <c r="CR254" s="29"/>
      <c r="CS254" s="29"/>
      <c r="CT254" s="29"/>
      <c r="CU254" s="361">
        <v>-9368</v>
      </c>
      <c r="CV254" s="29"/>
      <c r="CW254" s="29"/>
      <c r="CX254" s="29"/>
      <c r="CY254" s="29"/>
      <c r="CZ254" s="361">
        <v>-11242</v>
      </c>
      <c r="DA254" s="29"/>
      <c r="DB254" s="29"/>
      <c r="DC254" s="29"/>
      <c r="DD254" s="29"/>
      <c r="DE254" s="361">
        <f>CZ254-(CFLO!DE8*0.42)</f>
        <v>-12171.46</v>
      </c>
      <c r="DF254" s="29"/>
      <c r="DG254" s="29"/>
      <c r="DH254" s="29"/>
      <c r="DI254" s="29"/>
      <c r="DJ254" s="361">
        <f>DE254-(CFLO!DJ8*0.42)</f>
        <v>-13794.339999999998</v>
      </c>
      <c r="DK254" s="29"/>
      <c r="DL254" s="29"/>
      <c r="DM254" s="29"/>
      <c r="DN254" s="29"/>
      <c r="DO254" s="361">
        <f>DJ254-(CFLO!DO8*0.42)</f>
        <v>-14779.239999999998</v>
      </c>
      <c r="DP254" s="29"/>
      <c r="DQ254" s="29"/>
      <c r="DR254" s="29"/>
      <c r="DS254" s="29"/>
      <c r="DT254" s="361" t="e">
        <f>DO254-(CFLO!#REF!*0.42)</f>
        <v>#REF!</v>
      </c>
      <c r="DU254" s="361" t="e">
        <f>DT254-(CFLO!DU8*0.42)</f>
        <v>#REF!</v>
      </c>
      <c r="DV254" s="361" t="e">
        <f>DU254-(CFLO!DV8*0.42)</f>
        <v>#REF!</v>
      </c>
    </row>
    <row r="255" spans="1:126">
      <c r="B255" s="185" t="s">
        <v>133</v>
      </c>
      <c r="C255" s="25"/>
      <c r="D255" s="25"/>
      <c r="E255" s="25"/>
      <c r="F255" s="25"/>
      <c r="G255" s="25"/>
      <c r="H255" s="25"/>
      <c r="I255" s="25"/>
      <c r="J255" s="164"/>
      <c r="K255" s="164"/>
      <c r="L255" s="164"/>
      <c r="M255" s="164"/>
      <c r="N255" s="25"/>
      <c r="O255" s="164"/>
      <c r="P255" s="164"/>
      <c r="Q255" s="164"/>
      <c r="R255" s="164"/>
      <c r="S255" s="25"/>
      <c r="T255" s="164"/>
      <c r="U255" s="164"/>
      <c r="V255" s="164"/>
      <c r="W255" s="164"/>
      <c r="X255" s="25"/>
      <c r="Y255" s="164"/>
      <c r="Z255" s="164"/>
      <c r="AA255" s="164"/>
      <c r="AB255" s="164"/>
      <c r="AC255" s="25"/>
      <c r="AD255" s="164"/>
      <c r="AE255" s="164"/>
      <c r="AF255" s="164"/>
      <c r="AG255" s="164"/>
      <c r="AH255" s="25"/>
      <c r="AI255" s="164"/>
      <c r="AJ255" s="164"/>
      <c r="AK255" s="164"/>
      <c r="AL255" s="164"/>
      <c r="AM255" s="25"/>
      <c r="AN255" s="164"/>
      <c r="AO255" s="164"/>
      <c r="AP255" s="164"/>
      <c r="AQ255" s="165"/>
      <c r="AR255" s="25"/>
      <c r="AS255" s="185"/>
      <c r="AT255" s="185"/>
      <c r="AU255" s="185"/>
      <c r="AV255" s="165"/>
      <c r="AW255" s="25"/>
      <c r="AX255" s="185"/>
      <c r="AY255" s="185"/>
      <c r="AZ255" s="185"/>
      <c r="BA255" s="185"/>
      <c r="BB255" s="25"/>
      <c r="BC255" s="185"/>
      <c r="BD255" s="99"/>
      <c r="BE255" s="99"/>
      <c r="BF255" s="99"/>
      <c r="BG255" s="25"/>
      <c r="BH255" s="99"/>
      <c r="BI255" s="99"/>
      <c r="BJ255" s="99"/>
      <c r="BK255" s="99"/>
      <c r="BL255" s="25"/>
      <c r="BM255" s="99"/>
      <c r="BN255" s="99"/>
      <c r="BO255" s="99"/>
      <c r="BP255" s="99"/>
      <c r="BQ255" s="25"/>
      <c r="BR255" s="99"/>
      <c r="BS255" s="99"/>
      <c r="BT255" s="99"/>
      <c r="BU255" s="99"/>
      <c r="BV255" s="25"/>
      <c r="BW255" s="99"/>
      <c r="BX255" s="99"/>
      <c r="BY255" s="99"/>
      <c r="BZ255" s="99"/>
      <c r="CA255" s="25"/>
      <c r="CB255" s="99"/>
      <c r="CC255" s="99"/>
      <c r="CD255" s="99"/>
      <c r="CE255" s="99"/>
      <c r="CF255" s="25"/>
      <c r="CG255" s="99"/>
      <c r="CH255" s="99"/>
      <c r="CI255" s="99"/>
      <c r="CJ255" s="99"/>
      <c r="CK255" s="100"/>
      <c r="CL255" s="99"/>
      <c r="CM255" s="99"/>
      <c r="CN255" s="99"/>
      <c r="CO255" s="99"/>
      <c r="CP255" s="100"/>
      <c r="CQ255" s="99"/>
      <c r="CR255" s="99"/>
      <c r="CS255" s="99"/>
      <c r="CT255" s="99"/>
      <c r="CU255" s="100"/>
      <c r="CV255" s="99"/>
      <c r="CW255" s="99"/>
      <c r="CX255" s="99"/>
      <c r="CY255" s="99"/>
      <c r="CZ255" s="100"/>
      <c r="DA255" s="99"/>
      <c r="DB255" s="99"/>
      <c r="DC255" s="99"/>
      <c r="DD255" s="99"/>
      <c r="DE255" s="100"/>
      <c r="DF255" s="99"/>
      <c r="DG255" s="99"/>
      <c r="DH255" s="99"/>
      <c r="DI255" s="99"/>
      <c r="DJ255" s="100"/>
      <c r="DK255" s="99"/>
      <c r="DL255" s="99"/>
      <c r="DM255" s="99"/>
      <c r="DN255" s="99"/>
      <c r="DO255" s="100"/>
      <c r="DP255" s="99"/>
      <c r="DQ255" s="99"/>
      <c r="DR255" s="99"/>
      <c r="DS255" s="99"/>
      <c r="DT255" s="100"/>
      <c r="DU255" s="100"/>
      <c r="DV255" s="100"/>
    </row>
    <row r="256" spans="1:126">
      <c r="B256" s="185"/>
      <c r="C256" s="25"/>
      <c r="D256" s="25"/>
      <c r="E256" s="25"/>
      <c r="F256" s="25"/>
      <c r="G256" s="25"/>
      <c r="H256" s="25"/>
      <c r="I256" s="25"/>
      <c r="J256" s="164"/>
      <c r="K256" s="164"/>
      <c r="L256" s="164"/>
      <c r="M256" s="164"/>
      <c r="N256" s="25"/>
      <c r="O256" s="164"/>
      <c r="P256" s="164"/>
      <c r="Q256" s="164"/>
      <c r="R256" s="164"/>
      <c r="S256" s="25"/>
      <c r="T256" s="164"/>
      <c r="U256" s="164"/>
      <c r="V256" s="164"/>
      <c r="W256" s="164"/>
      <c r="X256" s="25"/>
      <c r="Y256" s="164"/>
      <c r="Z256" s="164"/>
      <c r="AA256" s="164"/>
      <c r="AB256" s="164"/>
      <c r="AC256" s="25"/>
      <c r="AD256" s="164"/>
      <c r="AE256" s="164"/>
      <c r="AF256" s="164"/>
      <c r="AG256" s="164"/>
      <c r="AH256" s="25"/>
      <c r="AI256" s="164"/>
      <c r="AJ256" s="164"/>
      <c r="AK256" s="164"/>
      <c r="AL256" s="164"/>
      <c r="AM256" s="25"/>
      <c r="AN256" s="164"/>
      <c r="AO256" s="164"/>
      <c r="AP256" s="164"/>
      <c r="AQ256" s="165"/>
      <c r="AR256" s="25"/>
      <c r="AS256" s="185"/>
      <c r="AT256" s="185"/>
      <c r="AU256" s="185"/>
      <c r="AV256" s="165"/>
      <c r="AW256" s="25"/>
      <c r="AX256" s="185"/>
      <c r="AY256" s="185"/>
      <c r="AZ256" s="185"/>
      <c r="BA256" s="185"/>
      <c r="BB256" s="25"/>
      <c r="BC256" s="185"/>
      <c r="BD256" s="99"/>
      <c r="BE256" s="99"/>
      <c r="BF256" s="99"/>
      <c r="BG256" s="100"/>
      <c r="BH256" s="99"/>
      <c r="BI256" s="99"/>
      <c r="BJ256" s="99"/>
      <c r="BK256" s="99"/>
      <c r="BL256" s="100"/>
      <c r="BM256" s="99"/>
      <c r="BN256" s="99"/>
      <c r="BO256" s="99"/>
      <c r="BP256" s="99"/>
      <c r="BQ256" s="100"/>
      <c r="BR256" s="99"/>
      <c r="BS256" s="99"/>
      <c r="BT256" s="99"/>
      <c r="BU256" s="99"/>
      <c r="BV256" s="100"/>
      <c r="BW256" s="99"/>
      <c r="BX256" s="99"/>
      <c r="BY256" s="99"/>
      <c r="BZ256" s="99"/>
      <c r="CA256" s="100"/>
      <c r="CB256" s="99"/>
      <c r="CC256" s="99"/>
      <c r="CD256" s="99"/>
      <c r="CE256" s="99"/>
      <c r="CF256" s="100"/>
      <c r="CG256" s="99"/>
      <c r="CH256" s="99"/>
      <c r="CI256" s="99"/>
      <c r="CJ256" s="99"/>
      <c r="CK256" s="100"/>
      <c r="CL256" s="99"/>
      <c r="CM256" s="99"/>
      <c r="CN256" s="99"/>
      <c r="CO256" s="99"/>
      <c r="CP256" s="100"/>
      <c r="CQ256" s="99"/>
      <c r="CR256" s="99"/>
      <c r="CS256" s="99"/>
      <c r="CT256" s="99"/>
      <c r="CU256" s="100"/>
      <c r="CV256" s="99"/>
      <c r="CW256" s="99"/>
      <c r="CX256" s="99"/>
      <c r="CY256" s="99"/>
      <c r="CZ256" s="100"/>
      <c r="DA256" s="99"/>
      <c r="DB256" s="99"/>
      <c r="DC256" s="99"/>
      <c r="DD256" s="99"/>
      <c r="DE256" s="100"/>
      <c r="DF256" s="99"/>
      <c r="DG256" s="99"/>
      <c r="DH256" s="99"/>
      <c r="DI256" s="99"/>
      <c r="DJ256" s="100"/>
      <c r="DK256" s="99"/>
      <c r="DL256" s="99"/>
      <c r="DM256" s="99"/>
      <c r="DN256" s="99"/>
      <c r="DO256" s="100"/>
      <c r="DP256" s="99"/>
      <c r="DQ256" s="99"/>
      <c r="DR256" s="99"/>
      <c r="DS256" s="99"/>
      <c r="DT256" s="100"/>
      <c r="DU256" s="100"/>
      <c r="DV256" s="100"/>
    </row>
    <row r="257" spans="1:126">
      <c r="B257" s="468" t="s">
        <v>310</v>
      </c>
      <c r="C257" s="25"/>
      <c r="D257" s="25"/>
      <c r="E257" s="25"/>
      <c r="F257" s="25"/>
      <c r="G257" s="25"/>
      <c r="H257" s="25"/>
      <c r="I257" s="25"/>
      <c r="J257" s="164"/>
      <c r="K257" s="164"/>
      <c r="L257" s="164"/>
      <c r="M257" s="164"/>
      <c r="N257" s="25"/>
      <c r="O257" s="164"/>
      <c r="P257" s="164"/>
      <c r="Q257" s="164"/>
      <c r="R257" s="164"/>
      <c r="S257" s="25"/>
      <c r="T257" s="164"/>
      <c r="U257" s="164"/>
      <c r="V257" s="164"/>
      <c r="W257" s="164"/>
      <c r="X257" s="25"/>
      <c r="Y257" s="164"/>
      <c r="Z257" s="164"/>
      <c r="AA257" s="164"/>
      <c r="AB257" s="164"/>
      <c r="AC257" s="25"/>
      <c r="AD257" s="164"/>
      <c r="AE257" s="164"/>
      <c r="AF257" s="164"/>
      <c r="AG257" s="164"/>
      <c r="AH257" s="25"/>
      <c r="AI257" s="164"/>
      <c r="AJ257" s="164"/>
      <c r="AK257" s="164"/>
      <c r="AL257" s="164"/>
      <c r="AM257" s="25"/>
      <c r="AN257" s="164"/>
      <c r="AO257" s="164"/>
      <c r="AP257" s="164"/>
      <c r="AQ257" s="165"/>
      <c r="AR257" s="25"/>
      <c r="AS257" s="185"/>
      <c r="AT257" s="185"/>
      <c r="AU257" s="185"/>
      <c r="AV257" s="165"/>
      <c r="AW257" s="25"/>
      <c r="AX257" s="185"/>
      <c r="AY257" s="185"/>
      <c r="AZ257" s="185"/>
      <c r="BA257" s="185"/>
      <c r="BB257" s="25"/>
      <c r="BC257" s="180"/>
      <c r="BD257" s="3"/>
      <c r="BE257" s="3"/>
      <c r="BF257" s="3"/>
      <c r="BG257" s="2"/>
      <c r="BH257" s="3"/>
      <c r="BI257" s="99"/>
      <c r="BJ257" s="99"/>
      <c r="BK257" s="99"/>
      <c r="BL257" s="2"/>
      <c r="BM257" s="3"/>
      <c r="BN257" s="99"/>
      <c r="BO257" s="99"/>
      <c r="BP257" s="99"/>
      <c r="BQ257" s="2"/>
      <c r="BR257" s="3"/>
      <c r="BS257" s="99"/>
      <c r="BT257" s="99"/>
      <c r="BU257" s="99"/>
      <c r="BV257" s="100"/>
      <c r="BW257" s="3"/>
      <c r="BX257" s="99"/>
      <c r="BY257" s="99"/>
      <c r="BZ257" s="99"/>
      <c r="CA257" s="100"/>
      <c r="CB257" s="3"/>
      <c r="CC257" s="99"/>
      <c r="CD257" s="99"/>
      <c r="CE257" s="99"/>
      <c r="CF257" s="100"/>
      <c r="CG257" s="3"/>
      <c r="CH257" s="99"/>
      <c r="CI257" s="99"/>
      <c r="CJ257" s="99"/>
      <c r="CK257" s="100"/>
      <c r="CL257" s="3"/>
      <c r="CM257" s="99"/>
      <c r="CN257" s="99"/>
      <c r="CO257" s="99"/>
      <c r="CP257" s="100"/>
      <c r="CQ257" s="99"/>
      <c r="CR257" s="99"/>
      <c r="CS257" s="99"/>
      <c r="CT257" s="99"/>
      <c r="CU257" s="100"/>
      <c r="CV257" s="99"/>
      <c r="CW257" s="99"/>
      <c r="CX257" s="99"/>
      <c r="CY257" s="99"/>
      <c r="CZ257" s="100"/>
      <c r="DA257" s="99"/>
      <c r="DB257" s="99"/>
      <c r="DC257" s="99"/>
      <c r="DD257" s="99"/>
      <c r="DE257" s="100"/>
      <c r="DF257" s="99"/>
      <c r="DG257" s="99"/>
      <c r="DH257" s="99"/>
      <c r="DI257" s="99"/>
      <c r="DJ257" s="100"/>
      <c r="DK257" s="99"/>
      <c r="DL257" s="99"/>
      <c r="DM257" s="99"/>
      <c r="DN257" s="99"/>
      <c r="DO257" s="100"/>
      <c r="DP257" s="99"/>
      <c r="DQ257" s="99"/>
      <c r="DR257" s="99"/>
      <c r="DS257" s="99"/>
      <c r="DT257" s="100"/>
      <c r="DU257" s="100"/>
      <c r="DV257" s="100"/>
    </row>
    <row r="258" spans="1:126">
      <c r="B258" s="468" t="s">
        <v>311</v>
      </c>
      <c r="C258" s="25"/>
      <c r="D258" s="25"/>
      <c r="E258" s="25"/>
      <c r="F258" s="25"/>
      <c r="G258" s="25"/>
      <c r="H258" s="25"/>
      <c r="I258" s="25"/>
      <c r="J258" s="164"/>
      <c r="K258" s="164"/>
      <c r="L258" s="164"/>
      <c r="M258" s="164"/>
      <c r="N258" s="25"/>
      <c r="O258" s="164"/>
      <c r="P258" s="164"/>
      <c r="Q258" s="164"/>
      <c r="R258" s="164"/>
      <c r="S258" s="25"/>
      <c r="T258" s="164"/>
      <c r="U258" s="164"/>
      <c r="V258" s="164"/>
      <c r="W258" s="164"/>
      <c r="X258" s="25"/>
      <c r="Y258" s="164"/>
      <c r="Z258" s="164"/>
      <c r="AA258" s="164"/>
      <c r="AB258" s="164"/>
      <c r="AC258" s="25"/>
      <c r="AD258" s="164"/>
      <c r="AE258" s="164"/>
      <c r="AF258" s="164"/>
      <c r="AG258" s="164"/>
      <c r="AH258" s="25"/>
      <c r="AI258" s="164"/>
      <c r="AJ258" s="164"/>
      <c r="AK258" s="164"/>
      <c r="AL258" s="164"/>
      <c r="AM258" s="25"/>
      <c r="AN258" s="164"/>
      <c r="AO258" s="164"/>
      <c r="AP258" s="164"/>
      <c r="AQ258" s="165"/>
      <c r="AR258" s="25"/>
      <c r="AS258" s="185"/>
      <c r="AT258" s="185"/>
      <c r="AU258" s="185"/>
      <c r="AV258" s="185"/>
      <c r="AW258" s="25"/>
      <c r="AX258" s="185"/>
      <c r="AY258" s="185"/>
      <c r="AZ258" s="185"/>
      <c r="BA258" s="185"/>
      <c r="BB258" s="25"/>
      <c r="BC258" s="180"/>
      <c r="BD258" s="3"/>
      <c r="BE258" s="3"/>
      <c r="BF258" s="3"/>
      <c r="BG258" s="2"/>
      <c r="BH258" s="99"/>
      <c r="BI258" s="99"/>
      <c r="BJ258" s="99"/>
      <c r="BK258" s="99"/>
      <c r="BL258" s="2"/>
      <c r="BM258" s="99"/>
      <c r="BN258" s="99"/>
      <c r="BO258" s="99"/>
      <c r="BP258" s="99"/>
      <c r="BQ258" s="2"/>
      <c r="BR258" s="99"/>
      <c r="BS258" s="99"/>
      <c r="BT258" s="99"/>
      <c r="BU258" s="99"/>
      <c r="BV258" s="100"/>
      <c r="BW258" s="99"/>
      <c r="BX258" s="99"/>
      <c r="BY258" s="99"/>
      <c r="BZ258" s="99"/>
      <c r="CA258" s="100"/>
      <c r="CB258" s="99"/>
      <c r="CC258" s="99"/>
      <c r="CD258" s="99"/>
      <c r="CE258" s="99"/>
      <c r="CF258" s="100"/>
      <c r="CG258" s="99"/>
      <c r="CH258" s="99"/>
      <c r="CI258" s="99"/>
      <c r="CJ258" s="99"/>
      <c r="CK258" s="100"/>
      <c r="CL258" s="99"/>
      <c r="CM258" s="99"/>
      <c r="CN258" s="99"/>
      <c r="CO258" s="99"/>
      <c r="CP258" s="100"/>
      <c r="CQ258" s="99"/>
      <c r="CR258" s="99"/>
      <c r="CS258" s="99"/>
      <c r="CT258" s="99"/>
      <c r="CU258" s="100"/>
      <c r="CV258" s="99"/>
      <c r="CW258" s="99"/>
      <c r="CX258" s="99"/>
      <c r="CY258" s="99"/>
      <c r="CZ258" s="100"/>
      <c r="DA258" s="99"/>
      <c r="DB258" s="99"/>
      <c r="DC258" s="99"/>
      <c r="DD258" s="99"/>
      <c r="DE258" s="100"/>
      <c r="DF258" s="99"/>
      <c r="DG258" s="99"/>
      <c r="DH258" s="99"/>
      <c r="DI258" s="99"/>
      <c r="DJ258" s="100"/>
      <c r="DK258" s="99"/>
      <c r="DL258" s="99"/>
      <c r="DM258" s="99"/>
      <c r="DN258" s="99"/>
      <c r="DO258" s="100"/>
      <c r="DP258" s="99"/>
      <c r="DQ258" s="99"/>
      <c r="DR258" s="99"/>
      <c r="DS258" s="99"/>
      <c r="DT258" s="100"/>
      <c r="DU258" s="100"/>
      <c r="DV258" s="100"/>
    </row>
    <row r="259" spans="1:126">
      <c r="B259" s="185" t="s">
        <v>309</v>
      </c>
      <c r="C259" s="25"/>
      <c r="D259" s="25"/>
      <c r="E259" s="25"/>
      <c r="F259" s="25"/>
      <c r="G259" s="25"/>
      <c r="H259" s="25"/>
      <c r="I259" s="25"/>
      <c r="J259" s="164"/>
      <c r="K259" s="164"/>
      <c r="L259" s="164"/>
      <c r="M259" s="164"/>
      <c r="N259" s="25"/>
      <c r="O259" s="164"/>
      <c r="P259" s="164"/>
      <c r="Q259" s="164"/>
      <c r="R259" s="164"/>
      <c r="S259" s="25"/>
      <c r="T259" s="164"/>
      <c r="U259" s="164"/>
      <c r="V259" s="164"/>
      <c r="W259" s="164"/>
      <c r="X259" s="25"/>
      <c r="Y259" s="164"/>
      <c r="Z259" s="164"/>
      <c r="AA259" s="164"/>
      <c r="AB259" s="164"/>
      <c r="AC259" s="25"/>
      <c r="AD259" s="164"/>
      <c r="AE259" s="164"/>
      <c r="AF259" s="164"/>
      <c r="AG259" s="164"/>
      <c r="AH259" s="25"/>
      <c r="AI259" s="164"/>
      <c r="AJ259" s="164"/>
      <c r="AK259" s="164"/>
      <c r="AL259" s="164"/>
      <c r="AM259" s="25"/>
      <c r="AN259" s="164"/>
      <c r="AO259" s="164"/>
      <c r="AP259" s="164"/>
      <c r="AQ259" s="165"/>
      <c r="AR259" s="25"/>
      <c r="AS259" s="185"/>
      <c r="AT259" s="185"/>
      <c r="AU259" s="185"/>
      <c r="AV259" s="165"/>
      <c r="AW259" s="25"/>
      <c r="AX259" s="185"/>
      <c r="AY259" s="185"/>
      <c r="AZ259" s="185"/>
      <c r="BA259" s="185"/>
      <c r="BB259" s="25"/>
      <c r="BC259" s="185"/>
      <c r="BD259" s="99"/>
      <c r="BE259" s="99"/>
      <c r="BF259" s="99"/>
      <c r="BG259" s="2"/>
      <c r="BH259" s="99"/>
      <c r="BI259" s="99"/>
      <c r="BJ259" s="99"/>
      <c r="BK259" s="99"/>
      <c r="BL259" s="2"/>
      <c r="BM259" s="99"/>
      <c r="BN259" s="99"/>
      <c r="BO259" s="99"/>
      <c r="BP259" s="99"/>
      <c r="BQ259" s="2"/>
      <c r="BR259" s="99"/>
      <c r="BS259" s="99"/>
      <c r="BT259" s="99"/>
      <c r="BU259" s="99"/>
      <c r="BV259" s="100"/>
      <c r="BW259" s="99"/>
      <c r="BX259" s="99"/>
      <c r="BY259" s="99"/>
      <c r="BZ259" s="99"/>
      <c r="CA259" s="100"/>
      <c r="CB259" s="99"/>
      <c r="CC259" s="99"/>
      <c r="CD259" s="99"/>
      <c r="CE259" s="99"/>
      <c r="CF259" s="100"/>
      <c r="CG259" s="99"/>
      <c r="CH259" s="99"/>
      <c r="CI259" s="99"/>
      <c r="CJ259" s="99"/>
      <c r="CK259" s="100"/>
      <c r="CL259" s="99"/>
      <c r="CM259" s="99"/>
      <c r="CN259" s="99"/>
      <c r="CO259" s="99"/>
      <c r="CP259" s="100"/>
      <c r="CQ259" s="99"/>
      <c r="CR259" s="99"/>
      <c r="CS259" s="99"/>
      <c r="CT259" s="99"/>
      <c r="CU259" s="100"/>
      <c r="CV259" s="99"/>
      <c r="CW259" s="99"/>
      <c r="CX259" s="99"/>
      <c r="CY259" s="99"/>
      <c r="CZ259" s="100"/>
      <c r="DA259" s="99"/>
      <c r="DB259" s="99"/>
      <c r="DC259" s="99"/>
      <c r="DD259" s="99"/>
      <c r="DE259" s="100"/>
      <c r="DF259" s="99"/>
      <c r="DG259" s="99"/>
      <c r="DH259" s="99"/>
      <c r="DI259" s="99"/>
      <c r="DJ259" s="100"/>
      <c r="DK259" s="99"/>
      <c r="DL259" s="99"/>
      <c r="DM259" s="99"/>
      <c r="DN259" s="99"/>
      <c r="DO259" s="100"/>
      <c r="DP259" s="99"/>
      <c r="DQ259" s="99"/>
      <c r="DR259" s="99"/>
      <c r="DS259" s="99"/>
      <c r="DT259" s="100"/>
      <c r="DU259" s="100"/>
      <c r="DV259" s="100"/>
    </row>
    <row r="260" spans="1:126">
      <c r="B260" s="185"/>
      <c r="C260" s="25"/>
      <c r="D260" s="25"/>
      <c r="E260" s="25"/>
      <c r="F260" s="25"/>
      <c r="G260" s="25"/>
      <c r="H260" s="25"/>
      <c r="I260" s="25"/>
      <c r="J260" s="164"/>
      <c r="K260" s="164"/>
      <c r="L260" s="164"/>
      <c r="M260" s="164"/>
      <c r="N260" s="25"/>
      <c r="O260" s="164"/>
      <c r="P260" s="164"/>
      <c r="Q260" s="164"/>
      <c r="R260" s="164"/>
      <c r="S260" s="25"/>
      <c r="T260" s="164"/>
      <c r="U260" s="164"/>
      <c r="V260" s="164"/>
      <c r="W260" s="164"/>
      <c r="X260" s="25"/>
      <c r="Y260" s="164"/>
      <c r="Z260" s="164"/>
      <c r="AA260" s="164"/>
      <c r="AB260" s="164"/>
      <c r="AC260" s="25"/>
      <c r="AD260" s="164"/>
      <c r="AE260" s="164"/>
      <c r="AF260" s="164"/>
      <c r="AG260" s="164"/>
      <c r="AH260" s="25"/>
      <c r="AI260" s="164"/>
      <c r="AJ260" s="164"/>
      <c r="AK260" s="164"/>
      <c r="AL260" s="164"/>
      <c r="AM260" s="25"/>
      <c r="AN260" s="164"/>
      <c r="AO260" s="164"/>
      <c r="AP260" s="164"/>
      <c r="AQ260" s="165"/>
      <c r="AR260" s="25"/>
      <c r="AS260" s="185"/>
      <c r="AT260" s="185"/>
      <c r="AU260" s="185"/>
      <c r="AV260" s="165"/>
      <c r="AW260" s="25"/>
      <c r="AX260" s="185"/>
      <c r="AY260" s="185"/>
      <c r="AZ260" s="185"/>
      <c r="BA260" s="185"/>
      <c r="BB260" s="25"/>
      <c r="BC260" s="185"/>
      <c r="BD260" s="99"/>
      <c r="BE260" s="99"/>
      <c r="BF260" s="99"/>
      <c r="BG260" s="100"/>
      <c r="BH260" s="99"/>
      <c r="BI260" s="99"/>
      <c r="BJ260" s="99"/>
      <c r="BK260" s="99"/>
      <c r="BL260" s="100"/>
      <c r="BM260" s="99"/>
      <c r="BN260" s="99"/>
      <c r="BO260" s="99"/>
      <c r="BP260" s="99"/>
      <c r="BQ260" s="100"/>
      <c r="BR260" s="99"/>
      <c r="BS260" s="99"/>
      <c r="BT260" s="99"/>
      <c r="BU260" s="99"/>
      <c r="BV260" s="100"/>
      <c r="BW260" s="99"/>
      <c r="BX260" s="99"/>
      <c r="BY260" s="99"/>
      <c r="BZ260" s="99"/>
      <c r="CA260" s="100"/>
      <c r="CB260" s="99"/>
      <c r="CC260" s="99"/>
      <c r="CD260" s="99"/>
      <c r="CE260" s="99"/>
      <c r="CF260" s="100"/>
      <c r="CG260" s="99"/>
      <c r="CH260" s="99"/>
      <c r="CI260" s="99"/>
      <c r="CJ260" s="99"/>
      <c r="CK260" s="100"/>
      <c r="CL260" s="99"/>
      <c r="CM260" s="99"/>
      <c r="CN260" s="99"/>
      <c r="CO260" s="99"/>
      <c r="CP260" s="100"/>
      <c r="CQ260" s="99"/>
      <c r="CR260" s="99"/>
      <c r="CS260" s="99"/>
      <c r="CT260" s="99"/>
      <c r="CU260" s="100"/>
      <c r="CV260" s="99"/>
      <c r="CW260" s="99"/>
      <c r="CX260" s="99"/>
      <c r="CY260" s="99"/>
      <c r="CZ260" s="100"/>
      <c r="DA260" s="99"/>
      <c r="DB260" s="99"/>
      <c r="DC260" s="99"/>
      <c r="DD260" s="99"/>
      <c r="DE260" s="100"/>
      <c r="DF260" s="99"/>
      <c r="DG260" s="99"/>
      <c r="DH260" s="99"/>
      <c r="DI260" s="99"/>
      <c r="DJ260" s="100"/>
      <c r="DK260" s="99"/>
      <c r="DL260" s="99"/>
      <c r="DM260" s="99"/>
      <c r="DN260" s="99"/>
      <c r="DO260" s="100"/>
      <c r="DP260" s="99"/>
      <c r="DQ260" s="99"/>
      <c r="DR260" s="99"/>
      <c r="DS260" s="99"/>
      <c r="DT260" s="100"/>
      <c r="DU260" s="100"/>
      <c r="DV260" s="100"/>
    </row>
    <row r="261" spans="1:126">
      <c r="B261" s="185" t="s">
        <v>312</v>
      </c>
      <c r="C261" s="25"/>
      <c r="D261" s="25"/>
      <c r="E261" s="25"/>
      <c r="F261" s="25"/>
      <c r="G261" s="25"/>
      <c r="H261" s="25"/>
      <c r="I261" s="25"/>
      <c r="J261" s="164"/>
      <c r="K261" s="164"/>
      <c r="L261" s="164"/>
      <c r="M261" s="164"/>
      <c r="N261" s="25"/>
      <c r="O261" s="164"/>
      <c r="P261" s="164"/>
      <c r="Q261" s="164"/>
      <c r="R261" s="164"/>
      <c r="S261" s="25"/>
      <c r="T261" s="164"/>
      <c r="U261" s="164"/>
      <c r="V261" s="164"/>
      <c r="W261" s="164"/>
      <c r="X261" s="25"/>
      <c r="Y261" s="164"/>
      <c r="Z261" s="164"/>
      <c r="AA261" s="164"/>
      <c r="AB261" s="164"/>
      <c r="AC261" s="25"/>
      <c r="AD261" s="164"/>
      <c r="AE261" s="164"/>
      <c r="AF261" s="164"/>
      <c r="AG261" s="164"/>
      <c r="AH261" s="25"/>
      <c r="AI261" s="164"/>
      <c r="AJ261" s="164"/>
      <c r="AK261" s="164"/>
      <c r="AL261" s="164"/>
      <c r="AM261" s="25"/>
      <c r="AN261" s="164"/>
      <c r="AO261" s="164"/>
      <c r="AP261" s="164"/>
      <c r="AQ261" s="165"/>
      <c r="AR261" s="25"/>
      <c r="AS261" s="185"/>
      <c r="AT261" s="185"/>
      <c r="AU261" s="185"/>
      <c r="AV261" s="165"/>
      <c r="AW261" s="25"/>
      <c r="AX261" s="185"/>
      <c r="AY261" s="185"/>
      <c r="AZ261" s="185"/>
      <c r="BA261" s="185"/>
      <c r="BB261" s="25"/>
      <c r="BC261" s="185"/>
      <c r="BD261" s="99"/>
      <c r="BE261" s="99"/>
      <c r="BF261" s="99"/>
      <c r="BG261" s="2"/>
      <c r="BH261" s="99"/>
      <c r="BI261" s="99"/>
      <c r="BJ261" s="99"/>
      <c r="BK261" s="99"/>
      <c r="BL261" s="491"/>
      <c r="BM261" s="99"/>
      <c r="BN261" s="99"/>
      <c r="BO261" s="99"/>
      <c r="BP261" s="99"/>
      <c r="BQ261" s="491"/>
      <c r="BR261" s="3"/>
      <c r="BS261" s="3"/>
      <c r="BT261" s="3"/>
      <c r="BU261" s="3"/>
      <c r="BV261" s="491"/>
      <c r="BW261" s="3"/>
      <c r="BX261" s="3"/>
      <c r="BY261" s="3"/>
      <c r="BZ261" s="3"/>
      <c r="CA261" s="491"/>
      <c r="CB261" s="3"/>
      <c r="CC261" s="3"/>
      <c r="CD261" s="200"/>
      <c r="CE261" s="3"/>
      <c r="CF261" s="491"/>
      <c r="CG261" s="3"/>
      <c r="CH261" s="3"/>
      <c r="CI261" s="3"/>
      <c r="CJ261" s="99"/>
      <c r="CK261" s="395"/>
      <c r="CL261" s="3"/>
      <c r="CM261" s="99"/>
      <c r="CN261" s="99"/>
      <c r="CO261" s="99"/>
      <c r="CP261" s="395"/>
      <c r="CQ261" s="99"/>
      <c r="CR261" s="99"/>
      <c r="CS261" s="99"/>
      <c r="CT261" s="99"/>
      <c r="CU261" s="395"/>
      <c r="CV261" s="99"/>
      <c r="CW261" s="99"/>
      <c r="CX261" s="99"/>
      <c r="CY261" s="99"/>
      <c r="CZ261" s="395"/>
      <c r="DA261" s="99"/>
      <c r="DB261" s="99"/>
      <c r="DC261" s="99"/>
      <c r="DD261" s="99"/>
      <c r="DE261" s="395"/>
      <c r="DF261" s="99"/>
      <c r="DG261" s="99"/>
      <c r="DH261" s="99"/>
      <c r="DI261" s="99"/>
      <c r="DJ261" s="395"/>
      <c r="DK261" s="99"/>
      <c r="DL261" s="99"/>
      <c r="DM261" s="99"/>
      <c r="DN261" s="99"/>
      <c r="DO261" s="395"/>
      <c r="DP261" s="99"/>
      <c r="DQ261" s="99"/>
      <c r="DR261" s="99"/>
      <c r="DS261" s="99"/>
      <c r="DT261" s="395"/>
      <c r="DU261" s="395"/>
      <c r="DV261" s="395"/>
    </row>
    <row r="262" spans="1:126">
      <c r="B262" s="185"/>
      <c r="C262" s="25"/>
      <c r="D262" s="25"/>
      <c r="E262" s="25"/>
      <c r="F262" s="25"/>
      <c r="G262" s="25"/>
      <c r="H262" s="25"/>
      <c r="I262" s="25"/>
      <c r="J262" s="164"/>
      <c r="K262" s="164"/>
      <c r="L262" s="164"/>
      <c r="M262" s="164"/>
      <c r="N262" s="25"/>
      <c r="O262" s="164"/>
      <c r="P262" s="164"/>
      <c r="Q262" s="164"/>
      <c r="R262" s="164"/>
      <c r="S262" s="25"/>
      <c r="T262" s="164"/>
      <c r="U262" s="164"/>
      <c r="V262" s="164"/>
      <c r="W262" s="164"/>
      <c r="X262" s="25"/>
      <c r="Y262" s="164"/>
      <c r="Z262" s="164"/>
      <c r="AA262" s="164"/>
      <c r="AB262" s="164"/>
      <c r="AC262" s="25"/>
      <c r="AD262" s="164"/>
      <c r="AE262" s="164"/>
      <c r="AF262" s="164"/>
      <c r="AG262" s="164"/>
      <c r="AH262" s="25"/>
      <c r="AI262" s="164"/>
      <c r="AJ262" s="164"/>
      <c r="AK262" s="164"/>
      <c r="AL262" s="164"/>
      <c r="AM262" s="25"/>
      <c r="AN262" s="164"/>
      <c r="AO262" s="164"/>
      <c r="AP262" s="164"/>
      <c r="AQ262" s="165"/>
      <c r="AR262" s="25"/>
      <c r="AS262" s="185"/>
      <c r="AT262" s="185"/>
      <c r="AU262" s="185"/>
      <c r="AV262" s="165"/>
      <c r="AW262" s="25"/>
      <c r="AX262" s="185"/>
      <c r="AY262" s="185"/>
      <c r="AZ262" s="185"/>
      <c r="BA262" s="185"/>
      <c r="BB262" s="25"/>
      <c r="BC262" s="185"/>
      <c r="BD262" s="99"/>
      <c r="BE262" s="99"/>
      <c r="BF262" s="99"/>
      <c r="BG262" s="100"/>
      <c r="BH262" s="99"/>
      <c r="BI262" s="99"/>
      <c r="BJ262" s="99"/>
      <c r="BK262" s="99"/>
      <c r="BL262" s="100"/>
      <c r="BM262" s="99"/>
      <c r="BN262" s="99"/>
      <c r="BO262" s="99"/>
      <c r="BP262" s="99"/>
      <c r="BQ262" s="100"/>
      <c r="BR262" s="99"/>
      <c r="BS262" s="99"/>
      <c r="BT262" s="99"/>
      <c r="BU262" s="99"/>
      <c r="BV262" s="100"/>
      <c r="BW262" s="99"/>
      <c r="BX262" s="99"/>
      <c r="BY262" s="99"/>
      <c r="BZ262" s="99"/>
      <c r="CA262" s="100"/>
      <c r="CB262" s="99"/>
      <c r="CC262" s="99"/>
      <c r="CD262" s="99"/>
      <c r="CE262" s="99"/>
      <c r="CF262" s="100"/>
      <c r="CG262" s="99"/>
      <c r="CH262" s="99"/>
      <c r="CI262" s="99"/>
      <c r="CJ262" s="99"/>
      <c r="CK262" s="100"/>
      <c r="CL262" s="99"/>
      <c r="CM262" s="99"/>
      <c r="CN262" s="99"/>
      <c r="CO262" s="99"/>
      <c r="CP262" s="100"/>
      <c r="CQ262" s="99"/>
      <c r="CR262" s="99"/>
      <c r="CS262" s="99"/>
      <c r="CT262" s="99"/>
      <c r="CU262" s="100"/>
      <c r="CV262" s="99"/>
      <c r="CW262" s="99"/>
      <c r="CX262" s="99"/>
      <c r="CY262" s="99"/>
      <c r="CZ262" s="100"/>
      <c r="DA262" s="99"/>
      <c r="DB262" s="99"/>
      <c r="DC262" s="99"/>
      <c r="DD262" s="99"/>
      <c r="DE262" s="100"/>
      <c r="DF262" s="99"/>
      <c r="DG262" s="99"/>
      <c r="DH262" s="99"/>
      <c r="DI262" s="99"/>
      <c r="DJ262" s="100"/>
      <c r="DK262" s="99"/>
      <c r="DL262" s="99"/>
      <c r="DM262" s="99"/>
      <c r="DN262" s="99"/>
      <c r="DO262" s="100"/>
      <c r="DP262" s="99"/>
      <c r="DQ262" s="99"/>
      <c r="DR262" s="99"/>
      <c r="DS262" s="99"/>
      <c r="DT262" s="100"/>
      <c r="DU262" s="100"/>
      <c r="DV262" s="100"/>
    </row>
    <row r="263" spans="1:126">
      <c r="B263" s="185" t="s">
        <v>245</v>
      </c>
      <c r="C263" s="427"/>
      <c r="D263" s="427"/>
      <c r="E263" s="427"/>
      <c r="F263" s="427"/>
      <c r="G263" s="427"/>
      <c r="H263" s="427"/>
      <c r="I263" s="427"/>
      <c r="J263" s="428"/>
      <c r="K263" s="428"/>
      <c r="L263" s="428"/>
      <c r="M263" s="428"/>
      <c r="N263" s="427"/>
      <c r="O263" s="428"/>
      <c r="P263" s="428"/>
      <c r="Q263" s="428"/>
      <c r="R263" s="428"/>
      <c r="S263" s="427"/>
      <c r="T263" s="428"/>
      <c r="U263" s="428"/>
      <c r="V263" s="428"/>
      <c r="W263" s="428"/>
      <c r="X263" s="427"/>
      <c r="Y263" s="428"/>
      <c r="Z263" s="428"/>
      <c r="AA263" s="428"/>
      <c r="AB263" s="428"/>
      <c r="AC263" s="427"/>
      <c r="AD263" s="428"/>
      <c r="AE263" s="428"/>
      <c r="AF263" s="428"/>
      <c r="AG263" s="428"/>
      <c r="AH263" s="427"/>
      <c r="AI263" s="428"/>
      <c r="AJ263" s="428"/>
      <c r="AK263" s="428"/>
      <c r="AL263" s="428"/>
      <c r="AM263" s="427"/>
      <c r="AN263" s="428"/>
      <c r="AO263" s="428"/>
      <c r="AP263" s="428"/>
      <c r="AQ263" s="428"/>
      <c r="AR263" s="427"/>
      <c r="AS263" s="434"/>
      <c r="AT263" s="434"/>
      <c r="AU263" s="434"/>
      <c r="AV263" s="428"/>
      <c r="AW263" s="427"/>
      <c r="AX263" s="185"/>
      <c r="AY263" s="185"/>
      <c r="AZ263" s="185"/>
      <c r="BA263" s="185"/>
      <c r="BB263" s="427"/>
      <c r="BC263" s="185"/>
      <c r="BD263" s="99"/>
      <c r="BE263" s="99"/>
      <c r="BF263" s="99"/>
      <c r="BG263" s="427"/>
      <c r="BH263" s="99"/>
      <c r="BI263" s="99"/>
      <c r="BJ263" s="99"/>
      <c r="BK263" s="99"/>
      <c r="BL263" s="427"/>
      <c r="BM263" s="99"/>
      <c r="BN263" s="99"/>
      <c r="BO263" s="99"/>
      <c r="BP263" s="99"/>
      <c r="BQ263" s="427"/>
      <c r="BR263" s="99"/>
      <c r="BS263" s="99"/>
      <c r="BT263" s="99"/>
      <c r="BU263" s="99"/>
      <c r="BV263" s="427"/>
      <c r="BW263" s="99"/>
      <c r="BX263" s="99"/>
      <c r="BY263" s="99"/>
      <c r="BZ263" s="99"/>
      <c r="CA263" s="196"/>
      <c r="CB263" s="99"/>
      <c r="CC263" s="99"/>
      <c r="CD263" s="99"/>
      <c r="CE263" s="99"/>
      <c r="CF263" s="196"/>
      <c r="CG263" s="99"/>
      <c r="CH263" s="99"/>
      <c r="CI263" s="99"/>
      <c r="CJ263" s="99"/>
      <c r="CK263" s="100"/>
      <c r="CL263" s="99"/>
      <c r="CM263" s="99"/>
      <c r="CN263" s="99"/>
      <c r="CO263" s="99"/>
      <c r="CP263" s="100"/>
      <c r="CQ263" s="99"/>
      <c r="CR263" s="99"/>
      <c r="CS263" s="99"/>
      <c r="CT263" s="99"/>
      <c r="CU263" s="100"/>
      <c r="CV263" s="99"/>
      <c r="CW263" s="99"/>
      <c r="CX263" s="99"/>
      <c r="CY263" s="99"/>
      <c r="CZ263" s="100"/>
      <c r="DA263" s="99"/>
      <c r="DB263" s="99"/>
      <c r="DC263" s="99"/>
      <c r="DD263" s="99"/>
      <c r="DE263" s="100"/>
      <c r="DF263" s="99"/>
      <c r="DG263" s="99"/>
      <c r="DH263" s="99"/>
      <c r="DI263" s="99"/>
      <c r="DJ263" s="100"/>
      <c r="DK263" s="99"/>
      <c r="DL263" s="99"/>
      <c r="DM263" s="99"/>
      <c r="DN263" s="99"/>
      <c r="DO263" s="100"/>
      <c r="DP263" s="99"/>
      <c r="DQ263" s="99"/>
      <c r="DR263" s="99"/>
      <c r="DS263" s="99"/>
      <c r="DT263" s="100"/>
      <c r="DU263" s="100"/>
      <c r="DV263" s="100"/>
    </row>
    <row r="264" spans="1:126">
      <c r="B264" s="185" t="s">
        <v>246</v>
      </c>
      <c r="C264" s="427"/>
      <c r="D264" s="427"/>
      <c r="E264" s="427"/>
      <c r="F264" s="427"/>
      <c r="G264" s="427"/>
      <c r="H264" s="427"/>
      <c r="I264" s="427"/>
      <c r="J264" s="428"/>
      <c r="K264" s="428"/>
      <c r="L264" s="428"/>
      <c r="M264" s="428"/>
      <c r="N264" s="427"/>
      <c r="O264" s="428"/>
      <c r="P264" s="428"/>
      <c r="Q264" s="428"/>
      <c r="R264" s="428"/>
      <c r="S264" s="427"/>
      <c r="T264" s="428"/>
      <c r="U264" s="428"/>
      <c r="V264" s="428"/>
      <c r="W264" s="428"/>
      <c r="X264" s="427"/>
      <c r="Y264" s="428"/>
      <c r="Z264" s="428"/>
      <c r="AA264" s="428"/>
      <c r="AB264" s="428"/>
      <c r="AC264" s="427"/>
      <c r="AD264" s="428"/>
      <c r="AE264" s="428"/>
      <c r="AF264" s="428"/>
      <c r="AG264" s="428"/>
      <c r="AH264" s="427"/>
      <c r="AI264" s="428"/>
      <c r="AJ264" s="428"/>
      <c r="AK264" s="428"/>
      <c r="AL264" s="428"/>
      <c r="AM264" s="427"/>
      <c r="AN264" s="428"/>
      <c r="AO264" s="428"/>
      <c r="AP264" s="428"/>
      <c r="AQ264" s="428"/>
      <c r="AR264" s="427"/>
      <c r="AS264" s="434"/>
      <c r="AT264" s="434"/>
      <c r="AU264" s="434"/>
      <c r="AV264" s="428"/>
      <c r="AW264" s="427"/>
      <c r="AX264" s="185"/>
      <c r="AY264" s="185"/>
      <c r="AZ264" s="185"/>
      <c r="BA264" s="185"/>
      <c r="BB264" s="427"/>
      <c r="BC264" s="185"/>
      <c r="BD264" s="99"/>
      <c r="BE264" s="99"/>
      <c r="BF264" s="99"/>
      <c r="BG264" s="427"/>
      <c r="BH264" s="99"/>
      <c r="BI264" s="99"/>
      <c r="BJ264" s="99"/>
      <c r="BK264" s="99"/>
      <c r="BL264" s="427"/>
      <c r="BM264" s="99"/>
      <c r="BN264" s="99"/>
      <c r="BO264" s="99"/>
      <c r="BP264" s="99"/>
      <c r="BQ264" s="427"/>
      <c r="BR264" s="99"/>
      <c r="BS264" s="99"/>
      <c r="BT264" s="99"/>
      <c r="BU264" s="99"/>
      <c r="BV264" s="427"/>
      <c r="BW264" s="99"/>
      <c r="BX264" s="99"/>
      <c r="BY264" s="99"/>
      <c r="BZ264" s="99"/>
      <c r="CA264" s="196"/>
      <c r="CB264" s="99"/>
      <c r="CC264" s="99"/>
      <c r="CD264" s="99"/>
      <c r="CE264" s="99"/>
      <c r="CF264" s="196"/>
      <c r="CG264" s="99"/>
      <c r="CH264" s="99"/>
      <c r="CI264" s="99"/>
      <c r="CJ264" s="99"/>
      <c r="CK264" s="100"/>
      <c r="CL264" s="99"/>
      <c r="CM264" s="99"/>
      <c r="CN264" s="99"/>
      <c r="CO264" s="99"/>
      <c r="CP264" s="100"/>
      <c r="CQ264" s="99"/>
      <c r="CR264" s="99"/>
      <c r="CS264" s="99"/>
      <c r="CT264" s="99"/>
      <c r="CU264" s="100"/>
      <c r="CV264" s="99"/>
      <c r="CW264" s="99"/>
      <c r="CX264" s="99"/>
      <c r="CY264" s="99"/>
      <c r="CZ264" s="100"/>
      <c r="DA264" s="99"/>
      <c r="DB264" s="99"/>
      <c r="DC264" s="99"/>
      <c r="DD264" s="99"/>
      <c r="DE264" s="100"/>
      <c r="DF264" s="99"/>
      <c r="DG264" s="99"/>
      <c r="DH264" s="99"/>
      <c r="DI264" s="99"/>
      <c r="DJ264" s="100"/>
      <c r="DK264" s="99"/>
      <c r="DL264" s="99"/>
      <c r="DM264" s="99"/>
      <c r="DN264" s="99"/>
      <c r="DO264" s="100"/>
      <c r="DP264" s="99"/>
      <c r="DQ264" s="99"/>
      <c r="DR264" s="99"/>
      <c r="DS264" s="99"/>
      <c r="DT264" s="100"/>
      <c r="DU264" s="100"/>
      <c r="DV264" s="100"/>
    </row>
    <row r="265" spans="1:126">
      <c r="B265" s="185" t="s">
        <v>247</v>
      </c>
      <c r="C265" s="427"/>
      <c r="D265" s="427"/>
      <c r="E265" s="427"/>
      <c r="F265" s="427"/>
      <c r="G265" s="427"/>
      <c r="H265" s="427"/>
      <c r="I265" s="427"/>
      <c r="J265" s="428"/>
      <c r="K265" s="428"/>
      <c r="L265" s="428"/>
      <c r="M265" s="428"/>
      <c r="N265" s="427"/>
      <c r="O265" s="428"/>
      <c r="P265" s="428"/>
      <c r="Q265" s="428"/>
      <c r="R265" s="428"/>
      <c r="S265" s="427"/>
      <c r="T265" s="428"/>
      <c r="U265" s="428"/>
      <c r="V265" s="428"/>
      <c r="W265" s="428"/>
      <c r="X265" s="427"/>
      <c r="Y265" s="428"/>
      <c r="Z265" s="428"/>
      <c r="AA265" s="428"/>
      <c r="AB265" s="428"/>
      <c r="AC265" s="427"/>
      <c r="AD265" s="428"/>
      <c r="AE265" s="428"/>
      <c r="AF265" s="428"/>
      <c r="AG265" s="428"/>
      <c r="AH265" s="427"/>
      <c r="AI265" s="428"/>
      <c r="AJ265" s="428"/>
      <c r="AK265" s="428"/>
      <c r="AL265" s="428"/>
      <c r="AM265" s="427"/>
      <c r="AN265" s="428"/>
      <c r="AO265" s="428"/>
      <c r="AP265" s="428"/>
      <c r="AQ265" s="428"/>
      <c r="AR265" s="427"/>
      <c r="AS265" s="434"/>
      <c r="AT265" s="434"/>
      <c r="AU265" s="434"/>
      <c r="AV265" s="428"/>
      <c r="AW265" s="427"/>
      <c r="AX265" s="185"/>
      <c r="AY265" s="185"/>
      <c r="AZ265" s="185"/>
      <c r="BA265" s="185"/>
      <c r="BB265" s="427"/>
      <c r="BC265" s="185"/>
      <c r="BD265" s="99"/>
      <c r="BE265" s="99"/>
      <c r="BF265" s="99"/>
      <c r="BG265" s="427"/>
      <c r="BH265" s="99"/>
      <c r="BI265" s="99"/>
      <c r="BJ265" s="99"/>
      <c r="BK265" s="99"/>
      <c r="BL265" s="427"/>
      <c r="BM265" s="99"/>
      <c r="BN265" s="99"/>
      <c r="BO265" s="99"/>
      <c r="BP265" s="99"/>
      <c r="BQ265" s="427"/>
      <c r="BR265" s="99"/>
      <c r="BS265" s="99"/>
      <c r="BT265" s="99"/>
      <c r="BU265" s="99"/>
      <c r="BV265" s="427"/>
      <c r="BW265" s="99"/>
      <c r="BX265" s="99"/>
      <c r="BY265" s="99"/>
      <c r="BZ265" s="99"/>
      <c r="CA265" s="196"/>
      <c r="CB265" s="99"/>
      <c r="CC265" s="99"/>
      <c r="CD265" s="99"/>
      <c r="CE265" s="99"/>
      <c r="CF265" s="196"/>
      <c r="CG265" s="99"/>
      <c r="CH265" s="99"/>
      <c r="CI265" s="99"/>
      <c r="CJ265" s="99"/>
      <c r="CK265" s="100"/>
      <c r="CL265" s="99"/>
      <c r="CM265" s="99"/>
      <c r="CN265" s="99"/>
      <c r="CO265" s="99"/>
      <c r="CP265" s="100"/>
      <c r="CQ265" s="99"/>
      <c r="CR265" s="99"/>
      <c r="CS265" s="99"/>
      <c r="CT265" s="99"/>
      <c r="CU265" s="100"/>
      <c r="CV265" s="99"/>
      <c r="CW265" s="99"/>
      <c r="CX265" s="99"/>
      <c r="CY265" s="99"/>
      <c r="CZ265" s="100"/>
      <c r="DA265" s="99"/>
      <c r="DB265" s="99"/>
      <c r="DC265" s="99"/>
      <c r="DD265" s="99"/>
      <c r="DE265" s="100"/>
      <c r="DF265" s="99"/>
      <c r="DG265" s="99"/>
      <c r="DH265" s="99"/>
      <c r="DI265" s="99"/>
      <c r="DJ265" s="100"/>
      <c r="DK265" s="99"/>
      <c r="DL265" s="99"/>
      <c r="DM265" s="99"/>
      <c r="DN265" s="99"/>
      <c r="DO265" s="100"/>
      <c r="DP265" s="99"/>
      <c r="DQ265" s="99"/>
      <c r="DR265" s="99"/>
      <c r="DS265" s="99"/>
      <c r="DT265" s="100"/>
      <c r="DU265" s="100"/>
      <c r="DV265" s="100"/>
    </row>
    <row r="266" spans="1:126">
      <c r="B266" s="185"/>
      <c r="C266" s="25"/>
      <c r="D266" s="25"/>
      <c r="E266" s="25"/>
      <c r="F266" s="25"/>
      <c r="G266" s="25"/>
      <c r="H266" s="25"/>
      <c r="I266" s="25"/>
      <c r="J266" s="164"/>
      <c r="K266" s="164"/>
      <c r="L266" s="164"/>
      <c r="M266" s="164"/>
      <c r="N266" s="25"/>
      <c r="O266" s="164"/>
      <c r="P266" s="164"/>
      <c r="Q266" s="164"/>
      <c r="R266" s="164"/>
      <c r="S266" s="25"/>
      <c r="T266" s="164"/>
      <c r="U266" s="164"/>
      <c r="V266" s="164"/>
      <c r="W266" s="164"/>
      <c r="X266" s="25"/>
      <c r="Y266" s="164"/>
      <c r="Z266" s="164"/>
      <c r="AA266" s="164"/>
      <c r="AB266" s="164"/>
      <c r="AC266" s="25"/>
      <c r="AD266" s="164"/>
      <c r="AE266" s="164"/>
      <c r="AF266" s="164"/>
      <c r="AG266" s="164"/>
      <c r="AH266" s="25"/>
      <c r="AI266" s="164"/>
      <c r="AJ266" s="164"/>
      <c r="AK266" s="164"/>
      <c r="AL266" s="164"/>
      <c r="AM266" s="25"/>
      <c r="AN266" s="164"/>
      <c r="AO266" s="164"/>
      <c r="AP266" s="164"/>
      <c r="AQ266" s="165"/>
      <c r="AR266" s="25"/>
      <c r="AS266" s="185"/>
      <c r="AT266" s="185"/>
      <c r="AU266" s="185"/>
      <c r="AV266" s="165"/>
      <c r="AW266" s="25"/>
      <c r="AX266" s="185"/>
      <c r="AY266" s="185"/>
      <c r="AZ266" s="185"/>
      <c r="BA266" s="185"/>
      <c r="BB266" s="25"/>
      <c r="BC266" s="185"/>
      <c r="BD266" s="99"/>
      <c r="BE266" s="99"/>
      <c r="BF266" s="99"/>
      <c r="BG266" s="100"/>
      <c r="BH266" s="99"/>
      <c r="BI266" s="99"/>
      <c r="BJ266" s="99"/>
      <c r="BK266" s="99"/>
      <c r="BL266" s="100"/>
      <c r="BM266" s="99"/>
      <c r="BN266" s="99"/>
      <c r="BO266" s="99"/>
      <c r="BP266" s="99"/>
      <c r="BQ266" s="100"/>
      <c r="BR266" s="99"/>
      <c r="BS266" s="99"/>
      <c r="BT266" s="99"/>
      <c r="BU266" s="99"/>
      <c r="BV266" s="100"/>
      <c r="BW266" s="99"/>
      <c r="BX266" s="99"/>
      <c r="BY266" s="99"/>
      <c r="BZ266" s="99"/>
      <c r="CA266" s="100"/>
      <c r="CB266" s="99"/>
      <c r="CC266" s="99"/>
      <c r="CD266" s="99"/>
      <c r="CE266" s="99"/>
      <c r="CF266" s="100"/>
      <c r="CG266" s="99"/>
      <c r="CH266" s="99"/>
      <c r="CI266" s="99"/>
      <c r="CJ266" s="99"/>
      <c r="CK266" s="100"/>
      <c r="CL266" s="99"/>
      <c r="CM266" s="99"/>
      <c r="CN266" s="99"/>
      <c r="CO266" s="99"/>
      <c r="CP266" s="100"/>
      <c r="CQ266" s="99"/>
      <c r="CR266" s="99"/>
      <c r="CS266" s="99"/>
      <c r="CT266" s="99"/>
      <c r="CU266" s="100"/>
      <c r="CV266" s="99"/>
      <c r="CW266" s="99"/>
      <c r="CX266" s="99"/>
      <c r="CY266" s="99"/>
      <c r="CZ266" s="100"/>
      <c r="DA266" s="99"/>
      <c r="DB266" s="99"/>
      <c r="DC266" s="99"/>
      <c r="DD266" s="99"/>
      <c r="DE266" s="100"/>
      <c r="DF266" s="99"/>
      <c r="DG266" s="99"/>
      <c r="DH266" s="99"/>
      <c r="DI266" s="99"/>
      <c r="DJ266" s="100"/>
      <c r="DK266" s="99"/>
      <c r="DL266" s="99"/>
      <c r="DM266" s="99"/>
      <c r="DN266" s="99"/>
      <c r="DO266" s="100"/>
      <c r="DP266" s="99"/>
      <c r="DQ266" s="99"/>
      <c r="DR266" s="99"/>
      <c r="DS266" s="99"/>
      <c r="DT266" s="100"/>
      <c r="DU266" s="100"/>
      <c r="DV266" s="100"/>
    </row>
    <row r="267" spans="1:126">
      <c r="B267" s="185" t="s">
        <v>248</v>
      </c>
      <c r="C267" s="427"/>
      <c r="D267" s="427"/>
      <c r="E267" s="427"/>
      <c r="F267" s="427"/>
      <c r="G267" s="427"/>
      <c r="H267" s="427"/>
      <c r="I267" s="427"/>
      <c r="J267" s="428"/>
      <c r="K267" s="428"/>
      <c r="L267" s="428"/>
      <c r="M267" s="428"/>
      <c r="N267" s="427"/>
      <c r="O267" s="428"/>
      <c r="P267" s="428"/>
      <c r="Q267" s="428"/>
      <c r="R267" s="428"/>
      <c r="S267" s="427"/>
      <c r="T267" s="428"/>
      <c r="U267" s="428"/>
      <c r="V267" s="428"/>
      <c r="W267" s="428"/>
      <c r="X267" s="427"/>
      <c r="Y267" s="428"/>
      <c r="Z267" s="428"/>
      <c r="AA267" s="428"/>
      <c r="AB267" s="428"/>
      <c r="AC267" s="427"/>
      <c r="AD267" s="428"/>
      <c r="AE267" s="428"/>
      <c r="AF267" s="428"/>
      <c r="AG267" s="428"/>
      <c r="AH267" s="427"/>
      <c r="AI267" s="428"/>
      <c r="AJ267" s="428"/>
      <c r="AK267" s="428"/>
      <c r="AL267" s="428"/>
      <c r="AM267" s="427"/>
      <c r="AN267" s="428"/>
      <c r="AO267" s="428"/>
      <c r="AP267" s="428"/>
      <c r="AQ267" s="428"/>
      <c r="AR267" s="427"/>
      <c r="AS267" s="434"/>
      <c r="AT267" s="434"/>
      <c r="AU267" s="434"/>
      <c r="AV267" s="428"/>
      <c r="AW267" s="427"/>
      <c r="AX267" s="185"/>
      <c r="AY267" s="185"/>
      <c r="AZ267" s="185"/>
      <c r="BA267" s="185"/>
      <c r="BB267" s="427"/>
      <c r="BC267" s="185"/>
      <c r="BD267" s="99"/>
      <c r="BE267" s="99"/>
      <c r="BF267" s="99"/>
      <c r="BG267" s="427"/>
      <c r="BH267" s="99"/>
      <c r="BI267" s="99"/>
      <c r="BJ267" s="99"/>
      <c r="BK267" s="99"/>
      <c r="BL267" s="427"/>
      <c r="BM267" s="99"/>
      <c r="BN267" s="99"/>
      <c r="BO267" s="99"/>
      <c r="BP267" s="99"/>
      <c r="BQ267" s="427"/>
      <c r="BR267" s="99"/>
      <c r="BS267" s="99"/>
      <c r="BT267" s="99"/>
      <c r="BU267" s="99"/>
      <c r="BV267" s="427"/>
      <c r="BW267" s="99"/>
      <c r="BX267" s="99"/>
      <c r="BY267" s="99"/>
      <c r="BZ267" s="99"/>
      <c r="CA267" s="27"/>
      <c r="CB267" s="99"/>
      <c r="CC267" s="99"/>
      <c r="CD267" s="99"/>
      <c r="CE267" s="99"/>
      <c r="CF267" s="196"/>
      <c r="CG267" s="99"/>
      <c r="CH267" s="99"/>
      <c r="CI267" s="99"/>
      <c r="CJ267" s="99"/>
      <c r="CK267" s="100"/>
      <c r="CL267" s="99"/>
      <c r="CM267" s="99"/>
      <c r="CN267" s="99"/>
      <c r="CO267" s="99"/>
      <c r="CP267" s="100"/>
      <c r="CQ267" s="99"/>
      <c r="CR267" s="99"/>
      <c r="CS267" s="99"/>
      <c r="CT267" s="99"/>
      <c r="CU267" s="100"/>
      <c r="CV267" s="99"/>
      <c r="CW267" s="99"/>
      <c r="CX267" s="99"/>
      <c r="CY267" s="99"/>
      <c r="CZ267" s="100"/>
      <c r="DA267" s="99"/>
      <c r="DB267" s="99"/>
      <c r="DC267" s="99"/>
      <c r="DD267" s="99"/>
      <c r="DE267" s="100"/>
      <c r="DF267" s="99"/>
      <c r="DG267" s="99"/>
      <c r="DH267" s="99"/>
      <c r="DI267" s="99"/>
      <c r="DJ267" s="100"/>
      <c r="DK267" s="99"/>
      <c r="DL267" s="99"/>
      <c r="DM267" s="99"/>
      <c r="DN267" s="99"/>
      <c r="DO267" s="100"/>
      <c r="DP267" s="99"/>
      <c r="DQ267" s="99"/>
      <c r="DR267" s="99"/>
      <c r="DS267" s="99"/>
      <c r="DT267" s="100"/>
      <c r="DU267" s="100"/>
      <c r="DV267" s="100"/>
    </row>
    <row r="268" spans="1:126">
      <c r="B268" s="185" t="s">
        <v>249</v>
      </c>
      <c r="C268" s="427"/>
      <c r="D268" s="427"/>
      <c r="E268" s="427"/>
      <c r="F268" s="427"/>
      <c r="G268" s="427"/>
      <c r="H268" s="427"/>
      <c r="I268" s="427"/>
      <c r="J268" s="428"/>
      <c r="K268" s="428"/>
      <c r="L268" s="428"/>
      <c r="M268" s="428"/>
      <c r="N268" s="427"/>
      <c r="O268" s="428"/>
      <c r="P268" s="428"/>
      <c r="Q268" s="428"/>
      <c r="R268" s="428"/>
      <c r="S268" s="427"/>
      <c r="T268" s="428"/>
      <c r="U268" s="428"/>
      <c r="V268" s="428"/>
      <c r="W268" s="428"/>
      <c r="X268" s="427"/>
      <c r="Y268" s="428"/>
      <c r="Z268" s="428"/>
      <c r="AA268" s="428"/>
      <c r="AB268" s="428"/>
      <c r="AC268" s="427"/>
      <c r="AD268" s="428"/>
      <c r="AE268" s="428"/>
      <c r="AF268" s="428"/>
      <c r="AG268" s="428"/>
      <c r="AH268" s="427"/>
      <c r="AI268" s="428"/>
      <c r="AJ268" s="428"/>
      <c r="AK268" s="428"/>
      <c r="AL268" s="428"/>
      <c r="AM268" s="427"/>
      <c r="AN268" s="428"/>
      <c r="AO268" s="428"/>
      <c r="AP268" s="428"/>
      <c r="AQ268" s="428"/>
      <c r="AR268" s="427"/>
      <c r="AS268" s="434"/>
      <c r="AT268" s="434"/>
      <c r="AU268" s="434"/>
      <c r="AV268" s="428"/>
      <c r="AW268" s="427"/>
      <c r="AX268" s="185"/>
      <c r="AY268" s="185"/>
      <c r="AZ268" s="185"/>
      <c r="BA268" s="185"/>
      <c r="BB268" s="427"/>
      <c r="BC268" s="185"/>
      <c r="BD268" s="99"/>
      <c r="BE268" s="99"/>
      <c r="BF268" s="99"/>
      <c r="BG268" s="427"/>
      <c r="BH268" s="99"/>
      <c r="BI268" s="99"/>
      <c r="BJ268" s="99"/>
      <c r="BK268" s="99"/>
      <c r="BL268" s="427"/>
      <c r="BM268" s="99"/>
      <c r="BN268" s="99"/>
      <c r="BO268" s="99"/>
      <c r="BP268" s="99"/>
      <c r="BQ268" s="427"/>
      <c r="BR268" s="99"/>
      <c r="BS268" s="99"/>
      <c r="BT268" s="99"/>
      <c r="BU268" s="99"/>
      <c r="BV268" s="427"/>
      <c r="BW268" s="99"/>
      <c r="BX268" s="99"/>
      <c r="BY268" s="99"/>
      <c r="BZ268" s="99"/>
      <c r="CA268" s="27"/>
      <c r="CB268" s="99"/>
      <c r="CC268" s="99"/>
      <c r="CD268" s="99"/>
      <c r="CE268" s="99"/>
      <c r="CF268" s="196"/>
      <c r="CG268" s="99"/>
      <c r="CH268" s="99"/>
      <c r="CI268" s="99"/>
      <c r="CJ268" s="99"/>
      <c r="CK268" s="100"/>
      <c r="CL268" s="99"/>
      <c r="CM268" s="99"/>
      <c r="CN268" s="99"/>
      <c r="CO268" s="99"/>
      <c r="CP268" s="100"/>
      <c r="CQ268" s="99"/>
      <c r="CR268" s="99"/>
      <c r="CS268" s="99"/>
      <c r="CT268" s="99"/>
      <c r="CU268" s="100"/>
      <c r="CV268" s="99"/>
      <c r="CW268" s="99"/>
      <c r="CX268" s="99"/>
      <c r="CY268" s="99"/>
      <c r="CZ268" s="100"/>
      <c r="DA268" s="99"/>
      <c r="DB268" s="99"/>
      <c r="DC268" s="99"/>
      <c r="DD268" s="99"/>
      <c r="DE268" s="100"/>
      <c r="DF268" s="99"/>
      <c r="DG268" s="99"/>
      <c r="DH268" s="99"/>
      <c r="DI268" s="99"/>
      <c r="DJ268" s="100"/>
      <c r="DK268" s="99"/>
      <c r="DL268" s="99"/>
      <c r="DM268" s="99"/>
      <c r="DN268" s="99"/>
      <c r="DO268" s="100"/>
      <c r="DP268" s="99"/>
      <c r="DQ268" s="99"/>
      <c r="DR268" s="99"/>
      <c r="DS268" s="99"/>
      <c r="DT268" s="100"/>
      <c r="DU268" s="100"/>
      <c r="DV268" s="100"/>
    </row>
    <row r="269" spans="1:126">
      <c r="B269" s="185"/>
      <c r="C269" s="25"/>
      <c r="D269" s="25"/>
      <c r="E269" s="25"/>
      <c r="F269" s="25"/>
      <c r="G269" s="25"/>
      <c r="H269" s="25"/>
      <c r="I269" s="25"/>
      <c r="J269" s="164"/>
      <c r="K269" s="164"/>
      <c r="L269" s="164"/>
      <c r="M269" s="164"/>
      <c r="N269" s="25"/>
      <c r="O269" s="164"/>
      <c r="P269" s="164"/>
      <c r="Q269" s="164"/>
      <c r="R269" s="164"/>
      <c r="S269" s="25"/>
      <c r="T269" s="164"/>
      <c r="U269" s="164"/>
      <c r="V269" s="164"/>
      <c r="W269" s="164"/>
      <c r="X269" s="25"/>
      <c r="Y269" s="164"/>
      <c r="Z269" s="164"/>
      <c r="AA269" s="164"/>
      <c r="AB269" s="164"/>
      <c r="AC269" s="25"/>
      <c r="AD269" s="164"/>
      <c r="AE269" s="164"/>
      <c r="AF269" s="164"/>
      <c r="AG269" s="164"/>
      <c r="AH269" s="25"/>
      <c r="AI269" s="164"/>
      <c r="AJ269" s="164"/>
      <c r="AK269" s="164"/>
      <c r="AL269" s="164"/>
      <c r="AM269" s="25"/>
      <c r="AN269" s="164"/>
      <c r="AO269" s="164"/>
      <c r="AP269" s="164"/>
      <c r="AQ269" s="165"/>
      <c r="AR269" s="25"/>
      <c r="AS269" s="185"/>
      <c r="AT269" s="185"/>
      <c r="AU269" s="185"/>
      <c r="AV269" s="165"/>
      <c r="AW269" s="25"/>
      <c r="AX269" s="185"/>
      <c r="AY269" s="185"/>
      <c r="AZ269" s="185"/>
      <c r="BA269" s="185"/>
      <c r="BB269" s="25"/>
      <c r="BC269" s="185"/>
      <c r="BD269" s="99"/>
      <c r="BE269" s="99"/>
      <c r="BF269" s="99"/>
      <c r="BG269" s="100"/>
      <c r="BH269" s="99"/>
      <c r="BI269" s="99"/>
      <c r="BJ269" s="99"/>
      <c r="BK269" s="99"/>
      <c r="BL269" s="100"/>
      <c r="BM269" s="99"/>
      <c r="BN269" s="99"/>
      <c r="BO269" s="99"/>
      <c r="BP269" s="99"/>
      <c r="BQ269" s="100"/>
      <c r="BR269" s="99"/>
      <c r="BS269" s="99"/>
      <c r="BT269" s="99"/>
      <c r="BU269" s="99"/>
      <c r="BV269" s="100"/>
      <c r="BW269" s="99"/>
      <c r="BX269" s="99"/>
      <c r="BY269" s="99"/>
      <c r="BZ269" s="99"/>
      <c r="CA269" s="100"/>
      <c r="CB269" s="99"/>
      <c r="CC269" s="99"/>
      <c r="CD269" s="99"/>
      <c r="CE269" s="99"/>
      <c r="CF269" s="100"/>
      <c r="CG269" s="99"/>
      <c r="CH269" s="99"/>
      <c r="CI269" s="99"/>
      <c r="CJ269" s="99"/>
      <c r="CK269" s="100"/>
      <c r="CL269" s="99"/>
      <c r="CM269" s="99"/>
      <c r="CN269" s="99"/>
      <c r="CO269" s="99"/>
      <c r="CP269" s="100"/>
      <c r="CQ269" s="99"/>
      <c r="CR269" s="99"/>
      <c r="CS269" s="99"/>
      <c r="CT269" s="99"/>
      <c r="CU269" s="100"/>
      <c r="CV269" s="99"/>
      <c r="CW269" s="99"/>
      <c r="CX269" s="99"/>
      <c r="CY269" s="99"/>
      <c r="CZ269" s="100"/>
      <c r="DA269" s="99"/>
      <c r="DB269" s="99"/>
      <c r="DC269" s="99"/>
      <c r="DD269" s="99"/>
      <c r="DE269" s="100"/>
      <c r="DF269" s="99"/>
      <c r="DG269" s="99"/>
      <c r="DH269" s="99"/>
      <c r="DI269" s="99"/>
      <c r="DJ269" s="100"/>
      <c r="DK269" s="99"/>
      <c r="DL269" s="99"/>
      <c r="DM269" s="99"/>
      <c r="DN269" s="99"/>
      <c r="DO269" s="100"/>
      <c r="DP269" s="99"/>
      <c r="DQ269" s="99"/>
      <c r="DR269" s="99"/>
      <c r="DS269" s="99"/>
      <c r="DT269" s="100"/>
      <c r="DU269" s="100"/>
      <c r="DV269" s="100"/>
    </row>
    <row r="270" spans="1:126">
      <c r="B270" s="185" t="s">
        <v>250</v>
      </c>
      <c r="C270" s="25"/>
      <c r="D270" s="25"/>
      <c r="E270" s="25"/>
      <c r="F270" s="25"/>
      <c r="G270" s="25"/>
      <c r="H270" s="25"/>
      <c r="I270" s="25"/>
      <c r="J270" s="164"/>
      <c r="K270" s="164"/>
      <c r="L270" s="164"/>
      <c r="M270" s="164"/>
      <c r="N270" s="25"/>
      <c r="O270" s="164"/>
      <c r="P270" s="164"/>
      <c r="Q270" s="164"/>
      <c r="R270" s="164"/>
      <c r="S270" s="25"/>
      <c r="T270" s="164"/>
      <c r="U270" s="164"/>
      <c r="V270" s="164"/>
      <c r="W270" s="164"/>
      <c r="X270" s="25"/>
      <c r="Y270" s="164"/>
      <c r="Z270" s="164"/>
      <c r="AA270" s="164"/>
      <c r="AB270" s="164"/>
      <c r="AC270" s="25"/>
      <c r="AD270" s="164"/>
      <c r="AE270" s="164"/>
      <c r="AF270" s="164"/>
      <c r="AG270" s="164"/>
      <c r="AH270" s="25"/>
      <c r="AI270" s="164"/>
      <c r="AJ270" s="164"/>
      <c r="AK270" s="164"/>
      <c r="AL270" s="164"/>
      <c r="AM270" s="25"/>
      <c r="AN270" s="164"/>
      <c r="AO270" s="164"/>
      <c r="AP270" s="164"/>
      <c r="AQ270" s="165"/>
      <c r="AR270" s="25"/>
      <c r="AS270" s="185"/>
      <c r="AT270" s="185"/>
      <c r="AU270" s="185"/>
      <c r="AV270" s="165"/>
      <c r="AW270" s="25"/>
      <c r="AX270" s="185"/>
      <c r="AY270" s="185"/>
      <c r="AZ270" s="185"/>
      <c r="BA270" s="185"/>
      <c r="BB270" s="25"/>
      <c r="BC270" s="185"/>
      <c r="BD270" s="99"/>
      <c r="BE270" s="99"/>
      <c r="BF270" s="99"/>
      <c r="BG270" s="2"/>
      <c r="BH270" s="99"/>
      <c r="BI270" s="99"/>
      <c r="BJ270" s="99"/>
      <c r="BK270" s="99"/>
      <c r="BL270" s="2"/>
      <c r="BM270" s="99"/>
      <c r="BN270" s="99"/>
      <c r="BO270" s="99"/>
      <c r="BP270" s="99"/>
      <c r="BQ270" s="2"/>
      <c r="BR270" s="99"/>
      <c r="BS270" s="99"/>
      <c r="BT270" s="99"/>
      <c r="BU270" s="99"/>
      <c r="BV270" s="2"/>
      <c r="BW270" s="99"/>
      <c r="BX270" s="99"/>
      <c r="BY270" s="99"/>
      <c r="BZ270" s="99"/>
      <c r="CA270" s="2"/>
      <c r="CB270" s="99"/>
      <c r="CC270" s="99"/>
      <c r="CD270" s="99"/>
      <c r="CE270" s="99"/>
      <c r="CF270" s="2"/>
      <c r="CG270" s="99"/>
      <c r="CH270" s="99"/>
      <c r="CI270" s="99"/>
      <c r="CJ270" s="99"/>
      <c r="CK270" s="100"/>
      <c r="CL270" s="99"/>
      <c r="CM270" s="99"/>
      <c r="CN270" s="99"/>
      <c r="CO270" s="99"/>
      <c r="CP270" s="100"/>
      <c r="CQ270" s="99"/>
      <c r="CR270" s="99"/>
      <c r="CS270" s="99"/>
      <c r="CT270" s="99"/>
      <c r="CU270" s="100"/>
      <c r="CV270" s="99"/>
      <c r="CW270" s="99"/>
      <c r="CX270" s="99"/>
      <c r="CY270" s="99"/>
      <c r="CZ270" s="100"/>
      <c r="DA270" s="99"/>
      <c r="DB270" s="99"/>
      <c r="DC270" s="99"/>
      <c r="DD270" s="99"/>
      <c r="DE270" s="100"/>
      <c r="DF270" s="99"/>
      <c r="DG270" s="99"/>
      <c r="DH270" s="99"/>
      <c r="DI270" s="99"/>
      <c r="DJ270" s="100"/>
      <c r="DK270" s="99"/>
      <c r="DL270" s="99"/>
      <c r="DM270" s="99"/>
      <c r="DN270" s="99"/>
      <c r="DO270" s="100"/>
      <c r="DP270" s="99"/>
      <c r="DQ270" s="99"/>
      <c r="DR270" s="99"/>
      <c r="DS270" s="99"/>
      <c r="DT270" s="100"/>
      <c r="DU270" s="100"/>
      <c r="DV270" s="100"/>
    </row>
    <row r="271" spans="1:126">
      <c r="B271" s="185" t="s">
        <v>251</v>
      </c>
      <c r="C271" s="25"/>
      <c r="D271" s="25"/>
      <c r="E271" s="25"/>
      <c r="F271" s="25"/>
      <c r="G271" s="25"/>
      <c r="H271" s="25"/>
      <c r="I271" s="25"/>
      <c r="J271" s="164"/>
      <c r="K271" s="164"/>
      <c r="L271" s="164"/>
      <c r="M271" s="164"/>
      <c r="N271" s="25"/>
      <c r="O271" s="164"/>
      <c r="P271" s="164"/>
      <c r="Q271" s="164"/>
      <c r="R271" s="164"/>
      <c r="S271" s="25"/>
      <c r="T271" s="164"/>
      <c r="U271" s="164"/>
      <c r="V271" s="164"/>
      <c r="W271" s="164"/>
      <c r="X271" s="25"/>
      <c r="Y271" s="164"/>
      <c r="Z271" s="164"/>
      <c r="AA271" s="164"/>
      <c r="AB271" s="164"/>
      <c r="AC271" s="25"/>
      <c r="AD271" s="164"/>
      <c r="AE271" s="164"/>
      <c r="AF271" s="164"/>
      <c r="AG271" s="164"/>
      <c r="AH271" s="25"/>
      <c r="AI271" s="164"/>
      <c r="AJ271" s="164"/>
      <c r="AK271" s="164"/>
      <c r="AL271" s="164"/>
      <c r="AM271" s="25"/>
      <c r="AN271" s="164"/>
      <c r="AO271" s="164"/>
      <c r="AP271" s="164"/>
      <c r="AQ271" s="165"/>
      <c r="AR271" s="25"/>
      <c r="AS271" s="185"/>
      <c r="AT271" s="185"/>
      <c r="AU271" s="185"/>
      <c r="AV271" s="165"/>
      <c r="AW271" s="25"/>
      <c r="AX271" s="185"/>
      <c r="AY271" s="185"/>
      <c r="AZ271" s="185"/>
      <c r="BA271" s="185"/>
      <c r="BB271" s="25"/>
      <c r="BC271" s="185"/>
      <c r="BD271" s="99"/>
      <c r="BE271" s="99"/>
      <c r="BF271" s="99"/>
      <c r="BG271" s="2"/>
      <c r="BH271" s="99"/>
      <c r="BI271" s="99"/>
      <c r="BJ271" s="99"/>
      <c r="BK271" s="99"/>
      <c r="BL271" s="2"/>
      <c r="BM271" s="99"/>
      <c r="BN271" s="99"/>
      <c r="BO271" s="99"/>
      <c r="BP271" s="99"/>
      <c r="BQ271" s="2"/>
      <c r="BR271" s="99"/>
      <c r="BS271" s="99"/>
      <c r="BT271" s="99"/>
      <c r="BU271" s="99"/>
      <c r="BV271" s="2"/>
      <c r="BW271" s="99"/>
      <c r="BX271" s="99"/>
      <c r="BY271" s="99"/>
      <c r="BZ271" s="99"/>
      <c r="CA271" s="2"/>
      <c r="CB271" s="99"/>
      <c r="CC271" s="99"/>
      <c r="CD271" s="99"/>
      <c r="CE271" s="99"/>
      <c r="CF271" s="2"/>
      <c r="CG271" s="99"/>
      <c r="CH271" s="99"/>
      <c r="CI271" s="99"/>
      <c r="CJ271" s="99"/>
      <c r="CK271" s="100"/>
      <c r="CL271" s="99"/>
      <c r="CM271" s="99"/>
      <c r="CN271" s="99"/>
      <c r="CO271" s="99"/>
      <c r="CP271" s="100"/>
      <c r="CQ271" s="99"/>
      <c r="CR271" s="99"/>
      <c r="CS271" s="99"/>
      <c r="CT271" s="99"/>
      <c r="CU271" s="100"/>
      <c r="CV271" s="99"/>
      <c r="CW271" s="99"/>
      <c r="CX271" s="99"/>
      <c r="CY271" s="99"/>
      <c r="CZ271" s="100"/>
      <c r="DA271" s="99"/>
      <c r="DB271" s="99"/>
      <c r="DC271" s="99"/>
      <c r="DD271" s="99"/>
      <c r="DE271" s="100"/>
      <c r="DF271" s="99"/>
      <c r="DG271" s="99"/>
      <c r="DH271" s="99"/>
      <c r="DI271" s="99"/>
      <c r="DJ271" s="100"/>
      <c r="DK271" s="99"/>
      <c r="DL271" s="99"/>
      <c r="DM271" s="99"/>
      <c r="DN271" s="99"/>
      <c r="DO271" s="100"/>
      <c r="DP271" s="99"/>
      <c r="DQ271" s="99"/>
      <c r="DR271" s="99"/>
      <c r="DS271" s="99"/>
      <c r="DT271" s="100"/>
      <c r="DU271" s="100"/>
      <c r="DV271" s="100"/>
    </row>
    <row r="272" spans="1:126" s="108" customFormat="1">
      <c r="A272" s="37"/>
      <c r="B272" s="179" t="s">
        <v>252</v>
      </c>
      <c r="C272" s="101"/>
      <c r="D272" s="101"/>
      <c r="E272" s="101"/>
      <c r="F272" s="101"/>
      <c r="G272" s="101"/>
      <c r="H272" s="101"/>
      <c r="I272" s="101"/>
      <c r="N272" s="101"/>
      <c r="S272" s="101"/>
      <c r="X272" s="101"/>
      <c r="AC272" s="101"/>
      <c r="AH272" s="101"/>
      <c r="AM272" s="101"/>
      <c r="AR272" s="101"/>
      <c r="AS272" s="179"/>
      <c r="AT272" s="179"/>
      <c r="AU272" s="179"/>
      <c r="AW272" s="101"/>
      <c r="AX272" s="179"/>
      <c r="AY272" s="179"/>
      <c r="AZ272" s="179"/>
      <c r="BA272" s="179"/>
      <c r="BB272" s="101"/>
      <c r="BC272" s="179"/>
      <c r="BD272" s="444"/>
      <c r="BE272" s="444"/>
      <c r="BF272" s="444"/>
      <c r="BG272" s="101"/>
      <c r="BH272" s="444"/>
      <c r="BI272" s="444"/>
      <c r="BJ272" s="444"/>
      <c r="BK272" s="444"/>
      <c r="BL272" s="101"/>
      <c r="BM272" s="444"/>
      <c r="BN272" s="444"/>
      <c r="BO272" s="444"/>
      <c r="BP272" s="444"/>
      <c r="BQ272" s="101"/>
      <c r="BR272" s="444"/>
      <c r="BS272" s="444"/>
      <c r="BT272" s="444"/>
      <c r="BU272" s="444"/>
      <c r="BV272" s="101"/>
      <c r="BW272" s="444"/>
      <c r="BX272" s="444"/>
      <c r="BY272" s="444"/>
      <c r="BZ272" s="444"/>
      <c r="CA272" s="101"/>
      <c r="CB272" s="444"/>
      <c r="CC272" s="444"/>
      <c r="CD272" s="444"/>
      <c r="CE272" s="444"/>
      <c r="CF272" s="101"/>
      <c r="CG272" s="444"/>
      <c r="CH272" s="444"/>
      <c r="CI272" s="444"/>
      <c r="CJ272" s="444"/>
      <c r="CK272" s="445"/>
      <c r="CL272" s="444"/>
      <c r="CM272" s="444"/>
      <c r="CN272" s="444"/>
      <c r="CO272" s="444"/>
      <c r="CP272" s="445"/>
      <c r="CQ272" s="444"/>
      <c r="CR272" s="444"/>
      <c r="CS272" s="444"/>
      <c r="CT272" s="444"/>
      <c r="CU272" s="445"/>
      <c r="CV272" s="444"/>
      <c r="CW272" s="444"/>
      <c r="CX272" s="444"/>
      <c r="CY272" s="444"/>
      <c r="CZ272" s="445"/>
      <c r="DA272" s="444"/>
      <c r="DB272" s="444"/>
      <c r="DC272" s="444"/>
      <c r="DD272" s="444"/>
      <c r="DE272" s="445"/>
      <c r="DF272" s="444"/>
      <c r="DG272" s="444"/>
      <c r="DH272" s="444"/>
      <c r="DI272" s="444"/>
      <c r="DJ272" s="445"/>
      <c r="DK272" s="444"/>
      <c r="DL272" s="444"/>
      <c r="DM272" s="444"/>
      <c r="DN272" s="444"/>
      <c r="DO272" s="445"/>
      <c r="DP272" s="444"/>
      <c r="DQ272" s="444"/>
      <c r="DR272" s="444"/>
      <c r="DS272" s="444"/>
      <c r="DT272" s="445"/>
      <c r="DU272" s="445"/>
      <c r="DV272" s="445"/>
    </row>
    <row r="273" spans="1:126">
      <c r="B273" s="67"/>
      <c r="C273" s="25"/>
      <c r="D273" s="25"/>
      <c r="E273" s="25"/>
      <c r="F273" s="25"/>
      <c r="G273" s="25"/>
      <c r="H273" s="25"/>
      <c r="I273" s="25"/>
      <c r="N273" s="25"/>
      <c r="S273" s="25"/>
      <c r="X273" s="25"/>
      <c r="AC273" s="25"/>
      <c r="AH273" s="25"/>
      <c r="AM273" s="25"/>
      <c r="AR273" s="25"/>
      <c r="AW273" s="25"/>
      <c r="BB273" s="25"/>
      <c r="BG273" s="25"/>
      <c r="BL273" s="25"/>
      <c r="BQ273" s="25"/>
      <c r="BV273" s="25"/>
      <c r="CA273" s="25"/>
      <c r="CF273" s="25"/>
      <c r="CK273" s="25"/>
      <c r="CP273" s="25"/>
      <c r="CU273" s="25"/>
      <c r="CZ273" s="25"/>
      <c r="DE273" s="25"/>
      <c r="DJ273" s="25"/>
      <c r="DO273" s="25"/>
      <c r="DP273"/>
      <c r="DQ273"/>
      <c r="DR273"/>
      <c r="DS273"/>
      <c r="DT273" s="25"/>
      <c r="DU273" s="25"/>
      <c r="DV273" s="25"/>
    </row>
    <row r="274" spans="1:126" s="108" customFormat="1">
      <c r="A274" s="37"/>
      <c r="B274" s="179"/>
      <c r="C274" s="101"/>
      <c r="D274" s="101"/>
      <c r="E274" s="101"/>
      <c r="F274" s="101"/>
      <c r="G274" s="101"/>
      <c r="H274" s="101"/>
      <c r="I274" s="101"/>
      <c r="J274" s="37"/>
      <c r="K274" s="37"/>
      <c r="L274" s="37"/>
      <c r="M274" s="37"/>
      <c r="N274" s="101"/>
      <c r="O274" s="37"/>
      <c r="P274" s="37"/>
      <c r="Q274" s="37"/>
      <c r="R274" s="37"/>
      <c r="S274" s="101"/>
      <c r="T274" s="37"/>
      <c r="U274" s="37"/>
      <c r="V274" s="37"/>
      <c r="W274" s="37"/>
      <c r="X274" s="101"/>
      <c r="Y274" s="37"/>
      <c r="Z274" s="37"/>
      <c r="AA274" s="37"/>
      <c r="AB274" s="37"/>
      <c r="AC274" s="101"/>
      <c r="AD274" s="37"/>
      <c r="AE274" s="37"/>
      <c r="AF274" s="37"/>
      <c r="AG274" s="37"/>
      <c r="AH274" s="101"/>
      <c r="AI274" s="37"/>
      <c r="AJ274" s="37"/>
      <c r="AK274" s="37"/>
      <c r="AL274" s="37"/>
      <c r="AM274" s="101"/>
      <c r="AN274" s="37"/>
      <c r="AO274" s="37"/>
      <c r="AP274" s="37"/>
      <c r="AQ274" s="37"/>
      <c r="AR274" s="101"/>
      <c r="AS274" s="37"/>
      <c r="AT274" s="37"/>
      <c r="AU274" s="37"/>
      <c r="AV274" s="37"/>
      <c r="AW274" s="101"/>
      <c r="AX274" s="37"/>
      <c r="AY274" s="37"/>
      <c r="AZ274" s="37"/>
      <c r="BA274" s="37"/>
      <c r="BB274" s="101"/>
      <c r="BC274" s="37"/>
      <c r="BD274" s="37"/>
      <c r="BE274" s="37"/>
      <c r="BF274" s="37"/>
      <c r="BG274" s="101"/>
      <c r="BH274" s="37"/>
      <c r="BI274" s="37"/>
      <c r="BJ274" s="37"/>
      <c r="BK274" s="37"/>
      <c r="BL274" s="101"/>
      <c r="BM274" s="37"/>
      <c r="BN274" s="37"/>
      <c r="BO274" s="37"/>
      <c r="BP274" s="37"/>
      <c r="BQ274" s="101"/>
      <c r="BR274" s="37"/>
      <c r="BS274" s="37"/>
      <c r="BT274" s="37"/>
      <c r="BU274" s="37"/>
      <c r="BV274" s="101"/>
      <c r="BW274" s="37"/>
      <c r="BX274" s="37"/>
      <c r="BY274" s="37"/>
      <c r="BZ274" s="37"/>
      <c r="CA274" s="101"/>
      <c r="CB274" s="37"/>
      <c r="CC274" s="37"/>
      <c r="CD274" s="37"/>
      <c r="CE274" s="37"/>
      <c r="CF274" s="101"/>
      <c r="CG274" s="37"/>
      <c r="CH274" s="37"/>
      <c r="CI274" s="37"/>
      <c r="CJ274" s="37"/>
      <c r="CK274" s="101"/>
      <c r="CL274" s="37"/>
      <c r="CM274" s="37"/>
      <c r="CN274" s="37"/>
      <c r="CO274" s="37"/>
      <c r="CP274" s="101"/>
      <c r="CQ274" s="37"/>
      <c r="CR274" s="37"/>
      <c r="CS274" s="37"/>
      <c r="CT274" s="37"/>
      <c r="CU274" s="101"/>
      <c r="CV274" s="37"/>
      <c r="CW274" s="37"/>
      <c r="CX274" s="37"/>
      <c r="CY274" s="37"/>
      <c r="CZ274" s="101"/>
      <c r="DA274" s="37"/>
      <c r="DB274" s="37"/>
      <c r="DC274" s="37"/>
      <c r="DD274" s="37"/>
      <c r="DE274" s="101"/>
      <c r="DF274" s="37"/>
      <c r="DG274" s="37"/>
      <c r="DH274" s="37"/>
      <c r="DI274" s="37"/>
      <c r="DJ274" s="101"/>
      <c r="DK274" s="37"/>
      <c r="DL274" s="37"/>
      <c r="DM274" s="37"/>
      <c r="DN274" s="37"/>
      <c r="DO274" s="101"/>
      <c r="DP274" s="37"/>
      <c r="DQ274" s="37"/>
      <c r="DR274" s="37"/>
      <c r="DS274" s="37"/>
      <c r="DT274" s="101"/>
      <c r="DU274" s="101"/>
      <c r="DV274" s="101"/>
    </row>
    <row r="275" spans="1:126" s="108" customFormat="1">
      <c r="A275" s="37"/>
      <c r="B275" s="423" t="s">
        <v>302</v>
      </c>
      <c r="C275" s="101"/>
      <c r="D275" s="101"/>
      <c r="E275" s="101"/>
      <c r="F275" s="101"/>
      <c r="G275" s="101"/>
      <c r="H275" s="101"/>
      <c r="I275" s="101"/>
      <c r="J275" s="37"/>
      <c r="K275" s="37"/>
      <c r="L275" s="37"/>
      <c r="M275" s="37"/>
      <c r="N275" s="101"/>
      <c r="O275" s="37"/>
      <c r="P275" s="37"/>
      <c r="Q275" s="37"/>
      <c r="R275" s="37"/>
      <c r="S275" s="101"/>
      <c r="T275" s="37"/>
      <c r="U275" s="37"/>
      <c r="V275" s="37"/>
      <c r="W275" s="37"/>
      <c r="X275" s="101"/>
      <c r="Y275" s="37"/>
      <c r="Z275" s="37"/>
      <c r="AA275" s="37"/>
      <c r="AB275" s="37"/>
      <c r="AC275" s="101"/>
      <c r="AD275" s="37"/>
      <c r="AE275" s="37"/>
      <c r="AF275" s="37"/>
      <c r="AG275" s="37"/>
      <c r="AH275" s="101"/>
      <c r="AI275" s="37"/>
      <c r="AJ275" s="37"/>
      <c r="AK275" s="37"/>
      <c r="AL275" s="37"/>
      <c r="AM275" s="101"/>
      <c r="AN275" s="37"/>
      <c r="AO275" s="37"/>
      <c r="AP275" s="37"/>
      <c r="AQ275" s="37"/>
      <c r="AR275" s="101"/>
      <c r="AS275" s="37"/>
      <c r="AT275" s="37"/>
      <c r="AU275" s="37"/>
      <c r="AV275" s="37"/>
      <c r="AW275" s="27"/>
      <c r="AX275" s="68"/>
      <c r="AY275" s="68"/>
      <c r="AZ275" s="68"/>
      <c r="BA275" s="68"/>
      <c r="BB275" s="27"/>
      <c r="BC275" s="68"/>
      <c r="BD275" s="68"/>
      <c r="BE275" s="68"/>
      <c r="BF275" s="68"/>
      <c r="BG275" s="27"/>
      <c r="BH275" s="68"/>
      <c r="BI275" s="68"/>
      <c r="BJ275" s="68"/>
      <c r="BK275" s="68"/>
      <c r="BL275" s="27"/>
      <c r="BM275" s="68"/>
      <c r="BN275" s="68"/>
      <c r="BO275" s="68"/>
      <c r="BP275" s="68"/>
      <c r="BQ275" s="27"/>
      <c r="BR275" s="68"/>
      <c r="BS275" s="68"/>
      <c r="BT275" s="68"/>
      <c r="BU275" s="68"/>
      <c r="BV275" s="27"/>
      <c r="BW275" s="68"/>
      <c r="BX275" s="68"/>
      <c r="BY275" s="68"/>
      <c r="BZ275" s="68"/>
      <c r="CA275" s="27"/>
      <c r="CB275" s="68"/>
      <c r="CC275" s="68"/>
      <c r="CD275" s="68"/>
      <c r="CE275" s="68"/>
      <c r="CF275" s="27"/>
      <c r="CG275" s="68"/>
      <c r="CH275" s="68"/>
      <c r="CI275" s="68"/>
      <c r="CJ275" s="68"/>
      <c r="CK275" s="27"/>
      <c r="CL275" s="68"/>
      <c r="CM275" s="68"/>
      <c r="CN275" s="68"/>
      <c r="CO275" s="68"/>
      <c r="CP275" s="27"/>
      <c r="CQ275" s="68"/>
      <c r="CR275" s="68"/>
      <c r="CS275" s="68"/>
      <c r="CT275" s="68"/>
      <c r="CU275" s="27"/>
      <c r="CV275" s="68"/>
      <c r="CW275" s="68"/>
      <c r="CX275" s="68"/>
      <c r="CY275" s="68"/>
      <c r="CZ275" s="27"/>
      <c r="DA275" s="68"/>
      <c r="DB275" s="68"/>
      <c r="DC275" s="68"/>
      <c r="DD275" s="68"/>
      <c r="DE275" s="27"/>
      <c r="DF275" s="68"/>
      <c r="DG275" s="68"/>
      <c r="DH275" s="68"/>
      <c r="DI275" s="68"/>
      <c r="DJ275" s="27"/>
      <c r="DK275" s="68"/>
      <c r="DL275" s="68"/>
      <c r="DM275" s="68"/>
      <c r="DN275" s="68"/>
      <c r="DO275" s="27"/>
      <c r="DP275" s="68"/>
      <c r="DQ275" s="68"/>
      <c r="DR275" s="68"/>
      <c r="DS275" s="68"/>
      <c r="DT275" s="27"/>
      <c r="DU275" s="27"/>
      <c r="DV275" s="27"/>
    </row>
    <row r="276" spans="1:126" s="108" customFormat="1">
      <c r="A276" s="37"/>
      <c r="B276" s="180" t="s">
        <v>170</v>
      </c>
      <c r="C276" s="101"/>
      <c r="D276" s="101"/>
      <c r="E276" s="101"/>
      <c r="F276" s="101"/>
      <c r="G276" s="101"/>
      <c r="H276" s="101"/>
      <c r="I276" s="101"/>
      <c r="J276" s="37"/>
      <c r="K276" s="37"/>
      <c r="L276" s="37"/>
      <c r="M276" s="37"/>
      <c r="N276" s="101"/>
      <c r="O276" s="37"/>
      <c r="P276" s="37"/>
      <c r="Q276" s="37"/>
      <c r="R276" s="37"/>
      <c r="S276" s="101"/>
      <c r="T276" s="37"/>
      <c r="U276" s="37"/>
      <c r="V276" s="37"/>
      <c r="W276" s="37"/>
      <c r="X276" s="101"/>
      <c r="Y276" s="37"/>
      <c r="Z276" s="37"/>
      <c r="AA276" s="37"/>
      <c r="AB276" s="37"/>
      <c r="AC276" s="101"/>
      <c r="AD276" s="37"/>
      <c r="AE276" s="37"/>
      <c r="AF276" s="37"/>
      <c r="AG276" s="37"/>
      <c r="AH276" s="101"/>
      <c r="AI276" s="37"/>
      <c r="AJ276" s="37"/>
      <c r="AK276" s="37"/>
      <c r="AL276" s="37"/>
      <c r="AM276" s="101"/>
      <c r="AN276" s="37"/>
      <c r="AO276" s="37"/>
      <c r="AP276" s="37"/>
      <c r="AQ276" s="37"/>
      <c r="AR276" s="101"/>
      <c r="AS276" s="37"/>
      <c r="AT276" s="37"/>
      <c r="AU276" s="37"/>
      <c r="AV276" s="37"/>
      <c r="AW276" s="27"/>
      <c r="AX276" s="68"/>
      <c r="AY276" s="68"/>
      <c r="AZ276" s="68"/>
      <c r="BA276" s="68"/>
      <c r="BB276" s="27"/>
      <c r="BC276" s="68"/>
      <c r="BD276" s="68"/>
      <c r="BE276" s="68"/>
      <c r="BF276" s="68"/>
      <c r="BG276" s="27"/>
      <c r="BH276" s="68"/>
      <c r="BI276" s="68"/>
      <c r="BJ276" s="68"/>
      <c r="BK276" s="68"/>
      <c r="BL276" s="27"/>
      <c r="BM276" s="68"/>
      <c r="BN276" s="68"/>
      <c r="BO276" s="68"/>
      <c r="BP276" s="68"/>
      <c r="BQ276" s="27"/>
      <c r="BR276" s="68"/>
      <c r="BS276" s="68"/>
      <c r="BT276" s="68"/>
      <c r="BU276" s="68"/>
      <c r="BV276" s="27"/>
      <c r="BW276" s="68"/>
      <c r="BX276" s="68"/>
      <c r="BY276" s="68"/>
      <c r="BZ276" s="68"/>
      <c r="CA276" s="27"/>
      <c r="CB276" s="68"/>
      <c r="CC276" s="68"/>
      <c r="CD276" s="68"/>
      <c r="CE276" s="68"/>
      <c r="CF276" s="27"/>
      <c r="CG276" s="68"/>
      <c r="CH276" s="68"/>
      <c r="CI276" s="68"/>
      <c r="CJ276" s="68"/>
      <c r="CK276" s="27"/>
      <c r="CL276" s="68"/>
      <c r="CM276" s="68"/>
      <c r="CN276" s="68"/>
      <c r="CO276" s="68"/>
      <c r="CP276" s="27"/>
      <c r="CQ276" s="68"/>
      <c r="CR276" s="68"/>
      <c r="CS276" s="68"/>
      <c r="CT276" s="68"/>
      <c r="CU276" s="27"/>
      <c r="CV276" s="68"/>
      <c r="CW276" s="68"/>
      <c r="CX276" s="68"/>
      <c r="CY276" s="68"/>
      <c r="CZ276" s="27"/>
      <c r="DA276" s="68"/>
      <c r="DB276" s="68"/>
      <c r="DC276" s="68"/>
      <c r="DD276" s="68"/>
      <c r="DE276" s="27"/>
      <c r="DF276" s="68"/>
      <c r="DG276" s="68"/>
      <c r="DH276" s="68"/>
      <c r="DI276" s="68"/>
      <c r="DJ276" s="27"/>
      <c r="DK276" s="68"/>
      <c r="DL276" s="68"/>
      <c r="DM276" s="68"/>
      <c r="DN276" s="68"/>
      <c r="DO276" s="27"/>
      <c r="DP276" s="68"/>
      <c r="DQ276" s="68"/>
      <c r="DR276" s="68"/>
      <c r="DS276" s="68"/>
      <c r="DT276" s="27"/>
      <c r="DU276" s="27"/>
      <c r="DV276" s="27"/>
    </row>
    <row r="277" spans="1:126" s="108" customFormat="1">
      <c r="A277" s="37"/>
      <c r="B277" s="180" t="s">
        <v>149</v>
      </c>
      <c r="C277" s="101"/>
      <c r="D277" s="101"/>
      <c r="E277" s="101"/>
      <c r="F277" s="101"/>
      <c r="G277" s="101"/>
      <c r="H277" s="101"/>
      <c r="I277" s="101"/>
      <c r="J277" s="37"/>
      <c r="K277" s="37"/>
      <c r="L277" s="37"/>
      <c r="M277" s="37"/>
      <c r="N277" s="101"/>
      <c r="O277" s="37"/>
      <c r="P277" s="37"/>
      <c r="Q277" s="37"/>
      <c r="R277" s="37"/>
      <c r="S277" s="101"/>
      <c r="T277" s="37"/>
      <c r="U277" s="37"/>
      <c r="V277" s="37"/>
      <c r="W277" s="37"/>
      <c r="X277" s="101"/>
      <c r="Y277" s="37"/>
      <c r="Z277" s="37"/>
      <c r="AA277" s="37"/>
      <c r="AB277" s="37"/>
      <c r="AC277" s="101"/>
      <c r="AD277" s="37"/>
      <c r="AE277" s="37"/>
      <c r="AF277" s="37"/>
      <c r="AG277" s="37"/>
      <c r="AH277" s="101"/>
      <c r="AI277" s="37"/>
      <c r="AJ277" s="37"/>
      <c r="AK277" s="37"/>
      <c r="AL277" s="37"/>
      <c r="AM277" s="101"/>
      <c r="AN277" s="37"/>
      <c r="AO277" s="37"/>
      <c r="AP277" s="37"/>
      <c r="AQ277" s="37"/>
      <c r="AR277" s="101"/>
      <c r="AS277" s="37"/>
      <c r="AT277" s="37"/>
      <c r="AU277" s="37"/>
      <c r="AV277" s="37"/>
      <c r="AW277" s="27"/>
      <c r="AX277" s="68"/>
      <c r="AY277" s="68"/>
      <c r="AZ277" s="68"/>
      <c r="BA277" s="68"/>
      <c r="BB277" s="27"/>
      <c r="BC277" s="68"/>
      <c r="BD277" s="68"/>
      <c r="BE277" s="68"/>
      <c r="BF277" s="68"/>
      <c r="BG277" s="27"/>
      <c r="BH277" s="68"/>
      <c r="BI277" s="68"/>
      <c r="BJ277" s="68"/>
      <c r="BK277" s="68"/>
      <c r="BL277" s="27"/>
      <c r="BM277" s="68"/>
      <c r="BN277" s="68"/>
      <c r="BO277" s="68"/>
      <c r="BP277" s="68"/>
      <c r="BQ277" s="27"/>
      <c r="BR277" s="68"/>
      <c r="BS277" s="68"/>
      <c r="BT277" s="68"/>
      <c r="BU277" s="68"/>
      <c r="BV277" s="27"/>
      <c r="BW277" s="68"/>
      <c r="BX277" s="68"/>
      <c r="BY277" s="68"/>
      <c r="BZ277" s="68"/>
      <c r="CA277" s="196"/>
      <c r="CB277" s="68"/>
      <c r="CC277" s="68"/>
      <c r="CD277" s="68"/>
      <c r="CE277" s="68"/>
      <c r="CF277" s="27"/>
      <c r="CG277" s="68"/>
      <c r="CH277" s="68"/>
      <c r="CI277" s="68"/>
      <c r="CJ277" s="68"/>
      <c r="CK277" s="27">
        <v>0.45</v>
      </c>
      <c r="CL277" s="68"/>
      <c r="CM277" s="68"/>
      <c r="CN277" s="68"/>
      <c r="CO277" s="68"/>
      <c r="CP277" s="795">
        <v>0.45</v>
      </c>
      <c r="CQ277" s="68"/>
      <c r="CR277" s="68"/>
      <c r="CS277" s="68"/>
      <c r="CT277" s="68"/>
      <c r="CU277" s="795">
        <v>0.45</v>
      </c>
      <c r="CV277" s="68"/>
      <c r="CW277" s="68"/>
      <c r="CX277" s="68"/>
      <c r="CY277" s="68"/>
      <c r="CZ277" s="795">
        <v>0.45</v>
      </c>
      <c r="DA277" s="68"/>
      <c r="DB277" s="68"/>
      <c r="DC277" s="68"/>
      <c r="DD277" s="68"/>
      <c r="DE277" s="795">
        <v>0.45</v>
      </c>
      <c r="DF277" s="68"/>
      <c r="DG277" s="68"/>
      <c r="DH277" s="68"/>
      <c r="DI277" s="68"/>
      <c r="DJ277" s="795">
        <v>0.45</v>
      </c>
      <c r="DK277" s="68"/>
      <c r="DL277" s="68"/>
      <c r="DM277" s="68"/>
      <c r="DN277" s="68"/>
      <c r="DO277" s="795">
        <v>0.45</v>
      </c>
      <c r="DP277" s="68"/>
      <c r="DQ277" s="68"/>
      <c r="DR277" s="68"/>
      <c r="DS277" s="68"/>
      <c r="DT277" s="795">
        <v>0.45</v>
      </c>
      <c r="DU277" s="795">
        <v>0.45</v>
      </c>
      <c r="DV277" s="795">
        <v>0.45</v>
      </c>
    </row>
    <row r="278" spans="1:126" s="108" customFormat="1">
      <c r="A278" s="37"/>
      <c r="B278" s="180" t="s">
        <v>150</v>
      </c>
      <c r="C278" s="101"/>
      <c r="D278" s="101"/>
      <c r="E278" s="101"/>
      <c r="F278" s="101"/>
      <c r="G278" s="101"/>
      <c r="H278" s="101"/>
      <c r="I278" s="101"/>
      <c r="J278" s="37"/>
      <c r="K278" s="37"/>
      <c r="L278" s="37"/>
      <c r="M278" s="37"/>
      <c r="N278" s="101"/>
      <c r="O278" s="37"/>
      <c r="P278" s="37"/>
      <c r="Q278" s="37"/>
      <c r="R278" s="37"/>
      <c r="S278" s="101"/>
      <c r="T278" s="37"/>
      <c r="U278" s="37"/>
      <c r="V278" s="37"/>
      <c r="W278" s="37"/>
      <c r="X278" s="101"/>
      <c r="Y278" s="37"/>
      <c r="Z278" s="37"/>
      <c r="AA278" s="37"/>
      <c r="AB278" s="37"/>
      <c r="AC278" s="101"/>
      <c r="AD278" s="37"/>
      <c r="AE278" s="37"/>
      <c r="AF278" s="37"/>
      <c r="AG278" s="37"/>
      <c r="AH278" s="101"/>
      <c r="AI278" s="37"/>
      <c r="AJ278" s="37"/>
      <c r="AK278" s="37"/>
      <c r="AL278" s="37"/>
      <c r="AM278" s="101"/>
      <c r="AN278" s="37"/>
      <c r="AO278" s="37"/>
      <c r="AP278" s="37"/>
      <c r="AQ278" s="37"/>
      <c r="AR278" s="101"/>
      <c r="AS278" s="37"/>
      <c r="AT278" s="37"/>
      <c r="AU278" s="37"/>
      <c r="AV278" s="37"/>
      <c r="AW278" s="27"/>
      <c r="AX278" s="68"/>
      <c r="AY278" s="68"/>
      <c r="AZ278" s="68"/>
      <c r="BA278" s="68"/>
      <c r="BB278" s="27"/>
      <c r="BC278" s="68"/>
      <c r="BD278" s="68"/>
      <c r="BE278" s="68"/>
      <c r="BF278" s="68"/>
      <c r="BG278" s="27"/>
      <c r="BH278" s="68"/>
      <c r="BI278" s="68"/>
      <c r="BJ278" s="68"/>
      <c r="BK278" s="68"/>
      <c r="BL278" s="27"/>
      <c r="BM278" s="68"/>
      <c r="BN278" s="68"/>
      <c r="BO278" s="68"/>
      <c r="BP278" s="68"/>
      <c r="BQ278" s="27"/>
      <c r="BR278" s="68"/>
      <c r="BS278" s="68"/>
      <c r="BT278" s="68"/>
      <c r="BU278" s="68"/>
      <c r="BV278" s="27"/>
      <c r="BW278" s="68"/>
      <c r="BX278" s="68"/>
      <c r="BY278" s="68"/>
      <c r="BZ278" s="68"/>
      <c r="CA278" s="27"/>
      <c r="CB278" s="68"/>
      <c r="CC278" s="68"/>
      <c r="CD278" s="68"/>
      <c r="CE278" s="68"/>
      <c r="CF278" s="27"/>
      <c r="CG278" s="68"/>
      <c r="CH278" s="68"/>
      <c r="CI278" s="68"/>
      <c r="CJ278" s="68"/>
      <c r="CK278" s="27">
        <v>0.55000000000000004</v>
      </c>
      <c r="CL278" s="68"/>
      <c r="CM278" s="68"/>
      <c r="CN278" s="68"/>
      <c r="CO278" s="68"/>
      <c r="CP278" s="795">
        <v>0.55000000000000004</v>
      </c>
      <c r="CQ278" s="68"/>
      <c r="CR278" s="68"/>
      <c r="CS278" s="68"/>
      <c r="CT278" s="68"/>
      <c r="CU278" s="795">
        <v>0.55000000000000004</v>
      </c>
      <c r="CV278" s="68"/>
      <c r="CW278" s="68"/>
      <c r="CX278" s="68"/>
      <c r="CY278" s="68"/>
      <c r="CZ278" s="795">
        <v>0.55000000000000004</v>
      </c>
      <c r="DA278" s="68"/>
      <c r="DB278" s="68"/>
      <c r="DC278" s="68"/>
      <c r="DD278" s="68"/>
      <c r="DE278" s="795">
        <v>0.55000000000000004</v>
      </c>
      <c r="DF278" s="68"/>
      <c r="DG278" s="68"/>
      <c r="DH278" s="68"/>
      <c r="DI278" s="68"/>
      <c r="DJ278" s="795">
        <v>0.55000000000000004</v>
      </c>
      <c r="DK278" s="68"/>
      <c r="DL278" s="68"/>
      <c r="DM278" s="68"/>
      <c r="DN278" s="68"/>
      <c r="DO278" s="795">
        <v>0.55000000000000004</v>
      </c>
      <c r="DP278" s="68"/>
      <c r="DQ278" s="68"/>
      <c r="DR278" s="68"/>
      <c r="DS278" s="68"/>
      <c r="DT278" s="795">
        <v>0.55000000000000004</v>
      </c>
      <c r="DU278" s="795">
        <v>0.55000000000000004</v>
      </c>
      <c r="DV278" s="795">
        <v>0.55000000000000004</v>
      </c>
    </row>
    <row r="279" spans="1:126" s="108" customFormat="1">
      <c r="A279" s="37"/>
      <c r="B279" s="180" t="s">
        <v>301</v>
      </c>
      <c r="C279" s="101"/>
      <c r="D279" s="101"/>
      <c r="E279" s="101"/>
      <c r="F279" s="101"/>
      <c r="G279" s="101"/>
      <c r="H279" s="101"/>
      <c r="I279" s="101"/>
      <c r="J279" s="37"/>
      <c r="K279" s="37"/>
      <c r="L279" s="37"/>
      <c r="M279" s="37"/>
      <c r="N279" s="101"/>
      <c r="O279" s="37"/>
      <c r="P279" s="37"/>
      <c r="Q279" s="37"/>
      <c r="R279" s="37"/>
      <c r="S279" s="101"/>
      <c r="T279" s="37"/>
      <c r="U279" s="37"/>
      <c r="V279" s="37"/>
      <c r="W279" s="37"/>
      <c r="X279" s="101"/>
      <c r="Y279" s="37"/>
      <c r="Z279" s="37"/>
      <c r="AA279" s="37"/>
      <c r="AB279" s="37"/>
      <c r="AC279" s="101"/>
      <c r="AD279" s="37"/>
      <c r="AE279" s="37"/>
      <c r="AF279" s="37"/>
      <c r="AG279" s="37"/>
      <c r="AH279" s="101"/>
      <c r="AI279" s="37"/>
      <c r="AJ279" s="37"/>
      <c r="AK279" s="37"/>
      <c r="AL279" s="37"/>
      <c r="AM279" s="101"/>
      <c r="AN279" s="37"/>
      <c r="AO279" s="37"/>
      <c r="AP279" s="37"/>
      <c r="AQ279" s="37"/>
      <c r="AR279" s="101"/>
      <c r="AS279" s="37"/>
      <c r="AT279" s="37"/>
      <c r="AU279" s="37"/>
      <c r="AV279" s="37"/>
      <c r="AW279" s="27"/>
      <c r="AX279" s="68"/>
      <c r="AY279" s="68"/>
      <c r="AZ279" s="68"/>
      <c r="BA279" s="68"/>
      <c r="BB279" s="27"/>
      <c r="BC279" s="68"/>
      <c r="BD279" s="68"/>
      <c r="BE279" s="68"/>
      <c r="BF279" s="68"/>
      <c r="BG279" s="27"/>
      <c r="BH279" s="68"/>
      <c r="BI279" s="68"/>
      <c r="BJ279" s="68"/>
      <c r="BK279" s="68"/>
      <c r="BL279" s="27"/>
      <c r="BM279" s="68"/>
      <c r="BN279" s="68"/>
      <c r="BO279" s="68"/>
      <c r="BP279" s="68"/>
      <c r="BQ279" s="27"/>
      <c r="BR279" s="68"/>
      <c r="BS279" s="68"/>
      <c r="BT279" s="68"/>
      <c r="BU279" s="68"/>
      <c r="BV279" s="27"/>
      <c r="BW279" s="68"/>
      <c r="BX279" s="68"/>
      <c r="BY279" s="68"/>
      <c r="BZ279" s="68"/>
      <c r="CA279" s="27"/>
      <c r="CB279" s="68"/>
      <c r="CC279" s="68"/>
      <c r="CD279" s="68"/>
      <c r="CE279" s="68"/>
      <c r="CF279" s="27"/>
      <c r="CG279" s="68"/>
      <c r="CH279" s="68"/>
      <c r="CI279" s="68"/>
      <c r="CJ279" s="68"/>
      <c r="CK279" s="27"/>
      <c r="CL279" s="68"/>
      <c r="CM279" s="68"/>
      <c r="CN279" s="68"/>
      <c r="CO279" s="68"/>
      <c r="CP279" s="27"/>
      <c r="CQ279" s="68"/>
      <c r="CR279" s="68"/>
      <c r="CS279" s="68"/>
      <c r="CT279" s="68"/>
      <c r="CU279" s="27"/>
      <c r="CV279" s="68"/>
      <c r="CW279" s="68"/>
      <c r="CX279" s="68"/>
      <c r="CY279" s="68"/>
      <c r="CZ279" s="27"/>
      <c r="DA279" s="68"/>
      <c r="DB279" s="68"/>
      <c r="DC279" s="68"/>
      <c r="DD279" s="68"/>
      <c r="DE279" s="27"/>
      <c r="DF279" s="68"/>
      <c r="DG279" s="68"/>
      <c r="DH279" s="68"/>
      <c r="DI279" s="68"/>
      <c r="DJ279" s="27"/>
      <c r="DK279" s="68"/>
      <c r="DL279" s="68"/>
      <c r="DM279" s="68"/>
      <c r="DN279" s="68"/>
      <c r="DO279" s="27"/>
      <c r="DP279" s="68"/>
      <c r="DQ279" s="68"/>
      <c r="DR279" s="68"/>
      <c r="DS279" s="68"/>
      <c r="DT279" s="27"/>
      <c r="DU279" s="27"/>
      <c r="DV279" s="27"/>
    </row>
    <row r="280" spans="1:126" s="108" customFormat="1">
      <c r="A280" s="37"/>
      <c r="B280" s="180" t="s">
        <v>378</v>
      </c>
      <c r="C280" s="101"/>
      <c r="D280" s="101"/>
      <c r="E280" s="101"/>
      <c r="F280" s="101"/>
      <c r="G280" s="101"/>
      <c r="H280" s="101"/>
      <c r="I280" s="101"/>
      <c r="J280" s="37"/>
      <c r="K280" s="37"/>
      <c r="L280" s="37"/>
      <c r="M280" s="37"/>
      <c r="N280" s="101"/>
      <c r="O280" s="37"/>
      <c r="P280" s="37"/>
      <c r="Q280" s="37"/>
      <c r="R280" s="37"/>
      <c r="S280" s="101"/>
      <c r="T280" s="37"/>
      <c r="U280" s="37"/>
      <c r="V280" s="37"/>
      <c r="W280" s="37"/>
      <c r="X280" s="101"/>
      <c r="Y280" s="37"/>
      <c r="Z280" s="37"/>
      <c r="AA280" s="37"/>
      <c r="AB280" s="37"/>
      <c r="AC280" s="101"/>
      <c r="AD280" s="37"/>
      <c r="AE280" s="37"/>
      <c r="AF280" s="37"/>
      <c r="AG280" s="37"/>
      <c r="AH280" s="101"/>
      <c r="AI280" s="37"/>
      <c r="AJ280" s="37"/>
      <c r="AK280" s="37"/>
      <c r="AL280" s="37"/>
      <c r="AM280" s="101"/>
      <c r="AN280" s="37"/>
      <c r="AO280" s="37"/>
      <c r="AP280" s="37"/>
      <c r="AQ280" s="37"/>
      <c r="AR280" s="101"/>
      <c r="AS280" s="37"/>
      <c r="AT280" s="37"/>
      <c r="AU280" s="37"/>
      <c r="AV280" s="37"/>
      <c r="AW280" s="27"/>
      <c r="AX280" s="68"/>
      <c r="AY280" s="68"/>
      <c r="AZ280" s="68"/>
      <c r="BA280" s="68"/>
      <c r="BB280" s="27"/>
      <c r="BC280" s="68"/>
      <c r="BD280" s="68"/>
      <c r="BE280" s="68"/>
      <c r="BF280" s="68"/>
      <c r="BG280" s="27"/>
      <c r="BH280" s="68"/>
      <c r="BI280" s="68"/>
      <c r="BJ280" s="68"/>
      <c r="BK280" s="68"/>
      <c r="BL280" s="27"/>
      <c r="BM280" s="68"/>
      <c r="BN280" s="68"/>
      <c r="BO280" s="68"/>
      <c r="BP280" s="68"/>
      <c r="BQ280" s="27"/>
      <c r="BR280" s="68"/>
      <c r="BS280" s="68"/>
      <c r="BT280" s="68"/>
      <c r="BU280" s="68"/>
      <c r="BV280" s="27"/>
      <c r="BW280" s="68"/>
      <c r="BX280" s="68"/>
      <c r="BY280" s="68"/>
      <c r="BZ280" s="68"/>
      <c r="CA280" s="27"/>
      <c r="CB280" s="68"/>
      <c r="CC280" s="68"/>
      <c r="CD280" s="68"/>
      <c r="CE280" s="68"/>
      <c r="CF280" s="27"/>
      <c r="CG280" s="68"/>
      <c r="CH280" s="68"/>
      <c r="CI280" s="68"/>
      <c r="CJ280" s="68"/>
      <c r="CK280" s="27"/>
      <c r="CL280" s="68"/>
      <c r="CM280" s="68"/>
      <c r="CN280" s="68"/>
      <c r="CO280" s="68"/>
      <c r="CP280" s="27"/>
      <c r="CQ280" s="68"/>
      <c r="CR280" s="68"/>
      <c r="CS280" s="68"/>
      <c r="CT280" s="68"/>
      <c r="CU280" s="27"/>
      <c r="CV280" s="68"/>
      <c r="CW280" s="68"/>
      <c r="CX280" s="68"/>
      <c r="CY280" s="68"/>
      <c r="CZ280" s="27"/>
      <c r="DA280" s="68"/>
      <c r="DB280" s="68"/>
      <c r="DC280" s="68"/>
      <c r="DD280" s="68"/>
      <c r="DE280" s="27"/>
      <c r="DF280" s="68"/>
      <c r="DG280" s="68"/>
      <c r="DH280" s="68"/>
      <c r="DI280" s="68"/>
      <c r="DJ280" s="27"/>
      <c r="DK280" s="68"/>
      <c r="DL280" s="68"/>
      <c r="DM280" s="68"/>
      <c r="DN280" s="68"/>
      <c r="DO280" s="27"/>
      <c r="DP280" s="68"/>
      <c r="DQ280" s="68"/>
      <c r="DR280" s="68"/>
      <c r="DS280" s="68"/>
      <c r="DT280" s="27"/>
      <c r="DU280" s="27"/>
      <c r="DV280" s="27"/>
    </row>
    <row r="281" spans="1:126" s="108" customFormat="1">
      <c r="A281" s="37"/>
      <c r="B281" s="180" t="s">
        <v>189</v>
      </c>
      <c r="C281" s="101"/>
      <c r="D281" s="101"/>
      <c r="E281" s="101"/>
      <c r="F281" s="101"/>
      <c r="G281" s="101"/>
      <c r="H281" s="101"/>
      <c r="I281" s="101"/>
      <c r="J281" s="37"/>
      <c r="K281" s="37"/>
      <c r="L281" s="37"/>
      <c r="M281" s="37"/>
      <c r="N281" s="101"/>
      <c r="O281" s="37"/>
      <c r="P281" s="37"/>
      <c r="Q281" s="37"/>
      <c r="R281" s="37"/>
      <c r="S281" s="101"/>
      <c r="T281" s="37"/>
      <c r="U281" s="37"/>
      <c r="V281" s="37"/>
      <c r="W281" s="37"/>
      <c r="X281" s="101"/>
      <c r="Y281" s="37"/>
      <c r="Z281" s="37"/>
      <c r="AA281" s="37"/>
      <c r="AB281" s="37"/>
      <c r="AC281" s="101"/>
      <c r="AD281" s="37"/>
      <c r="AE281" s="37"/>
      <c r="AF281" s="37"/>
      <c r="AG281" s="37"/>
      <c r="AH281" s="101"/>
      <c r="AI281" s="37"/>
      <c r="AJ281" s="37"/>
      <c r="AK281" s="37"/>
      <c r="AL281" s="37"/>
      <c r="AM281" s="101"/>
      <c r="AN281" s="37"/>
      <c r="AO281" s="37"/>
      <c r="AP281" s="37"/>
      <c r="AQ281" s="37"/>
      <c r="AR281" s="101"/>
      <c r="AS281" s="37"/>
      <c r="AT281" s="37"/>
      <c r="AU281" s="37"/>
      <c r="AV281" s="37"/>
      <c r="AW281" s="27"/>
      <c r="AX281" s="68"/>
      <c r="AY281" s="68"/>
      <c r="AZ281" s="68"/>
      <c r="BA281" s="68"/>
      <c r="BB281" s="27"/>
      <c r="BC281" s="68"/>
      <c r="BD281" s="68"/>
      <c r="BE281" s="68"/>
      <c r="BF281" s="68"/>
      <c r="BG281" s="27"/>
      <c r="BH281" s="68"/>
      <c r="BI281" s="68"/>
      <c r="BJ281" s="68"/>
      <c r="BK281" s="68"/>
      <c r="BL281" s="27"/>
      <c r="BM281" s="68"/>
      <c r="BN281" s="68"/>
      <c r="BO281" s="68"/>
      <c r="BP281" s="68"/>
      <c r="BQ281" s="27"/>
      <c r="BR281" s="68"/>
      <c r="BS281" s="68"/>
      <c r="BT281" s="68"/>
      <c r="BU281" s="68"/>
      <c r="BV281" s="27"/>
      <c r="BW281" s="68"/>
      <c r="BX281" s="68"/>
      <c r="BY281" s="68"/>
      <c r="BZ281" s="68"/>
      <c r="CA281" s="27"/>
      <c r="CB281" s="68"/>
      <c r="CC281" s="68"/>
      <c r="CD281" s="68"/>
      <c r="CE281" s="68"/>
      <c r="CF281" s="27"/>
      <c r="CG281" s="68"/>
      <c r="CH281" s="68"/>
      <c r="CI281" s="68"/>
      <c r="CJ281" s="68"/>
      <c r="CK281" s="27"/>
      <c r="CL281" s="68"/>
      <c r="CM281" s="68"/>
      <c r="CN281" s="68"/>
      <c r="CO281" s="68"/>
      <c r="CP281" s="27"/>
      <c r="CQ281" s="68"/>
      <c r="CR281" s="68"/>
      <c r="CS281" s="68"/>
      <c r="CT281" s="68"/>
      <c r="CU281" s="27"/>
      <c r="CV281" s="68"/>
      <c r="CW281" s="68"/>
      <c r="CX281" s="68"/>
      <c r="CY281" s="68"/>
      <c r="CZ281" s="27"/>
      <c r="DA281" s="68"/>
      <c r="DB281" s="68"/>
      <c r="DC281" s="68"/>
      <c r="DD281" s="68"/>
      <c r="DE281" s="27"/>
      <c r="DF281" s="68"/>
      <c r="DG281" s="68"/>
      <c r="DH281" s="68"/>
      <c r="DI281" s="68"/>
      <c r="DJ281" s="27"/>
      <c r="DK281" s="68"/>
      <c r="DL281" s="68"/>
      <c r="DM281" s="68"/>
      <c r="DN281" s="68"/>
      <c r="DO281" s="27"/>
      <c r="DP281" s="68"/>
      <c r="DQ281" s="68"/>
      <c r="DR281" s="68"/>
      <c r="DS281" s="68"/>
      <c r="DT281" s="27"/>
      <c r="DU281" s="27"/>
      <c r="DV281" s="27"/>
    </row>
    <row r="282" spans="1:126" s="108" customFormat="1">
      <c r="A282" s="37"/>
      <c r="B282" s="180" t="s">
        <v>190</v>
      </c>
      <c r="C282" s="101"/>
      <c r="D282" s="101"/>
      <c r="E282" s="101"/>
      <c r="F282" s="101"/>
      <c r="G282" s="101"/>
      <c r="H282" s="101"/>
      <c r="I282" s="101"/>
      <c r="J282" s="37"/>
      <c r="K282" s="37"/>
      <c r="L282" s="37"/>
      <c r="M282" s="37"/>
      <c r="N282" s="101"/>
      <c r="O282" s="37"/>
      <c r="P282" s="37"/>
      <c r="Q282" s="37"/>
      <c r="R282" s="37"/>
      <c r="S282" s="101"/>
      <c r="T282" s="37"/>
      <c r="U282" s="37"/>
      <c r="V282" s="37"/>
      <c r="W282" s="37"/>
      <c r="X282" s="101"/>
      <c r="Y282" s="37"/>
      <c r="Z282" s="37"/>
      <c r="AA282" s="37"/>
      <c r="AB282" s="37"/>
      <c r="AC282" s="101"/>
      <c r="AD282" s="37"/>
      <c r="AE282" s="37"/>
      <c r="AF282" s="37"/>
      <c r="AG282" s="37"/>
      <c r="AH282" s="101"/>
      <c r="AI282" s="37"/>
      <c r="AJ282" s="37"/>
      <c r="AK282" s="37"/>
      <c r="AL282" s="37"/>
      <c r="AM282" s="101"/>
      <c r="AN282" s="37"/>
      <c r="AO282" s="37"/>
      <c r="AP282" s="37"/>
      <c r="AQ282" s="37"/>
      <c r="AR282" s="101"/>
      <c r="AS282" s="37"/>
      <c r="AT282" s="37"/>
      <c r="AU282" s="37"/>
      <c r="AV282" s="37"/>
      <c r="AW282" s="27"/>
      <c r="AX282" s="68"/>
      <c r="AY282" s="68"/>
      <c r="AZ282" s="68"/>
      <c r="BA282" s="68"/>
      <c r="BB282" s="27"/>
      <c r="BC282" s="68"/>
      <c r="BD282" s="68"/>
      <c r="BE282" s="68"/>
      <c r="BF282" s="68"/>
      <c r="BG282" s="27"/>
      <c r="BH282" s="68"/>
      <c r="BI282" s="68"/>
      <c r="BJ282" s="68"/>
      <c r="BK282" s="68"/>
      <c r="BL282" s="27"/>
      <c r="BM282" s="68"/>
      <c r="BN282" s="68"/>
      <c r="BO282" s="68"/>
      <c r="BP282" s="68"/>
      <c r="BQ282" s="27"/>
      <c r="BR282" s="68"/>
      <c r="BS282" s="68"/>
      <c r="BT282" s="68"/>
      <c r="BU282" s="68"/>
      <c r="BV282" s="27"/>
      <c r="BW282" s="68"/>
      <c r="BX282" s="68"/>
      <c r="BY282" s="68"/>
      <c r="BZ282" s="68"/>
      <c r="CA282" s="27"/>
      <c r="CB282" s="68"/>
      <c r="CC282" s="68"/>
      <c r="CD282" s="68"/>
      <c r="CE282" s="68"/>
      <c r="CF282" s="27"/>
      <c r="CG282" s="68"/>
      <c r="CH282" s="68"/>
      <c r="CI282" s="68"/>
      <c r="CJ282" s="68"/>
      <c r="CK282" s="27"/>
      <c r="CL282" s="68"/>
      <c r="CM282" s="68"/>
      <c r="CN282" s="68"/>
      <c r="CO282" s="68"/>
      <c r="CP282" s="27"/>
      <c r="CQ282" s="68"/>
      <c r="CR282" s="68"/>
      <c r="CS282" s="68"/>
      <c r="CT282" s="68"/>
      <c r="CU282" s="27"/>
      <c r="CV282" s="68"/>
      <c r="CW282" s="68"/>
      <c r="CX282" s="68"/>
      <c r="CY282" s="68"/>
      <c r="CZ282" s="27"/>
      <c r="DA282" s="68"/>
      <c r="DB282" s="68"/>
      <c r="DC282" s="68"/>
      <c r="DD282" s="68"/>
      <c r="DE282" s="27"/>
      <c r="DF282" s="68"/>
      <c r="DG282" s="68"/>
      <c r="DH282" s="68"/>
      <c r="DI282" s="68"/>
      <c r="DJ282" s="27"/>
      <c r="DK282" s="68"/>
      <c r="DL282" s="68"/>
      <c r="DM282" s="68"/>
      <c r="DN282" s="68"/>
      <c r="DO282" s="27"/>
      <c r="DP282" s="68"/>
      <c r="DQ282" s="68"/>
      <c r="DR282" s="68"/>
      <c r="DS282" s="68"/>
      <c r="DT282" s="27"/>
      <c r="DU282" s="27"/>
      <c r="DV282" s="27"/>
    </row>
    <row r="283" spans="1:126" s="108" customFormat="1">
      <c r="A283" s="37"/>
      <c r="B283" s="180" t="s">
        <v>191</v>
      </c>
      <c r="C283" s="101"/>
      <c r="D283" s="101"/>
      <c r="E283" s="101"/>
      <c r="F283" s="101"/>
      <c r="G283" s="101"/>
      <c r="H283" s="101"/>
      <c r="I283" s="101"/>
      <c r="J283" s="37"/>
      <c r="K283" s="37"/>
      <c r="L283" s="37"/>
      <c r="M283" s="37"/>
      <c r="N283" s="101"/>
      <c r="O283" s="37"/>
      <c r="P283" s="37"/>
      <c r="Q283" s="37"/>
      <c r="R283" s="37"/>
      <c r="S283" s="101"/>
      <c r="T283" s="37"/>
      <c r="U283" s="37"/>
      <c r="V283" s="37"/>
      <c r="W283" s="37"/>
      <c r="X283" s="101"/>
      <c r="Y283" s="37"/>
      <c r="Z283" s="37"/>
      <c r="AA283" s="37"/>
      <c r="AB283" s="37"/>
      <c r="AC283" s="101"/>
      <c r="AD283" s="37"/>
      <c r="AE283" s="37"/>
      <c r="AF283" s="37"/>
      <c r="AG283" s="37"/>
      <c r="AH283" s="101"/>
      <c r="AI283" s="37"/>
      <c r="AJ283" s="37"/>
      <c r="AK283" s="37"/>
      <c r="AL283" s="37"/>
      <c r="AM283" s="101"/>
      <c r="AN283" s="37"/>
      <c r="AO283" s="37"/>
      <c r="AP283" s="37"/>
      <c r="AQ283" s="37"/>
      <c r="AR283" s="101"/>
      <c r="AS283" s="37"/>
      <c r="AT283" s="37"/>
      <c r="AU283" s="37"/>
      <c r="AV283" s="37"/>
      <c r="AW283" s="27"/>
      <c r="AX283" s="68"/>
      <c r="AY283" s="68"/>
      <c r="AZ283" s="68"/>
      <c r="BA283" s="68"/>
      <c r="BB283" s="27"/>
      <c r="BC283" s="68"/>
      <c r="BD283" s="68"/>
      <c r="BE283" s="68"/>
      <c r="BF283" s="68"/>
      <c r="BG283" s="27"/>
      <c r="BH283" s="68"/>
      <c r="BI283" s="68"/>
      <c r="BJ283" s="68"/>
      <c r="BK283" s="68"/>
      <c r="BL283" s="27"/>
      <c r="BM283" s="68"/>
      <c r="BN283" s="68"/>
      <c r="BO283" s="68"/>
      <c r="BP283" s="68"/>
      <c r="BQ283" s="27"/>
      <c r="BR283" s="68"/>
      <c r="BS283" s="68"/>
      <c r="BT283" s="68"/>
      <c r="BU283" s="68"/>
      <c r="BV283" s="27"/>
      <c r="BW283" s="68"/>
      <c r="BX283" s="68"/>
      <c r="BY283" s="68"/>
      <c r="BZ283" s="68"/>
      <c r="CA283" s="27"/>
      <c r="CB283" s="68"/>
      <c r="CC283" s="68"/>
      <c r="CD283" s="68"/>
      <c r="CE283" s="68"/>
      <c r="CF283" s="27"/>
      <c r="CG283" s="68"/>
      <c r="CH283" s="68"/>
      <c r="CI283" s="68"/>
      <c r="CJ283" s="68"/>
      <c r="CK283" s="27"/>
      <c r="CL283" s="68"/>
      <c r="CM283" s="68"/>
      <c r="CN283" s="68"/>
      <c r="CO283" s="68"/>
      <c r="CP283" s="27"/>
      <c r="CQ283" s="68"/>
      <c r="CR283" s="68"/>
      <c r="CS283" s="68"/>
      <c r="CT283" s="68"/>
      <c r="CU283" s="27"/>
      <c r="CV283" s="68"/>
      <c r="CW283" s="68"/>
      <c r="CX283" s="68"/>
      <c r="CY283" s="68"/>
      <c r="CZ283" s="27"/>
      <c r="DA283" s="68"/>
      <c r="DB283" s="68"/>
      <c r="DC283" s="68"/>
      <c r="DD283" s="68"/>
      <c r="DE283" s="27"/>
      <c r="DF283" s="68"/>
      <c r="DG283" s="68"/>
      <c r="DH283" s="68"/>
      <c r="DI283" s="68"/>
      <c r="DJ283" s="27"/>
      <c r="DK283" s="68"/>
      <c r="DL283" s="68"/>
      <c r="DM283" s="68"/>
      <c r="DN283" s="68"/>
      <c r="DO283" s="27"/>
      <c r="DP283" s="68"/>
      <c r="DQ283" s="68"/>
      <c r="DR283" s="68"/>
      <c r="DS283" s="68"/>
      <c r="DT283" s="27"/>
      <c r="DU283" s="27"/>
      <c r="DV283" s="27"/>
    </row>
    <row r="284" spans="1:126" s="108" customFormat="1">
      <c r="A284" s="37"/>
      <c r="B284" s="180"/>
      <c r="C284" s="101"/>
      <c r="D284" s="101"/>
      <c r="E284" s="101"/>
      <c r="F284" s="101"/>
      <c r="G284" s="101"/>
      <c r="H284" s="101"/>
      <c r="I284" s="101"/>
      <c r="J284" s="37"/>
      <c r="K284" s="37"/>
      <c r="L284" s="37"/>
      <c r="M284" s="37"/>
      <c r="N284" s="101"/>
      <c r="O284" s="37"/>
      <c r="P284" s="37"/>
      <c r="Q284" s="37"/>
      <c r="R284" s="37"/>
      <c r="S284" s="101"/>
      <c r="T284" s="37"/>
      <c r="U284" s="37"/>
      <c r="V284" s="37"/>
      <c r="W284" s="37"/>
      <c r="X284" s="101"/>
      <c r="Y284" s="37"/>
      <c r="Z284" s="37"/>
      <c r="AA284" s="37"/>
      <c r="AB284" s="37"/>
      <c r="AC284" s="101"/>
      <c r="AD284" s="37"/>
      <c r="AE284" s="37"/>
      <c r="AF284" s="37"/>
      <c r="AG284" s="37"/>
      <c r="AH284" s="101"/>
      <c r="AI284" s="37"/>
      <c r="AJ284" s="37"/>
      <c r="AK284" s="37"/>
      <c r="AL284" s="37"/>
      <c r="AM284" s="101"/>
      <c r="AN284" s="37"/>
      <c r="AO284" s="37"/>
      <c r="AP284" s="37"/>
      <c r="AQ284" s="37"/>
      <c r="AR284" s="101"/>
      <c r="AS284" s="37"/>
      <c r="AT284" s="37"/>
      <c r="AU284" s="37"/>
      <c r="AV284" s="37"/>
      <c r="AW284" s="27"/>
      <c r="AX284" s="68"/>
      <c r="AY284" s="68"/>
      <c r="AZ284" s="68"/>
      <c r="BA284" s="68"/>
      <c r="BB284" s="27"/>
      <c r="BC284" s="68"/>
      <c r="BD284" s="68"/>
      <c r="BE284" s="68"/>
      <c r="BF284" s="68"/>
      <c r="BG284" s="27"/>
      <c r="BH284" s="68"/>
      <c r="BI284" s="68"/>
      <c r="BJ284" s="68"/>
      <c r="BK284" s="68"/>
      <c r="BL284" s="27"/>
      <c r="BM284" s="68"/>
      <c r="BN284" s="68"/>
      <c r="BO284" s="68"/>
      <c r="BP284" s="68"/>
      <c r="BQ284" s="27"/>
      <c r="BR284" s="68"/>
      <c r="BS284" s="68"/>
      <c r="BT284" s="68"/>
      <c r="BU284" s="68"/>
      <c r="BV284" s="27"/>
      <c r="BW284" s="68"/>
      <c r="BX284" s="68"/>
      <c r="BY284" s="68"/>
      <c r="BZ284" s="68"/>
      <c r="CA284" s="27"/>
      <c r="CB284" s="68"/>
      <c r="CC284" s="68"/>
      <c r="CD284" s="68"/>
      <c r="CE284" s="68"/>
      <c r="CF284" s="27"/>
      <c r="CG284" s="68"/>
      <c r="CH284" s="68"/>
      <c r="CI284" s="68"/>
      <c r="CJ284" s="68"/>
      <c r="CK284" s="27"/>
      <c r="CL284" s="68"/>
      <c r="CM284" s="68"/>
      <c r="CN284" s="68"/>
      <c r="CO284" s="68"/>
      <c r="CP284" s="27"/>
      <c r="CQ284" s="68"/>
      <c r="CR284" s="68"/>
      <c r="CS284" s="68"/>
      <c r="CT284" s="68"/>
      <c r="CU284" s="27"/>
      <c r="CV284" s="68"/>
      <c r="CW284" s="68"/>
      <c r="CX284" s="68"/>
      <c r="CY284" s="68"/>
      <c r="CZ284" s="27"/>
      <c r="DA284" s="68"/>
      <c r="DB284" s="68"/>
      <c r="DC284" s="68"/>
      <c r="DD284" s="68"/>
      <c r="DE284" s="27"/>
      <c r="DF284" s="68"/>
      <c r="DG284" s="68"/>
      <c r="DH284" s="68"/>
      <c r="DI284" s="68"/>
      <c r="DJ284" s="27"/>
      <c r="DK284" s="68"/>
      <c r="DL284" s="68"/>
      <c r="DM284" s="68"/>
      <c r="DN284" s="68"/>
      <c r="DO284" s="27"/>
      <c r="DP284" s="68"/>
      <c r="DQ284" s="68"/>
      <c r="DR284" s="68"/>
      <c r="DS284" s="68"/>
      <c r="DT284" s="27"/>
      <c r="DU284" s="27"/>
      <c r="DV284" s="27"/>
    </row>
    <row r="285" spans="1:126" s="108" customFormat="1">
      <c r="A285" s="37"/>
      <c r="B285" s="423" t="s">
        <v>266</v>
      </c>
      <c r="C285" s="101"/>
      <c r="D285" s="101"/>
      <c r="E285" s="101"/>
      <c r="F285" s="101"/>
      <c r="G285" s="101"/>
      <c r="H285" s="101"/>
      <c r="I285" s="101"/>
      <c r="J285" s="37"/>
      <c r="K285" s="37"/>
      <c r="L285" s="37"/>
      <c r="M285" s="37"/>
      <c r="N285" s="101"/>
      <c r="O285" s="37"/>
      <c r="P285" s="37"/>
      <c r="Q285" s="37"/>
      <c r="R285" s="37"/>
      <c r="S285" s="101"/>
      <c r="T285" s="37"/>
      <c r="U285" s="37"/>
      <c r="V285" s="37"/>
      <c r="W285" s="37"/>
      <c r="X285" s="101"/>
      <c r="Y285" s="37"/>
      <c r="Z285" s="37"/>
      <c r="AA285" s="37"/>
      <c r="AB285" s="37"/>
      <c r="AC285" s="101"/>
      <c r="AD285" s="37"/>
      <c r="AE285" s="37"/>
      <c r="AF285" s="37"/>
      <c r="AG285" s="37"/>
      <c r="AH285" s="101"/>
      <c r="AI285" s="37"/>
      <c r="AJ285" s="37"/>
      <c r="AK285" s="37"/>
      <c r="AL285" s="37"/>
      <c r="AM285" s="101"/>
      <c r="AN285" s="37"/>
      <c r="AO285" s="37"/>
      <c r="AP285" s="37"/>
      <c r="AQ285" s="37"/>
      <c r="AR285" s="101"/>
      <c r="AS285" s="37"/>
      <c r="AT285" s="37"/>
      <c r="AU285" s="37"/>
      <c r="AV285" s="37"/>
      <c r="AW285" s="27"/>
      <c r="AX285" s="68"/>
      <c r="AY285" s="68"/>
      <c r="AZ285" s="68"/>
      <c r="BA285" s="68"/>
      <c r="BB285" s="27"/>
      <c r="BC285" s="68"/>
      <c r="BD285" s="68"/>
      <c r="BE285" s="68"/>
      <c r="BF285" s="68"/>
      <c r="BG285" s="27"/>
      <c r="BH285" s="68"/>
      <c r="BI285" s="68"/>
      <c r="BJ285" s="68"/>
      <c r="BK285" s="68"/>
      <c r="BL285" s="27"/>
      <c r="BM285" s="68"/>
      <c r="BN285" s="68"/>
      <c r="BO285" s="68"/>
      <c r="BP285" s="68"/>
      <c r="BQ285" s="27"/>
      <c r="BR285" s="68"/>
      <c r="BS285" s="68"/>
      <c r="BT285" s="68"/>
      <c r="BU285" s="68"/>
      <c r="BV285" s="27"/>
      <c r="BW285" s="68"/>
      <c r="BX285" s="68"/>
      <c r="BY285" s="68"/>
      <c r="BZ285" s="68"/>
      <c r="CA285" s="27"/>
      <c r="CB285" s="68"/>
      <c r="CC285" s="68"/>
      <c r="CD285" s="68"/>
      <c r="CE285" s="68"/>
      <c r="CF285" s="27"/>
      <c r="CG285" s="68"/>
      <c r="CH285" s="68"/>
      <c r="CI285" s="68"/>
      <c r="CJ285" s="68"/>
      <c r="CK285" s="27"/>
      <c r="CL285" s="68"/>
      <c r="CM285" s="68"/>
      <c r="CN285" s="68"/>
      <c r="CO285" s="68"/>
      <c r="CP285" s="27"/>
      <c r="CQ285" s="68"/>
      <c r="CR285" s="68"/>
      <c r="CS285" s="68"/>
      <c r="CT285" s="68"/>
      <c r="CU285" s="27"/>
      <c r="CV285" s="68"/>
      <c r="CW285" s="68"/>
      <c r="CX285" s="68"/>
      <c r="CY285" s="68"/>
      <c r="CZ285" s="27"/>
      <c r="DA285" s="68"/>
      <c r="DB285" s="68"/>
      <c r="DC285" s="68"/>
      <c r="DD285" s="68"/>
      <c r="DE285" s="27"/>
      <c r="DF285" s="68"/>
      <c r="DG285" s="68"/>
      <c r="DH285" s="68"/>
      <c r="DI285" s="68"/>
      <c r="DJ285" s="27"/>
      <c r="DK285" s="68"/>
      <c r="DL285" s="68"/>
      <c r="DM285" s="68"/>
      <c r="DN285" s="68"/>
      <c r="DO285" s="27"/>
      <c r="DP285" s="68"/>
      <c r="DQ285" s="68"/>
      <c r="DR285" s="68"/>
      <c r="DS285" s="68"/>
      <c r="DT285" s="27"/>
      <c r="DU285" s="27"/>
      <c r="DV285" s="27"/>
    </row>
    <row r="286" spans="1:126" s="108" customFormat="1">
      <c r="A286" s="37"/>
      <c r="B286" s="180" t="s">
        <v>269</v>
      </c>
      <c r="C286" s="101"/>
      <c r="D286" s="101"/>
      <c r="E286" s="101"/>
      <c r="F286" s="101"/>
      <c r="G286" s="101"/>
      <c r="H286" s="101"/>
      <c r="I286" s="101"/>
      <c r="J286" s="37"/>
      <c r="K286" s="37"/>
      <c r="L286" s="37"/>
      <c r="M286" s="37"/>
      <c r="N286" s="101"/>
      <c r="O286" s="37"/>
      <c r="P286" s="37"/>
      <c r="Q286" s="37"/>
      <c r="R286" s="37"/>
      <c r="S286" s="101"/>
      <c r="T286" s="37"/>
      <c r="U286" s="37"/>
      <c r="V286" s="37"/>
      <c r="W286" s="37"/>
      <c r="X286" s="101"/>
      <c r="Y286" s="37"/>
      <c r="Z286" s="37"/>
      <c r="AA286" s="37"/>
      <c r="AB286" s="37"/>
      <c r="AC286" s="101"/>
      <c r="AD286" s="37"/>
      <c r="AE286" s="37"/>
      <c r="AF286" s="37"/>
      <c r="AG286" s="37"/>
      <c r="AH286" s="101"/>
      <c r="AI286" s="37"/>
      <c r="AJ286" s="37"/>
      <c r="AK286" s="37"/>
      <c r="AL286" s="37"/>
      <c r="AM286" s="101"/>
      <c r="AN286" s="37"/>
      <c r="AO286" s="37"/>
      <c r="AP286" s="37"/>
      <c r="AQ286" s="37"/>
      <c r="AR286" s="101"/>
      <c r="AS286" s="37"/>
      <c r="AT286" s="37"/>
      <c r="AU286" s="37"/>
      <c r="AV286" s="37"/>
      <c r="AW286" s="27"/>
      <c r="AX286" s="68"/>
      <c r="AY286" s="68"/>
      <c r="AZ286" s="68"/>
      <c r="BA286" s="68"/>
      <c r="BB286" s="27"/>
      <c r="BC286" s="68"/>
      <c r="BD286" s="68"/>
      <c r="BE286" s="68"/>
      <c r="BF286" s="68"/>
      <c r="BG286" s="27"/>
      <c r="BH286" s="68"/>
      <c r="BI286" s="68"/>
      <c r="BJ286" s="68"/>
      <c r="BK286" s="68"/>
      <c r="BL286" s="27"/>
      <c r="BM286" s="68"/>
      <c r="BN286" s="68"/>
      <c r="BO286" s="68"/>
      <c r="BP286" s="68"/>
      <c r="BQ286" s="27"/>
      <c r="BR286" s="68"/>
      <c r="BS286" s="68"/>
      <c r="BT286" s="68"/>
      <c r="BU286" s="68"/>
      <c r="BV286" s="27"/>
      <c r="BW286" s="68"/>
      <c r="BX286" s="68"/>
      <c r="BY286" s="68"/>
      <c r="BZ286" s="68"/>
      <c r="CA286" s="27"/>
      <c r="CB286" s="68"/>
      <c r="CC286" s="68"/>
      <c r="CD286" s="68"/>
      <c r="CE286" s="68"/>
      <c r="CF286" s="27"/>
      <c r="CG286" s="68"/>
      <c r="CH286" s="68"/>
      <c r="CI286" s="68"/>
      <c r="CJ286" s="68"/>
      <c r="CK286" s="27"/>
      <c r="CL286" s="68"/>
      <c r="CM286" s="68"/>
      <c r="CN286" s="68"/>
      <c r="CO286" s="68"/>
      <c r="CP286" s="27"/>
      <c r="CQ286" s="68"/>
      <c r="CR286" s="68"/>
      <c r="CS286" s="68"/>
      <c r="CT286" s="68"/>
      <c r="CU286" s="27"/>
      <c r="CV286" s="68"/>
      <c r="CW286" s="68"/>
      <c r="CX286" s="68"/>
      <c r="CY286" s="68"/>
      <c r="CZ286" s="27"/>
      <c r="DA286" s="68"/>
      <c r="DB286" s="68"/>
      <c r="DC286" s="68"/>
      <c r="DD286" s="68"/>
      <c r="DE286" s="27"/>
      <c r="DF286" s="68"/>
      <c r="DG286" s="68"/>
      <c r="DH286" s="68"/>
      <c r="DI286" s="68"/>
      <c r="DJ286" s="27"/>
      <c r="DK286" s="68"/>
      <c r="DL286" s="68"/>
      <c r="DM286" s="68"/>
      <c r="DN286" s="68"/>
      <c r="DO286" s="27"/>
      <c r="DP286" s="68"/>
      <c r="DQ286" s="68"/>
      <c r="DR286" s="68"/>
      <c r="DS286" s="68"/>
      <c r="DT286" s="27"/>
      <c r="DU286" s="27"/>
      <c r="DV286" s="27"/>
    </row>
    <row r="287" spans="1:126" s="108" customFormat="1">
      <c r="A287" s="37"/>
      <c r="B287" s="180" t="s">
        <v>284</v>
      </c>
      <c r="C287" s="101"/>
      <c r="D287" s="101"/>
      <c r="E287" s="101"/>
      <c r="F287" s="101"/>
      <c r="G287" s="101"/>
      <c r="H287" s="101"/>
      <c r="I287" s="101"/>
      <c r="J287" s="37"/>
      <c r="K287" s="37"/>
      <c r="L287" s="37"/>
      <c r="M287" s="37"/>
      <c r="N287" s="101"/>
      <c r="O287" s="37"/>
      <c r="P287" s="37"/>
      <c r="Q287" s="37"/>
      <c r="R287" s="37"/>
      <c r="S287" s="101"/>
      <c r="T287" s="37"/>
      <c r="U287" s="37"/>
      <c r="V287" s="37"/>
      <c r="W287" s="37"/>
      <c r="X287" s="101"/>
      <c r="Y287" s="37"/>
      <c r="Z287" s="37"/>
      <c r="AA287" s="37"/>
      <c r="AB287" s="37"/>
      <c r="AC287" s="101"/>
      <c r="AD287" s="37"/>
      <c r="AE287" s="37"/>
      <c r="AF287" s="37"/>
      <c r="AG287" s="37"/>
      <c r="AH287" s="101"/>
      <c r="AI287" s="37"/>
      <c r="AJ287" s="37"/>
      <c r="AK287" s="37"/>
      <c r="AL287" s="37"/>
      <c r="AM287" s="101"/>
      <c r="AN287" s="37"/>
      <c r="AO287" s="37"/>
      <c r="AP287" s="37"/>
      <c r="AQ287" s="37"/>
      <c r="AR287" s="101"/>
      <c r="AS287" s="37"/>
      <c r="AT287" s="37"/>
      <c r="AU287" s="37"/>
      <c r="AV287" s="37"/>
      <c r="AW287" s="27"/>
      <c r="AX287" s="68"/>
      <c r="AY287" s="68"/>
      <c r="AZ287" s="68"/>
      <c r="BA287" s="68"/>
      <c r="BB287" s="27"/>
      <c r="BC287" s="68"/>
      <c r="BD287" s="68"/>
      <c r="BE287" s="68"/>
      <c r="BF287" s="68"/>
      <c r="BG287" s="27"/>
      <c r="BH287" s="68"/>
      <c r="BI287" s="68"/>
      <c r="BJ287" s="68"/>
      <c r="BK287" s="68"/>
      <c r="BL287" s="27"/>
      <c r="BM287" s="68"/>
      <c r="BN287" s="68"/>
      <c r="BO287" s="68"/>
      <c r="BP287" s="68"/>
      <c r="BQ287" s="27"/>
      <c r="BR287" s="68"/>
      <c r="BS287" s="68"/>
      <c r="BT287" s="68"/>
      <c r="BU287" s="68"/>
      <c r="BV287" s="27"/>
      <c r="BW287" s="68"/>
      <c r="BX287" s="68"/>
      <c r="BY287" s="68"/>
      <c r="BZ287" s="68"/>
      <c r="CA287" s="27"/>
      <c r="CB287" s="68"/>
      <c r="CC287" s="68"/>
      <c r="CD287" s="68"/>
      <c r="CE287" s="68"/>
      <c r="CF287" s="27"/>
      <c r="CG287" s="68"/>
      <c r="CH287" s="68"/>
      <c r="CI287" s="68"/>
      <c r="CJ287" s="68"/>
      <c r="CK287" s="27"/>
      <c r="CL287" s="68"/>
      <c r="CM287" s="68"/>
      <c r="CN287" s="68"/>
      <c r="CO287" s="68"/>
      <c r="CP287" s="27"/>
      <c r="CQ287" s="68"/>
      <c r="CR287" s="68"/>
      <c r="CS287" s="68"/>
      <c r="CT287" s="68"/>
      <c r="CU287" s="27"/>
      <c r="CV287" s="68"/>
      <c r="CW287" s="68"/>
      <c r="CX287" s="68"/>
      <c r="CY287" s="68"/>
      <c r="CZ287" s="27"/>
      <c r="DA287" s="68"/>
      <c r="DB287" s="68"/>
      <c r="DC287" s="68"/>
      <c r="DD287" s="68"/>
      <c r="DE287" s="27"/>
      <c r="DF287" s="68"/>
      <c r="DG287" s="68"/>
      <c r="DH287" s="68"/>
      <c r="DI287" s="68"/>
      <c r="DJ287" s="27"/>
      <c r="DK287" s="68"/>
      <c r="DL287" s="68"/>
      <c r="DM287" s="68"/>
      <c r="DN287" s="68"/>
      <c r="DO287" s="27"/>
      <c r="DP287" s="68"/>
      <c r="DQ287" s="68"/>
      <c r="DR287" s="68"/>
      <c r="DS287" s="68"/>
      <c r="DT287" s="27"/>
      <c r="DU287" s="27"/>
      <c r="DV287" s="27"/>
    </row>
    <row r="288" spans="1:126" s="108" customFormat="1">
      <c r="A288" s="37"/>
      <c r="B288" s="180"/>
      <c r="C288" s="101"/>
      <c r="D288" s="101"/>
      <c r="E288" s="101"/>
      <c r="F288" s="101"/>
      <c r="G288" s="101"/>
      <c r="H288" s="101"/>
      <c r="I288" s="101"/>
      <c r="J288" s="37"/>
      <c r="K288" s="37"/>
      <c r="L288" s="37"/>
      <c r="M288" s="37"/>
      <c r="N288" s="101"/>
      <c r="O288" s="37"/>
      <c r="P288" s="37"/>
      <c r="Q288" s="37"/>
      <c r="R288" s="37"/>
      <c r="S288" s="101"/>
      <c r="T288" s="37"/>
      <c r="U288" s="37"/>
      <c r="V288" s="37"/>
      <c r="W288" s="37"/>
      <c r="X288" s="101"/>
      <c r="Y288" s="37"/>
      <c r="Z288" s="37"/>
      <c r="AA288" s="37"/>
      <c r="AB288" s="37"/>
      <c r="AC288" s="101"/>
      <c r="AD288" s="37"/>
      <c r="AE288" s="37"/>
      <c r="AF288" s="37"/>
      <c r="AG288" s="37"/>
      <c r="AH288" s="101"/>
      <c r="AI288" s="37"/>
      <c r="AJ288" s="37"/>
      <c r="AK288" s="37"/>
      <c r="AL288" s="37"/>
      <c r="AM288" s="101"/>
      <c r="AN288" s="37"/>
      <c r="AO288" s="37"/>
      <c r="AP288" s="37"/>
      <c r="AQ288" s="37"/>
      <c r="AR288" s="101"/>
      <c r="AS288" s="37"/>
      <c r="AT288" s="37"/>
      <c r="AU288" s="37"/>
      <c r="AV288" s="37"/>
      <c r="AW288" s="27"/>
      <c r="AX288" s="68"/>
      <c r="AY288" s="68"/>
      <c r="AZ288" s="68"/>
      <c r="BA288" s="68"/>
      <c r="BB288" s="27"/>
      <c r="BC288" s="68"/>
      <c r="BD288" s="68"/>
      <c r="BE288" s="68"/>
      <c r="BF288" s="68"/>
      <c r="BG288" s="27"/>
      <c r="BH288" s="68"/>
      <c r="BI288" s="68"/>
      <c r="BJ288" s="68"/>
      <c r="BK288" s="68"/>
      <c r="BL288" s="27"/>
      <c r="BM288" s="68"/>
      <c r="BN288" s="68"/>
      <c r="BO288" s="68"/>
      <c r="BP288" s="68"/>
      <c r="BQ288" s="27"/>
      <c r="BR288" s="68"/>
      <c r="BS288" s="68"/>
      <c r="BT288" s="68"/>
      <c r="BU288" s="68"/>
      <c r="BV288" s="27"/>
      <c r="BW288" s="68"/>
      <c r="BX288" s="68"/>
      <c r="BY288" s="68"/>
      <c r="BZ288" s="68"/>
      <c r="CA288" s="27"/>
      <c r="CB288" s="68"/>
      <c r="CC288" s="68"/>
      <c r="CD288" s="68"/>
      <c r="CE288" s="68"/>
      <c r="CF288" s="27"/>
      <c r="CG288" s="68"/>
      <c r="CH288" s="68"/>
      <c r="CI288" s="68"/>
      <c r="CJ288" s="68"/>
      <c r="CK288" s="27"/>
      <c r="CL288" s="68"/>
      <c r="CM288" s="68"/>
      <c r="CN288" s="68"/>
      <c r="CO288" s="68"/>
      <c r="CP288" s="27"/>
      <c r="CQ288" s="68"/>
      <c r="CR288" s="68"/>
      <c r="CS288" s="68"/>
      <c r="CT288" s="68"/>
      <c r="CU288" s="27"/>
      <c r="CV288" s="68"/>
      <c r="CW288" s="68"/>
      <c r="CX288" s="68"/>
      <c r="CY288" s="68"/>
      <c r="CZ288" s="27"/>
      <c r="DA288" s="68"/>
      <c r="DB288" s="68"/>
      <c r="DC288" s="68"/>
      <c r="DD288" s="68"/>
      <c r="DE288" s="27"/>
      <c r="DF288" s="68"/>
      <c r="DG288" s="68"/>
      <c r="DH288" s="68"/>
      <c r="DI288" s="68"/>
      <c r="DJ288" s="27"/>
      <c r="DK288" s="68"/>
      <c r="DL288" s="68"/>
      <c r="DM288" s="68"/>
      <c r="DN288" s="68"/>
      <c r="DO288" s="27"/>
      <c r="DP288" s="68"/>
      <c r="DQ288" s="68"/>
      <c r="DR288" s="68"/>
      <c r="DS288" s="68"/>
      <c r="DT288" s="27"/>
      <c r="DU288" s="27"/>
      <c r="DV288" s="27"/>
    </row>
    <row r="289" spans="1:126" s="108" customFormat="1">
      <c r="A289" s="37"/>
      <c r="B289" s="423" t="s">
        <v>329</v>
      </c>
      <c r="C289" s="101"/>
      <c r="D289" s="101"/>
      <c r="E289" s="101"/>
      <c r="F289" s="101"/>
      <c r="G289" s="101"/>
      <c r="H289" s="101"/>
      <c r="I289" s="101"/>
      <c r="J289" s="37"/>
      <c r="K289" s="37"/>
      <c r="L289" s="37"/>
      <c r="M289" s="37"/>
      <c r="N289" s="101"/>
      <c r="O289" s="37"/>
      <c r="P289" s="37"/>
      <c r="Q289" s="37"/>
      <c r="R289" s="37"/>
      <c r="S289" s="101"/>
      <c r="T289" s="37"/>
      <c r="U289" s="37"/>
      <c r="V289" s="37"/>
      <c r="W289" s="37"/>
      <c r="X289" s="101"/>
      <c r="Y289" s="37"/>
      <c r="Z289" s="37"/>
      <c r="AA289" s="37"/>
      <c r="AB289" s="37"/>
      <c r="AC289" s="101"/>
      <c r="AD289" s="37"/>
      <c r="AE289" s="37"/>
      <c r="AF289" s="37"/>
      <c r="AG289" s="37"/>
      <c r="AH289" s="101"/>
      <c r="AI289" s="37"/>
      <c r="AJ289" s="37"/>
      <c r="AK289" s="37"/>
      <c r="AL289" s="37"/>
      <c r="AM289" s="101"/>
      <c r="AN289" s="37"/>
      <c r="AO289" s="37"/>
      <c r="AP289" s="37"/>
      <c r="AQ289" s="37"/>
      <c r="AR289" s="101"/>
      <c r="AS289" s="37"/>
      <c r="AT289" s="37"/>
      <c r="AU289" s="37"/>
      <c r="AV289" s="37"/>
      <c r="AW289" s="27"/>
      <c r="AX289" s="68"/>
      <c r="AY289" s="68"/>
      <c r="AZ289" s="68"/>
      <c r="BA289" s="68"/>
      <c r="BB289" s="27"/>
      <c r="BC289" s="68"/>
      <c r="BD289" s="68"/>
      <c r="BE289" s="68"/>
      <c r="BF289" s="68"/>
      <c r="BG289" s="27"/>
      <c r="BH289" s="68"/>
      <c r="BI289" s="68"/>
      <c r="BJ289" s="68"/>
      <c r="BK289" s="68"/>
      <c r="BL289" s="27"/>
      <c r="BM289" s="68"/>
      <c r="BN289" s="68"/>
      <c r="BO289" s="68"/>
      <c r="BP289" s="68"/>
      <c r="BQ289" s="27"/>
      <c r="BR289" s="68"/>
      <c r="BS289" s="68"/>
      <c r="BT289" s="68"/>
      <c r="BU289" s="68"/>
      <c r="BV289" s="27"/>
      <c r="BW289" s="68"/>
      <c r="BX289" s="68"/>
      <c r="BY289" s="68"/>
      <c r="BZ289" s="68"/>
      <c r="CA289" s="27"/>
      <c r="CB289" s="68"/>
      <c r="CC289" s="68"/>
      <c r="CD289" s="68"/>
      <c r="CE289" s="68"/>
      <c r="CF289" s="27"/>
      <c r="CG289" s="68"/>
      <c r="CH289" s="68"/>
      <c r="CI289" s="68"/>
      <c r="CJ289" s="68"/>
      <c r="CK289" s="27"/>
      <c r="CL289" s="68"/>
      <c r="CM289" s="68"/>
      <c r="CN289" s="68"/>
      <c r="CO289" s="68"/>
      <c r="CP289" s="27"/>
      <c r="CQ289" s="68"/>
      <c r="CR289" s="68"/>
      <c r="CS289" s="68"/>
      <c r="CT289" s="68"/>
      <c r="CU289" s="27"/>
      <c r="CV289" s="68"/>
      <c r="CW289" s="68"/>
      <c r="CX289" s="68"/>
      <c r="CY289" s="68"/>
      <c r="CZ289" s="27"/>
      <c r="DA289" s="68"/>
      <c r="DB289" s="68"/>
      <c r="DC289" s="68"/>
      <c r="DD289" s="68"/>
      <c r="DE289" s="27"/>
      <c r="DF289" s="68"/>
      <c r="DG289" s="68"/>
      <c r="DH289" s="68"/>
      <c r="DI289" s="68"/>
      <c r="DJ289" s="27"/>
      <c r="DK289" s="68"/>
      <c r="DL289" s="68"/>
      <c r="DM289" s="68"/>
      <c r="DN289" s="68"/>
      <c r="DO289" s="27"/>
      <c r="DP289" s="68"/>
      <c r="DQ289" s="68"/>
      <c r="DR289" s="68"/>
      <c r="DS289" s="68"/>
      <c r="DT289" s="27"/>
      <c r="DU289" s="27"/>
      <c r="DV289" s="27"/>
    </row>
    <row r="290" spans="1:126" s="108" customFormat="1">
      <c r="A290" s="37"/>
      <c r="B290" s="505" t="s">
        <v>330</v>
      </c>
      <c r="C290" s="101"/>
      <c r="D290" s="101"/>
      <c r="E290" s="101"/>
      <c r="F290" s="101"/>
      <c r="G290" s="101"/>
      <c r="H290" s="101"/>
      <c r="I290" s="101"/>
      <c r="J290" s="37"/>
      <c r="K290" s="37"/>
      <c r="L290" s="37"/>
      <c r="M290" s="37"/>
      <c r="N290" s="101"/>
      <c r="O290" s="37"/>
      <c r="P290" s="37"/>
      <c r="Q290" s="37"/>
      <c r="R290" s="37"/>
      <c r="S290" s="101"/>
      <c r="T290" s="37"/>
      <c r="U290" s="37"/>
      <c r="V290" s="37"/>
      <c r="W290" s="37"/>
      <c r="X290" s="101"/>
      <c r="Y290" s="37"/>
      <c r="Z290" s="37"/>
      <c r="AA290" s="37"/>
      <c r="AB290" s="37"/>
      <c r="AC290" s="101"/>
      <c r="AD290" s="37"/>
      <c r="AE290" s="37"/>
      <c r="AF290" s="37"/>
      <c r="AG290" s="37"/>
      <c r="AH290" s="101"/>
      <c r="AI290" s="37"/>
      <c r="AJ290" s="37"/>
      <c r="AK290" s="37"/>
      <c r="AL290" s="37"/>
      <c r="AM290" s="101"/>
      <c r="AN290" s="37"/>
      <c r="AO290" s="37"/>
      <c r="AP290" s="37"/>
      <c r="AQ290" s="37"/>
      <c r="AR290" s="101"/>
      <c r="AS290" s="37"/>
      <c r="AT290" s="37"/>
      <c r="AU290" s="37"/>
      <c r="AV290" s="37"/>
      <c r="AW290" s="27"/>
      <c r="AX290" s="68"/>
      <c r="AY290" s="68"/>
      <c r="AZ290" s="68"/>
      <c r="BA290" s="68"/>
      <c r="BB290" s="196"/>
      <c r="BC290" s="194"/>
      <c r="BD290" s="194"/>
      <c r="BE290" s="194"/>
      <c r="BF290" s="194"/>
      <c r="BG290" s="196"/>
      <c r="BH290" s="194"/>
      <c r="BI290" s="194"/>
      <c r="BJ290" s="194"/>
      <c r="BK290" s="194"/>
      <c r="BL290" s="196"/>
      <c r="BM290" s="194"/>
      <c r="BN290" s="194"/>
      <c r="BO290" s="194"/>
      <c r="BP290" s="194"/>
      <c r="BQ290" s="196"/>
      <c r="BR290" s="194"/>
      <c r="BS290" s="194"/>
      <c r="BT290" s="194"/>
      <c r="BU290" s="194"/>
      <c r="BV290" s="196"/>
      <c r="BW290" s="68"/>
      <c r="BX290" s="68"/>
      <c r="BY290" s="68"/>
      <c r="BZ290" s="68"/>
      <c r="CA290" s="196"/>
      <c r="CB290" s="68"/>
      <c r="CC290" s="68"/>
      <c r="CD290" s="68"/>
      <c r="CE290" s="68"/>
      <c r="CF290" s="196"/>
      <c r="CG290" s="68"/>
      <c r="CH290" s="68"/>
      <c r="CI290" s="68"/>
      <c r="CJ290" s="68"/>
      <c r="CK290" s="196"/>
      <c r="CL290" s="68"/>
      <c r="CM290" s="68"/>
      <c r="CN290" s="68"/>
      <c r="CO290" s="68"/>
      <c r="CP290" s="196"/>
      <c r="CQ290" s="68"/>
      <c r="CR290" s="68"/>
      <c r="CS290" s="68"/>
      <c r="CT290" s="68"/>
      <c r="CU290" s="196"/>
      <c r="CV290" s="68"/>
      <c r="CW290" s="68"/>
      <c r="CX290" s="68"/>
      <c r="CY290" s="68"/>
      <c r="CZ290" s="196"/>
      <c r="DA290" s="68"/>
      <c r="DB290" s="68"/>
      <c r="DC290" s="68"/>
      <c r="DD290" s="68"/>
      <c r="DE290" s="196"/>
      <c r="DF290" s="68"/>
      <c r="DG290" s="68"/>
      <c r="DH290" s="68"/>
      <c r="DI290" s="68"/>
      <c r="DJ290" s="196"/>
      <c r="DK290" s="68"/>
      <c r="DL290" s="68"/>
      <c r="DM290" s="68"/>
      <c r="DN290" s="68"/>
      <c r="DO290" s="196"/>
      <c r="DP290" s="68"/>
      <c r="DQ290" s="68"/>
      <c r="DR290" s="68"/>
      <c r="DS290" s="68"/>
      <c r="DT290" s="196"/>
      <c r="DU290" s="196"/>
      <c r="DV290" s="196"/>
    </row>
    <row r="291" spans="1:126" s="108" customFormat="1">
      <c r="A291" s="37"/>
      <c r="B291" s="505" t="s">
        <v>331</v>
      </c>
      <c r="C291" s="101"/>
      <c r="D291" s="101"/>
      <c r="E291" s="101"/>
      <c r="F291" s="101"/>
      <c r="G291" s="101"/>
      <c r="H291" s="101"/>
      <c r="I291" s="101"/>
      <c r="J291" s="37"/>
      <c r="K291" s="37"/>
      <c r="L291" s="37"/>
      <c r="M291" s="37"/>
      <c r="N291" s="101"/>
      <c r="O291" s="37"/>
      <c r="P291" s="37"/>
      <c r="Q291" s="37"/>
      <c r="R291" s="37"/>
      <c r="S291" s="101"/>
      <c r="T291" s="37"/>
      <c r="U291" s="37"/>
      <c r="V291" s="37"/>
      <c r="W291" s="37"/>
      <c r="X291" s="101"/>
      <c r="Y291" s="37"/>
      <c r="Z291" s="37"/>
      <c r="AA291" s="37"/>
      <c r="AB291" s="37"/>
      <c r="AC291" s="101"/>
      <c r="AD291" s="37"/>
      <c r="AE291" s="37"/>
      <c r="AF291" s="37"/>
      <c r="AG291" s="37"/>
      <c r="AH291" s="101"/>
      <c r="AI291" s="37"/>
      <c r="AJ291" s="37"/>
      <c r="AK291" s="37"/>
      <c r="AL291" s="37"/>
      <c r="AM291" s="101"/>
      <c r="AN291" s="37"/>
      <c r="AO291" s="37"/>
      <c r="AP291" s="37"/>
      <c r="AQ291" s="37"/>
      <c r="AR291" s="101"/>
      <c r="AS291" s="37"/>
      <c r="AT291" s="37"/>
      <c r="AU291" s="37"/>
      <c r="AV291" s="37"/>
      <c r="AW291" s="27"/>
      <c r="AX291" s="68"/>
      <c r="AY291" s="68"/>
      <c r="AZ291" s="68"/>
      <c r="BA291" s="68"/>
      <c r="BB291" s="196"/>
      <c r="BC291" s="194"/>
      <c r="BD291" s="194"/>
      <c r="BE291" s="194"/>
      <c r="BF291" s="194"/>
      <c r="BG291" s="196"/>
      <c r="BH291" s="194"/>
      <c r="BI291" s="194"/>
      <c r="BJ291" s="194"/>
      <c r="BK291" s="194"/>
      <c r="BL291" s="196"/>
      <c r="BM291" s="194"/>
      <c r="BN291" s="194"/>
      <c r="BO291" s="194"/>
      <c r="BP291" s="194"/>
      <c r="BQ291" s="196"/>
      <c r="BR291" s="194"/>
      <c r="BS291" s="194"/>
      <c r="BT291" s="194"/>
      <c r="BU291" s="194"/>
      <c r="BV291" s="196"/>
      <c r="BW291" s="68"/>
      <c r="BX291" s="68"/>
      <c r="BY291" s="68"/>
      <c r="BZ291" s="68"/>
      <c r="CA291" s="196"/>
      <c r="CB291" s="68"/>
      <c r="CC291" s="68"/>
      <c r="CD291" s="68"/>
      <c r="CE291" s="68"/>
      <c r="CF291" s="196"/>
      <c r="CG291" s="68"/>
      <c r="CH291" s="68"/>
      <c r="CI291" s="68"/>
      <c r="CJ291" s="68"/>
      <c r="CK291" s="431">
        <v>0.47</v>
      </c>
      <c r="CL291" s="430"/>
      <c r="CM291" s="430"/>
      <c r="CN291" s="430"/>
      <c r="CO291" s="430"/>
      <c r="CP291" s="431">
        <v>0.47</v>
      </c>
      <c r="CQ291" s="430"/>
      <c r="CR291" s="430"/>
      <c r="CS291" s="430"/>
      <c r="CT291" s="430"/>
      <c r="CU291" s="431">
        <v>0.47</v>
      </c>
      <c r="CV291" s="430"/>
      <c r="CW291" s="430"/>
      <c r="CX291" s="430"/>
      <c r="CY291" s="430"/>
      <c r="CZ291" s="431">
        <v>0.47</v>
      </c>
      <c r="DA291" s="430"/>
      <c r="DB291" s="430"/>
      <c r="DC291" s="430"/>
      <c r="DD291" s="430"/>
      <c r="DE291" s="431">
        <v>0.47</v>
      </c>
      <c r="DF291" s="430"/>
      <c r="DG291" s="430"/>
      <c r="DH291" s="430"/>
      <c r="DI291" s="430"/>
      <c r="DJ291" s="431">
        <v>0.47</v>
      </c>
      <c r="DK291" s="430"/>
      <c r="DL291" s="430"/>
      <c r="DM291" s="430"/>
      <c r="DN291" s="430"/>
      <c r="DO291" s="431">
        <v>0.47</v>
      </c>
      <c r="DP291" s="430"/>
      <c r="DQ291" s="430"/>
      <c r="DR291" s="430"/>
      <c r="DS291" s="430"/>
      <c r="DT291" s="431">
        <v>0.47</v>
      </c>
      <c r="DU291" s="431">
        <v>0.47</v>
      </c>
      <c r="DV291" s="431">
        <v>0.47</v>
      </c>
    </row>
    <row r="292" spans="1:126" s="108" customFormat="1">
      <c r="A292" s="37"/>
      <c r="B292" s="505" t="s">
        <v>332</v>
      </c>
      <c r="C292" s="101"/>
      <c r="D292" s="101"/>
      <c r="E292" s="101"/>
      <c r="F292" s="101"/>
      <c r="G292" s="101"/>
      <c r="H292" s="101"/>
      <c r="I292" s="101"/>
      <c r="J292" s="37"/>
      <c r="K292" s="37"/>
      <c r="L292" s="37"/>
      <c r="M292" s="37"/>
      <c r="N292" s="101"/>
      <c r="O292" s="37"/>
      <c r="P292" s="37"/>
      <c r="Q292" s="37"/>
      <c r="R292" s="37"/>
      <c r="S292" s="101"/>
      <c r="T292" s="37"/>
      <c r="U292" s="37"/>
      <c r="V292" s="37"/>
      <c r="W292" s="37"/>
      <c r="X292" s="101"/>
      <c r="Y292" s="37"/>
      <c r="Z292" s="37"/>
      <c r="AA292" s="37"/>
      <c r="AB292" s="37"/>
      <c r="AC292" s="101"/>
      <c r="AD292" s="37"/>
      <c r="AE292" s="37"/>
      <c r="AF292" s="37"/>
      <c r="AG292" s="37"/>
      <c r="AH292" s="101"/>
      <c r="AI292" s="37"/>
      <c r="AJ292" s="37"/>
      <c r="AK292" s="37"/>
      <c r="AL292" s="37"/>
      <c r="AM292" s="101"/>
      <c r="AN292" s="37"/>
      <c r="AO292" s="37"/>
      <c r="AP292" s="37"/>
      <c r="AQ292" s="37"/>
      <c r="AR292" s="101"/>
      <c r="AS292" s="37"/>
      <c r="AT292" s="37"/>
      <c r="AU292" s="37"/>
      <c r="AV292" s="37"/>
      <c r="AW292" s="27"/>
      <c r="AX292" s="68"/>
      <c r="AY292" s="68"/>
      <c r="AZ292" s="68"/>
      <c r="BA292" s="68"/>
      <c r="BB292" s="196"/>
      <c r="BC292" s="194"/>
      <c r="BD292" s="194"/>
      <c r="BE292" s="194"/>
      <c r="BF292" s="194"/>
      <c r="BG292" s="196"/>
      <c r="BH292" s="194"/>
      <c r="BI292" s="194"/>
      <c r="BJ292" s="194"/>
      <c r="BK292" s="194"/>
      <c r="BL292" s="196"/>
      <c r="BM292" s="194"/>
      <c r="BN292" s="194"/>
      <c r="BO292" s="194"/>
      <c r="BP292" s="194"/>
      <c r="BQ292" s="196"/>
      <c r="BR292" s="194"/>
      <c r="BS292" s="194"/>
      <c r="BT292" s="194"/>
      <c r="BU292" s="194"/>
      <c r="BV292" s="196"/>
      <c r="BW292" s="68"/>
      <c r="BX292" s="68"/>
      <c r="BY292" s="68"/>
      <c r="BZ292" s="68"/>
      <c r="CA292" s="196"/>
      <c r="CB292" s="68"/>
      <c r="CC292" s="68"/>
      <c r="CD292" s="68"/>
      <c r="CE292" s="68"/>
      <c r="CF292" s="196"/>
      <c r="CG292" s="68"/>
      <c r="CH292" s="68"/>
      <c r="CI292" s="68"/>
      <c r="CJ292" s="68"/>
      <c r="CK292" s="196"/>
      <c r="CL292" s="68"/>
      <c r="CM292" s="68"/>
      <c r="CN292" s="68"/>
      <c r="CO292" s="68"/>
      <c r="CP292" s="196"/>
      <c r="CQ292" s="68"/>
      <c r="CR292" s="68"/>
      <c r="CS292" s="68"/>
      <c r="CT292" s="68"/>
      <c r="CU292" s="196"/>
      <c r="CV292" s="68"/>
      <c r="CW292" s="68"/>
      <c r="CX292" s="68"/>
      <c r="CY292" s="68"/>
      <c r="CZ292" s="196"/>
      <c r="DA292" s="68"/>
      <c r="DB292" s="68"/>
      <c r="DC292" s="68"/>
      <c r="DD292" s="68"/>
      <c r="DE292" s="196"/>
      <c r="DF292" s="68"/>
      <c r="DG292" s="68"/>
      <c r="DH292" s="68"/>
      <c r="DI292" s="68"/>
      <c r="DJ292" s="196"/>
      <c r="DK292" s="68"/>
      <c r="DL292" s="68"/>
      <c r="DM292" s="68"/>
      <c r="DN292" s="68"/>
      <c r="DO292" s="196"/>
      <c r="DP292" s="68"/>
      <c r="DQ292" s="68"/>
      <c r="DR292" s="68"/>
      <c r="DS292" s="68"/>
      <c r="DT292" s="196"/>
      <c r="DU292" s="196"/>
      <c r="DV292" s="196"/>
    </row>
    <row r="293" spans="1:126" s="108" customFormat="1">
      <c r="A293" s="37"/>
      <c r="B293" s="505" t="s">
        <v>333</v>
      </c>
      <c r="C293" s="101"/>
      <c r="D293" s="101"/>
      <c r="E293" s="101"/>
      <c r="F293" s="101"/>
      <c r="G293" s="101"/>
      <c r="H293" s="101"/>
      <c r="I293" s="101"/>
      <c r="J293" s="37"/>
      <c r="K293" s="37"/>
      <c r="L293" s="37"/>
      <c r="M293" s="37"/>
      <c r="N293" s="101"/>
      <c r="O293" s="37"/>
      <c r="P293" s="37"/>
      <c r="Q293" s="37"/>
      <c r="R293" s="37"/>
      <c r="S293" s="101"/>
      <c r="T293" s="37"/>
      <c r="U293" s="37"/>
      <c r="V293" s="37"/>
      <c r="W293" s="37"/>
      <c r="X293" s="101"/>
      <c r="Y293" s="37"/>
      <c r="Z293" s="37"/>
      <c r="AA293" s="37"/>
      <c r="AB293" s="37"/>
      <c r="AC293" s="101"/>
      <c r="AD293" s="37"/>
      <c r="AE293" s="37"/>
      <c r="AF293" s="37"/>
      <c r="AG293" s="37"/>
      <c r="AH293" s="101"/>
      <c r="AI293" s="37"/>
      <c r="AJ293" s="37"/>
      <c r="AK293" s="37"/>
      <c r="AL293" s="37"/>
      <c r="AM293" s="101"/>
      <c r="AN293" s="37"/>
      <c r="AO293" s="37"/>
      <c r="AP293" s="37"/>
      <c r="AQ293" s="37"/>
      <c r="AR293" s="101"/>
      <c r="AS293" s="37"/>
      <c r="AT293" s="37"/>
      <c r="AU293" s="37"/>
      <c r="AV293" s="37"/>
      <c r="AW293" s="27"/>
      <c r="AX293" s="68"/>
      <c r="AY293" s="68"/>
      <c r="AZ293" s="68"/>
      <c r="BA293" s="68"/>
      <c r="BB293" s="196"/>
      <c r="BC293" s="194"/>
      <c r="BD293" s="194"/>
      <c r="BE293" s="194"/>
      <c r="BF293" s="194"/>
      <c r="BG293" s="196"/>
      <c r="BH293" s="194"/>
      <c r="BI293" s="194"/>
      <c r="BJ293" s="194"/>
      <c r="BK293" s="194"/>
      <c r="BL293" s="196"/>
      <c r="BM293" s="194"/>
      <c r="BN293" s="194"/>
      <c r="BO293" s="194"/>
      <c r="BP293" s="194"/>
      <c r="BQ293" s="196"/>
      <c r="BR293" s="194"/>
      <c r="BS293" s="194"/>
      <c r="BT293" s="194"/>
      <c r="BU293" s="194"/>
      <c r="BV293" s="196"/>
      <c r="BW293" s="68"/>
      <c r="BX293" s="68"/>
      <c r="BY293" s="68"/>
      <c r="BZ293" s="68"/>
      <c r="CA293" s="196"/>
      <c r="CB293" s="68"/>
      <c r="CC293" s="68"/>
      <c r="CD293" s="68"/>
      <c r="CE293" s="68"/>
      <c r="CF293" s="196"/>
      <c r="CG293" s="68"/>
      <c r="CH293" s="68"/>
      <c r="CI293" s="68"/>
      <c r="CJ293" s="68"/>
      <c r="CK293" s="196"/>
      <c r="CL293" s="68"/>
      <c r="CM293" s="68"/>
      <c r="CN293" s="68"/>
      <c r="CO293" s="68"/>
      <c r="CP293" s="196"/>
      <c r="CQ293" s="68"/>
      <c r="CR293" s="68"/>
      <c r="CS293" s="68"/>
      <c r="CT293" s="68"/>
      <c r="CU293" s="196"/>
      <c r="CV293" s="68"/>
      <c r="CW293" s="68"/>
      <c r="CX293" s="68"/>
      <c r="CY293" s="68"/>
      <c r="CZ293" s="196"/>
      <c r="DA293" s="68"/>
      <c r="DB293" s="68"/>
      <c r="DC293" s="68"/>
      <c r="DD293" s="68"/>
      <c r="DE293" s="196"/>
      <c r="DF293" s="68"/>
      <c r="DG293" s="68"/>
      <c r="DH293" s="68"/>
      <c r="DI293" s="68"/>
      <c r="DJ293" s="196"/>
      <c r="DK293" s="68"/>
      <c r="DL293" s="68"/>
      <c r="DM293" s="68"/>
      <c r="DN293" s="68"/>
      <c r="DO293" s="196"/>
      <c r="DP293" s="68"/>
      <c r="DQ293" s="68"/>
      <c r="DR293" s="68"/>
      <c r="DS293" s="68"/>
      <c r="DT293" s="196"/>
      <c r="DU293" s="196"/>
      <c r="DV293" s="196"/>
    </row>
    <row r="294" spans="1:126" s="108" customFormat="1">
      <c r="A294" s="37"/>
      <c r="B294" s="505" t="s">
        <v>334</v>
      </c>
      <c r="C294" s="101"/>
      <c r="D294" s="101"/>
      <c r="E294" s="101"/>
      <c r="F294" s="101"/>
      <c r="G294" s="101"/>
      <c r="H294" s="101"/>
      <c r="I294" s="101"/>
      <c r="J294" s="37"/>
      <c r="K294" s="37"/>
      <c r="L294" s="37"/>
      <c r="M294" s="37"/>
      <c r="N294" s="101"/>
      <c r="O294" s="37"/>
      <c r="P294" s="37"/>
      <c r="Q294" s="37"/>
      <c r="R294" s="37"/>
      <c r="S294" s="101"/>
      <c r="T294" s="37"/>
      <c r="U294" s="37"/>
      <c r="V294" s="37"/>
      <c r="W294" s="37"/>
      <c r="X294" s="101"/>
      <c r="Y294" s="37"/>
      <c r="Z294" s="37"/>
      <c r="AA294" s="37"/>
      <c r="AB294" s="37"/>
      <c r="AC294" s="101"/>
      <c r="AD294" s="37"/>
      <c r="AE294" s="37"/>
      <c r="AF294" s="37"/>
      <c r="AG294" s="37"/>
      <c r="AH294" s="101"/>
      <c r="AI294" s="37"/>
      <c r="AJ294" s="37"/>
      <c r="AK294" s="37"/>
      <c r="AL294" s="37"/>
      <c r="AM294" s="101"/>
      <c r="AN294" s="37"/>
      <c r="AO294" s="37"/>
      <c r="AP294" s="37"/>
      <c r="AQ294" s="37"/>
      <c r="AR294" s="101"/>
      <c r="AS294" s="37"/>
      <c r="AT294" s="37"/>
      <c r="AU294" s="37"/>
      <c r="AV294" s="37"/>
      <c r="AW294" s="27"/>
      <c r="AX294" s="68"/>
      <c r="AY294" s="68"/>
      <c r="AZ294" s="68"/>
      <c r="BA294" s="68"/>
      <c r="BB294" s="196"/>
      <c r="BC294" s="194"/>
      <c r="BD294" s="194"/>
      <c r="BE294" s="194"/>
      <c r="BF294" s="194"/>
      <c r="BG294" s="196"/>
      <c r="BH294" s="194"/>
      <c r="BI294" s="194"/>
      <c r="BJ294" s="194"/>
      <c r="BK294" s="194"/>
      <c r="BL294" s="196"/>
      <c r="BM294" s="194"/>
      <c r="BN294" s="194"/>
      <c r="BO294" s="194"/>
      <c r="BP294" s="194"/>
      <c r="BQ294" s="196"/>
      <c r="BR294" s="194"/>
      <c r="BS294" s="194"/>
      <c r="BT294" s="194"/>
      <c r="BU294" s="194"/>
      <c r="BV294" s="196"/>
      <c r="BW294" s="68"/>
      <c r="BX294" s="68"/>
      <c r="BY294" s="68"/>
      <c r="BZ294" s="68"/>
      <c r="CA294" s="196"/>
      <c r="CB294" s="68"/>
      <c r="CC294" s="68"/>
      <c r="CD294" s="68"/>
      <c r="CE294" s="68"/>
      <c r="CF294" s="196"/>
      <c r="CG294" s="68"/>
      <c r="CH294" s="68"/>
      <c r="CI294" s="68"/>
      <c r="CJ294" s="68"/>
      <c r="CK294" s="196"/>
      <c r="CL294" s="68"/>
      <c r="CM294" s="68"/>
      <c r="CN294" s="68"/>
      <c r="CO294" s="68"/>
      <c r="CP294" s="196"/>
      <c r="CQ294" s="68"/>
      <c r="CR294" s="68"/>
      <c r="CS294" s="68"/>
      <c r="CT294" s="68"/>
      <c r="CU294" s="196"/>
      <c r="CV294" s="68"/>
      <c r="CW294" s="68"/>
      <c r="CX294" s="68"/>
      <c r="CY294" s="68"/>
      <c r="CZ294" s="196"/>
      <c r="DA294" s="68"/>
      <c r="DB294" s="68"/>
      <c r="DC294" s="68"/>
      <c r="DD294" s="68"/>
      <c r="DE294" s="196"/>
      <c r="DF294" s="68"/>
      <c r="DG294" s="68"/>
      <c r="DH294" s="68"/>
      <c r="DI294" s="68"/>
      <c r="DJ294" s="196"/>
      <c r="DK294" s="68"/>
      <c r="DL294" s="68"/>
      <c r="DM294" s="68"/>
      <c r="DN294" s="68"/>
      <c r="DO294" s="196"/>
      <c r="DP294" s="68"/>
      <c r="DQ294" s="68"/>
      <c r="DR294" s="68"/>
      <c r="DS294" s="68"/>
      <c r="DT294" s="196"/>
      <c r="DU294" s="196"/>
      <c r="DV294" s="196"/>
    </row>
    <row r="295" spans="1:126" s="108" customFormat="1">
      <c r="A295" s="37"/>
      <c r="B295" s="505" t="s">
        <v>335</v>
      </c>
      <c r="C295" s="101"/>
      <c r="D295" s="101"/>
      <c r="E295" s="101"/>
      <c r="F295" s="101"/>
      <c r="G295" s="101"/>
      <c r="H295" s="101"/>
      <c r="I295" s="101"/>
      <c r="J295" s="37"/>
      <c r="K295" s="37"/>
      <c r="L295" s="37"/>
      <c r="M295" s="37"/>
      <c r="N295" s="101"/>
      <c r="O295" s="37"/>
      <c r="P295" s="37"/>
      <c r="Q295" s="37"/>
      <c r="R295" s="37"/>
      <c r="S295" s="101"/>
      <c r="T295" s="37"/>
      <c r="U295" s="37"/>
      <c r="V295" s="37"/>
      <c r="W295" s="37"/>
      <c r="X295" s="101"/>
      <c r="Y295" s="37"/>
      <c r="Z295" s="37"/>
      <c r="AA295" s="37"/>
      <c r="AB295" s="37"/>
      <c r="AC295" s="101"/>
      <c r="AD295" s="37"/>
      <c r="AE295" s="37"/>
      <c r="AF295" s="37"/>
      <c r="AG295" s="37"/>
      <c r="AH295" s="101"/>
      <c r="AI295" s="37"/>
      <c r="AJ295" s="37"/>
      <c r="AK295" s="37"/>
      <c r="AL295" s="37"/>
      <c r="AM295" s="101"/>
      <c r="AN295" s="37"/>
      <c r="AO295" s="37"/>
      <c r="AP295" s="37"/>
      <c r="AQ295" s="37"/>
      <c r="AR295" s="101"/>
      <c r="AS295" s="37"/>
      <c r="AT295" s="37"/>
      <c r="AU295" s="37"/>
      <c r="AV295" s="37"/>
      <c r="AW295" s="27"/>
      <c r="AX295" s="68"/>
      <c r="AY295" s="68"/>
      <c r="AZ295" s="68"/>
      <c r="BA295" s="68"/>
      <c r="BB295" s="196"/>
      <c r="BC295" s="194"/>
      <c r="BD295" s="194"/>
      <c r="BE295" s="194"/>
      <c r="BF295" s="194"/>
      <c r="BG295" s="196"/>
      <c r="BH295" s="194"/>
      <c r="BI295" s="194"/>
      <c r="BJ295" s="194"/>
      <c r="BK295" s="194"/>
      <c r="BL295" s="196"/>
      <c r="BM295" s="194"/>
      <c r="BN295" s="194"/>
      <c r="BO295" s="194"/>
      <c r="BP295" s="194"/>
      <c r="BQ295" s="196"/>
      <c r="BR295" s="194"/>
      <c r="BS295" s="194"/>
      <c r="BT295" s="194"/>
      <c r="BU295" s="194"/>
      <c r="BV295" s="196"/>
      <c r="BW295" s="68"/>
      <c r="BX295" s="68"/>
      <c r="BY295" s="68"/>
      <c r="BZ295" s="68"/>
      <c r="CA295" s="196"/>
      <c r="CB295" s="68"/>
      <c r="CC295" s="68"/>
      <c r="CD295" s="68"/>
      <c r="CE295" s="68"/>
      <c r="CF295" s="196"/>
      <c r="CG295" s="68"/>
      <c r="CH295" s="68"/>
      <c r="CI295" s="68"/>
      <c r="CJ295" s="68"/>
      <c r="CK295" s="196"/>
      <c r="CL295" s="68"/>
      <c r="CM295" s="68"/>
      <c r="CN295" s="68"/>
      <c r="CO295" s="68"/>
      <c r="CP295" s="196"/>
      <c r="CQ295" s="68"/>
      <c r="CR295" s="68"/>
      <c r="CS295" s="68"/>
      <c r="CT295" s="68"/>
      <c r="CU295" s="196"/>
      <c r="CV295" s="68"/>
      <c r="CW295" s="68"/>
      <c r="CX295" s="68"/>
      <c r="CY295" s="68"/>
      <c r="CZ295" s="196"/>
      <c r="DA295" s="68"/>
      <c r="DB295" s="68"/>
      <c r="DC295" s="68"/>
      <c r="DD295" s="68"/>
      <c r="DE295" s="196"/>
      <c r="DF295" s="68"/>
      <c r="DG295" s="68"/>
      <c r="DH295" s="68"/>
      <c r="DI295" s="68"/>
      <c r="DJ295" s="196"/>
      <c r="DK295" s="68"/>
      <c r="DL295" s="68"/>
      <c r="DM295" s="68"/>
      <c r="DN295" s="68"/>
      <c r="DO295" s="196"/>
      <c r="DP295" s="68"/>
      <c r="DQ295" s="68"/>
      <c r="DR295" s="68"/>
      <c r="DS295" s="68"/>
      <c r="DT295" s="196"/>
      <c r="DU295" s="196"/>
      <c r="DV295" s="196"/>
    </row>
    <row r="296" spans="1:126" s="108" customFormat="1">
      <c r="A296" s="37"/>
      <c r="B296" s="505" t="s">
        <v>336</v>
      </c>
      <c r="C296" s="101"/>
      <c r="D296" s="101"/>
      <c r="E296" s="101"/>
      <c r="F296" s="101"/>
      <c r="G296" s="101"/>
      <c r="H296" s="101"/>
      <c r="I296" s="101"/>
      <c r="J296" s="37"/>
      <c r="K296" s="37"/>
      <c r="L296" s="37"/>
      <c r="M296" s="37"/>
      <c r="N296" s="101"/>
      <c r="O296" s="37"/>
      <c r="P296" s="37"/>
      <c r="Q296" s="37"/>
      <c r="R296" s="37"/>
      <c r="S296" s="101"/>
      <c r="T296" s="37"/>
      <c r="U296" s="37"/>
      <c r="V296" s="37"/>
      <c r="W296" s="37"/>
      <c r="X296" s="101"/>
      <c r="Y296" s="37"/>
      <c r="Z296" s="37"/>
      <c r="AA296" s="37"/>
      <c r="AB296" s="37"/>
      <c r="AC296" s="101"/>
      <c r="AD296" s="37"/>
      <c r="AE296" s="37"/>
      <c r="AF296" s="37"/>
      <c r="AG296" s="37"/>
      <c r="AH296" s="101"/>
      <c r="AI296" s="37"/>
      <c r="AJ296" s="37"/>
      <c r="AK296" s="37"/>
      <c r="AL296" s="37"/>
      <c r="AM296" s="101"/>
      <c r="AN296" s="37"/>
      <c r="AO296" s="37"/>
      <c r="AP296" s="37"/>
      <c r="AQ296" s="37"/>
      <c r="AR296" s="101"/>
      <c r="AS296" s="37"/>
      <c r="AT296" s="37"/>
      <c r="AU296" s="37"/>
      <c r="AV296" s="37"/>
      <c r="AW296" s="27"/>
      <c r="AX296" s="68"/>
      <c r="AY296" s="68"/>
      <c r="AZ296" s="68"/>
      <c r="BA296" s="68"/>
      <c r="BB296" s="196"/>
      <c r="BC296" s="194"/>
      <c r="BD296" s="194"/>
      <c r="BE296" s="194"/>
      <c r="BF296" s="194"/>
      <c r="BG296" s="196"/>
      <c r="BH296" s="194"/>
      <c r="BI296" s="194"/>
      <c r="BJ296" s="194"/>
      <c r="BK296" s="194"/>
      <c r="BL296" s="196"/>
      <c r="BM296" s="194"/>
      <c r="BN296" s="194"/>
      <c r="BO296" s="194"/>
      <c r="BP296" s="194"/>
      <c r="BQ296" s="196"/>
      <c r="BR296" s="194"/>
      <c r="BS296" s="194"/>
      <c r="BT296" s="194"/>
      <c r="BU296" s="194"/>
      <c r="BV296" s="196"/>
      <c r="BW296" s="68"/>
      <c r="BX296" s="68"/>
      <c r="BY296" s="68"/>
      <c r="BZ296" s="68"/>
      <c r="CA296" s="196"/>
      <c r="CB296" s="68"/>
      <c r="CC296" s="68"/>
      <c r="CD296" s="68"/>
      <c r="CE296" s="68"/>
      <c r="CF296" s="196"/>
      <c r="CG296" s="68"/>
      <c r="CH296" s="68"/>
      <c r="CI296" s="68"/>
      <c r="CJ296" s="68"/>
      <c r="CK296" s="196"/>
      <c r="CL296" s="68"/>
      <c r="CM296" s="68"/>
      <c r="CN296" s="68"/>
      <c r="CO296" s="68"/>
      <c r="CP296" s="196"/>
      <c r="CQ296" s="68"/>
      <c r="CR296" s="68"/>
      <c r="CS296" s="68"/>
      <c r="CT296" s="68"/>
      <c r="CU296" s="196"/>
      <c r="CV296" s="68"/>
      <c r="CW296" s="68"/>
      <c r="CX296" s="68"/>
      <c r="CY296" s="68"/>
      <c r="CZ296" s="196"/>
      <c r="DA296" s="68"/>
      <c r="DB296" s="68"/>
      <c r="DC296" s="68"/>
      <c r="DD296" s="68"/>
      <c r="DE296" s="196"/>
      <c r="DF296" s="68"/>
      <c r="DG296" s="68"/>
      <c r="DH296" s="68"/>
      <c r="DI296" s="68"/>
      <c r="DJ296" s="196"/>
      <c r="DK296" s="68"/>
      <c r="DL296" s="68"/>
      <c r="DM296" s="68"/>
      <c r="DN296" s="68"/>
      <c r="DO296" s="196"/>
      <c r="DP296" s="68"/>
      <c r="DQ296" s="68"/>
      <c r="DR296" s="68"/>
      <c r="DS296" s="68"/>
      <c r="DT296" s="196"/>
      <c r="DU296" s="196"/>
      <c r="DV296" s="196"/>
    </row>
    <row r="297" spans="1:126" s="108" customFormat="1">
      <c r="A297" s="37"/>
      <c r="B297" s="505" t="s">
        <v>337</v>
      </c>
      <c r="C297" s="101"/>
      <c r="D297" s="101"/>
      <c r="E297" s="101"/>
      <c r="F297" s="101"/>
      <c r="G297" s="101"/>
      <c r="H297" s="101"/>
      <c r="I297" s="101"/>
      <c r="J297" s="37"/>
      <c r="K297" s="37"/>
      <c r="L297" s="37"/>
      <c r="M297" s="37"/>
      <c r="N297" s="101"/>
      <c r="O297" s="37"/>
      <c r="P297" s="37"/>
      <c r="Q297" s="37"/>
      <c r="R297" s="37"/>
      <c r="S297" s="101"/>
      <c r="T297" s="37"/>
      <c r="U297" s="37"/>
      <c r="V297" s="37"/>
      <c r="W297" s="37"/>
      <c r="X297" s="101"/>
      <c r="Y297" s="37"/>
      <c r="Z297" s="37"/>
      <c r="AA297" s="37"/>
      <c r="AB297" s="37"/>
      <c r="AC297" s="101"/>
      <c r="AD297" s="37"/>
      <c r="AE297" s="37"/>
      <c r="AF297" s="37"/>
      <c r="AG297" s="37"/>
      <c r="AH297" s="101"/>
      <c r="AI297" s="37"/>
      <c r="AJ297" s="37"/>
      <c r="AK297" s="37"/>
      <c r="AL297" s="37"/>
      <c r="AM297" s="101"/>
      <c r="AN297" s="37"/>
      <c r="AO297" s="37"/>
      <c r="AP297" s="37"/>
      <c r="AQ297" s="37"/>
      <c r="AR297" s="101"/>
      <c r="AS297" s="37"/>
      <c r="AT297" s="37"/>
      <c r="AU297" s="37"/>
      <c r="AV297" s="37"/>
      <c r="AW297" s="27"/>
      <c r="AX297" s="68"/>
      <c r="AY297" s="68"/>
      <c r="AZ297" s="68"/>
      <c r="BA297" s="68"/>
      <c r="BB297" s="196"/>
      <c r="BC297" s="194"/>
      <c r="BD297" s="194"/>
      <c r="BE297" s="194"/>
      <c r="BF297" s="194"/>
      <c r="BG297" s="196"/>
      <c r="BH297" s="194"/>
      <c r="BI297" s="194"/>
      <c r="BJ297" s="194"/>
      <c r="BK297" s="194"/>
      <c r="BL297" s="196"/>
      <c r="BM297" s="194"/>
      <c r="BN297" s="194"/>
      <c r="BO297" s="194"/>
      <c r="BP297" s="194"/>
      <c r="BQ297" s="196"/>
      <c r="BR297" s="194"/>
      <c r="BS297" s="194"/>
      <c r="BT297" s="194"/>
      <c r="BU297" s="194"/>
      <c r="BV297" s="196"/>
      <c r="BW297" s="68"/>
      <c r="BX297" s="68"/>
      <c r="BY297" s="68"/>
      <c r="BZ297" s="68"/>
      <c r="CA297" s="196"/>
      <c r="CB297" s="68"/>
      <c r="CC297" s="68"/>
      <c r="CD297" s="68"/>
      <c r="CE297" s="68"/>
      <c r="CF297" s="196"/>
      <c r="CG297" s="68"/>
      <c r="CH297" s="68"/>
      <c r="CI297" s="68"/>
      <c r="CJ297" s="68"/>
      <c r="CK297" s="196"/>
      <c r="CL297" s="68"/>
      <c r="CM297" s="68"/>
      <c r="CN297" s="68"/>
      <c r="CO297" s="68"/>
      <c r="CP297" s="196"/>
      <c r="CQ297" s="68"/>
      <c r="CR297" s="68"/>
      <c r="CS297" s="68"/>
      <c r="CT297" s="68"/>
      <c r="CU297" s="196"/>
      <c r="CV297" s="68"/>
      <c r="CW297" s="68"/>
      <c r="CX297" s="68"/>
      <c r="CY297" s="68"/>
      <c r="CZ297" s="196"/>
      <c r="DA297" s="68"/>
      <c r="DB297" s="68"/>
      <c r="DC297" s="68"/>
      <c r="DD297" s="68"/>
      <c r="DE297" s="196"/>
      <c r="DF297" s="68"/>
      <c r="DG297" s="68"/>
      <c r="DH297" s="68"/>
      <c r="DI297" s="68"/>
      <c r="DJ297" s="196"/>
      <c r="DK297" s="68"/>
      <c r="DL297" s="68"/>
      <c r="DM297" s="68"/>
      <c r="DN297" s="68"/>
      <c r="DO297" s="196"/>
      <c r="DP297" s="68"/>
      <c r="DQ297" s="68"/>
      <c r="DR297" s="68"/>
      <c r="DS297" s="68"/>
      <c r="DT297" s="196"/>
      <c r="DU297" s="196"/>
      <c r="DV297" s="196"/>
    </row>
    <row r="298" spans="1:126" s="108" customFormat="1">
      <c r="A298" s="37"/>
      <c r="B298" s="505" t="s">
        <v>338</v>
      </c>
      <c r="C298" s="101"/>
      <c r="D298" s="101"/>
      <c r="E298" s="101"/>
      <c r="F298" s="101"/>
      <c r="G298" s="101"/>
      <c r="H298" s="101"/>
      <c r="I298" s="101"/>
      <c r="J298" s="37"/>
      <c r="K298" s="37"/>
      <c r="L298" s="37"/>
      <c r="M298" s="37"/>
      <c r="N298" s="101"/>
      <c r="O298" s="37"/>
      <c r="P298" s="37"/>
      <c r="Q298" s="37"/>
      <c r="R298" s="37"/>
      <c r="S298" s="101"/>
      <c r="T298" s="37"/>
      <c r="U298" s="37"/>
      <c r="V298" s="37"/>
      <c r="W298" s="37"/>
      <c r="X298" s="101"/>
      <c r="Y298" s="37"/>
      <c r="Z298" s="37"/>
      <c r="AA298" s="37"/>
      <c r="AB298" s="37"/>
      <c r="AC298" s="101"/>
      <c r="AD298" s="37"/>
      <c r="AE298" s="37"/>
      <c r="AF298" s="37"/>
      <c r="AG298" s="37"/>
      <c r="AH298" s="101"/>
      <c r="AI298" s="37"/>
      <c r="AJ298" s="37"/>
      <c r="AK298" s="37"/>
      <c r="AL298" s="37"/>
      <c r="AM298" s="101"/>
      <c r="AN298" s="37"/>
      <c r="AO298" s="37"/>
      <c r="AP298" s="37"/>
      <c r="AQ298" s="37"/>
      <c r="AR298" s="101"/>
      <c r="AS298" s="37"/>
      <c r="AT298" s="37"/>
      <c r="AU298" s="37"/>
      <c r="AV298" s="37"/>
      <c r="AW298" s="27"/>
      <c r="AX298" s="68"/>
      <c r="AY298" s="68"/>
      <c r="AZ298" s="68"/>
      <c r="BA298" s="68"/>
      <c r="BB298" s="196"/>
      <c r="BC298" s="194"/>
      <c r="BD298" s="194"/>
      <c r="BE298" s="194"/>
      <c r="BF298" s="194"/>
      <c r="BG298" s="196"/>
      <c r="BH298" s="194"/>
      <c r="BI298" s="194"/>
      <c r="BJ298" s="194"/>
      <c r="BK298" s="194"/>
      <c r="BL298" s="196"/>
      <c r="BM298" s="194"/>
      <c r="BN298" s="194"/>
      <c r="BO298" s="194"/>
      <c r="BP298" s="194"/>
      <c r="BQ298" s="196"/>
      <c r="BR298" s="194"/>
      <c r="BS298" s="194"/>
      <c r="BT298" s="194"/>
      <c r="BU298" s="194"/>
      <c r="BV298" s="196"/>
      <c r="BW298" s="68"/>
      <c r="BX298" s="68"/>
      <c r="BY298" s="68"/>
      <c r="BZ298" s="68"/>
      <c r="CA298" s="196"/>
      <c r="CB298" s="68"/>
      <c r="CC298" s="68"/>
      <c r="CD298" s="68"/>
      <c r="CE298" s="68"/>
      <c r="CF298" s="196"/>
      <c r="CG298" s="68"/>
      <c r="CH298" s="68"/>
      <c r="CI298" s="68"/>
      <c r="CJ298" s="68"/>
      <c r="CK298" s="196"/>
      <c r="CL298" s="68"/>
      <c r="CM298" s="68"/>
      <c r="CN298" s="68"/>
      <c r="CO298" s="68"/>
      <c r="CP298" s="196"/>
      <c r="CQ298" s="68"/>
      <c r="CR298" s="68"/>
      <c r="CS298" s="68"/>
      <c r="CT298" s="68"/>
      <c r="CU298" s="196"/>
      <c r="CV298" s="68"/>
      <c r="CW298" s="68"/>
      <c r="CX298" s="68"/>
      <c r="CY298" s="68"/>
      <c r="CZ298" s="196"/>
      <c r="DA298" s="68"/>
      <c r="DB298" s="68"/>
      <c r="DC298" s="68"/>
      <c r="DD298" s="68"/>
      <c r="DE298" s="196"/>
      <c r="DF298" s="68"/>
      <c r="DG298" s="68"/>
      <c r="DH298" s="68"/>
      <c r="DI298" s="68"/>
      <c r="DJ298" s="196"/>
      <c r="DK298" s="68"/>
      <c r="DL298" s="68"/>
      <c r="DM298" s="68"/>
      <c r="DN298" s="68"/>
      <c r="DO298" s="196"/>
      <c r="DP298" s="68"/>
      <c r="DQ298" s="68"/>
      <c r="DR298" s="68"/>
      <c r="DS298" s="68"/>
      <c r="DT298" s="196"/>
      <c r="DU298" s="196"/>
      <c r="DV298" s="196"/>
    </row>
    <row r="299" spans="1:126" s="108" customFormat="1">
      <c r="A299" s="37"/>
      <c r="B299" s="505" t="s">
        <v>339</v>
      </c>
      <c r="C299" s="101"/>
      <c r="D299" s="101"/>
      <c r="E299" s="101"/>
      <c r="F299" s="101"/>
      <c r="G299" s="101"/>
      <c r="H299" s="101"/>
      <c r="I299" s="101"/>
      <c r="J299" s="37"/>
      <c r="K299" s="37"/>
      <c r="L299" s="37"/>
      <c r="M299" s="37"/>
      <c r="N299" s="101"/>
      <c r="O299" s="37"/>
      <c r="P299" s="37"/>
      <c r="Q299" s="37"/>
      <c r="R299" s="37"/>
      <c r="S299" s="101"/>
      <c r="T299" s="37"/>
      <c r="U299" s="37"/>
      <c r="V299" s="37"/>
      <c r="W299" s="37"/>
      <c r="X299" s="101"/>
      <c r="Y299" s="37"/>
      <c r="Z299" s="37"/>
      <c r="AA299" s="37"/>
      <c r="AB299" s="37"/>
      <c r="AC299" s="101"/>
      <c r="AD299" s="37"/>
      <c r="AE299" s="37"/>
      <c r="AF299" s="37"/>
      <c r="AG299" s="37"/>
      <c r="AH299" s="101"/>
      <c r="AI299" s="37"/>
      <c r="AJ299" s="37"/>
      <c r="AK299" s="37"/>
      <c r="AL299" s="37"/>
      <c r="AM299" s="101"/>
      <c r="AN299" s="37"/>
      <c r="AO299" s="37"/>
      <c r="AP299" s="37"/>
      <c r="AQ299" s="37"/>
      <c r="AR299" s="101"/>
      <c r="AS299" s="37"/>
      <c r="AT299" s="37"/>
      <c r="AU299" s="37"/>
      <c r="AV299" s="37"/>
      <c r="AW299" s="27"/>
      <c r="AX299" s="68"/>
      <c r="AY299" s="68"/>
      <c r="AZ299" s="68"/>
      <c r="BA299" s="68"/>
      <c r="BB299" s="196"/>
      <c r="BC299" s="194"/>
      <c r="BD299" s="194"/>
      <c r="BE299" s="194"/>
      <c r="BF299" s="194"/>
      <c r="BG299" s="196"/>
      <c r="BH299" s="194"/>
      <c r="BI299" s="194"/>
      <c r="BJ299" s="194"/>
      <c r="BK299" s="194"/>
      <c r="BL299" s="196"/>
      <c r="BM299" s="194"/>
      <c r="BN299" s="194"/>
      <c r="BO299" s="194"/>
      <c r="BP299" s="194"/>
      <c r="BQ299" s="196"/>
      <c r="BR299" s="194"/>
      <c r="BS299" s="194"/>
      <c r="BT299" s="194"/>
      <c r="BU299" s="194"/>
      <c r="BV299" s="196"/>
      <c r="BW299" s="68"/>
      <c r="BX299" s="68"/>
      <c r="BY299" s="68"/>
      <c r="BZ299" s="68"/>
      <c r="CA299" s="196"/>
      <c r="CB299" s="68"/>
      <c r="CC299" s="68"/>
      <c r="CD299" s="68"/>
      <c r="CE299" s="68"/>
      <c r="CF299" s="196"/>
      <c r="CG299" s="68"/>
      <c r="CH299" s="68"/>
      <c r="CI299" s="68"/>
      <c r="CJ299" s="68"/>
      <c r="CK299" s="196"/>
      <c r="CL299" s="68"/>
      <c r="CM299" s="68"/>
      <c r="CN299" s="68"/>
      <c r="CO299" s="68"/>
      <c r="CP299" s="196"/>
      <c r="CQ299" s="68"/>
      <c r="CR299" s="68"/>
      <c r="CS299" s="68"/>
      <c r="CT299" s="68"/>
      <c r="CU299" s="196"/>
      <c r="CV299" s="68"/>
      <c r="CW299" s="68"/>
      <c r="CX299" s="68"/>
      <c r="CY299" s="68"/>
      <c r="CZ299" s="196"/>
      <c r="DA299" s="68"/>
      <c r="DB299" s="68"/>
      <c r="DC299" s="68"/>
      <c r="DD299" s="68"/>
      <c r="DE299" s="196"/>
      <c r="DF299" s="68"/>
      <c r="DG299" s="68"/>
      <c r="DH299" s="68"/>
      <c r="DI299" s="68"/>
      <c r="DJ299" s="196"/>
      <c r="DK299" s="68"/>
      <c r="DL299" s="68"/>
      <c r="DM299" s="68"/>
      <c r="DN299" s="68"/>
      <c r="DO299" s="196"/>
      <c r="DP299" s="68"/>
      <c r="DQ299" s="68"/>
      <c r="DR299" s="68"/>
      <c r="DS299" s="68"/>
      <c r="DT299" s="196"/>
      <c r="DU299" s="196"/>
      <c r="DV299" s="196"/>
    </row>
    <row r="300" spans="1:126" s="108" customFormat="1">
      <c r="A300" s="37"/>
      <c r="B300" s="505" t="s">
        <v>340</v>
      </c>
      <c r="C300" s="101"/>
      <c r="D300" s="101"/>
      <c r="E300" s="101"/>
      <c r="F300" s="101"/>
      <c r="G300" s="101"/>
      <c r="H300" s="101"/>
      <c r="I300" s="101"/>
      <c r="J300" s="37"/>
      <c r="K300" s="37"/>
      <c r="L300" s="37"/>
      <c r="M300" s="37"/>
      <c r="N300" s="101"/>
      <c r="O300" s="37"/>
      <c r="P300" s="37"/>
      <c r="Q300" s="37"/>
      <c r="R300" s="37"/>
      <c r="S300" s="101"/>
      <c r="T300" s="37"/>
      <c r="U300" s="37"/>
      <c r="V300" s="37"/>
      <c r="W300" s="37"/>
      <c r="X300" s="101"/>
      <c r="Y300" s="37"/>
      <c r="Z300" s="37"/>
      <c r="AA300" s="37"/>
      <c r="AB300" s="37"/>
      <c r="AC300" s="101"/>
      <c r="AD300" s="37"/>
      <c r="AE300" s="37"/>
      <c r="AF300" s="37"/>
      <c r="AG300" s="37"/>
      <c r="AH300" s="101"/>
      <c r="AI300" s="37"/>
      <c r="AJ300" s="37"/>
      <c r="AK300" s="37"/>
      <c r="AL300" s="37"/>
      <c r="AM300" s="101"/>
      <c r="AN300" s="37"/>
      <c r="AO300" s="37"/>
      <c r="AP300" s="37"/>
      <c r="AQ300" s="37"/>
      <c r="AR300" s="101"/>
      <c r="AS300" s="37"/>
      <c r="AT300" s="37"/>
      <c r="AU300" s="37"/>
      <c r="AV300" s="37"/>
      <c r="AW300" s="27"/>
      <c r="AX300" s="68"/>
      <c r="AY300" s="68"/>
      <c r="AZ300" s="68"/>
      <c r="BA300" s="68"/>
      <c r="BB300" s="196"/>
      <c r="BC300" s="194"/>
      <c r="BD300" s="194"/>
      <c r="BE300" s="194"/>
      <c r="BF300" s="194"/>
      <c r="BG300" s="196"/>
      <c r="BH300" s="194"/>
      <c r="BI300" s="194"/>
      <c r="BJ300" s="194"/>
      <c r="BK300" s="194"/>
      <c r="BL300" s="196"/>
      <c r="BM300" s="194"/>
      <c r="BN300" s="194"/>
      <c r="BO300" s="194"/>
      <c r="BP300" s="194"/>
      <c r="BQ300" s="196"/>
      <c r="BR300" s="194"/>
      <c r="BS300" s="194"/>
      <c r="BT300" s="194"/>
      <c r="BU300" s="194"/>
      <c r="BV300" s="196"/>
      <c r="BW300" s="68"/>
      <c r="BX300" s="68"/>
      <c r="BY300" s="68"/>
      <c r="BZ300" s="68"/>
      <c r="CA300" s="196"/>
      <c r="CB300" s="68"/>
      <c r="CC300" s="68"/>
      <c r="CD300" s="68"/>
      <c r="CE300" s="68"/>
      <c r="CF300" s="196"/>
      <c r="CG300" s="68"/>
      <c r="CH300" s="68"/>
      <c r="CI300" s="68"/>
      <c r="CJ300" s="68"/>
      <c r="CK300" s="196"/>
      <c r="CL300" s="68"/>
      <c r="CM300" s="68"/>
      <c r="CN300" s="68"/>
      <c r="CO300" s="68"/>
      <c r="CP300" s="196"/>
      <c r="CQ300" s="68"/>
      <c r="CR300" s="68"/>
      <c r="CS300" s="68"/>
      <c r="CT300" s="68"/>
      <c r="CU300" s="196"/>
      <c r="CV300" s="68"/>
      <c r="CW300" s="68"/>
      <c r="CX300" s="68"/>
      <c r="CY300" s="68"/>
      <c r="CZ300" s="196"/>
      <c r="DA300" s="68"/>
      <c r="DB300" s="68"/>
      <c r="DC300" s="68"/>
      <c r="DD300" s="68"/>
      <c r="DE300" s="196"/>
      <c r="DF300" s="68"/>
      <c r="DG300" s="68"/>
      <c r="DH300" s="68"/>
      <c r="DI300" s="68"/>
      <c r="DJ300" s="196"/>
      <c r="DK300" s="68"/>
      <c r="DL300" s="68"/>
      <c r="DM300" s="68"/>
      <c r="DN300" s="68"/>
      <c r="DO300" s="196"/>
      <c r="DP300" s="68"/>
      <c r="DQ300" s="68"/>
      <c r="DR300" s="68"/>
      <c r="DS300" s="68"/>
      <c r="DT300" s="196"/>
      <c r="DU300" s="196"/>
      <c r="DV300" s="196"/>
    </row>
    <row r="301" spans="1:126" s="108" customFormat="1">
      <c r="A301" s="37"/>
      <c r="B301" s="505" t="s">
        <v>341</v>
      </c>
      <c r="C301" s="101"/>
      <c r="D301" s="101"/>
      <c r="E301" s="101"/>
      <c r="F301" s="101"/>
      <c r="G301" s="101"/>
      <c r="H301" s="101"/>
      <c r="I301" s="101"/>
      <c r="J301" s="37"/>
      <c r="K301" s="37"/>
      <c r="L301" s="37"/>
      <c r="M301" s="37"/>
      <c r="N301" s="101"/>
      <c r="O301" s="37"/>
      <c r="P301" s="37"/>
      <c r="Q301" s="37"/>
      <c r="R301" s="37"/>
      <c r="S301" s="101"/>
      <c r="T301" s="37"/>
      <c r="U301" s="37"/>
      <c r="V301" s="37"/>
      <c r="W301" s="37"/>
      <c r="X301" s="101"/>
      <c r="Y301" s="37"/>
      <c r="Z301" s="37"/>
      <c r="AA301" s="37"/>
      <c r="AB301" s="37"/>
      <c r="AC301" s="101"/>
      <c r="AD301" s="37"/>
      <c r="AE301" s="37"/>
      <c r="AF301" s="37"/>
      <c r="AG301" s="37"/>
      <c r="AH301" s="101"/>
      <c r="AI301" s="37"/>
      <c r="AJ301" s="37"/>
      <c r="AK301" s="37"/>
      <c r="AL301" s="37"/>
      <c r="AM301" s="101"/>
      <c r="AN301" s="37"/>
      <c r="AO301" s="37"/>
      <c r="AP301" s="37"/>
      <c r="AQ301" s="37"/>
      <c r="AR301" s="101"/>
      <c r="AS301" s="37"/>
      <c r="AT301" s="37"/>
      <c r="AU301" s="37"/>
      <c r="AV301" s="37"/>
      <c r="AW301" s="27"/>
      <c r="AX301" s="68"/>
      <c r="AY301" s="68"/>
      <c r="AZ301" s="68"/>
      <c r="BA301" s="68"/>
      <c r="BB301" s="196"/>
      <c r="BC301" s="194"/>
      <c r="BD301" s="194"/>
      <c r="BE301" s="194"/>
      <c r="BF301" s="194"/>
      <c r="BG301" s="196"/>
      <c r="BH301" s="194"/>
      <c r="BI301" s="194"/>
      <c r="BJ301" s="194"/>
      <c r="BK301" s="194"/>
      <c r="BL301" s="196"/>
      <c r="BM301" s="194"/>
      <c r="BN301" s="194"/>
      <c r="BO301" s="194"/>
      <c r="BP301" s="194"/>
      <c r="BQ301" s="196"/>
      <c r="BR301" s="194"/>
      <c r="BS301" s="194"/>
      <c r="BT301" s="194"/>
      <c r="BU301" s="194"/>
      <c r="BV301" s="196"/>
      <c r="BW301" s="68"/>
      <c r="BX301" s="68"/>
      <c r="BY301" s="68"/>
      <c r="BZ301" s="68"/>
      <c r="CA301" s="196"/>
      <c r="CB301" s="68"/>
      <c r="CC301" s="68"/>
      <c r="CD301" s="68"/>
      <c r="CE301" s="68"/>
      <c r="CF301" s="196"/>
      <c r="CG301" s="68"/>
      <c r="CH301" s="68"/>
      <c r="CI301" s="68"/>
      <c r="CJ301" s="68"/>
      <c r="CK301" s="196"/>
      <c r="CL301" s="68"/>
      <c r="CM301" s="68"/>
      <c r="CN301" s="68"/>
      <c r="CO301" s="68"/>
      <c r="CP301" s="196"/>
      <c r="CQ301" s="68"/>
      <c r="CR301" s="68"/>
      <c r="CS301" s="68"/>
      <c r="CT301" s="68"/>
      <c r="CU301" s="196"/>
      <c r="CV301" s="68"/>
      <c r="CW301" s="68"/>
      <c r="CX301" s="68"/>
      <c r="CY301" s="68"/>
      <c r="CZ301" s="196"/>
      <c r="DA301" s="68"/>
      <c r="DB301" s="68"/>
      <c r="DC301" s="68"/>
      <c r="DD301" s="68"/>
      <c r="DE301" s="196"/>
      <c r="DF301" s="68"/>
      <c r="DG301" s="68"/>
      <c r="DH301" s="68"/>
      <c r="DI301" s="68"/>
      <c r="DJ301" s="196"/>
      <c r="DK301" s="68"/>
      <c r="DL301" s="68"/>
      <c r="DM301" s="68"/>
      <c r="DN301" s="68"/>
      <c r="DO301" s="196"/>
      <c r="DP301" s="68"/>
      <c r="DQ301" s="68"/>
      <c r="DR301" s="68"/>
      <c r="DS301" s="68"/>
      <c r="DT301" s="196"/>
      <c r="DU301" s="196"/>
      <c r="DV301" s="196"/>
    </row>
    <row r="302" spans="1:126" s="108" customFormat="1">
      <c r="A302" s="37"/>
      <c r="B302" s="505" t="s">
        <v>342</v>
      </c>
      <c r="C302" s="101"/>
      <c r="D302" s="101"/>
      <c r="E302" s="101"/>
      <c r="F302" s="101"/>
      <c r="G302" s="101"/>
      <c r="H302" s="101"/>
      <c r="I302" s="101"/>
      <c r="J302" s="37"/>
      <c r="K302" s="37"/>
      <c r="L302" s="37"/>
      <c r="M302" s="37"/>
      <c r="N302" s="101"/>
      <c r="O302" s="37"/>
      <c r="P302" s="37"/>
      <c r="Q302" s="37"/>
      <c r="R302" s="37"/>
      <c r="S302" s="101"/>
      <c r="T302" s="37"/>
      <c r="U302" s="37"/>
      <c r="V302" s="37"/>
      <c r="W302" s="37"/>
      <c r="X302" s="101"/>
      <c r="Y302" s="37"/>
      <c r="Z302" s="37"/>
      <c r="AA302" s="37"/>
      <c r="AB302" s="37"/>
      <c r="AC302" s="101"/>
      <c r="AD302" s="37"/>
      <c r="AE302" s="37"/>
      <c r="AF302" s="37"/>
      <c r="AG302" s="37"/>
      <c r="AH302" s="101"/>
      <c r="AI302" s="37"/>
      <c r="AJ302" s="37"/>
      <c r="AK302" s="37"/>
      <c r="AL302" s="37"/>
      <c r="AM302" s="101"/>
      <c r="AN302" s="37"/>
      <c r="AO302" s="37"/>
      <c r="AP302" s="37"/>
      <c r="AQ302" s="37"/>
      <c r="AR302" s="101"/>
      <c r="AS302" s="37"/>
      <c r="AT302" s="37"/>
      <c r="AU302" s="37"/>
      <c r="AV302" s="37"/>
      <c r="AW302" s="27"/>
      <c r="AX302" s="68"/>
      <c r="AY302" s="68"/>
      <c r="AZ302" s="68"/>
      <c r="BA302" s="68"/>
      <c r="BB302" s="196"/>
      <c r="BC302" s="194"/>
      <c r="BD302" s="194"/>
      <c r="BE302" s="194"/>
      <c r="BF302" s="194"/>
      <c r="BG302" s="196"/>
      <c r="BH302" s="194"/>
      <c r="BI302" s="194"/>
      <c r="BJ302" s="194"/>
      <c r="BK302" s="194"/>
      <c r="BL302" s="196"/>
      <c r="BM302" s="194"/>
      <c r="BN302" s="194"/>
      <c r="BO302" s="194"/>
      <c r="BP302" s="194"/>
      <c r="BQ302" s="196"/>
      <c r="BR302" s="194"/>
      <c r="BS302" s="194"/>
      <c r="BT302" s="194"/>
      <c r="BU302" s="194"/>
      <c r="BV302" s="196"/>
      <c r="BW302" s="68"/>
      <c r="BX302" s="68"/>
      <c r="BY302" s="68"/>
      <c r="BZ302" s="68"/>
      <c r="CA302" s="196"/>
      <c r="CB302" s="68"/>
      <c r="CC302" s="68"/>
      <c r="CD302" s="68"/>
      <c r="CE302" s="68"/>
      <c r="CF302" s="196"/>
      <c r="CG302" s="68"/>
      <c r="CH302" s="68"/>
      <c r="CI302" s="68"/>
      <c r="CJ302" s="68"/>
      <c r="CK302" s="196"/>
      <c r="CL302" s="68"/>
      <c r="CM302" s="68"/>
      <c r="CN302" s="68"/>
      <c r="CO302" s="68"/>
      <c r="CP302" s="196"/>
      <c r="CQ302" s="68"/>
      <c r="CR302" s="68"/>
      <c r="CS302" s="68"/>
      <c r="CT302" s="68"/>
      <c r="CU302" s="196"/>
      <c r="CV302" s="68"/>
      <c r="CW302" s="68"/>
      <c r="CX302" s="68"/>
      <c r="CY302" s="68"/>
      <c r="CZ302" s="196"/>
      <c r="DA302" s="68"/>
      <c r="DB302" s="68"/>
      <c r="DC302" s="68"/>
      <c r="DD302" s="68"/>
      <c r="DE302" s="196"/>
      <c r="DF302" s="68"/>
      <c r="DG302" s="68"/>
      <c r="DH302" s="68"/>
      <c r="DI302" s="68"/>
      <c r="DJ302" s="196"/>
      <c r="DK302" s="68"/>
      <c r="DL302" s="68"/>
      <c r="DM302" s="68"/>
      <c r="DN302" s="68"/>
      <c r="DO302" s="196"/>
      <c r="DP302" s="68"/>
      <c r="DQ302" s="68"/>
      <c r="DR302" s="68"/>
      <c r="DS302" s="68"/>
      <c r="DT302" s="196"/>
      <c r="DU302" s="196"/>
      <c r="DV302" s="196"/>
    </row>
    <row r="303" spans="1:126" s="108" customFormat="1">
      <c r="A303" s="37"/>
      <c r="B303" s="505" t="s">
        <v>343</v>
      </c>
      <c r="C303" s="101"/>
      <c r="D303" s="101"/>
      <c r="E303" s="101"/>
      <c r="F303" s="101"/>
      <c r="G303" s="101"/>
      <c r="H303" s="101"/>
      <c r="I303" s="101"/>
      <c r="J303" s="37"/>
      <c r="K303" s="37"/>
      <c r="L303" s="37"/>
      <c r="M303" s="37"/>
      <c r="N303" s="101"/>
      <c r="O303" s="37"/>
      <c r="P303" s="37"/>
      <c r="Q303" s="37"/>
      <c r="R303" s="37"/>
      <c r="S303" s="101"/>
      <c r="T303" s="37"/>
      <c r="U303" s="37"/>
      <c r="V303" s="37"/>
      <c r="W303" s="37"/>
      <c r="X303" s="101"/>
      <c r="Y303" s="37"/>
      <c r="Z303" s="37"/>
      <c r="AA303" s="37"/>
      <c r="AB303" s="37"/>
      <c r="AC303" s="101"/>
      <c r="AD303" s="37"/>
      <c r="AE303" s="37"/>
      <c r="AF303" s="37"/>
      <c r="AG303" s="37"/>
      <c r="AH303" s="101"/>
      <c r="AI303" s="37"/>
      <c r="AJ303" s="37"/>
      <c r="AK303" s="37"/>
      <c r="AL303" s="37"/>
      <c r="AM303" s="101"/>
      <c r="AN303" s="37"/>
      <c r="AO303" s="37"/>
      <c r="AP303" s="37"/>
      <c r="AQ303" s="37"/>
      <c r="AR303" s="101"/>
      <c r="AS303" s="37"/>
      <c r="AT303" s="37"/>
      <c r="AU303" s="37"/>
      <c r="AV303" s="37"/>
      <c r="AW303" s="27"/>
      <c r="AX303" s="68"/>
      <c r="AY303" s="68"/>
      <c r="AZ303" s="68"/>
      <c r="BA303" s="68"/>
      <c r="BB303" s="196"/>
      <c r="BC303" s="194"/>
      <c r="BD303" s="194"/>
      <c r="BE303" s="194"/>
      <c r="BF303" s="194"/>
      <c r="BG303" s="196"/>
      <c r="BH303" s="194"/>
      <c r="BI303" s="194"/>
      <c r="BJ303" s="194"/>
      <c r="BK303" s="194"/>
      <c r="BL303" s="196"/>
      <c r="BM303" s="194"/>
      <c r="BN303" s="194"/>
      <c r="BO303" s="194"/>
      <c r="BP303" s="194"/>
      <c r="BQ303" s="196"/>
      <c r="BR303" s="194"/>
      <c r="BS303" s="194"/>
      <c r="BT303" s="194"/>
      <c r="BU303" s="194"/>
      <c r="BV303" s="196"/>
      <c r="BW303" s="68"/>
      <c r="BX303" s="68"/>
      <c r="BY303" s="68"/>
      <c r="BZ303" s="68"/>
      <c r="CA303" s="196"/>
      <c r="CB303" s="68"/>
      <c r="CC303" s="68"/>
      <c r="CD303" s="68"/>
      <c r="CE303" s="68"/>
      <c r="CF303" s="196"/>
      <c r="CG303" s="68"/>
      <c r="CH303" s="68"/>
      <c r="CI303" s="68"/>
      <c r="CJ303" s="68"/>
      <c r="CK303" s="196"/>
      <c r="CL303" s="68"/>
      <c r="CM303" s="68"/>
      <c r="CN303" s="68"/>
      <c r="CO303" s="68"/>
      <c r="CP303" s="196"/>
      <c r="CQ303" s="68"/>
      <c r="CR303" s="68"/>
      <c r="CS303" s="68"/>
      <c r="CT303" s="68"/>
      <c r="CU303" s="196"/>
      <c r="CV303" s="68"/>
      <c r="CW303" s="68"/>
      <c r="CX303" s="68"/>
      <c r="CY303" s="68"/>
      <c r="CZ303" s="196"/>
      <c r="DA303" s="68"/>
      <c r="DB303" s="68"/>
      <c r="DC303" s="68"/>
      <c r="DD303" s="68"/>
      <c r="DE303" s="196"/>
      <c r="DF303" s="68"/>
      <c r="DG303" s="68"/>
      <c r="DH303" s="68"/>
      <c r="DI303" s="68"/>
      <c r="DJ303" s="196"/>
      <c r="DK303" s="68"/>
      <c r="DL303" s="68"/>
      <c r="DM303" s="68"/>
      <c r="DN303" s="68"/>
      <c r="DO303" s="196"/>
      <c r="DP303" s="68"/>
      <c r="DQ303" s="68"/>
      <c r="DR303" s="68"/>
      <c r="DS303" s="68"/>
      <c r="DT303" s="196"/>
      <c r="DU303" s="196"/>
      <c r="DV303" s="196"/>
    </row>
    <row r="304" spans="1:126" s="108" customFormat="1">
      <c r="A304" s="37"/>
      <c r="B304" s="505" t="s">
        <v>344</v>
      </c>
      <c r="C304" s="101"/>
      <c r="D304" s="101"/>
      <c r="E304" s="101"/>
      <c r="F304" s="101"/>
      <c r="G304" s="101"/>
      <c r="H304" s="101"/>
      <c r="I304" s="101"/>
      <c r="J304" s="37"/>
      <c r="K304" s="37"/>
      <c r="L304" s="37"/>
      <c r="M304" s="37"/>
      <c r="N304" s="101"/>
      <c r="O304" s="37"/>
      <c r="P304" s="37"/>
      <c r="Q304" s="37"/>
      <c r="R304" s="37"/>
      <c r="S304" s="101"/>
      <c r="T304" s="37"/>
      <c r="U304" s="37"/>
      <c r="V304" s="37"/>
      <c r="W304" s="37"/>
      <c r="X304" s="101"/>
      <c r="Y304" s="37"/>
      <c r="Z304" s="37"/>
      <c r="AA304" s="37"/>
      <c r="AB304" s="37"/>
      <c r="AC304" s="101"/>
      <c r="AD304" s="37"/>
      <c r="AE304" s="37"/>
      <c r="AF304" s="37"/>
      <c r="AG304" s="37"/>
      <c r="AH304" s="101"/>
      <c r="AI304" s="37"/>
      <c r="AJ304" s="37"/>
      <c r="AK304" s="37"/>
      <c r="AL304" s="37"/>
      <c r="AM304" s="101"/>
      <c r="AN304" s="37"/>
      <c r="AO304" s="37"/>
      <c r="AP304" s="37"/>
      <c r="AQ304" s="37"/>
      <c r="AR304" s="101"/>
      <c r="AS304" s="37"/>
      <c r="AT304" s="37"/>
      <c r="AU304" s="37"/>
      <c r="AV304" s="37"/>
      <c r="AW304" s="27"/>
      <c r="AX304" s="68"/>
      <c r="AY304" s="68"/>
      <c r="AZ304" s="68"/>
      <c r="BA304" s="68"/>
      <c r="BB304" s="196"/>
      <c r="BC304" s="194"/>
      <c r="BD304" s="194"/>
      <c r="BE304" s="194"/>
      <c r="BF304" s="194"/>
      <c r="BG304" s="196"/>
      <c r="BH304" s="194"/>
      <c r="BI304" s="194"/>
      <c r="BJ304" s="194"/>
      <c r="BK304" s="194"/>
      <c r="BL304" s="196"/>
      <c r="BM304" s="194"/>
      <c r="BN304" s="194"/>
      <c r="BO304" s="194"/>
      <c r="BP304" s="194"/>
      <c r="BQ304" s="196"/>
      <c r="BR304" s="194"/>
      <c r="BS304" s="194"/>
      <c r="BT304" s="194"/>
      <c r="BU304" s="194"/>
      <c r="BV304" s="196"/>
      <c r="BW304" s="68"/>
      <c r="BX304" s="68"/>
      <c r="BY304" s="68"/>
      <c r="BZ304" s="68"/>
      <c r="CA304" s="196"/>
      <c r="CB304" s="68"/>
      <c r="CC304" s="68"/>
      <c r="CD304" s="68"/>
      <c r="CE304" s="68"/>
      <c r="CF304" s="196"/>
      <c r="CG304" s="68"/>
      <c r="CH304" s="68"/>
      <c r="CI304" s="68"/>
      <c r="CJ304" s="68"/>
      <c r="CK304" s="196"/>
      <c r="CL304" s="68"/>
      <c r="CM304" s="68"/>
      <c r="CN304" s="68"/>
      <c r="CO304" s="68"/>
      <c r="CP304" s="196"/>
      <c r="CQ304" s="68"/>
      <c r="CR304" s="68"/>
      <c r="CS304" s="68"/>
      <c r="CT304" s="68"/>
      <c r="CU304" s="196"/>
      <c r="CV304" s="68"/>
      <c r="CW304" s="68"/>
      <c r="CX304" s="68"/>
      <c r="CY304" s="68"/>
      <c r="CZ304" s="196"/>
      <c r="DA304" s="68"/>
      <c r="DB304" s="68"/>
      <c r="DC304" s="68"/>
      <c r="DD304" s="68"/>
      <c r="DE304" s="196"/>
      <c r="DF304" s="68"/>
      <c r="DG304" s="68"/>
      <c r="DH304" s="68"/>
      <c r="DI304" s="68"/>
      <c r="DJ304" s="196"/>
      <c r="DK304" s="68"/>
      <c r="DL304" s="68"/>
      <c r="DM304" s="68"/>
      <c r="DN304" s="68"/>
      <c r="DO304" s="196"/>
      <c r="DP304" s="68"/>
      <c r="DQ304" s="68"/>
      <c r="DR304" s="68"/>
      <c r="DS304" s="68"/>
      <c r="DT304" s="196"/>
      <c r="DU304" s="196"/>
      <c r="DV304" s="196"/>
    </row>
    <row r="305" spans="1:126" s="108" customFormat="1">
      <c r="A305" s="37"/>
      <c r="B305" s="505" t="s">
        <v>345</v>
      </c>
      <c r="C305" s="101"/>
      <c r="D305" s="101"/>
      <c r="E305" s="101"/>
      <c r="F305" s="101"/>
      <c r="G305" s="101"/>
      <c r="H305" s="101"/>
      <c r="I305" s="101"/>
      <c r="J305" s="37"/>
      <c r="K305" s="37"/>
      <c r="L305" s="37"/>
      <c r="M305" s="37"/>
      <c r="N305" s="101"/>
      <c r="O305" s="37"/>
      <c r="P305" s="37"/>
      <c r="Q305" s="37"/>
      <c r="R305" s="37"/>
      <c r="S305" s="101"/>
      <c r="T305" s="37"/>
      <c r="U305" s="37"/>
      <c r="V305" s="37"/>
      <c r="W305" s="37"/>
      <c r="X305" s="101"/>
      <c r="Y305" s="37"/>
      <c r="Z305" s="37"/>
      <c r="AA305" s="37"/>
      <c r="AB305" s="37"/>
      <c r="AC305" s="101"/>
      <c r="AD305" s="37"/>
      <c r="AE305" s="37"/>
      <c r="AF305" s="37"/>
      <c r="AG305" s="37"/>
      <c r="AH305" s="101"/>
      <c r="AI305" s="37"/>
      <c r="AJ305" s="37"/>
      <c r="AK305" s="37"/>
      <c r="AL305" s="37"/>
      <c r="AM305" s="101"/>
      <c r="AN305" s="37"/>
      <c r="AO305" s="37"/>
      <c r="AP305" s="37"/>
      <c r="AQ305" s="37"/>
      <c r="AR305" s="101"/>
      <c r="AS305" s="37"/>
      <c r="AT305" s="37"/>
      <c r="AU305" s="37"/>
      <c r="AV305" s="37"/>
      <c r="AW305" s="27"/>
      <c r="AX305" s="68"/>
      <c r="AY305" s="68"/>
      <c r="AZ305" s="68"/>
      <c r="BA305" s="68"/>
      <c r="BB305" s="196"/>
      <c r="BC305" s="194"/>
      <c r="BD305" s="194"/>
      <c r="BE305" s="194"/>
      <c r="BF305" s="194"/>
      <c r="BG305" s="196"/>
      <c r="BH305" s="194"/>
      <c r="BI305" s="194"/>
      <c r="BJ305" s="194"/>
      <c r="BK305" s="194"/>
      <c r="BL305" s="196"/>
      <c r="BM305" s="194"/>
      <c r="BN305" s="194"/>
      <c r="BO305" s="194"/>
      <c r="BP305" s="194"/>
      <c r="BQ305" s="196"/>
      <c r="BR305" s="194"/>
      <c r="BS305" s="194"/>
      <c r="BT305" s="194"/>
      <c r="BU305" s="194"/>
      <c r="BV305" s="196"/>
      <c r="BW305" s="68"/>
      <c r="BX305" s="68"/>
      <c r="BY305" s="68"/>
      <c r="BZ305" s="68"/>
      <c r="CA305" s="196"/>
      <c r="CB305" s="68"/>
      <c r="CC305" s="68"/>
      <c r="CD305" s="68"/>
      <c r="CE305" s="68"/>
      <c r="CF305" s="196"/>
      <c r="CG305" s="68"/>
      <c r="CH305" s="68"/>
      <c r="CI305" s="68"/>
      <c r="CJ305" s="68"/>
      <c r="CK305" s="196"/>
      <c r="CL305" s="68"/>
      <c r="CM305" s="68"/>
      <c r="CN305" s="68"/>
      <c r="CO305" s="68"/>
      <c r="CP305" s="196"/>
      <c r="CQ305" s="68"/>
      <c r="CR305" s="68"/>
      <c r="CS305" s="68"/>
      <c r="CT305" s="68"/>
      <c r="CU305" s="196"/>
      <c r="CV305" s="68"/>
      <c r="CW305" s="68"/>
      <c r="CX305" s="68"/>
      <c r="CY305" s="68"/>
      <c r="CZ305" s="196"/>
      <c r="DA305" s="68"/>
      <c r="DB305" s="68"/>
      <c r="DC305" s="68"/>
      <c r="DD305" s="68"/>
      <c r="DE305" s="196"/>
      <c r="DF305" s="68"/>
      <c r="DG305" s="68"/>
      <c r="DH305" s="68"/>
      <c r="DI305" s="68"/>
      <c r="DJ305" s="196"/>
      <c r="DK305" s="68"/>
      <c r="DL305" s="68"/>
      <c r="DM305" s="68"/>
      <c r="DN305" s="68"/>
      <c r="DO305" s="196"/>
      <c r="DP305" s="68"/>
      <c r="DQ305" s="68"/>
      <c r="DR305" s="68"/>
      <c r="DS305" s="68"/>
      <c r="DT305" s="196"/>
      <c r="DU305" s="196"/>
      <c r="DV305" s="196"/>
    </row>
    <row r="306" spans="1:126" s="108" customFormat="1">
      <c r="A306" s="37"/>
      <c r="B306" s="505" t="s">
        <v>346</v>
      </c>
      <c r="C306" s="101"/>
      <c r="D306" s="101"/>
      <c r="E306" s="101"/>
      <c r="F306" s="101"/>
      <c r="G306" s="101"/>
      <c r="H306" s="101"/>
      <c r="I306" s="101"/>
      <c r="J306" s="37"/>
      <c r="K306" s="37"/>
      <c r="L306" s="37"/>
      <c r="M306" s="37"/>
      <c r="N306" s="101"/>
      <c r="O306" s="37"/>
      <c r="P306" s="37"/>
      <c r="Q306" s="37"/>
      <c r="R306" s="37"/>
      <c r="S306" s="101"/>
      <c r="T306" s="37"/>
      <c r="U306" s="37"/>
      <c r="V306" s="37"/>
      <c r="W306" s="37"/>
      <c r="X306" s="101"/>
      <c r="Y306" s="37"/>
      <c r="Z306" s="37"/>
      <c r="AA306" s="37"/>
      <c r="AB306" s="37"/>
      <c r="AC306" s="101"/>
      <c r="AD306" s="37"/>
      <c r="AE306" s="37"/>
      <c r="AF306" s="37"/>
      <c r="AG306" s="37"/>
      <c r="AH306" s="101"/>
      <c r="AI306" s="37"/>
      <c r="AJ306" s="37"/>
      <c r="AK306" s="37"/>
      <c r="AL306" s="37"/>
      <c r="AM306" s="101"/>
      <c r="AN306" s="37"/>
      <c r="AO306" s="37"/>
      <c r="AP306" s="37"/>
      <c r="AQ306" s="37"/>
      <c r="AR306" s="101"/>
      <c r="AS306" s="37"/>
      <c r="AT306" s="37"/>
      <c r="AU306" s="37"/>
      <c r="AV306" s="37"/>
      <c r="AW306" s="27"/>
      <c r="AX306" s="68"/>
      <c r="AY306" s="68"/>
      <c r="AZ306" s="68"/>
      <c r="BA306" s="68"/>
      <c r="BB306" s="196"/>
      <c r="BC306" s="194"/>
      <c r="BD306" s="194"/>
      <c r="BE306" s="194"/>
      <c r="BF306" s="194"/>
      <c r="BG306" s="196"/>
      <c r="BH306" s="194"/>
      <c r="BI306" s="194"/>
      <c r="BJ306" s="194"/>
      <c r="BK306" s="194"/>
      <c r="BL306" s="196"/>
      <c r="BM306" s="194"/>
      <c r="BN306" s="194"/>
      <c r="BO306" s="194"/>
      <c r="BP306" s="194"/>
      <c r="BQ306" s="196"/>
      <c r="BR306" s="194"/>
      <c r="BS306" s="194"/>
      <c r="BT306" s="194"/>
      <c r="BU306" s="194"/>
      <c r="BV306" s="196"/>
      <c r="BW306" s="68"/>
      <c r="BX306" s="68"/>
      <c r="BY306" s="68"/>
      <c r="BZ306" s="68"/>
      <c r="CA306" s="196"/>
      <c r="CB306" s="68"/>
      <c r="CC306" s="68"/>
      <c r="CD306" s="68"/>
      <c r="CE306" s="68"/>
      <c r="CF306" s="196"/>
      <c r="CG306" s="68"/>
      <c r="CH306" s="68"/>
      <c r="CI306" s="68"/>
      <c r="CJ306" s="68"/>
      <c r="CK306" s="196"/>
      <c r="CL306" s="68"/>
      <c r="CM306" s="68"/>
      <c r="CN306" s="68"/>
      <c r="CO306" s="68"/>
      <c r="CP306" s="196"/>
      <c r="CQ306" s="68"/>
      <c r="CR306" s="68"/>
      <c r="CS306" s="68"/>
      <c r="CT306" s="68"/>
      <c r="CU306" s="196"/>
      <c r="CV306" s="68"/>
      <c r="CW306" s="68"/>
      <c r="CX306" s="68"/>
      <c r="CY306" s="68"/>
      <c r="CZ306" s="196"/>
      <c r="DA306" s="68"/>
      <c r="DB306" s="68"/>
      <c r="DC306" s="68"/>
      <c r="DD306" s="68"/>
      <c r="DE306" s="196"/>
      <c r="DF306" s="68"/>
      <c r="DG306" s="68"/>
      <c r="DH306" s="68"/>
      <c r="DI306" s="68"/>
      <c r="DJ306" s="196"/>
      <c r="DK306" s="68"/>
      <c r="DL306" s="68"/>
      <c r="DM306" s="68"/>
      <c r="DN306" s="68"/>
      <c r="DO306" s="196"/>
      <c r="DP306" s="68"/>
      <c r="DQ306" s="68"/>
      <c r="DR306" s="68"/>
      <c r="DS306" s="68"/>
      <c r="DT306" s="196"/>
      <c r="DU306" s="196"/>
      <c r="DV306" s="196"/>
    </row>
    <row r="307" spans="1:126" s="108" customFormat="1">
      <c r="A307" s="37"/>
      <c r="B307" s="505" t="s">
        <v>347</v>
      </c>
      <c r="C307" s="101"/>
      <c r="D307" s="101"/>
      <c r="E307" s="101"/>
      <c r="F307" s="101"/>
      <c r="G307" s="101"/>
      <c r="H307" s="101"/>
      <c r="I307" s="101"/>
      <c r="J307" s="37"/>
      <c r="K307" s="37"/>
      <c r="L307" s="37"/>
      <c r="M307" s="37"/>
      <c r="N307" s="101"/>
      <c r="O307" s="37"/>
      <c r="P307" s="37"/>
      <c r="Q307" s="37"/>
      <c r="R307" s="37"/>
      <c r="S307" s="101"/>
      <c r="T307" s="37"/>
      <c r="U307" s="37"/>
      <c r="V307" s="37"/>
      <c r="W307" s="37"/>
      <c r="X307" s="101"/>
      <c r="Y307" s="37"/>
      <c r="Z307" s="37"/>
      <c r="AA307" s="37"/>
      <c r="AB307" s="37"/>
      <c r="AC307" s="101"/>
      <c r="AD307" s="37"/>
      <c r="AE307" s="37"/>
      <c r="AF307" s="37"/>
      <c r="AG307" s="37"/>
      <c r="AH307" s="101"/>
      <c r="AI307" s="37"/>
      <c r="AJ307" s="37"/>
      <c r="AK307" s="37"/>
      <c r="AL307" s="37"/>
      <c r="AM307" s="101"/>
      <c r="AN307" s="37"/>
      <c r="AO307" s="37"/>
      <c r="AP307" s="37"/>
      <c r="AQ307" s="37"/>
      <c r="AR307" s="101"/>
      <c r="AS307" s="37"/>
      <c r="AT307" s="37"/>
      <c r="AU307" s="37"/>
      <c r="AV307" s="37"/>
      <c r="AW307" s="27"/>
      <c r="AX307" s="68"/>
      <c r="AY307" s="68"/>
      <c r="AZ307" s="68"/>
      <c r="BA307" s="68"/>
      <c r="BB307" s="196"/>
      <c r="BC307" s="194"/>
      <c r="BD307" s="194"/>
      <c r="BE307" s="194"/>
      <c r="BF307" s="194"/>
      <c r="BG307" s="196"/>
      <c r="BH307" s="194"/>
      <c r="BI307" s="194"/>
      <c r="BJ307" s="194"/>
      <c r="BK307" s="194"/>
      <c r="BL307" s="196"/>
      <c r="BM307" s="194"/>
      <c r="BN307" s="194"/>
      <c r="BO307" s="194"/>
      <c r="BP307" s="194"/>
      <c r="BQ307" s="196"/>
      <c r="BR307" s="194"/>
      <c r="BS307" s="194"/>
      <c r="BT307" s="194"/>
      <c r="BU307" s="194"/>
      <c r="BV307" s="196"/>
      <c r="BW307" s="68"/>
      <c r="BX307" s="68"/>
      <c r="BY307" s="68"/>
      <c r="BZ307" s="68"/>
      <c r="CA307" s="196"/>
      <c r="CB307" s="68"/>
      <c r="CC307" s="68"/>
      <c r="CD307" s="68"/>
      <c r="CE307" s="68"/>
      <c r="CF307" s="196"/>
      <c r="CG307" s="68"/>
      <c r="CH307" s="68"/>
      <c r="CI307" s="68"/>
      <c r="CJ307" s="68"/>
      <c r="CK307" s="196"/>
      <c r="CL307" s="68"/>
      <c r="CM307" s="68"/>
      <c r="CN307" s="68"/>
      <c r="CO307" s="68"/>
      <c r="CP307" s="196"/>
      <c r="CQ307" s="68"/>
      <c r="CR307" s="68"/>
      <c r="CS307" s="68"/>
      <c r="CT307" s="68"/>
      <c r="CU307" s="196"/>
      <c r="CV307" s="68"/>
      <c r="CW307" s="68"/>
      <c r="CX307" s="68"/>
      <c r="CY307" s="68"/>
      <c r="CZ307" s="196"/>
      <c r="DA307" s="68"/>
      <c r="DB307" s="68"/>
      <c r="DC307" s="68"/>
      <c r="DD307" s="68"/>
      <c r="DE307" s="196"/>
      <c r="DF307" s="68"/>
      <c r="DG307" s="68"/>
      <c r="DH307" s="68"/>
      <c r="DI307" s="68"/>
      <c r="DJ307" s="196"/>
      <c r="DK307" s="68"/>
      <c r="DL307" s="68"/>
      <c r="DM307" s="68"/>
      <c r="DN307" s="68"/>
      <c r="DO307" s="196"/>
      <c r="DP307" s="68"/>
      <c r="DQ307" s="68"/>
      <c r="DR307" s="68"/>
      <c r="DS307" s="68"/>
      <c r="DT307" s="196"/>
      <c r="DU307" s="196"/>
      <c r="DV307" s="196"/>
    </row>
    <row r="308" spans="1:126" s="108" customFormat="1">
      <c r="A308" s="37"/>
      <c r="B308" s="505" t="s">
        <v>348</v>
      </c>
      <c r="C308" s="101"/>
      <c r="D308" s="101"/>
      <c r="E308" s="101"/>
      <c r="F308" s="101"/>
      <c r="G308" s="101"/>
      <c r="H308" s="101"/>
      <c r="I308" s="101"/>
      <c r="J308" s="37"/>
      <c r="K308" s="37"/>
      <c r="L308" s="37"/>
      <c r="M308" s="37"/>
      <c r="N308" s="101"/>
      <c r="O308" s="37"/>
      <c r="P308" s="37"/>
      <c r="Q308" s="37"/>
      <c r="R308" s="37"/>
      <c r="S308" s="101"/>
      <c r="T308" s="37"/>
      <c r="U308" s="37"/>
      <c r="V308" s="37"/>
      <c r="W308" s="37"/>
      <c r="X308" s="101"/>
      <c r="Y308" s="37"/>
      <c r="Z308" s="37"/>
      <c r="AA308" s="37"/>
      <c r="AB308" s="37"/>
      <c r="AC308" s="101"/>
      <c r="AD308" s="37"/>
      <c r="AE308" s="37"/>
      <c r="AF308" s="37"/>
      <c r="AG308" s="37"/>
      <c r="AH308" s="101"/>
      <c r="AI308" s="37"/>
      <c r="AJ308" s="37"/>
      <c r="AK308" s="37"/>
      <c r="AL308" s="37"/>
      <c r="AM308" s="101"/>
      <c r="AN308" s="37"/>
      <c r="AO308" s="37"/>
      <c r="AP308" s="37"/>
      <c r="AQ308" s="37"/>
      <c r="AR308" s="101"/>
      <c r="AS308" s="37"/>
      <c r="AT308" s="37"/>
      <c r="AU308" s="37"/>
      <c r="AV308" s="37"/>
      <c r="AW308" s="27"/>
      <c r="AX308" s="68"/>
      <c r="AY308" s="68"/>
      <c r="AZ308" s="68"/>
      <c r="BA308" s="68"/>
      <c r="BB308" s="196"/>
      <c r="BC308" s="194"/>
      <c r="BD308" s="194"/>
      <c r="BE308" s="194"/>
      <c r="BF308" s="194"/>
      <c r="BG308" s="196"/>
      <c r="BH308" s="194"/>
      <c r="BI308" s="194"/>
      <c r="BJ308" s="194"/>
      <c r="BK308" s="194"/>
      <c r="BL308" s="196"/>
      <c r="BM308" s="194"/>
      <c r="BN308" s="194"/>
      <c r="BO308" s="194"/>
      <c r="BP308" s="194"/>
      <c r="BQ308" s="196"/>
      <c r="BR308" s="194"/>
      <c r="BS308" s="194"/>
      <c r="BT308" s="194"/>
      <c r="BU308" s="194"/>
      <c r="BV308" s="196"/>
      <c r="BW308" s="68"/>
      <c r="BX308" s="68"/>
      <c r="BY308" s="68"/>
      <c r="BZ308" s="68"/>
      <c r="CA308" s="196"/>
      <c r="CB308" s="68"/>
      <c r="CC308" s="68"/>
      <c r="CD308" s="68"/>
      <c r="CE308" s="68"/>
      <c r="CF308" s="196"/>
      <c r="CG308" s="68"/>
      <c r="CH308" s="68"/>
      <c r="CI308" s="68"/>
      <c r="CJ308" s="68"/>
      <c r="CK308" s="196"/>
      <c r="CL308" s="68"/>
      <c r="CM308" s="68"/>
      <c r="CN308" s="68"/>
      <c r="CO308" s="68"/>
      <c r="CP308" s="196"/>
      <c r="CQ308" s="68"/>
      <c r="CR308" s="68"/>
      <c r="CS308" s="68"/>
      <c r="CT308" s="68"/>
      <c r="CU308" s="196"/>
      <c r="CV308" s="68"/>
      <c r="CW308" s="68"/>
      <c r="CX308" s="68"/>
      <c r="CY308" s="68"/>
      <c r="CZ308" s="196"/>
      <c r="DA308" s="68"/>
      <c r="DB308" s="68"/>
      <c r="DC308" s="68"/>
      <c r="DD308" s="68"/>
      <c r="DE308" s="196"/>
      <c r="DF308" s="68"/>
      <c r="DG308" s="68"/>
      <c r="DH308" s="68"/>
      <c r="DI308" s="68"/>
      <c r="DJ308" s="196"/>
      <c r="DK308" s="68"/>
      <c r="DL308" s="68"/>
      <c r="DM308" s="68"/>
      <c r="DN308" s="68"/>
      <c r="DO308" s="196"/>
      <c r="DP308" s="68"/>
      <c r="DQ308" s="68"/>
      <c r="DR308" s="68"/>
      <c r="DS308" s="68"/>
      <c r="DT308" s="196"/>
      <c r="DU308" s="196"/>
      <c r="DV308" s="196"/>
    </row>
    <row r="309" spans="1:126" s="108" customFormat="1">
      <c r="A309" s="37"/>
      <c r="B309" s="505" t="s">
        <v>349</v>
      </c>
      <c r="C309" s="101"/>
      <c r="D309" s="101"/>
      <c r="E309" s="101"/>
      <c r="F309" s="101"/>
      <c r="G309" s="101"/>
      <c r="H309" s="101"/>
      <c r="I309" s="101"/>
      <c r="J309" s="37"/>
      <c r="K309" s="37"/>
      <c r="L309" s="37"/>
      <c r="M309" s="37"/>
      <c r="N309" s="101"/>
      <c r="O309" s="37"/>
      <c r="P309" s="37"/>
      <c r="Q309" s="37"/>
      <c r="R309" s="37"/>
      <c r="S309" s="101"/>
      <c r="T309" s="37"/>
      <c r="U309" s="37"/>
      <c r="V309" s="37"/>
      <c r="W309" s="37"/>
      <c r="X309" s="101"/>
      <c r="Y309" s="37"/>
      <c r="Z309" s="37"/>
      <c r="AA309" s="37"/>
      <c r="AB309" s="37"/>
      <c r="AC309" s="101"/>
      <c r="AD309" s="37"/>
      <c r="AE309" s="37"/>
      <c r="AF309" s="37"/>
      <c r="AG309" s="37"/>
      <c r="AH309" s="101"/>
      <c r="AI309" s="37"/>
      <c r="AJ309" s="37"/>
      <c r="AK309" s="37"/>
      <c r="AL309" s="37"/>
      <c r="AM309" s="101"/>
      <c r="AN309" s="37"/>
      <c r="AO309" s="37"/>
      <c r="AP309" s="37"/>
      <c r="AQ309" s="37"/>
      <c r="AR309" s="101"/>
      <c r="AS309" s="37"/>
      <c r="AT309" s="37"/>
      <c r="AU309" s="37"/>
      <c r="AV309" s="37"/>
      <c r="AW309" s="27"/>
      <c r="AX309" s="68"/>
      <c r="AY309" s="68"/>
      <c r="AZ309" s="68"/>
      <c r="BA309" s="68"/>
      <c r="BB309" s="196"/>
      <c r="BC309" s="194"/>
      <c r="BD309" s="194"/>
      <c r="BE309" s="194"/>
      <c r="BF309" s="194"/>
      <c r="BG309" s="196"/>
      <c r="BH309" s="194"/>
      <c r="BI309" s="194"/>
      <c r="BJ309" s="194"/>
      <c r="BK309" s="194"/>
      <c r="BL309" s="196"/>
      <c r="BM309" s="194"/>
      <c r="BN309" s="194"/>
      <c r="BO309" s="194"/>
      <c r="BP309" s="194"/>
      <c r="BQ309" s="196"/>
      <c r="BR309" s="194"/>
      <c r="BS309" s="194"/>
      <c r="BT309" s="194"/>
      <c r="BU309" s="194"/>
      <c r="BV309" s="196"/>
      <c r="BW309" s="68"/>
      <c r="BX309" s="68"/>
      <c r="BY309" s="68"/>
      <c r="BZ309" s="68"/>
      <c r="CA309" s="196"/>
      <c r="CB309" s="68"/>
      <c r="CC309" s="68"/>
      <c r="CD309" s="68"/>
      <c r="CE309" s="68"/>
      <c r="CF309" s="196"/>
      <c r="CG309" s="68"/>
      <c r="CH309" s="68"/>
      <c r="CI309" s="68"/>
      <c r="CJ309" s="68"/>
      <c r="CK309" s="196"/>
      <c r="CL309" s="68"/>
      <c r="CM309" s="68"/>
      <c r="CN309" s="68"/>
      <c r="CO309" s="68"/>
      <c r="CP309" s="196"/>
      <c r="CQ309" s="68"/>
      <c r="CR309" s="68"/>
      <c r="CS309" s="68"/>
      <c r="CT309" s="68"/>
      <c r="CU309" s="196"/>
      <c r="CV309" s="68"/>
      <c r="CW309" s="68"/>
      <c r="CX309" s="68"/>
      <c r="CY309" s="68"/>
      <c r="CZ309" s="196"/>
      <c r="DA309" s="68"/>
      <c r="DB309" s="68"/>
      <c r="DC309" s="68"/>
      <c r="DD309" s="68"/>
      <c r="DE309" s="196"/>
      <c r="DF309" s="68"/>
      <c r="DG309" s="68"/>
      <c r="DH309" s="68"/>
      <c r="DI309" s="68"/>
      <c r="DJ309" s="196"/>
      <c r="DK309" s="68"/>
      <c r="DL309" s="68"/>
      <c r="DM309" s="68"/>
      <c r="DN309" s="68"/>
      <c r="DO309" s="196"/>
      <c r="DP309" s="68"/>
      <c r="DQ309" s="68"/>
      <c r="DR309" s="68"/>
      <c r="DS309" s="68"/>
      <c r="DT309" s="196"/>
      <c r="DU309" s="196"/>
      <c r="DV309" s="196"/>
    </row>
    <row r="310" spans="1:126" s="108" customFormat="1">
      <c r="A310" s="37"/>
      <c r="B310" s="505" t="s">
        <v>350</v>
      </c>
      <c r="C310" s="101"/>
      <c r="D310" s="101"/>
      <c r="E310" s="101"/>
      <c r="F310" s="101"/>
      <c r="G310" s="101"/>
      <c r="H310" s="101"/>
      <c r="I310" s="101"/>
      <c r="J310" s="37"/>
      <c r="K310" s="37"/>
      <c r="L310" s="37"/>
      <c r="M310" s="37"/>
      <c r="N310" s="101"/>
      <c r="O310" s="37"/>
      <c r="P310" s="37"/>
      <c r="Q310" s="37"/>
      <c r="R310" s="37"/>
      <c r="S310" s="101"/>
      <c r="T310" s="37"/>
      <c r="U310" s="37"/>
      <c r="V310" s="37"/>
      <c r="W310" s="37"/>
      <c r="X310" s="101"/>
      <c r="Y310" s="37"/>
      <c r="Z310" s="37"/>
      <c r="AA310" s="37"/>
      <c r="AB310" s="37"/>
      <c r="AC310" s="101"/>
      <c r="AD310" s="37"/>
      <c r="AE310" s="37"/>
      <c r="AF310" s="37"/>
      <c r="AG310" s="37"/>
      <c r="AH310" s="101"/>
      <c r="AI310" s="37"/>
      <c r="AJ310" s="37"/>
      <c r="AK310" s="37"/>
      <c r="AL310" s="37"/>
      <c r="AM310" s="101"/>
      <c r="AN310" s="37"/>
      <c r="AO310" s="37"/>
      <c r="AP310" s="37"/>
      <c r="AQ310" s="37"/>
      <c r="AR310" s="101"/>
      <c r="AS310" s="37"/>
      <c r="AT310" s="37"/>
      <c r="AU310" s="37"/>
      <c r="AV310" s="37"/>
      <c r="AW310" s="27"/>
      <c r="AX310" s="68"/>
      <c r="AY310" s="68"/>
      <c r="AZ310" s="68"/>
      <c r="BA310" s="68"/>
      <c r="BB310" s="196"/>
      <c r="BC310" s="194"/>
      <c r="BD310" s="194"/>
      <c r="BE310" s="194"/>
      <c r="BF310" s="194"/>
      <c r="BG310" s="196"/>
      <c r="BH310" s="194"/>
      <c r="BI310" s="194"/>
      <c r="BJ310" s="194"/>
      <c r="BK310" s="194"/>
      <c r="BL310" s="196"/>
      <c r="BM310" s="194"/>
      <c r="BN310" s="194"/>
      <c r="BO310" s="194"/>
      <c r="BP310" s="194"/>
      <c r="BQ310" s="196"/>
      <c r="BR310" s="194"/>
      <c r="BS310" s="194"/>
      <c r="BT310" s="194"/>
      <c r="BU310" s="194"/>
      <c r="BV310" s="196"/>
      <c r="BW310" s="68"/>
      <c r="BX310" s="68"/>
      <c r="BY310" s="68"/>
      <c r="BZ310" s="68"/>
      <c r="CA310" s="196"/>
      <c r="CB310" s="68"/>
      <c r="CC310" s="68"/>
      <c r="CD310" s="68"/>
      <c r="CE310" s="68"/>
      <c r="CF310" s="196"/>
      <c r="CG310" s="68"/>
      <c r="CH310" s="68"/>
      <c r="CI310" s="68"/>
      <c r="CJ310" s="68"/>
      <c r="CK310" s="196"/>
      <c r="CL310" s="68"/>
      <c r="CM310" s="68"/>
      <c r="CN310" s="68"/>
      <c r="CO310" s="68"/>
      <c r="CP310" s="196"/>
      <c r="CQ310" s="68"/>
      <c r="CR310" s="68"/>
      <c r="CS310" s="68"/>
      <c r="CT310" s="68"/>
      <c r="CU310" s="196"/>
      <c r="CV310" s="68"/>
      <c r="CW310" s="68"/>
      <c r="CX310" s="68"/>
      <c r="CY310" s="68"/>
      <c r="CZ310" s="196"/>
      <c r="DA310" s="68"/>
      <c r="DB310" s="68"/>
      <c r="DC310" s="68"/>
      <c r="DD310" s="68"/>
      <c r="DE310" s="196"/>
      <c r="DF310" s="68"/>
      <c r="DG310" s="68"/>
      <c r="DH310" s="68"/>
      <c r="DI310" s="68"/>
      <c r="DJ310" s="196"/>
      <c r="DK310" s="68"/>
      <c r="DL310" s="68"/>
      <c r="DM310" s="68"/>
      <c r="DN310" s="68"/>
      <c r="DO310" s="196"/>
      <c r="DP310" s="68"/>
      <c r="DQ310" s="68"/>
      <c r="DR310" s="68"/>
      <c r="DS310" s="68"/>
      <c r="DT310" s="196"/>
      <c r="DU310" s="196"/>
      <c r="DV310" s="196"/>
    </row>
    <row r="311" spans="1:126" s="108" customFormat="1">
      <c r="A311" s="37"/>
      <c r="B311" s="505" t="s">
        <v>351</v>
      </c>
      <c r="C311" s="101"/>
      <c r="D311" s="101"/>
      <c r="E311" s="101"/>
      <c r="F311" s="101"/>
      <c r="G311" s="101"/>
      <c r="H311" s="101"/>
      <c r="I311" s="101"/>
      <c r="J311" s="37"/>
      <c r="K311" s="37"/>
      <c r="L311" s="37"/>
      <c r="M311" s="37"/>
      <c r="N311" s="101"/>
      <c r="O311" s="37"/>
      <c r="P311" s="37"/>
      <c r="Q311" s="37"/>
      <c r="R311" s="37"/>
      <c r="S311" s="101"/>
      <c r="T311" s="37"/>
      <c r="U311" s="37"/>
      <c r="V311" s="37"/>
      <c r="W311" s="37"/>
      <c r="X311" s="101"/>
      <c r="Y311" s="37"/>
      <c r="Z311" s="37"/>
      <c r="AA311" s="37"/>
      <c r="AB311" s="37"/>
      <c r="AC311" s="101"/>
      <c r="AD311" s="37"/>
      <c r="AE311" s="37"/>
      <c r="AF311" s="37"/>
      <c r="AG311" s="37"/>
      <c r="AH311" s="101"/>
      <c r="AI311" s="37"/>
      <c r="AJ311" s="37"/>
      <c r="AK311" s="37"/>
      <c r="AL311" s="37"/>
      <c r="AM311" s="101"/>
      <c r="AN311" s="37"/>
      <c r="AO311" s="37"/>
      <c r="AP311" s="37"/>
      <c r="AQ311" s="37"/>
      <c r="AR311" s="101"/>
      <c r="AS311" s="37"/>
      <c r="AT311" s="37"/>
      <c r="AU311" s="37"/>
      <c r="AV311" s="37"/>
      <c r="AW311" s="27"/>
      <c r="AX311" s="68"/>
      <c r="AY311" s="68"/>
      <c r="AZ311" s="68"/>
      <c r="BA311" s="68"/>
      <c r="BB311" s="196"/>
      <c r="BC311" s="194"/>
      <c r="BD311" s="194"/>
      <c r="BE311" s="194"/>
      <c r="BF311" s="194"/>
      <c r="BG311" s="196"/>
      <c r="BH311" s="194"/>
      <c r="BI311" s="194"/>
      <c r="BJ311" s="194"/>
      <c r="BK311" s="194"/>
      <c r="BL311" s="196"/>
      <c r="BM311" s="194"/>
      <c r="BN311" s="194"/>
      <c r="BO311" s="194"/>
      <c r="BP311" s="194"/>
      <c r="BQ311" s="196"/>
      <c r="BR311" s="194"/>
      <c r="BS311" s="194"/>
      <c r="BT311" s="194"/>
      <c r="BU311" s="194"/>
      <c r="BV311" s="196"/>
      <c r="BW311" s="68"/>
      <c r="BX311" s="68"/>
      <c r="BY311" s="68"/>
      <c r="BZ311" s="68"/>
      <c r="CA311" s="196"/>
      <c r="CB311" s="68"/>
      <c r="CC311" s="68"/>
      <c r="CD311" s="68"/>
      <c r="CE311" s="68"/>
      <c r="CF311" s="196"/>
      <c r="CG311" s="68"/>
      <c r="CH311" s="68"/>
      <c r="CI311" s="68"/>
      <c r="CJ311" s="68"/>
      <c r="CK311" s="196"/>
      <c r="CL311" s="68"/>
      <c r="CM311" s="68"/>
      <c r="CN311" s="68"/>
      <c r="CO311" s="68"/>
      <c r="CP311" s="196"/>
      <c r="CQ311" s="68"/>
      <c r="CR311" s="68"/>
      <c r="CS311" s="68"/>
      <c r="CT311" s="68"/>
      <c r="CU311" s="196"/>
      <c r="CV311" s="68"/>
      <c r="CW311" s="68"/>
      <c r="CX311" s="68"/>
      <c r="CY311" s="68"/>
      <c r="CZ311" s="196"/>
      <c r="DA311" s="68"/>
      <c r="DB311" s="68"/>
      <c r="DC311" s="68"/>
      <c r="DD311" s="68"/>
      <c r="DE311" s="196"/>
      <c r="DF311" s="68"/>
      <c r="DG311" s="68"/>
      <c r="DH311" s="68"/>
      <c r="DI311" s="68"/>
      <c r="DJ311" s="196"/>
      <c r="DK311" s="68"/>
      <c r="DL311" s="68"/>
      <c r="DM311" s="68"/>
      <c r="DN311" s="68"/>
      <c r="DO311" s="196"/>
      <c r="DP311" s="68"/>
      <c r="DQ311" s="68"/>
      <c r="DR311" s="68"/>
      <c r="DS311" s="68"/>
      <c r="DT311" s="196"/>
      <c r="DU311" s="196"/>
      <c r="DV311" s="196"/>
    </row>
    <row r="312" spans="1:126" s="108" customFormat="1">
      <c r="A312" s="37"/>
      <c r="B312" s="505" t="s">
        <v>352</v>
      </c>
      <c r="C312" s="101"/>
      <c r="D312" s="101"/>
      <c r="E312" s="101"/>
      <c r="F312" s="101"/>
      <c r="G312" s="101"/>
      <c r="H312" s="101"/>
      <c r="I312" s="101"/>
      <c r="J312" s="37"/>
      <c r="K312" s="37"/>
      <c r="L312" s="37"/>
      <c r="M312" s="37"/>
      <c r="N312" s="101"/>
      <c r="O312" s="37"/>
      <c r="P312" s="37"/>
      <c r="Q312" s="37"/>
      <c r="R312" s="37"/>
      <c r="S312" s="101"/>
      <c r="T312" s="37"/>
      <c r="U312" s="37"/>
      <c r="V312" s="37"/>
      <c r="W312" s="37"/>
      <c r="X312" s="101"/>
      <c r="Y312" s="37"/>
      <c r="Z312" s="37"/>
      <c r="AA312" s="37"/>
      <c r="AB312" s="37"/>
      <c r="AC312" s="101"/>
      <c r="AD312" s="37"/>
      <c r="AE312" s="37"/>
      <c r="AF312" s="37"/>
      <c r="AG312" s="37"/>
      <c r="AH312" s="101"/>
      <c r="AI312" s="37"/>
      <c r="AJ312" s="37"/>
      <c r="AK312" s="37"/>
      <c r="AL312" s="37"/>
      <c r="AM312" s="101"/>
      <c r="AN312" s="37"/>
      <c r="AO312" s="37"/>
      <c r="AP312" s="37"/>
      <c r="AQ312" s="37"/>
      <c r="AR312" s="101"/>
      <c r="AS312" s="37"/>
      <c r="AT312" s="37"/>
      <c r="AU312" s="37"/>
      <c r="AV312" s="37"/>
      <c r="AW312" s="27"/>
      <c r="AX312" s="68"/>
      <c r="AY312" s="68"/>
      <c r="AZ312" s="68"/>
      <c r="BA312" s="68"/>
      <c r="BB312" s="196"/>
      <c r="BC312" s="194"/>
      <c r="BD312" s="194"/>
      <c r="BE312" s="194"/>
      <c r="BF312" s="194"/>
      <c r="BG312" s="196"/>
      <c r="BH312" s="194"/>
      <c r="BI312" s="194"/>
      <c r="BJ312" s="194"/>
      <c r="BK312" s="194"/>
      <c r="BL312" s="196"/>
      <c r="BM312" s="194"/>
      <c r="BN312" s="194"/>
      <c r="BO312" s="194"/>
      <c r="BP312" s="194"/>
      <c r="BQ312" s="196"/>
      <c r="BR312" s="194"/>
      <c r="BS312" s="194"/>
      <c r="BT312" s="194"/>
      <c r="BU312" s="194"/>
      <c r="BV312" s="196"/>
      <c r="BW312" s="68"/>
      <c r="BX312" s="68"/>
      <c r="BY312" s="68"/>
      <c r="BZ312" s="68"/>
      <c r="CA312" s="196"/>
      <c r="CB312" s="68"/>
      <c r="CC312" s="68"/>
      <c r="CD312" s="68"/>
      <c r="CE312" s="68"/>
      <c r="CF312" s="196"/>
      <c r="CG312" s="68"/>
      <c r="CH312" s="68"/>
      <c r="CI312" s="68"/>
      <c r="CJ312" s="68"/>
      <c r="CK312" s="196"/>
      <c r="CL312" s="68"/>
      <c r="CM312" s="68"/>
      <c r="CN312" s="68"/>
      <c r="CO312" s="68"/>
      <c r="CP312" s="196"/>
      <c r="CQ312" s="68"/>
      <c r="CR312" s="68"/>
      <c r="CS312" s="68"/>
      <c r="CT312" s="68"/>
      <c r="CU312" s="196"/>
      <c r="CV312" s="68"/>
      <c r="CW312" s="68"/>
      <c r="CX312" s="68"/>
      <c r="CY312" s="68"/>
      <c r="CZ312" s="196"/>
      <c r="DA312" s="68"/>
      <c r="DB312" s="68"/>
      <c r="DC312" s="68"/>
      <c r="DD312" s="68"/>
      <c r="DE312" s="196"/>
      <c r="DF312" s="68"/>
      <c r="DG312" s="68"/>
      <c r="DH312" s="68"/>
      <c r="DI312" s="68"/>
      <c r="DJ312" s="196"/>
      <c r="DK312" s="68"/>
      <c r="DL312" s="68"/>
      <c r="DM312" s="68"/>
      <c r="DN312" s="68"/>
      <c r="DO312" s="196"/>
      <c r="DP312" s="68"/>
      <c r="DQ312" s="68"/>
      <c r="DR312" s="68"/>
      <c r="DS312" s="68"/>
      <c r="DT312" s="196"/>
      <c r="DU312" s="196"/>
      <c r="DV312" s="196"/>
    </row>
    <row r="313" spans="1:126" s="108" customFormat="1">
      <c r="A313" s="37"/>
      <c r="B313" s="505" t="s">
        <v>353</v>
      </c>
      <c r="C313" s="101"/>
      <c r="D313" s="101"/>
      <c r="E313" s="101"/>
      <c r="F313" s="101"/>
      <c r="G313" s="101"/>
      <c r="H313" s="101"/>
      <c r="I313" s="101"/>
      <c r="J313" s="37"/>
      <c r="K313" s="37"/>
      <c r="L313" s="37"/>
      <c r="M313" s="37"/>
      <c r="N313" s="101"/>
      <c r="O313" s="37"/>
      <c r="P313" s="37"/>
      <c r="Q313" s="37"/>
      <c r="R313" s="37"/>
      <c r="S313" s="101"/>
      <c r="T313" s="37"/>
      <c r="U313" s="37"/>
      <c r="V313" s="37"/>
      <c r="W313" s="37"/>
      <c r="X313" s="101"/>
      <c r="Y313" s="37"/>
      <c r="Z313" s="37"/>
      <c r="AA313" s="37"/>
      <c r="AB313" s="37"/>
      <c r="AC313" s="101"/>
      <c r="AD313" s="37"/>
      <c r="AE313" s="37"/>
      <c r="AF313" s="37"/>
      <c r="AG313" s="37"/>
      <c r="AH313" s="101"/>
      <c r="AI313" s="37"/>
      <c r="AJ313" s="37"/>
      <c r="AK313" s="37"/>
      <c r="AL313" s="37"/>
      <c r="AM313" s="101"/>
      <c r="AN313" s="37"/>
      <c r="AO313" s="37"/>
      <c r="AP313" s="37"/>
      <c r="AQ313" s="37"/>
      <c r="AR313" s="101"/>
      <c r="AS313" s="37"/>
      <c r="AT313" s="37"/>
      <c r="AU313" s="37"/>
      <c r="AV313" s="37"/>
      <c r="AW313" s="27"/>
      <c r="AX313" s="68"/>
      <c r="AY313" s="68"/>
      <c r="AZ313" s="68"/>
      <c r="BA313" s="68"/>
      <c r="BB313" s="196"/>
      <c r="BC313" s="194"/>
      <c r="BD313" s="194"/>
      <c r="BE313" s="194"/>
      <c r="BF313" s="194"/>
      <c r="BG313" s="196"/>
      <c r="BH313" s="194"/>
      <c r="BI313" s="194"/>
      <c r="BJ313" s="194"/>
      <c r="BK313" s="194"/>
      <c r="BL313" s="196"/>
      <c r="BM313" s="194"/>
      <c r="BN313" s="194"/>
      <c r="BO313" s="194"/>
      <c r="BP313" s="194"/>
      <c r="BQ313" s="196"/>
      <c r="BR313" s="194"/>
      <c r="BS313" s="194"/>
      <c r="BT313" s="194"/>
      <c r="BU313" s="194"/>
      <c r="BV313" s="196"/>
      <c r="BW313" s="68"/>
      <c r="BX313" s="68"/>
      <c r="BY313" s="68"/>
      <c r="BZ313" s="68"/>
      <c r="CA313" s="196"/>
      <c r="CB313" s="68"/>
      <c r="CC313" s="68"/>
      <c r="CD313" s="68"/>
      <c r="CE313" s="68"/>
      <c r="CF313" s="196"/>
      <c r="CG313" s="68"/>
      <c r="CH313" s="68"/>
      <c r="CI313" s="68"/>
      <c r="CJ313" s="68"/>
      <c r="CK313" s="196"/>
      <c r="CL313" s="68"/>
      <c r="CM313" s="68"/>
      <c r="CN313" s="68"/>
      <c r="CO313" s="68"/>
      <c r="CP313" s="431">
        <v>0.25</v>
      </c>
      <c r="CQ313" s="430"/>
      <c r="CR313" s="430"/>
      <c r="CS313" s="430"/>
      <c r="CT313" s="430"/>
      <c r="CU313" s="431">
        <v>0.25</v>
      </c>
      <c r="CV313" s="430"/>
      <c r="CW313" s="430"/>
      <c r="CX313" s="430"/>
      <c r="CY313" s="430"/>
      <c r="CZ313" s="431">
        <v>0.25</v>
      </c>
      <c r="DA313" s="430"/>
      <c r="DB313" s="430"/>
      <c r="DC313" s="430"/>
      <c r="DD313" s="430"/>
      <c r="DE313" s="431">
        <v>0.25</v>
      </c>
      <c r="DF313" s="430"/>
      <c r="DG313" s="430"/>
      <c r="DH313" s="430"/>
      <c r="DI313" s="430"/>
      <c r="DJ313" s="431">
        <v>0.25</v>
      </c>
      <c r="DK313" s="430"/>
      <c r="DL313" s="430"/>
      <c r="DM313" s="430"/>
      <c r="DN313" s="430"/>
      <c r="DO313" s="431">
        <v>0.25</v>
      </c>
      <c r="DP313" s="430"/>
      <c r="DQ313" s="430"/>
      <c r="DR313" s="430"/>
      <c r="DS313" s="430"/>
      <c r="DT313" s="431">
        <v>0.25</v>
      </c>
      <c r="DU313" s="431">
        <v>0.25</v>
      </c>
      <c r="DV313" s="431">
        <v>0.25</v>
      </c>
    </row>
    <row r="314" spans="1:126" s="108" customFormat="1">
      <c r="A314" s="37"/>
      <c r="B314" s="505" t="s">
        <v>354</v>
      </c>
      <c r="C314" s="101"/>
      <c r="D314" s="101"/>
      <c r="E314" s="101"/>
      <c r="F314" s="101"/>
      <c r="G314" s="101"/>
      <c r="H314" s="101"/>
      <c r="I314" s="101"/>
      <c r="J314" s="37"/>
      <c r="K314" s="37"/>
      <c r="L314" s="37"/>
      <c r="M314" s="37"/>
      <c r="N314" s="101"/>
      <c r="O314" s="37"/>
      <c r="P314" s="37"/>
      <c r="Q314" s="37"/>
      <c r="R314" s="37"/>
      <c r="S314" s="101"/>
      <c r="T314" s="37"/>
      <c r="U314" s="37"/>
      <c r="V314" s="37"/>
      <c r="W314" s="37"/>
      <c r="X314" s="101"/>
      <c r="Y314" s="37"/>
      <c r="Z314" s="37"/>
      <c r="AA314" s="37"/>
      <c r="AB314" s="37"/>
      <c r="AC314" s="101"/>
      <c r="AD314" s="37"/>
      <c r="AE314" s="37"/>
      <c r="AF314" s="37"/>
      <c r="AG314" s="37"/>
      <c r="AH314" s="101"/>
      <c r="AI314" s="37"/>
      <c r="AJ314" s="37"/>
      <c r="AK314" s="37"/>
      <c r="AL314" s="37"/>
      <c r="AM314" s="101"/>
      <c r="AN314" s="37"/>
      <c r="AO314" s="37"/>
      <c r="AP314" s="37"/>
      <c r="AQ314" s="37"/>
      <c r="AR314" s="101"/>
      <c r="AS314" s="37"/>
      <c r="AT314" s="37"/>
      <c r="AU314" s="37"/>
      <c r="AV314" s="37"/>
      <c r="AW314" s="27"/>
      <c r="AX314" s="68"/>
      <c r="AY314" s="68"/>
      <c r="AZ314" s="68"/>
      <c r="BA314" s="68"/>
      <c r="BB314" s="196"/>
      <c r="BC314" s="194"/>
      <c r="BD314" s="194"/>
      <c r="BE314" s="194"/>
      <c r="BF314" s="194"/>
      <c r="BG314" s="196"/>
      <c r="BH314" s="194"/>
      <c r="BI314" s="194"/>
      <c r="BJ314" s="194"/>
      <c r="BK314" s="194"/>
      <c r="BL314" s="196"/>
      <c r="BM314" s="194"/>
      <c r="BN314" s="194"/>
      <c r="BO314" s="194"/>
      <c r="BP314" s="194"/>
      <c r="BQ314" s="196"/>
      <c r="BR314" s="194"/>
      <c r="BS314" s="194"/>
      <c r="BT314" s="194"/>
      <c r="BU314" s="194"/>
      <c r="BV314" s="196"/>
      <c r="BW314" s="68"/>
      <c r="BX314" s="68"/>
      <c r="BY314" s="68"/>
      <c r="BZ314" s="68"/>
      <c r="CA314" s="196"/>
      <c r="CB314" s="68"/>
      <c r="CC314" s="68"/>
      <c r="CD314" s="68"/>
      <c r="CE314" s="68"/>
      <c r="CF314" s="196"/>
      <c r="CG314" s="68"/>
      <c r="CH314" s="68"/>
      <c r="CI314" s="68"/>
      <c r="CJ314" s="68"/>
      <c r="CK314" s="431">
        <v>0.25</v>
      </c>
      <c r="CL314" s="430"/>
      <c r="CM314" s="430"/>
      <c r="CN314" s="430"/>
      <c r="CO314" s="430"/>
      <c r="CP314" s="431"/>
      <c r="CQ314" s="430"/>
      <c r="CR314" s="430"/>
      <c r="CS314" s="430"/>
      <c r="CT314" s="430"/>
      <c r="CU314" s="431"/>
      <c r="CV314" s="430"/>
      <c r="CW314" s="430"/>
      <c r="CX314" s="430"/>
      <c r="CY314" s="430"/>
      <c r="CZ314" s="431"/>
      <c r="DA314" s="430"/>
      <c r="DB314" s="430"/>
      <c r="DC314" s="430"/>
      <c r="DD314" s="430"/>
      <c r="DE314" s="431"/>
      <c r="DF314" s="430"/>
      <c r="DG314" s="430"/>
      <c r="DH314" s="430"/>
      <c r="DI314" s="430"/>
      <c r="DJ314" s="431"/>
      <c r="DK314" s="430"/>
      <c r="DL314" s="430"/>
      <c r="DM314" s="430"/>
      <c r="DN314" s="430"/>
      <c r="DO314" s="431"/>
      <c r="DP314" s="430"/>
      <c r="DQ314" s="430"/>
      <c r="DR314" s="430"/>
      <c r="DS314" s="430"/>
      <c r="DT314" s="431"/>
      <c r="DU314" s="431"/>
      <c r="DV314" s="431"/>
    </row>
    <row r="315" spans="1:126" s="108" customFormat="1">
      <c r="A315" s="37"/>
      <c r="B315" s="505" t="s">
        <v>355</v>
      </c>
      <c r="C315" s="101"/>
      <c r="D315" s="101"/>
      <c r="E315" s="101"/>
      <c r="F315" s="101"/>
      <c r="G315" s="101"/>
      <c r="H315" s="101"/>
      <c r="I315" s="101"/>
      <c r="J315" s="37"/>
      <c r="K315" s="37"/>
      <c r="L315" s="37"/>
      <c r="M315" s="37"/>
      <c r="N315" s="101"/>
      <c r="O315" s="37"/>
      <c r="P315" s="37"/>
      <c r="Q315" s="37"/>
      <c r="R315" s="37"/>
      <c r="S315" s="101"/>
      <c r="T315" s="37"/>
      <c r="U315" s="37"/>
      <c r="V315" s="37"/>
      <c r="W315" s="37"/>
      <c r="X315" s="101"/>
      <c r="Y315" s="37"/>
      <c r="Z315" s="37"/>
      <c r="AA315" s="37"/>
      <c r="AB315" s="37"/>
      <c r="AC315" s="101"/>
      <c r="AD315" s="37"/>
      <c r="AE315" s="37"/>
      <c r="AF315" s="37"/>
      <c r="AG315" s="37"/>
      <c r="AH315" s="101"/>
      <c r="AI315" s="37"/>
      <c r="AJ315" s="37"/>
      <c r="AK315" s="37"/>
      <c r="AL315" s="37"/>
      <c r="AM315" s="101"/>
      <c r="AN315" s="37"/>
      <c r="AO315" s="37"/>
      <c r="AP315" s="37"/>
      <c r="AQ315" s="37"/>
      <c r="AR315" s="101"/>
      <c r="AS315" s="37"/>
      <c r="AT315" s="37"/>
      <c r="AU315" s="37"/>
      <c r="AV315" s="37"/>
      <c r="AW315" s="27"/>
      <c r="AX315" s="68"/>
      <c r="AY315" s="68"/>
      <c r="AZ315" s="68"/>
      <c r="BA315" s="68"/>
      <c r="BB315" s="196"/>
      <c r="BC315" s="194"/>
      <c r="BD315" s="194"/>
      <c r="BE315" s="194"/>
      <c r="BF315" s="194"/>
      <c r="BG315" s="196"/>
      <c r="BH315" s="194"/>
      <c r="BI315" s="194"/>
      <c r="BJ315" s="194"/>
      <c r="BK315" s="194"/>
      <c r="BL315" s="196"/>
      <c r="BM315" s="194"/>
      <c r="BN315" s="194"/>
      <c r="BO315" s="194"/>
      <c r="BP315" s="194"/>
      <c r="BQ315" s="196"/>
      <c r="BR315" s="194"/>
      <c r="BS315" s="194"/>
      <c r="BT315" s="194"/>
      <c r="BU315" s="194"/>
      <c r="BV315" s="196"/>
      <c r="BW315" s="68"/>
      <c r="BX315" s="68"/>
      <c r="BY315" s="68"/>
      <c r="BZ315" s="68"/>
      <c r="CA315" s="196"/>
      <c r="CB315" s="68"/>
      <c r="CC315" s="68"/>
      <c r="CD315" s="68"/>
      <c r="CE315" s="68"/>
      <c r="CF315" s="196"/>
      <c r="CG315" s="68"/>
      <c r="CH315" s="68"/>
      <c r="CI315" s="68"/>
      <c r="CJ315" s="68"/>
      <c r="CK315" s="196"/>
      <c r="CL315" s="68"/>
      <c r="CM315" s="68"/>
      <c r="CN315" s="68"/>
      <c r="CO315" s="68"/>
      <c r="CP315" s="196"/>
      <c r="CQ315" s="68"/>
      <c r="CR315" s="68"/>
      <c r="CS315" s="68"/>
      <c r="CT315" s="68"/>
      <c r="CU315" s="196"/>
      <c r="CV315" s="68"/>
      <c r="CW315" s="68"/>
      <c r="CX315" s="68"/>
      <c r="CY315" s="68"/>
      <c r="CZ315" s="196"/>
      <c r="DA315" s="68"/>
      <c r="DB315" s="68"/>
      <c r="DC315" s="68"/>
      <c r="DD315" s="68"/>
      <c r="DE315" s="196"/>
      <c r="DF315" s="68"/>
      <c r="DG315" s="68"/>
      <c r="DH315" s="68"/>
      <c r="DI315" s="68"/>
      <c r="DJ315" s="196"/>
      <c r="DK315" s="68"/>
      <c r="DL315" s="68"/>
      <c r="DM315" s="68"/>
      <c r="DN315" s="68"/>
      <c r="DO315" s="196"/>
      <c r="DP315" s="68"/>
      <c r="DQ315" s="68"/>
      <c r="DR315" s="68"/>
      <c r="DS315" s="68"/>
      <c r="DT315" s="196"/>
      <c r="DU315" s="196"/>
      <c r="DV315" s="196"/>
    </row>
    <row r="316" spans="1:126" s="108" customFormat="1">
      <c r="A316" s="37"/>
      <c r="B316" s="505" t="s">
        <v>356</v>
      </c>
      <c r="C316" s="101"/>
      <c r="D316" s="101"/>
      <c r="E316" s="101"/>
      <c r="F316" s="101"/>
      <c r="G316" s="101"/>
      <c r="H316" s="101"/>
      <c r="I316" s="101"/>
      <c r="J316" s="37"/>
      <c r="K316" s="37"/>
      <c r="L316" s="37"/>
      <c r="M316" s="37"/>
      <c r="N316" s="101"/>
      <c r="O316" s="37"/>
      <c r="P316" s="37"/>
      <c r="Q316" s="37"/>
      <c r="R316" s="37"/>
      <c r="S316" s="101"/>
      <c r="T316" s="37"/>
      <c r="U316" s="37"/>
      <c r="V316" s="37"/>
      <c r="W316" s="37"/>
      <c r="X316" s="101"/>
      <c r="Y316" s="37"/>
      <c r="Z316" s="37"/>
      <c r="AA316" s="37"/>
      <c r="AB316" s="37"/>
      <c r="AC316" s="101"/>
      <c r="AD316" s="37"/>
      <c r="AE316" s="37"/>
      <c r="AF316" s="37"/>
      <c r="AG316" s="37"/>
      <c r="AH316" s="101"/>
      <c r="AI316" s="37"/>
      <c r="AJ316" s="37"/>
      <c r="AK316" s="37"/>
      <c r="AL316" s="37"/>
      <c r="AM316" s="101"/>
      <c r="AN316" s="37"/>
      <c r="AO316" s="37"/>
      <c r="AP316" s="37"/>
      <c r="AQ316" s="37"/>
      <c r="AR316" s="101"/>
      <c r="AS316" s="37"/>
      <c r="AT316" s="37"/>
      <c r="AU316" s="37"/>
      <c r="AV316" s="37"/>
      <c r="AW316" s="27"/>
      <c r="AX316" s="68"/>
      <c r="AY316" s="68"/>
      <c r="AZ316" s="68"/>
      <c r="BA316" s="68"/>
      <c r="BB316" s="196"/>
      <c r="BC316" s="194"/>
      <c r="BD316" s="194"/>
      <c r="BE316" s="194"/>
      <c r="BF316" s="194"/>
      <c r="BG316" s="196"/>
      <c r="BH316" s="194"/>
      <c r="BI316" s="194"/>
      <c r="BJ316" s="194"/>
      <c r="BK316" s="194"/>
      <c r="BL316" s="196"/>
      <c r="BM316" s="194"/>
      <c r="BN316" s="194"/>
      <c r="BO316" s="194"/>
      <c r="BP316" s="194"/>
      <c r="BQ316" s="196"/>
      <c r="BR316" s="194"/>
      <c r="BS316" s="194"/>
      <c r="BT316" s="194"/>
      <c r="BU316" s="194"/>
      <c r="BV316" s="196"/>
      <c r="BW316" s="68"/>
      <c r="BX316" s="68"/>
      <c r="BY316" s="68"/>
      <c r="BZ316" s="68"/>
      <c r="CA316" s="196"/>
      <c r="CB316" s="68"/>
      <c r="CC316" s="68"/>
      <c r="CD316" s="68"/>
      <c r="CE316" s="68"/>
      <c r="CF316" s="196"/>
      <c r="CG316" s="68"/>
      <c r="CH316" s="68"/>
      <c r="CI316" s="68"/>
      <c r="CJ316" s="68"/>
      <c r="CK316" s="196"/>
      <c r="CL316" s="68"/>
      <c r="CM316" s="68"/>
      <c r="CN316" s="68"/>
      <c r="CO316" s="68"/>
      <c r="CP316" s="196"/>
      <c r="CQ316" s="68"/>
      <c r="CR316" s="68"/>
      <c r="CS316" s="68"/>
      <c r="CT316" s="68"/>
      <c r="CU316" s="196"/>
      <c r="CV316" s="68"/>
      <c r="CW316" s="68"/>
      <c r="CX316" s="68"/>
      <c r="CY316" s="68"/>
      <c r="CZ316" s="196"/>
      <c r="DA316" s="68"/>
      <c r="DB316" s="68"/>
      <c r="DC316" s="68"/>
      <c r="DD316" s="68"/>
      <c r="DE316" s="196"/>
      <c r="DF316" s="68"/>
      <c r="DG316" s="68"/>
      <c r="DH316" s="68"/>
      <c r="DI316" s="68"/>
      <c r="DJ316" s="196"/>
      <c r="DK316" s="68"/>
      <c r="DL316" s="68"/>
      <c r="DM316" s="68"/>
      <c r="DN316" s="68"/>
      <c r="DO316" s="196"/>
      <c r="DP316" s="68"/>
      <c r="DQ316" s="68"/>
      <c r="DR316" s="68"/>
      <c r="DS316" s="68"/>
      <c r="DT316" s="196"/>
      <c r="DU316" s="196"/>
      <c r="DV316" s="196"/>
    </row>
    <row r="317" spans="1:126" s="108" customFormat="1">
      <c r="A317" s="37"/>
      <c r="B317" s="505" t="s">
        <v>357</v>
      </c>
      <c r="C317" s="101"/>
      <c r="D317" s="101"/>
      <c r="E317" s="101"/>
      <c r="F317" s="101"/>
      <c r="G317" s="101"/>
      <c r="H317" s="101"/>
      <c r="I317" s="101"/>
      <c r="J317" s="37"/>
      <c r="K317" s="37"/>
      <c r="L317" s="37"/>
      <c r="M317" s="37"/>
      <c r="N317" s="101"/>
      <c r="O317" s="37"/>
      <c r="P317" s="37"/>
      <c r="Q317" s="37"/>
      <c r="R317" s="37"/>
      <c r="S317" s="101"/>
      <c r="T317" s="37"/>
      <c r="U317" s="37"/>
      <c r="V317" s="37"/>
      <c r="W317" s="37"/>
      <c r="X317" s="101"/>
      <c r="Y317" s="37"/>
      <c r="Z317" s="37"/>
      <c r="AA317" s="37"/>
      <c r="AB317" s="37"/>
      <c r="AC317" s="101"/>
      <c r="AD317" s="37"/>
      <c r="AE317" s="37"/>
      <c r="AF317" s="37"/>
      <c r="AG317" s="37"/>
      <c r="AH317" s="101"/>
      <c r="AI317" s="37"/>
      <c r="AJ317" s="37"/>
      <c r="AK317" s="37"/>
      <c r="AL317" s="37"/>
      <c r="AM317" s="101"/>
      <c r="AN317" s="37"/>
      <c r="AO317" s="37"/>
      <c r="AP317" s="37"/>
      <c r="AQ317" s="37"/>
      <c r="AR317" s="101"/>
      <c r="AS317" s="37"/>
      <c r="AT317" s="37"/>
      <c r="AU317" s="37"/>
      <c r="AV317" s="37"/>
      <c r="AW317" s="27"/>
      <c r="AX317" s="68"/>
      <c r="AY317" s="68"/>
      <c r="AZ317" s="68"/>
      <c r="BA317" s="68"/>
      <c r="BB317" s="196"/>
      <c r="BC317" s="194"/>
      <c r="BD317" s="194"/>
      <c r="BE317" s="194"/>
      <c r="BF317" s="194"/>
      <c r="BG317" s="196"/>
      <c r="BH317" s="194"/>
      <c r="BI317" s="194"/>
      <c r="BJ317" s="194"/>
      <c r="BK317" s="194"/>
      <c r="BL317" s="196"/>
      <c r="BM317" s="194"/>
      <c r="BN317" s="194"/>
      <c r="BO317" s="194"/>
      <c r="BP317" s="194"/>
      <c r="BQ317" s="196"/>
      <c r="BR317" s="194"/>
      <c r="BS317" s="194"/>
      <c r="BT317" s="194"/>
      <c r="BU317" s="194"/>
      <c r="BV317" s="196"/>
      <c r="BW317" s="68"/>
      <c r="BX317" s="68"/>
      <c r="BY317" s="68"/>
      <c r="BZ317" s="68"/>
      <c r="CA317" s="196"/>
      <c r="CB317" s="68"/>
      <c r="CC317" s="68"/>
      <c r="CD317" s="68"/>
      <c r="CE317" s="68"/>
      <c r="CF317" s="196"/>
      <c r="CG317" s="68"/>
      <c r="CH317" s="68"/>
      <c r="CI317" s="68"/>
      <c r="CJ317" s="68"/>
      <c r="CK317" s="196"/>
      <c r="CL317" s="68"/>
      <c r="CM317" s="68"/>
      <c r="CN317" s="68"/>
      <c r="CO317" s="68"/>
      <c r="CP317" s="196"/>
      <c r="CQ317" s="68"/>
      <c r="CR317" s="68"/>
      <c r="CS317" s="68"/>
      <c r="CT317" s="68"/>
      <c r="CU317" s="196"/>
      <c r="CV317" s="68"/>
      <c r="CW317" s="68"/>
      <c r="CX317" s="68"/>
      <c r="CY317" s="68"/>
      <c r="CZ317" s="196"/>
      <c r="DA317" s="68"/>
      <c r="DB317" s="68"/>
      <c r="DC317" s="68"/>
      <c r="DD317" s="68"/>
      <c r="DE317" s="196"/>
      <c r="DF317" s="68"/>
      <c r="DG317" s="68"/>
      <c r="DH317" s="68"/>
      <c r="DI317" s="68"/>
      <c r="DJ317" s="196"/>
      <c r="DK317" s="68"/>
      <c r="DL317" s="68"/>
      <c r="DM317" s="68"/>
      <c r="DN317" s="68"/>
      <c r="DO317" s="196"/>
      <c r="DP317" s="68"/>
      <c r="DQ317" s="68"/>
      <c r="DR317" s="68"/>
      <c r="DS317" s="68"/>
      <c r="DT317" s="196"/>
      <c r="DU317" s="196"/>
      <c r="DV317" s="196"/>
    </row>
    <row r="318" spans="1:126" s="108" customFormat="1">
      <c r="A318" s="37"/>
      <c r="B318" s="505" t="s">
        <v>358</v>
      </c>
      <c r="C318" s="101"/>
      <c r="D318" s="101"/>
      <c r="E318" s="101"/>
      <c r="F318" s="101"/>
      <c r="G318" s="101"/>
      <c r="H318" s="101"/>
      <c r="I318" s="101"/>
      <c r="J318" s="37"/>
      <c r="K318" s="37"/>
      <c r="L318" s="37"/>
      <c r="M318" s="37"/>
      <c r="N318" s="101"/>
      <c r="O318" s="37"/>
      <c r="P318" s="37"/>
      <c r="Q318" s="37"/>
      <c r="R318" s="37"/>
      <c r="S318" s="101"/>
      <c r="T318" s="37"/>
      <c r="U318" s="37"/>
      <c r="V318" s="37"/>
      <c r="W318" s="37"/>
      <c r="X318" s="101"/>
      <c r="Y318" s="37"/>
      <c r="Z318" s="37"/>
      <c r="AA318" s="37"/>
      <c r="AB318" s="37"/>
      <c r="AC318" s="101"/>
      <c r="AD318" s="37"/>
      <c r="AE318" s="37"/>
      <c r="AF318" s="37"/>
      <c r="AG318" s="37"/>
      <c r="AH318" s="101"/>
      <c r="AI318" s="37"/>
      <c r="AJ318" s="37"/>
      <c r="AK318" s="37"/>
      <c r="AL318" s="37"/>
      <c r="AM318" s="101"/>
      <c r="AN318" s="37"/>
      <c r="AO318" s="37"/>
      <c r="AP318" s="37"/>
      <c r="AQ318" s="37"/>
      <c r="AR318" s="101"/>
      <c r="AS318" s="37"/>
      <c r="AT318" s="37"/>
      <c r="AU318" s="37"/>
      <c r="AV318" s="37"/>
      <c r="AW318" s="27"/>
      <c r="AX318" s="68"/>
      <c r="AY318" s="68"/>
      <c r="AZ318" s="68"/>
      <c r="BA318" s="68"/>
      <c r="BB318" s="196"/>
      <c r="BC318" s="194"/>
      <c r="BD318" s="194"/>
      <c r="BE318" s="194"/>
      <c r="BF318" s="194"/>
      <c r="BG318" s="196"/>
      <c r="BH318" s="194"/>
      <c r="BI318" s="194"/>
      <c r="BJ318" s="194"/>
      <c r="BK318" s="194"/>
      <c r="BL318" s="196"/>
      <c r="BM318" s="194"/>
      <c r="BN318" s="194"/>
      <c r="BO318" s="194"/>
      <c r="BP318" s="194"/>
      <c r="BQ318" s="196"/>
      <c r="BR318" s="194"/>
      <c r="BS318" s="194"/>
      <c r="BT318" s="194"/>
      <c r="BU318" s="194"/>
      <c r="BV318" s="196"/>
      <c r="BW318" s="68"/>
      <c r="BX318" s="68"/>
      <c r="BY318" s="68"/>
      <c r="BZ318" s="68"/>
      <c r="CA318" s="196"/>
      <c r="CB318" s="68"/>
      <c r="CC318" s="68"/>
      <c r="CD318" s="68"/>
      <c r="CE318" s="68"/>
      <c r="CF318" s="196"/>
      <c r="CG318" s="68"/>
      <c r="CH318" s="68"/>
      <c r="CI318" s="68"/>
      <c r="CJ318" s="68"/>
      <c r="CK318" s="196"/>
      <c r="CL318" s="68"/>
      <c r="CM318" s="68"/>
      <c r="CN318" s="68"/>
      <c r="CO318" s="68"/>
      <c r="CP318" s="196"/>
      <c r="CQ318" s="68"/>
      <c r="CR318" s="68"/>
      <c r="CS318" s="68"/>
      <c r="CT318" s="68"/>
      <c r="CU318" s="196"/>
      <c r="CV318" s="68"/>
      <c r="CW318" s="68"/>
      <c r="CX318" s="68"/>
      <c r="CY318" s="68"/>
      <c r="CZ318" s="196"/>
      <c r="DA318" s="68"/>
      <c r="DB318" s="68"/>
      <c r="DC318" s="68"/>
      <c r="DD318" s="68"/>
      <c r="DE318" s="196"/>
      <c r="DF318" s="68"/>
      <c r="DG318" s="68"/>
      <c r="DH318" s="68"/>
      <c r="DI318" s="68"/>
      <c r="DJ318" s="196"/>
      <c r="DK318" s="68"/>
      <c r="DL318" s="68"/>
      <c r="DM318" s="68"/>
      <c r="DN318" s="68"/>
      <c r="DO318" s="196"/>
      <c r="DP318" s="68"/>
      <c r="DQ318" s="68"/>
      <c r="DR318" s="68"/>
      <c r="DS318" s="68"/>
      <c r="DT318" s="196"/>
      <c r="DU318" s="196"/>
      <c r="DV318" s="196"/>
    </row>
    <row r="319" spans="1:126" s="108" customFormat="1">
      <c r="A319" s="37"/>
      <c r="B319" s="505" t="s">
        <v>359</v>
      </c>
      <c r="C319" s="101"/>
      <c r="D319" s="101"/>
      <c r="E319" s="101"/>
      <c r="F319" s="101"/>
      <c r="G319" s="101"/>
      <c r="H319" s="101"/>
      <c r="I319" s="101"/>
      <c r="J319" s="37"/>
      <c r="K319" s="37"/>
      <c r="L319" s="37"/>
      <c r="M319" s="37"/>
      <c r="N319" s="101"/>
      <c r="O319" s="37"/>
      <c r="P319" s="37"/>
      <c r="Q319" s="37"/>
      <c r="R319" s="37"/>
      <c r="S319" s="101"/>
      <c r="T319" s="37"/>
      <c r="U319" s="37"/>
      <c r="V319" s="37"/>
      <c r="W319" s="37"/>
      <c r="X319" s="101"/>
      <c r="Y319" s="37"/>
      <c r="Z319" s="37"/>
      <c r="AA319" s="37"/>
      <c r="AB319" s="37"/>
      <c r="AC319" s="101"/>
      <c r="AD319" s="37"/>
      <c r="AE319" s="37"/>
      <c r="AF319" s="37"/>
      <c r="AG319" s="37"/>
      <c r="AH319" s="101"/>
      <c r="AI319" s="37"/>
      <c r="AJ319" s="37"/>
      <c r="AK319" s="37"/>
      <c r="AL319" s="37"/>
      <c r="AM319" s="101"/>
      <c r="AN319" s="37"/>
      <c r="AO319" s="37"/>
      <c r="AP319" s="37"/>
      <c r="AQ319" s="37"/>
      <c r="AR319" s="101"/>
      <c r="AS319" s="37"/>
      <c r="AT319" s="37"/>
      <c r="AU319" s="37"/>
      <c r="AV319" s="37"/>
      <c r="AW319" s="27"/>
      <c r="AX319" s="68"/>
      <c r="AY319" s="68"/>
      <c r="AZ319" s="68"/>
      <c r="BA319" s="68"/>
      <c r="BB319" s="196"/>
      <c r="BC319" s="194"/>
      <c r="BD319" s="194"/>
      <c r="BE319" s="194"/>
      <c r="BF319" s="194"/>
      <c r="BG319" s="196"/>
      <c r="BH319" s="194"/>
      <c r="BI319" s="194"/>
      <c r="BJ319" s="194"/>
      <c r="BK319" s="194"/>
      <c r="BL319" s="196"/>
      <c r="BM319" s="194"/>
      <c r="BN319" s="194"/>
      <c r="BO319" s="194"/>
      <c r="BP319" s="194"/>
      <c r="BQ319" s="196"/>
      <c r="BR319" s="194"/>
      <c r="BS319" s="194"/>
      <c r="BT319" s="194"/>
      <c r="BU319" s="194"/>
      <c r="BV319" s="196"/>
      <c r="BW319" s="68"/>
      <c r="BX319" s="68"/>
      <c r="BY319" s="68"/>
      <c r="BZ319" s="68"/>
      <c r="CA319" s="196"/>
      <c r="CB319" s="68"/>
      <c r="CC319" s="68"/>
      <c r="CD319" s="68"/>
      <c r="CE319" s="68"/>
      <c r="CF319" s="196"/>
      <c r="CG319" s="68"/>
      <c r="CH319" s="68"/>
      <c r="CI319" s="68"/>
      <c r="CJ319" s="68"/>
      <c r="CK319" s="196"/>
      <c r="CL319" s="68"/>
      <c r="CM319" s="68"/>
      <c r="CN319" s="68"/>
      <c r="CO319" s="68"/>
      <c r="CP319" s="196"/>
      <c r="CQ319" s="68"/>
      <c r="CR319" s="68"/>
      <c r="CS319" s="68"/>
      <c r="CT319" s="68"/>
      <c r="CU319" s="196"/>
      <c r="CV319" s="68"/>
      <c r="CW319" s="68"/>
      <c r="CX319" s="68"/>
      <c r="CY319" s="68"/>
      <c r="CZ319" s="196"/>
      <c r="DA319" s="68"/>
      <c r="DB319" s="68"/>
      <c r="DC319" s="68"/>
      <c r="DD319" s="68"/>
      <c r="DE319" s="196"/>
      <c r="DF319" s="68"/>
      <c r="DG319" s="68"/>
      <c r="DH319" s="68"/>
      <c r="DI319" s="68"/>
      <c r="DJ319" s="196"/>
      <c r="DK319" s="68"/>
      <c r="DL319" s="68"/>
      <c r="DM319" s="68"/>
      <c r="DN319" s="68"/>
      <c r="DO319" s="196"/>
      <c r="DP319" s="68"/>
      <c r="DQ319" s="68"/>
      <c r="DR319" s="68"/>
      <c r="DS319" s="68"/>
      <c r="DT319" s="196"/>
      <c r="DU319" s="196"/>
      <c r="DV319" s="196"/>
    </row>
    <row r="320" spans="1:126" s="108" customFormat="1">
      <c r="A320" s="37"/>
      <c r="B320" s="505" t="s">
        <v>360</v>
      </c>
      <c r="C320" s="101"/>
      <c r="D320" s="101"/>
      <c r="E320" s="101"/>
      <c r="F320" s="101"/>
      <c r="G320" s="101"/>
      <c r="H320" s="101"/>
      <c r="I320" s="101"/>
      <c r="J320" s="37"/>
      <c r="K320" s="37"/>
      <c r="L320" s="37"/>
      <c r="M320" s="37"/>
      <c r="N320" s="101"/>
      <c r="O320" s="37"/>
      <c r="P320" s="37"/>
      <c r="Q320" s="37"/>
      <c r="R320" s="37"/>
      <c r="S320" s="101"/>
      <c r="T320" s="37"/>
      <c r="U320" s="37"/>
      <c r="V320" s="37"/>
      <c r="W320" s="37"/>
      <c r="X320" s="101"/>
      <c r="Y320" s="37"/>
      <c r="Z320" s="37"/>
      <c r="AA320" s="37"/>
      <c r="AB320" s="37"/>
      <c r="AC320" s="101"/>
      <c r="AD320" s="37"/>
      <c r="AE320" s="37"/>
      <c r="AF320" s="37"/>
      <c r="AG320" s="37"/>
      <c r="AH320" s="101"/>
      <c r="AI320" s="37"/>
      <c r="AJ320" s="37"/>
      <c r="AK320" s="37"/>
      <c r="AL320" s="37"/>
      <c r="AM320" s="101"/>
      <c r="AN320" s="37"/>
      <c r="AO320" s="37"/>
      <c r="AP320" s="37"/>
      <c r="AQ320" s="37"/>
      <c r="AR320" s="101"/>
      <c r="AS320" s="37"/>
      <c r="AT320" s="37"/>
      <c r="AU320" s="37"/>
      <c r="AV320" s="37"/>
      <c r="AW320" s="27"/>
      <c r="AX320" s="68"/>
      <c r="AY320" s="68"/>
      <c r="AZ320" s="68"/>
      <c r="BA320" s="68"/>
      <c r="BB320" s="196"/>
      <c r="BC320" s="194"/>
      <c r="BD320" s="194"/>
      <c r="BE320" s="194"/>
      <c r="BF320" s="194"/>
      <c r="BG320" s="196"/>
      <c r="BH320" s="194"/>
      <c r="BI320" s="194"/>
      <c r="BJ320" s="194"/>
      <c r="BK320" s="194"/>
      <c r="BL320" s="196"/>
      <c r="BM320" s="194"/>
      <c r="BN320" s="194"/>
      <c r="BO320" s="194"/>
      <c r="BP320" s="194"/>
      <c r="BQ320" s="196"/>
      <c r="BR320" s="194"/>
      <c r="BS320" s="194"/>
      <c r="BT320" s="194"/>
      <c r="BU320" s="194"/>
      <c r="BV320" s="196"/>
      <c r="BW320" s="68"/>
      <c r="BX320" s="68"/>
      <c r="BY320" s="68"/>
      <c r="BZ320" s="68"/>
      <c r="CA320" s="196"/>
      <c r="CB320" s="68"/>
      <c r="CC320" s="68"/>
      <c r="CD320" s="68"/>
      <c r="CE320" s="68"/>
      <c r="CF320" s="196"/>
      <c r="CG320" s="68"/>
      <c r="CH320" s="68"/>
      <c r="CI320" s="68"/>
      <c r="CJ320" s="68"/>
      <c r="CK320" s="196"/>
      <c r="CL320" s="68"/>
      <c r="CM320" s="68"/>
      <c r="CN320" s="68"/>
      <c r="CO320" s="68"/>
      <c r="CP320" s="196"/>
      <c r="CQ320" s="68"/>
      <c r="CR320" s="68"/>
      <c r="CS320" s="68"/>
      <c r="CT320" s="68"/>
      <c r="CU320" s="196"/>
      <c r="CV320" s="68"/>
      <c r="CW320" s="68"/>
      <c r="CX320" s="68"/>
      <c r="CY320" s="68"/>
      <c r="CZ320" s="196"/>
      <c r="DA320" s="68"/>
      <c r="DB320" s="68"/>
      <c r="DC320" s="68"/>
      <c r="DD320" s="68"/>
      <c r="DE320" s="196"/>
      <c r="DF320" s="68"/>
      <c r="DG320" s="68"/>
      <c r="DH320" s="68"/>
      <c r="DI320" s="68"/>
      <c r="DJ320" s="196"/>
      <c r="DK320" s="68"/>
      <c r="DL320" s="68"/>
      <c r="DM320" s="68"/>
      <c r="DN320" s="68"/>
      <c r="DO320" s="196"/>
      <c r="DP320" s="68"/>
      <c r="DQ320" s="68"/>
      <c r="DR320" s="68"/>
      <c r="DS320" s="68"/>
      <c r="DT320" s="196"/>
      <c r="DU320" s="196"/>
      <c r="DV320" s="196"/>
    </row>
    <row r="321" spans="1:126" s="108" customFormat="1">
      <c r="A321" s="37"/>
      <c r="B321" s="505" t="s">
        <v>361</v>
      </c>
      <c r="C321" s="101"/>
      <c r="D321" s="101"/>
      <c r="E321" s="101"/>
      <c r="F321" s="101"/>
      <c r="G321" s="101"/>
      <c r="H321" s="101"/>
      <c r="I321" s="101"/>
      <c r="J321" s="37"/>
      <c r="K321" s="37"/>
      <c r="L321" s="37"/>
      <c r="M321" s="37"/>
      <c r="N321" s="101"/>
      <c r="O321" s="37"/>
      <c r="P321" s="37"/>
      <c r="Q321" s="37"/>
      <c r="R321" s="37"/>
      <c r="S321" s="101"/>
      <c r="T321" s="37"/>
      <c r="U321" s="37"/>
      <c r="V321" s="37"/>
      <c r="W321" s="37"/>
      <c r="X321" s="101"/>
      <c r="Y321" s="37"/>
      <c r="Z321" s="37"/>
      <c r="AA321" s="37"/>
      <c r="AB321" s="37"/>
      <c r="AC321" s="101"/>
      <c r="AD321" s="37"/>
      <c r="AE321" s="37"/>
      <c r="AF321" s="37"/>
      <c r="AG321" s="37"/>
      <c r="AH321" s="101"/>
      <c r="AI321" s="37"/>
      <c r="AJ321" s="37"/>
      <c r="AK321" s="37"/>
      <c r="AL321" s="37"/>
      <c r="AM321" s="101"/>
      <c r="AN321" s="37"/>
      <c r="AO321" s="37"/>
      <c r="AP321" s="37"/>
      <c r="AQ321" s="37"/>
      <c r="AR321" s="101"/>
      <c r="AS321" s="37"/>
      <c r="AT321" s="37"/>
      <c r="AU321" s="37"/>
      <c r="AV321" s="37"/>
      <c r="AW321" s="27"/>
      <c r="AX321" s="68"/>
      <c r="AY321" s="68"/>
      <c r="AZ321" s="68"/>
      <c r="BA321" s="68"/>
      <c r="BB321" s="196"/>
      <c r="BC321" s="194"/>
      <c r="BD321" s="194"/>
      <c r="BE321" s="194"/>
      <c r="BF321" s="194"/>
      <c r="BG321" s="196"/>
      <c r="BH321" s="194"/>
      <c r="BI321" s="194"/>
      <c r="BJ321" s="194"/>
      <c r="BK321" s="194"/>
      <c r="BL321" s="196"/>
      <c r="BM321" s="194"/>
      <c r="BN321" s="194"/>
      <c r="BO321" s="194"/>
      <c r="BP321" s="194"/>
      <c r="BQ321" s="196"/>
      <c r="BR321" s="194"/>
      <c r="BS321" s="194"/>
      <c r="BT321" s="194"/>
      <c r="BU321" s="194"/>
      <c r="BV321" s="196"/>
      <c r="BW321" s="68"/>
      <c r="BX321" s="68"/>
      <c r="BY321" s="68"/>
      <c r="BZ321" s="68"/>
      <c r="CA321" s="196"/>
      <c r="CB321" s="68"/>
      <c r="CC321" s="68"/>
      <c r="CD321" s="68"/>
      <c r="CE321" s="68"/>
      <c r="CF321" s="196"/>
      <c r="CG321" s="68"/>
      <c r="CH321" s="68"/>
      <c r="CI321" s="68"/>
      <c r="CJ321" s="68"/>
      <c r="CK321" s="196"/>
      <c r="CL321" s="68"/>
      <c r="CM321" s="68"/>
      <c r="CN321" s="68"/>
      <c r="CO321" s="68"/>
      <c r="CP321" s="196"/>
      <c r="CQ321" s="68"/>
      <c r="CR321" s="68"/>
      <c r="CS321" s="68"/>
      <c r="CT321" s="68"/>
      <c r="CU321" s="196"/>
      <c r="CV321" s="68"/>
      <c r="CW321" s="68"/>
      <c r="CX321" s="68"/>
      <c r="CY321" s="68"/>
      <c r="CZ321" s="196"/>
      <c r="DA321" s="68"/>
      <c r="DB321" s="68"/>
      <c r="DC321" s="68"/>
      <c r="DD321" s="68"/>
      <c r="DE321" s="196"/>
      <c r="DF321" s="68"/>
      <c r="DG321" s="68"/>
      <c r="DH321" s="68"/>
      <c r="DI321" s="68"/>
      <c r="DJ321" s="196"/>
      <c r="DK321" s="68"/>
      <c r="DL321" s="68"/>
      <c r="DM321" s="68"/>
      <c r="DN321" s="68"/>
      <c r="DO321" s="196"/>
      <c r="DP321" s="68"/>
      <c r="DQ321" s="68"/>
      <c r="DR321" s="68"/>
      <c r="DS321" s="68"/>
      <c r="DT321" s="196"/>
      <c r="DU321" s="196"/>
      <c r="DV321" s="196"/>
    </row>
    <row r="322" spans="1:126" s="108" customFormat="1">
      <c r="A322" s="37"/>
      <c r="B322" s="505" t="s">
        <v>362</v>
      </c>
      <c r="C322" s="101"/>
      <c r="D322" s="101"/>
      <c r="E322" s="101"/>
      <c r="F322" s="101"/>
      <c r="G322" s="101"/>
      <c r="H322" s="101"/>
      <c r="I322" s="101"/>
      <c r="J322" s="37"/>
      <c r="K322" s="37"/>
      <c r="L322" s="37"/>
      <c r="M322" s="37"/>
      <c r="N322" s="101"/>
      <c r="O322" s="37"/>
      <c r="P322" s="37"/>
      <c r="Q322" s="37"/>
      <c r="R322" s="37"/>
      <c r="S322" s="101"/>
      <c r="T322" s="37"/>
      <c r="U322" s="37"/>
      <c r="V322" s="37"/>
      <c r="W322" s="37"/>
      <c r="X322" s="101"/>
      <c r="Y322" s="37"/>
      <c r="Z322" s="37"/>
      <c r="AA322" s="37"/>
      <c r="AB322" s="37"/>
      <c r="AC322" s="101"/>
      <c r="AD322" s="37"/>
      <c r="AE322" s="37"/>
      <c r="AF322" s="37"/>
      <c r="AG322" s="37"/>
      <c r="AH322" s="101"/>
      <c r="AI322" s="37"/>
      <c r="AJ322" s="37"/>
      <c r="AK322" s="37"/>
      <c r="AL322" s="37"/>
      <c r="AM322" s="101"/>
      <c r="AN322" s="37"/>
      <c r="AO322" s="37"/>
      <c r="AP322" s="37"/>
      <c r="AQ322" s="37"/>
      <c r="AR322" s="101"/>
      <c r="AS322" s="37"/>
      <c r="AT322" s="37"/>
      <c r="AU322" s="37"/>
      <c r="AV322" s="37"/>
      <c r="AW322" s="27"/>
      <c r="AX322" s="68"/>
      <c r="AY322" s="68"/>
      <c r="AZ322" s="68"/>
      <c r="BA322" s="68"/>
      <c r="BB322" s="196"/>
      <c r="BC322" s="194"/>
      <c r="BD322" s="194"/>
      <c r="BE322" s="194"/>
      <c r="BF322" s="194"/>
      <c r="BG322" s="196"/>
      <c r="BH322" s="194"/>
      <c r="BI322" s="194"/>
      <c r="BJ322" s="194"/>
      <c r="BK322" s="194"/>
      <c r="BL322" s="196"/>
      <c r="BM322" s="194"/>
      <c r="BN322" s="194"/>
      <c r="BO322" s="194"/>
      <c r="BP322" s="194"/>
      <c r="BQ322" s="196"/>
      <c r="BR322" s="194"/>
      <c r="BS322" s="194"/>
      <c r="BT322" s="194"/>
      <c r="BU322" s="194"/>
      <c r="BV322" s="196"/>
      <c r="BW322" s="68"/>
      <c r="BX322" s="68"/>
      <c r="BY322" s="68"/>
      <c r="BZ322" s="68"/>
      <c r="CA322" s="196"/>
      <c r="CB322" s="68"/>
      <c r="CC322" s="68"/>
      <c r="CD322" s="68"/>
      <c r="CE322" s="68"/>
      <c r="CF322" s="196"/>
      <c r="CG322" s="68"/>
      <c r="CH322" s="68"/>
      <c r="CI322" s="68"/>
      <c r="CJ322" s="68"/>
      <c r="CK322" s="196"/>
      <c r="CL322" s="68"/>
      <c r="CM322" s="68"/>
      <c r="CN322" s="68"/>
      <c r="CO322" s="68"/>
      <c r="CP322" s="196"/>
      <c r="CQ322" s="68"/>
      <c r="CR322" s="68"/>
      <c r="CS322" s="68"/>
      <c r="CT322" s="68"/>
      <c r="CU322" s="196"/>
      <c r="CV322" s="68"/>
      <c r="CW322" s="68"/>
      <c r="CX322" s="68"/>
      <c r="CY322" s="68"/>
      <c r="CZ322" s="196"/>
      <c r="DA322" s="68"/>
      <c r="DB322" s="68"/>
      <c r="DC322" s="68"/>
      <c r="DD322" s="68"/>
      <c r="DE322" s="196"/>
      <c r="DF322" s="68"/>
      <c r="DG322" s="68"/>
      <c r="DH322" s="68"/>
      <c r="DI322" s="68"/>
      <c r="DJ322" s="196"/>
      <c r="DK322" s="68"/>
      <c r="DL322" s="68"/>
      <c r="DM322" s="68"/>
      <c r="DN322" s="68"/>
      <c r="DO322" s="196"/>
      <c r="DP322" s="68"/>
      <c r="DQ322" s="68"/>
      <c r="DR322" s="68"/>
      <c r="DS322" s="68"/>
      <c r="DT322" s="196"/>
      <c r="DU322" s="196"/>
      <c r="DV322" s="196"/>
    </row>
    <row r="323" spans="1:126" s="108" customFormat="1">
      <c r="A323" s="37"/>
      <c r="B323" s="505" t="s">
        <v>363</v>
      </c>
      <c r="C323" s="101"/>
      <c r="D323" s="101"/>
      <c r="E323" s="101"/>
      <c r="F323" s="101"/>
      <c r="G323" s="101"/>
      <c r="H323" s="101"/>
      <c r="I323" s="101"/>
      <c r="J323" s="37"/>
      <c r="K323" s="37"/>
      <c r="L323" s="37"/>
      <c r="M323" s="37"/>
      <c r="N323" s="101"/>
      <c r="O323" s="37"/>
      <c r="P323" s="37"/>
      <c r="Q323" s="37"/>
      <c r="R323" s="37"/>
      <c r="S323" s="101"/>
      <c r="T323" s="37"/>
      <c r="U323" s="37"/>
      <c r="V323" s="37"/>
      <c r="W323" s="37"/>
      <c r="X323" s="101"/>
      <c r="Y323" s="37"/>
      <c r="Z323" s="37"/>
      <c r="AA323" s="37"/>
      <c r="AB323" s="37"/>
      <c r="AC323" s="101"/>
      <c r="AD323" s="37"/>
      <c r="AE323" s="37"/>
      <c r="AF323" s="37"/>
      <c r="AG323" s="37"/>
      <c r="AH323" s="101"/>
      <c r="AI323" s="37"/>
      <c r="AJ323" s="37"/>
      <c r="AK323" s="37"/>
      <c r="AL323" s="37"/>
      <c r="AM323" s="101"/>
      <c r="AN323" s="37"/>
      <c r="AO323" s="37"/>
      <c r="AP323" s="37"/>
      <c r="AQ323" s="37"/>
      <c r="AR323" s="101"/>
      <c r="AS323" s="37"/>
      <c r="AT323" s="37"/>
      <c r="AU323" s="37"/>
      <c r="AV323" s="37"/>
      <c r="AW323" s="27"/>
      <c r="AX323" s="68"/>
      <c r="AY323" s="68"/>
      <c r="AZ323" s="68"/>
      <c r="BA323" s="68"/>
      <c r="BB323" s="196"/>
      <c r="BC323" s="194"/>
      <c r="BD323" s="194"/>
      <c r="BE323" s="194"/>
      <c r="BF323" s="194"/>
      <c r="BG323" s="196"/>
      <c r="BH323" s="194"/>
      <c r="BI323" s="194"/>
      <c r="BJ323" s="194"/>
      <c r="BK323" s="194"/>
      <c r="BL323" s="196"/>
      <c r="BM323" s="194"/>
      <c r="BN323" s="194"/>
      <c r="BO323" s="194"/>
      <c r="BP323" s="194"/>
      <c r="BQ323" s="196"/>
      <c r="BR323" s="194"/>
      <c r="BS323" s="194"/>
      <c r="BT323" s="194"/>
      <c r="BU323" s="194"/>
      <c r="BV323" s="196"/>
      <c r="BW323" s="68"/>
      <c r="BX323" s="68"/>
      <c r="BY323" s="68"/>
      <c r="BZ323" s="68"/>
      <c r="CA323" s="196"/>
      <c r="CB323" s="68"/>
      <c r="CC323" s="68"/>
      <c r="CD323" s="68"/>
      <c r="CE323" s="68"/>
      <c r="CF323" s="196"/>
      <c r="CG323" s="68"/>
      <c r="CH323" s="68"/>
      <c r="CI323" s="68"/>
      <c r="CJ323" s="68"/>
      <c r="CK323" s="196"/>
      <c r="CL323" s="68"/>
      <c r="CM323" s="68"/>
      <c r="CN323" s="68"/>
      <c r="CO323" s="68"/>
      <c r="CP323" s="196"/>
      <c r="CQ323" s="68"/>
      <c r="CR323" s="68"/>
      <c r="CS323" s="68"/>
      <c r="CT323" s="68"/>
      <c r="CU323" s="196"/>
      <c r="CV323" s="68"/>
      <c r="CW323" s="68"/>
      <c r="CX323" s="68"/>
      <c r="CY323" s="68"/>
      <c r="CZ323" s="196"/>
      <c r="DA323" s="68"/>
      <c r="DB323" s="68"/>
      <c r="DC323" s="68"/>
      <c r="DD323" s="68"/>
      <c r="DE323" s="196"/>
      <c r="DF323" s="68"/>
      <c r="DG323" s="68"/>
      <c r="DH323" s="68"/>
      <c r="DI323" s="68"/>
      <c r="DJ323" s="196"/>
      <c r="DK323" s="68"/>
      <c r="DL323" s="68"/>
      <c r="DM323" s="68"/>
      <c r="DN323" s="68"/>
      <c r="DO323" s="196"/>
      <c r="DP323" s="68"/>
      <c r="DQ323" s="68"/>
      <c r="DR323" s="68"/>
      <c r="DS323" s="68"/>
      <c r="DT323" s="196"/>
      <c r="DU323" s="196"/>
      <c r="DV323" s="196"/>
    </row>
    <row r="324" spans="1:126" s="108" customFormat="1">
      <c r="A324" s="37"/>
      <c r="B324" s="505" t="s">
        <v>364</v>
      </c>
      <c r="C324" s="101"/>
      <c r="D324" s="101"/>
      <c r="E324" s="101"/>
      <c r="F324" s="101"/>
      <c r="G324" s="101"/>
      <c r="H324" s="101"/>
      <c r="I324" s="101"/>
      <c r="J324" s="37"/>
      <c r="K324" s="37"/>
      <c r="L324" s="37"/>
      <c r="M324" s="37"/>
      <c r="N324" s="101"/>
      <c r="O324" s="37"/>
      <c r="P324" s="37"/>
      <c r="Q324" s="37"/>
      <c r="R324" s="37"/>
      <c r="S324" s="101"/>
      <c r="T324" s="37"/>
      <c r="U324" s="37"/>
      <c r="V324" s="37"/>
      <c r="W324" s="37"/>
      <c r="X324" s="101"/>
      <c r="Y324" s="37"/>
      <c r="Z324" s="37"/>
      <c r="AA324" s="37"/>
      <c r="AB324" s="37"/>
      <c r="AC324" s="101"/>
      <c r="AD324" s="37"/>
      <c r="AE324" s="37"/>
      <c r="AF324" s="37"/>
      <c r="AG324" s="37"/>
      <c r="AH324" s="101"/>
      <c r="AI324" s="37"/>
      <c r="AJ324" s="37"/>
      <c r="AK324" s="37"/>
      <c r="AL324" s="37"/>
      <c r="AM324" s="101"/>
      <c r="AN324" s="37"/>
      <c r="AO324" s="37"/>
      <c r="AP324" s="37"/>
      <c r="AQ324" s="37"/>
      <c r="AR324" s="101"/>
      <c r="AS324" s="37"/>
      <c r="AT324" s="37"/>
      <c r="AU324" s="37"/>
      <c r="AV324" s="37"/>
      <c r="AW324" s="27"/>
      <c r="AX324" s="68"/>
      <c r="AY324" s="68"/>
      <c r="AZ324" s="68"/>
      <c r="BA324" s="68"/>
      <c r="BB324" s="196"/>
      <c r="BC324" s="194"/>
      <c r="BD324" s="194"/>
      <c r="BE324" s="194"/>
      <c r="BF324" s="194"/>
      <c r="BG324" s="196"/>
      <c r="BH324" s="194"/>
      <c r="BI324" s="194"/>
      <c r="BJ324" s="194"/>
      <c r="BK324" s="194"/>
      <c r="BL324" s="196"/>
      <c r="BM324" s="194"/>
      <c r="BN324" s="194"/>
      <c r="BO324" s="194"/>
      <c r="BP324" s="194"/>
      <c r="BQ324" s="196"/>
      <c r="BR324" s="194"/>
      <c r="BS324" s="194"/>
      <c r="BT324" s="194"/>
      <c r="BU324" s="194"/>
      <c r="BV324" s="196"/>
      <c r="BW324" s="68"/>
      <c r="BX324" s="68"/>
      <c r="BY324" s="68"/>
      <c r="BZ324" s="68"/>
      <c r="CA324" s="196"/>
      <c r="CB324" s="68"/>
      <c r="CC324" s="68"/>
      <c r="CD324" s="68"/>
      <c r="CE324" s="68"/>
      <c r="CF324" s="196"/>
      <c r="CG324" s="68"/>
      <c r="CH324" s="68"/>
      <c r="CI324" s="68"/>
      <c r="CJ324" s="68"/>
      <c r="CK324" s="196"/>
      <c r="CL324" s="68"/>
      <c r="CM324" s="68"/>
      <c r="CN324" s="68"/>
      <c r="CO324" s="68"/>
      <c r="CP324" s="196"/>
      <c r="CQ324" s="68"/>
      <c r="CR324" s="68"/>
      <c r="CS324" s="68"/>
      <c r="CT324" s="68"/>
      <c r="CU324" s="196"/>
      <c r="CV324" s="68"/>
      <c r="CW324" s="68"/>
      <c r="CX324" s="68"/>
      <c r="CY324" s="68"/>
      <c r="CZ324" s="196"/>
      <c r="DA324" s="68"/>
      <c r="DB324" s="68"/>
      <c r="DC324" s="68"/>
      <c r="DD324" s="68"/>
      <c r="DE324" s="196"/>
      <c r="DF324" s="68"/>
      <c r="DG324" s="68"/>
      <c r="DH324" s="68"/>
      <c r="DI324" s="68"/>
      <c r="DJ324" s="196"/>
      <c r="DK324" s="68"/>
      <c r="DL324" s="68"/>
      <c r="DM324" s="68"/>
      <c r="DN324" s="68"/>
      <c r="DO324" s="196"/>
      <c r="DP324" s="68"/>
      <c r="DQ324" s="68"/>
      <c r="DR324" s="68"/>
      <c r="DS324" s="68"/>
      <c r="DT324" s="196"/>
      <c r="DU324" s="196"/>
      <c r="DV324" s="196"/>
    </row>
    <row r="325" spans="1:126" s="108" customFormat="1">
      <c r="A325" s="37"/>
      <c r="B325" s="505" t="s">
        <v>365</v>
      </c>
      <c r="C325" s="101"/>
      <c r="D325" s="101"/>
      <c r="E325" s="101"/>
      <c r="F325" s="101"/>
      <c r="G325" s="101"/>
      <c r="H325" s="101"/>
      <c r="I325" s="101"/>
      <c r="J325" s="37"/>
      <c r="K325" s="37"/>
      <c r="L325" s="37"/>
      <c r="M325" s="37"/>
      <c r="N325" s="101"/>
      <c r="O325" s="37"/>
      <c r="P325" s="37"/>
      <c r="Q325" s="37"/>
      <c r="R325" s="37"/>
      <c r="S325" s="101"/>
      <c r="T325" s="37"/>
      <c r="U325" s="37"/>
      <c r="V325" s="37"/>
      <c r="W325" s="37"/>
      <c r="X325" s="101"/>
      <c r="Y325" s="37"/>
      <c r="Z325" s="37"/>
      <c r="AA325" s="37"/>
      <c r="AB325" s="37"/>
      <c r="AC325" s="101"/>
      <c r="AD325" s="37"/>
      <c r="AE325" s="37"/>
      <c r="AF325" s="37"/>
      <c r="AG325" s="37"/>
      <c r="AH325" s="101"/>
      <c r="AI325" s="37"/>
      <c r="AJ325" s="37"/>
      <c r="AK325" s="37"/>
      <c r="AL325" s="37"/>
      <c r="AM325" s="101"/>
      <c r="AN325" s="37"/>
      <c r="AO325" s="37"/>
      <c r="AP325" s="37"/>
      <c r="AQ325" s="37"/>
      <c r="AR325" s="101"/>
      <c r="AS325" s="37"/>
      <c r="AT325" s="37"/>
      <c r="AU325" s="37"/>
      <c r="AV325" s="37"/>
      <c r="AW325" s="27"/>
      <c r="AX325" s="68"/>
      <c r="AY325" s="68"/>
      <c r="AZ325" s="68"/>
      <c r="BA325" s="68"/>
      <c r="BB325" s="196"/>
      <c r="BC325" s="194"/>
      <c r="BD325" s="194"/>
      <c r="BE325" s="194"/>
      <c r="BF325" s="194"/>
      <c r="BG325" s="196"/>
      <c r="BH325" s="194"/>
      <c r="BI325" s="194"/>
      <c r="BJ325" s="194"/>
      <c r="BK325" s="194"/>
      <c r="BL325" s="196"/>
      <c r="BM325" s="194"/>
      <c r="BN325" s="194"/>
      <c r="BO325" s="194"/>
      <c r="BP325" s="194"/>
      <c r="BQ325" s="196"/>
      <c r="BR325" s="194"/>
      <c r="BS325" s="194"/>
      <c r="BT325" s="194"/>
      <c r="BU325" s="194"/>
      <c r="BV325" s="196"/>
      <c r="BW325" s="68"/>
      <c r="BX325" s="68"/>
      <c r="BY325" s="68"/>
      <c r="BZ325" s="68"/>
      <c r="CA325" s="196"/>
      <c r="CB325" s="68"/>
      <c r="CC325" s="68"/>
      <c r="CD325" s="68"/>
      <c r="CE325" s="68"/>
      <c r="CF325" s="196"/>
      <c r="CG325" s="68"/>
      <c r="CH325" s="68"/>
      <c r="CI325" s="68"/>
      <c r="CJ325" s="68"/>
      <c r="CK325" s="196"/>
      <c r="CL325" s="68"/>
      <c r="CM325" s="68"/>
      <c r="CN325" s="68"/>
      <c r="CO325" s="68"/>
      <c r="CP325" s="196"/>
      <c r="CQ325" s="68"/>
      <c r="CR325" s="68"/>
      <c r="CS325" s="68"/>
      <c r="CT325" s="68"/>
      <c r="CU325" s="196"/>
      <c r="CV325" s="68"/>
      <c r="CW325" s="68"/>
      <c r="CX325" s="68"/>
      <c r="CY325" s="68"/>
      <c r="CZ325" s="196"/>
      <c r="DA325" s="68"/>
      <c r="DB325" s="68"/>
      <c r="DC325" s="68"/>
      <c r="DD325" s="68"/>
      <c r="DE325" s="196"/>
      <c r="DF325" s="68"/>
      <c r="DG325" s="68"/>
      <c r="DH325" s="68"/>
      <c r="DI325" s="68"/>
      <c r="DJ325" s="196"/>
      <c r="DK325" s="68"/>
      <c r="DL325" s="68"/>
      <c r="DM325" s="68"/>
      <c r="DN325" s="68"/>
      <c r="DO325" s="196"/>
      <c r="DP325" s="68"/>
      <c r="DQ325" s="68"/>
      <c r="DR325" s="68"/>
      <c r="DS325" s="68"/>
      <c r="DT325" s="196"/>
      <c r="DU325" s="196"/>
      <c r="DV325" s="196"/>
    </row>
    <row r="326" spans="1:126" s="108" customFormat="1">
      <c r="A326" s="37"/>
      <c r="B326" s="505" t="s">
        <v>366</v>
      </c>
      <c r="C326" s="101"/>
      <c r="D326" s="101"/>
      <c r="E326" s="101"/>
      <c r="F326" s="101"/>
      <c r="G326" s="101"/>
      <c r="H326" s="101"/>
      <c r="I326" s="101"/>
      <c r="J326" s="37"/>
      <c r="K326" s="37"/>
      <c r="L326" s="37"/>
      <c r="M326" s="37"/>
      <c r="N326" s="101"/>
      <c r="O326" s="37"/>
      <c r="P326" s="37"/>
      <c r="Q326" s="37"/>
      <c r="R326" s="37"/>
      <c r="S326" s="101"/>
      <c r="T326" s="37"/>
      <c r="U326" s="37"/>
      <c r="V326" s="37"/>
      <c r="W326" s="37"/>
      <c r="X326" s="101"/>
      <c r="Y326" s="37"/>
      <c r="Z326" s="37"/>
      <c r="AA326" s="37"/>
      <c r="AB326" s="37"/>
      <c r="AC326" s="101"/>
      <c r="AD326" s="37"/>
      <c r="AE326" s="37"/>
      <c r="AF326" s="37"/>
      <c r="AG326" s="37"/>
      <c r="AH326" s="101"/>
      <c r="AI326" s="37"/>
      <c r="AJ326" s="37"/>
      <c r="AK326" s="37"/>
      <c r="AL326" s="37"/>
      <c r="AM326" s="101"/>
      <c r="AN326" s="37"/>
      <c r="AO326" s="37"/>
      <c r="AP326" s="37"/>
      <c r="AQ326" s="37"/>
      <c r="AR326" s="101"/>
      <c r="AS326" s="37"/>
      <c r="AT326" s="37"/>
      <c r="AU326" s="37"/>
      <c r="AV326" s="37"/>
      <c r="AW326" s="27"/>
      <c r="AX326" s="68"/>
      <c r="AY326" s="68"/>
      <c r="AZ326" s="68"/>
      <c r="BA326" s="68"/>
      <c r="BB326" s="196"/>
      <c r="BC326" s="194"/>
      <c r="BD326" s="194"/>
      <c r="BE326" s="194"/>
      <c r="BF326" s="194"/>
      <c r="BG326" s="196"/>
      <c r="BH326" s="194"/>
      <c r="BI326" s="194"/>
      <c r="BJ326" s="194"/>
      <c r="BK326" s="194"/>
      <c r="BL326" s="196"/>
      <c r="BM326" s="194"/>
      <c r="BN326" s="194"/>
      <c r="BO326" s="194"/>
      <c r="BP326" s="194"/>
      <c r="BQ326" s="196"/>
      <c r="BR326" s="194"/>
      <c r="BS326" s="194"/>
      <c r="BT326" s="194"/>
      <c r="BU326" s="194"/>
      <c r="BV326" s="196"/>
      <c r="BW326" s="68"/>
      <c r="BX326" s="68"/>
      <c r="BY326" s="68"/>
      <c r="BZ326" s="68"/>
      <c r="CA326" s="196"/>
      <c r="CB326" s="68"/>
      <c r="CC326" s="68"/>
      <c r="CD326" s="68"/>
      <c r="CE326" s="68"/>
      <c r="CF326" s="196"/>
      <c r="CG326" s="68"/>
      <c r="CH326" s="68"/>
      <c r="CI326" s="68"/>
      <c r="CJ326" s="68"/>
      <c r="CK326" s="196"/>
      <c r="CL326" s="68"/>
      <c r="CM326" s="68"/>
      <c r="CN326" s="68"/>
      <c r="CO326" s="68"/>
      <c r="CP326" s="196"/>
      <c r="CQ326" s="68"/>
      <c r="CR326" s="68"/>
      <c r="CS326" s="68"/>
      <c r="CT326" s="68"/>
      <c r="CU326" s="196"/>
      <c r="CV326" s="68"/>
      <c r="CW326" s="68"/>
      <c r="CX326" s="68"/>
      <c r="CY326" s="68"/>
      <c r="CZ326" s="196"/>
      <c r="DA326" s="68"/>
      <c r="DB326" s="68"/>
      <c r="DC326" s="68"/>
      <c r="DD326" s="68"/>
      <c r="DE326" s="196"/>
      <c r="DF326" s="68"/>
      <c r="DG326" s="68"/>
      <c r="DH326" s="68"/>
      <c r="DI326" s="68"/>
      <c r="DJ326" s="196"/>
      <c r="DK326" s="68"/>
      <c r="DL326" s="68"/>
      <c r="DM326" s="68"/>
      <c r="DN326" s="68"/>
      <c r="DO326" s="196"/>
      <c r="DP326" s="68"/>
      <c r="DQ326" s="68"/>
      <c r="DR326" s="68"/>
      <c r="DS326" s="68"/>
      <c r="DT326" s="196"/>
      <c r="DU326" s="196"/>
      <c r="DV326" s="196"/>
    </row>
    <row r="327" spans="1:126" s="108" customFormat="1">
      <c r="A327" s="37"/>
      <c r="B327" s="505" t="s">
        <v>367</v>
      </c>
      <c r="C327" s="101"/>
      <c r="D327" s="101"/>
      <c r="E327" s="101"/>
      <c r="F327" s="101"/>
      <c r="G327" s="101"/>
      <c r="H327" s="101"/>
      <c r="I327" s="101"/>
      <c r="J327" s="37"/>
      <c r="K327" s="37"/>
      <c r="L327" s="37"/>
      <c r="M327" s="37"/>
      <c r="N327" s="101"/>
      <c r="O327" s="37"/>
      <c r="P327" s="37"/>
      <c r="Q327" s="37"/>
      <c r="R327" s="37"/>
      <c r="S327" s="101"/>
      <c r="T327" s="37"/>
      <c r="U327" s="37"/>
      <c r="V327" s="37"/>
      <c r="W327" s="37"/>
      <c r="X327" s="101"/>
      <c r="Y327" s="37"/>
      <c r="Z327" s="37"/>
      <c r="AA327" s="37"/>
      <c r="AB327" s="37"/>
      <c r="AC327" s="101"/>
      <c r="AD327" s="37"/>
      <c r="AE327" s="37"/>
      <c r="AF327" s="37"/>
      <c r="AG327" s="37"/>
      <c r="AH327" s="101"/>
      <c r="AI327" s="37"/>
      <c r="AJ327" s="37"/>
      <c r="AK327" s="37"/>
      <c r="AL327" s="37"/>
      <c r="AM327" s="101"/>
      <c r="AN327" s="37"/>
      <c r="AO327" s="37"/>
      <c r="AP327" s="37"/>
      <c r="AQ327" s="37"/>
      <c r="AR327" s="101"/>
      <c r="AS327" s="37"/>
      <c r="AT327" s="37"/>
      <c r="AU327" s="37"/>
      <c r="AV327" s="37"/>
      <c r="AW327" s="27"/>
      <c r="AX327" s="68"/>
      <c r="AY327" s="68"/>
      <c r="AZ327" s="68"/>
      <c r="BA327" s="68"/>
      <c r="BB327" s="196"/>
      <c r="BC327" s="194"/>
      <c r="BD327" s="194"/>
      <c r="BE327" s="194"/>
      <c r="BF327" s="194"/>
      <c r="BG327" s="196"/>
      <c r="BH327" s="194"/>
      <c r="BI327" s="194"/>
      <c r="BJ327" s="194"/>
      <c r="BK327" s="194"/>
      <c r="BL327" s="196"/>
      <c r="BM327" s="194"/>
      <c r="BN327" s="194"/>
      <c r="BO327" s="194"/>
      <c r="BP327" s="194"/>
      <c r="BQ327" s="196"/>
      <c r="BR327" s="194"/>
      <c r="BS327" s="194"/>
      <c r="BT327" s="194"/>
      <c r="BU327" s="194"/>
      <c r="BV327" s="196"/>
      <c r="BW327" s="68"/>
      <c r="BX327" s="68"/>
      <c r="BY327" s="68"/>
      <c r="BZ327" s="68"/>
      <c r="CA327" s="196"/>
      <c r="CB327" s="68"/>
      <c r="CC327" s="68"/>
      <c r="CD327" s="68"/>
      <c r="CE327" s="68"/>
      <c r="CF327" s="196"/>
      <c r="CG327" s="68"/>
      <c r="CH327" s="68"/>
      <c r="CI327" s="68"/>
      <c r="CJ327" s="68"/>
      <c r="CK327" s="196"/>
      <c r="CL327" s="68"/>
      <c r="CM327" s="68"/>
      <c r="CN327" s="68"/>
      <c r="CO327" s="68"/>
      <c r="CP327" s="196"/>
      <c r="CQ327" s="68"/>
      <c r="CR327" s="68"/>
      <c r="CS327" s="68"/>
      <c r="CT327" s="68"/>
      <c r="CU327" s="196"/>
      <c r="CV327" s="68"/>
      <c r="CW327" s="68"/>
      <c r="CX327" s="68"/>
      <c r="CY327" s="68"/>
      <c r="CZ327" s="196"/>
      <c r="DA327" s="68"/>
      <c r="DB327" s="68"/>
      <c r="DC327" s="68"/>
      <c r="DD327" s="68"/>
      <c r="DE327" s="196"/>
      <c r="DF327" s="68"/>
      <c r="DG327" s="68"/>
      <c r="DH327" s="68"/>
      <c r="DI327" s="68"/>
      <c r="DJ327" s="196"/>
      <c r="DK327" s="68"/>
      <c r="DL327" s="68"/>
      <c r="DM327" s="68"/>
      <c r="DN327" s="68"/>
      <c r="DO327" s="196"/>
      <c r="DP327" s="68"/>
      <c r="DQ327" s="68"/>
      <c r="DR327" s="68"/>
      <c r="DS327" s="68"/>
      <c r="DT327" s="196"/>
      <c r="DU327" s="196"/>
      <c r="DV327" s="196"/>
    </row>
    <row r="328" spans="1:126" s="108" customFormat="1">
      <c r="A328" s="37"/>
      <c r="B328" s="505" t="s">
        <v>368</v>
      </c>
      <c r="C328" s="101"/>
      <c r="D328" s="101"/>
      <c r="E328" s="101"/>
      <c r="F328" s="101"/>
      <c r="G328" s="101"/>
      <c r="H328" s="101"/>
      <c r="I328" s="101"/>
      <c r="J328" s="37"/>
      <c r="K328" s="37"/>
      <c r="L328" s="37"/>
      <c r="M328" s="37"/>
      <c r="N328" s="101"/>
      <c r="O328" s="37"/>
      <c r="P328" s="37"/>
      <c r="Q328" s="37"/>
      <c r="R328" s="37"/>
      <c r="S328" s="101"/>
      <c r="T328" s="37"/>
      <c r="U328" s="37"/>
      <c r="V328" s="37"/>
      <c r="W328" s="37"/>
      <c r="X328" s="101"/>
      <c r="Y328" s="37"/>
      <c r="Z328" s="37"/>
      <c r="AA328" s="37"/>
      <c r="AB328" s="37"/>
      <c r="AC328" s="101"/>
      <c r="AD328" s="37"/>
      <c r="AE328" s="37"/>
      <c r="AF328" s="37"/>
      <c r="AG328" s="37"/>
      <c r="AH328" s="101"/>
      <c r="AI328" s="37"/>
      <c r="AJ328" s="37"/>
      <c r="AK328" s="37"/>
      <c r="AL328" s="37"/>
      <c r="AM328" s="101"/>
      <c r="AN328" s="37"/>
      <c r="AO328" s="37"/>
      <c r="AP328" s="37"/>
      <c r="AQ328" s="37"/>
      <c r="AR328" s="101"/>
      <c r="AS328" s="37"/>
      <c r="AT328" s="37"/>
      <c r="AU328" s="37"/>
      <c r="AV328" s="37"/>
      <c r="AW328" s="27"/>
      <c r="AX328" s="68"/>
      <c r="AY328" s="68"/>
      <c r="AZ328" s="68"/>
      <c r="BA328" s="68"/>
      <c r="BB328" s="196"/>
      <c r="BC328" s="194"/>
      <c r="BD328" s="194"/>
      <c r="BE328" s="194"/>
      <c r="BF328" s="194"/>
      <c r="BG328" s="196"/>
      <c r="BH328" s="194"/>
      <c r="BI328" s="194"/>
      <c r="BJ328" s="194"/>
      <c r="BK328" s="194"/>
      <c r="BL328" s="196"/>
      <c r="BM328" s="194"/>
      <c r="BN328" s="194"/>
      <c r="BO328" s="194"/>
      <c r="BP328" s="194"/>
      <c r="BQ328" s="196"/>
      <c r="BR328" s="194"/>
      <c r="BS328" s="194"/>
      <c r="BT328" s="194"/>
      <c r="BU328" s="194"/>
      <c r="BV328" s="196"/>
      <c r="BW328" s="68"/>
      <c r="BX328" s="68"/>
      <c r="BY328" s="68"/>
      <c r="BZ328" s="68"/>
      <c r="CA328" s="196"/>
      <c r="CB328" s="68"/>
      <c r="CC328" s="68"/>
      <c r="CD328" s="68"/>
      <c r="CE328" s="68"/>
      <c r="CF328" s="196"/>
      <c r="CG328" s="68"/>
      <c r="CH328" s="68"/>
      <c r="CI328" s="68"/>
      <c r="CJ328" s="68"/>
      <c r="CK328" s="196"/>
      <c r="CL328" s="68"/>
      <c r="CM328" s="68"/>
      <c r="CN328" s="68"/>
      <c r="CO328" s="68"/>
      <c r="CP328" s="196"/>
      <c r="CQ328" s="68"/>
      <c r="CR328" s="68"/>
      <c r="CS328" s="68"/>
      <c r="CT328" s="68"/>
      <c r="CU328" s="196"/>
      <c r="CV328" s="68"/>
      <c r="CW328" s="68"/>
      <c r="CX328" s="68"/>
      <c r="CY328" s="68"/>
      <c r="CZ328" s="196"/>
      <c r="DA328" s="68"/>
      <c r="DB328" s="68"/>
      <c r="DC328" s="68"/>
      <c r="DD328" s="68"/>
      <c r="DE328" s="196"/>
      <c r="DF328" s="68"/>
      <c r="DG328" s="68"/>
      <c r="DH328" s="68"/>
      <c r="DI328" s="68"/>
      <c r="DJ328" s="196"/>
      <c r="DK328" s="68"/>
      <c r="DL328" s="68"/>
      <c r="DM328" s="68"/>
      <c r="DN328" s="68"/>
      <c r="DO328" s="196"/>
      <c r="DP328" s="68"/>
      <c r="DQ328" s="68"/>
      <c r="DR328" s="68"/>
      <c r="DS328" s="68"/>
      <c r="DT328" s="196"/>
      <c r="DU328" s="196"/>
      <c r="DV328" s="196"/>
    </row>
    <row r="329" spans="1:126" s="108" customFormat="1">
      <c r="A329" s="37"/>
      <c r="B329" s="505" t="s">
        <v>369</v>
      </c>
      <c r="C329" s="101"/>
      <c r="D329" s="101"/>
      <c r="E329" s="101"/>
      <c r="F329" s="101"/>
      <c r="G329" s="101"/>
      <c r="H329" s="101"/>
      <c r="I329" s="101"/>
      <c r="J329" s="37"/>
      <c r="K329" s="37"/>
      <c r="L329" s="37"/>
      <c r="M329" s="37"/>
      <c r="N329" s="101"/>
      <c r="O329" s="37"/>
      <c r="P329" s="37"/>
      <c r="Q329" s="37"/>
      <c r="R329" s="37"/>
      <c r="S329" s="101"/>
      <c r="T329" s="37"/>
      <c r="U329" s="37"/>
      <c r="V329" s="37"/>
      <c r="W329" s="37"/>
      <c r="X329" s="101"/>
      <c r="Y329" s="37"/>
      <c r="Z329" s="37"/>
      <c r="AA329" s="37"/>
      <c r="AB329" s="37"/>
      <c r="AC329" s="101"/>
      <c r="AD329" s="37"/>
      <c r="AE329" s="37"/>
      <c r="AF329" s="37"/>
      <c r="AG329" s="37"/>
      <c r="AH329" s="101"/>
      <c r="AI329" s="37"/>
      <c r="AJ329" s="37"/>
      <c r="AK329" s="37"/>
      <c r="AL329" s="37"/>
      <c r="AM329" s="101"/>
      <c r="AN329" s="37"/>
      <c r="AO329" s="37"/>
      <c r="AP329" s="37"/>
      <c r="AQ329" s="37"/>
      <c r="AR329" s="101"/>
      <c r="AS329" s="37"/>
      <c r="AT329" s="37"/>
      <c r="AU329" s="37"/>
      <c r="AV329" s="37"/>
      <c r="AW329" s="27"/>
      <c r="AX329" s="68"/>
      <c r="AY329" s="68"/>
      <c r="AZ329" s="68"/>
      <c r="BA329" s="68"/>
      <c r="BB329" s="196"/>
      <c r="BC329" s="194"/>
      <c r="BD329" s="194"/>
      <c r="BE329" s="194"/>
      <c r="BF329" s="194"/>
      <c r="BG329" s="196"/>
      <c r="BH329" s="194"/>
      <c r="BI329" s="194"/>
      <c r="BJ329" s="194"/>
      <c r="BK329" s="194"/>
      <c r="BL329" s="196"/>
      <c r="BM329" s="194"/>
      <c r="BN329" s="194"/>
      <c r="BO329" s="194"/>
      <c r="BP329" s="194"/>
      <c r="BQ329" s="196"/>
      <c r="BR329" s="194"/>
      <c r="BS329" s="194"/>
      <c r="BT329" s="194"/>
      <c r="BU329" s="194"/>
      <c r="BV329" s="196"/>
      <c r="BW329" s="68"/>
      <c r="BX329" s="68"/>
      <c r="BY329" s="68"/>
      <c r="BZ329" s="68"/>
      <c r="CA329" s="196"/>
      <c r="CB329" s="68"/>
      <c r="CC329" s="68"/>
      <c r="CD329" s="68"/>
      <c r="CE329" s="68"/>
      <c r="CF329" s="196"/>
      <c r="CG329" s="68"/>
      <c r="CH329" s="68"/>
      <c r="CI329" s="68"/>
      <c r="CJ329" s="68"/>
      <c r="CK329" s="196"/>
      <c r="CL329" s="68"/>
      <c r="CM329" s="68"/>
      <c r="CN329" s="68"/>
      <c r="CO329" s="68"/>
      <c r="CP329" s="196"/>
      <c r="CQ329" s="68"/>
      <c r="CR329" s="68"/>
      <c r="CS329" s="68"/>
      <c r="CT329" s="68"/>
      <c r="CU329" s="196"/>
      <c r="CV329" s="68"/>
      <c r="CW329" s="68"/>
      <c r="CX329" s="68"/>
      <c r="CY329" s="68"/>
      <c r="CZ329" s="196"/>
      <c r="DA329" s="68"/>
      <c r="DB329" s="68"/>
      <c r="DC329" s="68"/>
      <c r="DD329" s="68"/>
      <c r="DE329" s="196"/>
      <c r="DF329" s="68"/>
      <c r="DG329" s="68"/>
      <c r="DH329" s="68"/>
      <c r="DI329" s="68"/>
      <c r="DJ329" s="196"/>
      <c r="DK329" s="68"/>
      <c r="DL329" s="68"/>
      <c r="DM329" s="68"/>
      <c r="DN329" s="68"/>
      <c r="DO329" s="196"/>
      <c r="DP329" s="68"/>
      <c r="DQ329" s="68"/>
      <c r="DR329" s="68"/>
      <c r="DS329" s="68"/>
      <c r="DT329" s="196"/>
      <c r="DU329" s="196"/>
      <c r="DV329" s="196"/>
    </row>
    <row r="330" spans="1:126" s="108" customFormat="1">
      <c r="A330" s="37"/>
      <c r="B330" s="505" t="s">
        <v>370</v>
      </c>
      <c r="C330" s="101"/>
      <c r="D330" s="101"/>
      <c r="E330" s="101"/>
      <c r="F330" s="101"/>
      <c r="G330" s="101"/>
      <c r="H330" s="101"/>
      <c r="I330" s="101"/>
      <c r="J330" s="37"/>
      <c r="K330" s="37"/>
      <c r="L330" s="37"/>
      <c r="M330" s="37"/>
      <c r="N330" s="101"/>
      <c r="O330" s="37"/>
      <c r="P330" s="37"/>
      <c r="Q330" s="37"/>
      <c r="R330" s="37"/>
      <c r="S330" s="101"/>
      <c r="T330" s="37"/>
      <c r="U330" s="37"/>
      <c r="V330" s="37"/>
      <c r="W330" s="37"/>
      <c r="X330" s="101"/>
      <c r="Y330" s="37"/>
      <c r="Z330" s="37"/>
      <c r="AA330" s="37"/>
      <c r="AB330" s="37"/>
      <c r="AC330" s="101"/>
      <c r="AD330" s="37"/>
      <c r="AE330" s="37"/>
      <c r="AF330" s="37"/>
      <c r="AG330" s="37"/>
      <c r="AH330" s="101"/>
      <c r="AI330" s="37"/>
      <c r="AJ330" s="37"/>
      <c r="AK330" s="37"/>
      <c r="AL330" s="37"/>
      <c r="AM330" s="101"/>
      <c r="AN330" s="37"/>
      <c r="AO330" s="37"/>
      <c r="AP330" s="37"/>
      <c r="AQ330" s="37"/>
      <c r="AR330" s="101"/>
      <c r="AS330" s="37"/>
      <c r="AT330" s="37"/>
      <c r="AU330" s="37"/>
      <c r="AV330" s="37"/>
      <c r="AW330" s="27"/>
      <c r="AX330" s="68"/>
      <c r="AY330" s="68"/>
      <c r="AZ330" s="68"/>
      <c r="BA330" s="68"/>
      <c r="BB330" s="196"/>
      <c r="BC330" s="194"/>
      <c r="BD330" s="194"/>
      <c r="BE330" s="194"/>
      <c r="BF330" s="194"/>
      <c r="BG330" s="196"/>
      <c r="BH330" s="194"/>
      <c r="BI330" s="194"/>
      <c r="BJ330" s="194"/>
      <c r="BK330" s="194"/>
      <c r="BL330" s="196"/>
      <c r="BM330" s="194"/>
      <c r="BN330" s="194"/>
      <c r="BO330" s="194"/>
      <c r="BP330" s="194"/>
      <c r="BQ330" s="196"/>
      <c r="BR330" s="194"/>
      <c r="BS330" s="194"/>
      <c r="BT330" s="194"/>
      <c r="BU330" s="194"/>
      <c r="BV330" s="196"/>
      <c r="BW330" s="68"/>
      <c r="BX330" s="68"/>
      <c r="BY330" s="68"/>
      <c r="BZ330" s="68"/>
      <c r="CA330" s="196"/>
      <c r="CB330" s="68"/>
      <c r="CC330" s="68"/>
      <c r="CD330" s="68"/>
      <c r="CE330" s="68"/>
      <c r="CF330" s="196"/>
      <c r="CG330" s="68"/>
      <c r="CH330" s="68"/>
      <c r="CI330" s="68"/>
      <c r="CJ330" s="68"/>
      <c r="CK330" s="431">
        <v>0.17</v>
      </c>
      <c r="CL330" s="430"/>
      <c r="CM330" s="430"/>
      <c r="CN330" s="430"/>
      <c r="CO330" s="430"/>
      <c r="CP330" s="431">
        <v>0.17</v>
      </c>
      <c r="CQ330" s="430"/>
      <c r="CR330" s="430"/>
      <c r="CS330" s="430"/>
      <c r="CT330" s="430"/>
      <c r="CU330" s="431">
        <v>0.17</v>
      </c>
      <c r="CV330" s="430"/>
      <c r="CW330" s="430"/>
      <c r="CX330" s="430"/>
      <c r="CY330" s="430"/>
      <c r="CZ330" s="431">
        <v>0.17</v>
      </c>
      <c r="DA330" s="430"/>
      <c r="DB330" s="430"/>
      <c r="DC330" s="430"/>
      <c r="DD330" s="430"/>
      <c r="DE330" s="431">
        <v>0.17</v>
      </c>
      <c r="DF330" s="430"/>
      <c r="DG330" s="430"/>
      <c r="DH330" s="430"/>
      <c r="DI330" s="430"/>
      <c r="DJ330" s="431">
        <v>0.17</v>
      </c>
      <c r="DK330" s="430"/>
      <c r="DL330" s="430"/>
      <c r="DM330" s="430"/>
      <c r="DN330" s="430"/>
      <c r="DO330" s="431">
        <v>0.17</v>
      </c>
      <c r="DP330" s="430"/>
      <c r="DQ330" s="430"/>
      <c r="DR330" s="430"/>
      <c r="DS330" s="430"/>
      <c r="DT330" s="431">
        <v>0.17</v>
      </c>
      <c r="DU330" s="431">
        <v>0.17</v>
      </c>
      <c r="DV330" s="431">
        <v>0.17</v>
      </c>
    </row>
    <row r="331" spans="1:126" s="108" customFormat="1">
      <c r="A331" s="37"/>
      <c r="B331" s="505" t="s">
        <v>371</v>
      </c>
      <c r="C331" s="101"/>
      <c r="D331" s="101"/>
      <c r="E331" s="101"/>
      <c r="F331" s="101"/>
      <c r="G331" s="101"/>
      <c r="H331" s="101"/>
      <c r="I331" s="101"/>
      <c r="J331" s="37"/>
      <c r="K331" s="37"/>
      <c r="L331" s="37"/>
      <c r="M331" s="37"/>
      <c r="N331" s="101"/>
      <c r="O331" s="37"/>
      <c r="P331" s="37"/>
      <c r="Q331" s="37"/>
      <c r="R331" s="37"/>
      <c r="S331" s="101"/>
      <c r="T331" s="37"/>
      <c r="U331" s="37"/>
      <c r="V331" s="37"/>
      <c r="W331" s="37"/>
      <c r="X331" s="101"/>
      <c r="Y331" s="37"/>
      <c r="Z331" s="37"/>
      <c r="AA331" s="37"/>
      <c r="AB331" s="37"/>
      <c r="AC331" s="101"/>
      <c r="AD331" s="37"/>
      <c r="AE331" s="37"/>
      <c r="AF331" s="37"/>
      <c r="AG331" s="37"/>
      <c r="AH331" s="101"/>
      <c r="AI331" s="37"/>
      <c r="AJ331" s="37"/>
      <c r="AK331" s="37"/>
      <c r="AL331" s="37"/>
      <c r="AM331" s="101"/>
      <c r="AN331" s="37"/>
      <c r="AO331" s="37"/>
      <c r="AP331" s="37"/>
      <c r="AQ331" s="37"/>
      <c r="AR331" s="101"/>
      <c r="AS331" s="37"/>
      <c r="AT331" s="37"/>
      <c r="AU331" s="37"/>
      <c r="AV331" s="37"/>
      <c r="AW331" s="27"/>
      <c r="AX331" s="68"/>
      <c r="AY331" s="68"/>
      <c r="AZ331" s="68"/>
      <c r="BA331" s="68"/>
      <c r="BB331" s="196"/>
      <c r="BC331" s="194"/>
      <c r="BD331" s="194"/>
      <c r="BE331" s="194"/>
      <c r="BF331" s="194"/>
      <c r="BG331" s="196"/>
      <c r="BH331" s="194"/>
      <c r="BI331" s="194"/>
      <c r="BJ331" s="194"/>
      <c r="BK331" s="194"/>
      <c r="BL331" s="196"/>
      <c r="BM331" s="194"/>
      <c r="BN331" s="194"/>
      <c r="BO331" s="194"/>
      <c r="BP331" s="194"/>
      <c r="BQ331" s="196"/>
      <c r="BR331" s="194"/>
      <c r="BS331" s="194"/>
      <c r="BT331" s="194"/>
      <c r="BU331" s="194"/>
      <c r="BV331" s="196"/>
      <c r="BW331" s="68"/>
      <c r="BX331" s="68"/>
      <c r="BY331" s="68"/>
      <c r="BZ331" s="68"/>
      <c r="CA331" s="196"/>
      <c r="CB331" s="68"/>
      <c r="CC331" s="68"/>
      <c r="CD331" s="68"/>
      <c r="CE331" s="68"/>
      <c r="CF331" s="196"/>
      <c r="CG331" s="68"/>
      <c r="CH331" s="68"/>
      <c r="CI331" s="68"/>
      <c r="CJ331" s="68"/>
      <c r="CK331" s="196"/>
      <c r="CL331" s="68"/>
      <c r="CM331" s="68"/>
      <c r="CN331" s="68"/>
      <c r="CO331" s="68"/>
      <c r="CP331" s="196"/>
      <c r="CQ331" s="68"/>
      <c r="CR331" s="68"/>
      <c r="CS331" s="68"/>
      <c r="CT331" s="68"/>
      <c r="CU331" s="196"/>
      <c r="CV331" s="68"/>
      <c r="CW331" s="68"/>
      <c r="CX331" s="68"/>
      <c r="CY331" s="68"/>
      <c r="CZ331" s="196"/>
      <c r="DA331" s="68"/>
      <c r="DB331" s="68"/>
      <c r="DC331" s="68"/>
      <c r="DD331" s="68"/>
      <c r="DE331" s="196"/>
      <c r="DF331" s="68"/>
      <c r="DG331" s="68"/>
      <c r="DH331" s="68"/>
      <c r="DI331" s="68"/>
      <c r="DJ331" s="196"/>
      <c r="DK331" s="68"/>
      <c r="DL331" s="68"/>
      <c r="DM331" s="68"/>
      <c r="DN331" s="68"/>
      <c r="DO331" s="196"/>
      <c r="DP331" s="68"/>
      <c r="DQ331" s="68"/>
      <c r="DR331" s="68"/>
      <c r="DS331" s="68"/>
      <c r="DT331" s="196"/>
      <c r="DU331" s="196"/>
      <c r="DV331" s="196"/>
    </row>
    <row r="332" spans="1:126" s="108" customFormat="1">
      <c r="A332" s="37"/>
      <c r="B332" s="505" t="s">
        <v>372</v>
      </c>
      <c r="C332" s="101"/>
      <c r="D332" s="101"/>
      <c r="E332" s="101"/>
      <c r="F332" s="101"/>
      <c r="G332" s="101"/>
      <c r="H332" s="101"/>
      <c r="I332" s="101"/>
      <c r="J332" s="37"/>
      <c r="K332" s="37"/>
      <c r="L332" s="37"/>
      <c r="M332" s="37"/>
      <c r="N332" s="101"/>
      <c r="O332" s="37"/>
      <c r="P332" s="37"/>
      <c r="Q332" s="37"/>
      <c r="R332" s="37"/>
      <c r="S332" s="101"/>
      <c r="T332" s="37"/>
      <c r="U332" s="37"/>
      <c r="V332" s="37"/>
      <c r="W332" s="37"/>
      <c r="X332" s="101"/>
      <c r="Y332" s="37"/>
      <c r="Z332" s="37"/>
      <c r="AA332" s="37"/>
      <c r="AB332" s="37"/>
      <c r="AC332" s="101"/>
      <c r="AD332" s="37"/>
      <c r="AE332" s="37"/>
      <c r="AF332" s="37"/>
      <c r="AG332" s="37"/>
      <c r="AH332" s="101"/>
      <c r="AI332" s="37"/>
      <c r="AJ332" s="37"/>
      <c r="AK332" s="37"/>
      <c r="AL332" s="37"/>
      <c r="AM332" s="101"/>
      <c r="AN332" s="37"/>
      <c r="AO332" s="37"/>
      <c r="AP332" s="37"/>
      <c r="AQ332" s="37"/>
      <c r="AR332" s="101"/>
      <c r="AS332" s="37"/>
      <c r="AT332" s="37"/>
      <c r="AU332" s="37"/>
      <c r="AV332" s="37"/>
      <c r="AW332" s="27"/>
      <c r="AX332" s="68"/>
      <c r="AY332" s="68"/>
      <c r="AZ332" s="68"/>
      <c r="BA332" s="68"/>
      <c r="BB332" s="196"/>
      <c r="BC332" s="194"/>
      <c r="BD332" s="194"/>
      <c r="BE332" s="194"/>
      <c r="BF332" s="194"/>
      <c r="BG332" s="196"/>
      <c r="BH332" s="194"/>
      <c r="BI332" s="194"/>
      <c r="BJ332" s="194"/>
      <c r="BK332" s="194"/>
      <c r="BL332" s="196"/>
      <c r="BM332" s="194"/>
      <c r="BN332" s="194"/>
      <c r="BO332" s="194"/>
      <c r="BP332" s="194"/>
      <c r="BQ332" s="196"/>
      <c r="BR332" s="194"/>
      <c r="BS332" s="194"/>
      <c r="BT332" s="194"/>
      <c r="BU332" s="194"/>
      <c r="BV332" s="196"/>
      <c r="BW332" s="68"/>
      <c r="BX332" s="68"/>
      <c r="BY332" s="68"/>
      <c r="BZ332" s="68"/>
      <c r="CA332" s="196"/>
      <c r="CB332" s="68"/>
      <c r="CC332" s="68"/>
      <c r="CD332" s="68"/>
      <c r="CE332" s="68"/>
      <c r="CF332" s="196"/>
      <c r="CG332" s="68"/>
      <c r="CH332" s="68"/>
      <c r="CI332" s="68"/>
      <c r="CJ332" s="68"/>
      <c r="CK332" s="196"/>
      <c r="CL332" s="68"/>
      <c r="CM332" s="68"/>
      <c r="CN332" s="68"/>
      <c r="CO332" s="68"/>
      <c r="CP332" s="196"/>
      <c r="CQ332" s="68"/>
      <c r="CR332" s="68"/>
      <c r="CS332" s="68"/>
      <c r="CT332" s="68"/>
      <c r="CU332" s="196"/>
      <c r="CV332" s="68"/>
      <c r="CW332" s="68"/>
      <c r="CX332" s="68"/>
      <c r="CY332" s="68"/>
      <c r="CZ332" s="196"/>
      <c r="DA332" s="68"/>
      <c r="DB332" s="68"/>
      <c r="DC332" s="68"/>
      <c r="DD332" s="68"/>
      <c r="DE332" s="196"/>
      <c r="DF332" s="68"/>
      <c r="DG332" s="68"/>
      <c r="DH332" s="68"/>
      <c r="DI332" s="68"/>
      <c r="DJ332" s="196"/>
      <c r="DK332" s="68"/>
      <c r="DL332" s="68"/>
      <c r="DM332" s="68"/>
      <c r="DN332" s="68"/>
      <c r="DO332" s="196"/>
      <c r="DP332" s="68"/>
      <c r="DQ332" s="68"/>
      <c r="DR332" s="68"/>
      <c r="DS332" s="68"/>
      <c r="DT332" s="196"/>
      <c r="DU332" s="196"/>
      <c r="DV332" s="196"/>
    </row>
    <row r="333" spans="1:126" s="108" customFormat="1">
      <c r="A333" s="37"/>
      <c r="B333" s="505" t="s">
        <v>373</v>
      </c>
      <c r="C333" s="101"/>
      <c r="D333" s="101"/>
      <c r="E333" s="101"/>
      <c r="F333" s="101"/>
      <c r="G333" s="101"/>
      <c r="H333" s="101"/>
      <c r="I333" s="101"/>
      <c r="J333" s="37"/>
      <c r="K333" s="37"/>
      <c r="L333" s="37"/>
      <c r="M333" s="37"/>
      <c r="N333" s="101"/>
      <c r="O333" s="37"/>
      <c r="P333" s="37"/>
      <c r="Q333" s="37"/>
      <c r="R333" s="37"/>
      <c r="S333" s="101"/>
      <c r="T333" s="37"/>
      <c r="U333" s="37"/>
      <c r="V333" s="37"/>
      <c r="W333" s="37"/>
      <c r="X333" s="101"/>
      <c r="Y333" s="37"/>
      <c r="Z333" s="37"/>
      <c r="AA333" s="37"/>
      <c r="AB333" s="37"/>
      <c r="AC333" s="101"/>
      <c r="AD333" s="37"/>
      <c r="AE333" s="37"/>
      <c r="AF333" s="37"/>
      <c r="AG333" s="37"/>
      <c r="AH333" s="101"/>
      <c r="AI333" s="37"/>
      <c r="AJ333" s="37"/>
      <c r="AK333" s="37"/>
      <c r="AL333" s="37"/>
      <c r="AM333" s="101"/>
      <c r="AN333" s="37"/>
      <c r="AO333" s="37"/>
      <c r="AP333" s="37"/>
      <c r="AQ333" s="37"/>
      <c r="AR333" s="101"/>
      <c r="AS333" s="37"/>
      <c r="AT333" s="37"/>
      <c r="AU333" s="37"/>
      <c r="AV333" s="37"/>
      <c r="AW333" s="27"/>
      <c r="AX333" s="68"/>
      <c r="AY333" s="68"/>
      <c r="AZ333" s="68"/>
      <c r="BA333" s="68"/>
      <c r="BB333" s="196"/>
      <c r="BC333" s="194"/>
      <c r="BD333" s="194"/>
      <c r="BE333" s="194"/>
      <c r="BF333" s="194"/>
      <c r="BG333" s="196"/>
      <c r="BH333" s="194"/>
      <c r="BI333" s="194"/>
      <c r="BJ333" s="194"/>
      <c r="BK333" s="194"/>
      <c r="BL333" s="196"/>
      <c r="BM333" s="194"/>
      <c r="BN333" s="194"/>
      <c r="BO333" s="194"/>
      <c r="BP333" s="194"/>
      <c r="BQ333" s="196"/>
      <c r="BR333" s="194"/>
      <c r="BS333" s="194"/>
      <c r="BT333" s="194"/>
      <c r="BU333" s="194"/>
      <c r="BV333" s="196"/>
      <c r="BW333" s="68"/>
      <c r="BX333" s="68"/>
      <c r="BY333" s="68"/>
      <c r="BZ333" s="68"/>
      <c r="CA333" s="196"/>
      <c r="CB333" s="68"/>
      <c r="CC333" s="68"/>
      <c r="CD333" s="68"/>
      <c r="CE333" s="68"/>
      <c r="CF333" s="196"/>
      <c r="CG333" s="68"/>
      <c r="CH333" s="68"/>
      <c r="CI333" s="68"/>
      <c r="CJ333" s="68"/>
      <c r="CK333" s="196"/>
      <c r="CL333" s="68"/>
      <c r="CM333" s="68"/>
      <c r="CN333" s="68"/>
      <c r="CO333" s="68"/>
      <c r="CP333" s="196"/>
      <c r="CQ333" s="68"/>
      <c r="CR333" s="68"/>
      <c r="CS333" s="68"/>
      <c r="CT333" s="68"/>
      <c r="CU333" s="196"/>
      <c r="CV333" s="68"/>
      <c r="CW333" s="68"/>
      <c r="CX333" s="68"/>
      <c r="CY333" s="68"/>
      <c r="CZ333" s="196"/>
      <c r="DA333" s="68"/>
      <c r="DB333" s="68"/>
      <c r="DC333" s="68"/>
      <c r="DD333" s="68"/>
      <c r="DE333" s="196"/>
      <c r="DF333" s="68"/>
      <c r="DG333" s="68"/>
      <c r="DH333" s="68"/>
      <c r="DI333" s="68"/>
      <c r="DJ333" s="196"/>
      <c r="DK333" s="68"/>
      <c r="DL333" s="68"/>
      <c r="DM333" s="68"/>
      <c r="DN333" s="68"/>
      <c r="DO333" s="196"/>
      <c r="DP333" s="68"/>
      <c r="DQ333" s="68"/>
      <c r="DR333" s="68"/>
      <c r="DS333" s="68"/>
      <c r="DT333" s="196"/>
      <c r="DU333" s="196"/>
      <c r="DV333" s="196"/>
    </row>
    <row r="334" spans="1:126" s="108" customFormat="1">
      <c r="A334" s="37"/>
      <c r="B334" s="505" t="s">
        <v>374</v>
      </c>
      <c r="C334" s="101"/>
      <c r="D334" s="101"/>
      <c r="E334" s="101"/>
      <c r="F334" s="101"/>
      <c r="G334" s="101"/>
      <c r="H334" s="101"/>
      <c r="I334" s="101"/>
      <c r="J334" s="37"/>
      <c r="K334" s="37"/>
      <c r="L334" s="37"/>
      <c r="M334" s="37"/>
      <c r="N334" s="101"/>
      <c r="O334" s="37"/>
      <c r="P334" s="37"/>
      <c r="Q334" s="37"/>
      <c r="R334" s="37"/>
      <c r="S334" s="101"/>
      <c r="T334" s="37"/>
      <c r="U334" s="37"/>
      <c r="V334" s="37"/>
      <c r="W334" s="37"/>
      <c r="X334" s="101"/>
      <c r="Y334" s="37"/>
      <c r="Z334" s="37"/>
      <c r="AA334" s="37"/>
      <c r="AB334" s="37"/>
      <c r="AC334" s="101"/>
      <c r="AD334" s="37"/>
      <c r="AE334" s="37"/>
      <c r="AF334" s="37"/>
      <c r="AG334" s="37"/>
      <c r="AH334" s="101"/>
      <c r="AI334" s="37"/>
      <c r="AJ334" s="37"/>
      <c r="AK334" s="37"/>
      <c r="AL334" s="37"/>
      <c r="AM334" s="101"/>
      <c r="AN334" s="37"/>
      <c r="AO334" s="37"/>
      <c r="AP334" s="37"/>
      <c r="AQ334" s="37"/>
      <c r="AR334" s="101"/>
      <c r="AS334" s="37"/>
      <c r="AT334" s="37"/>
      <c r="AU334" s="37"/>
      <c r="AV334" s="37"/>
      <c r="AW334" s="27"/>
      <c r="AX334" s="68"/>
      <c r="AY334" s="68"/>
      <c r="AZ334" s="68"/>
      <c r="BA334" s="68"/>
      <c r="BB334" s="196"/>
      <c r="BC334" s="194"/>
      <c r="BD334" s="194"/>
      <c r="BE334" s="194"/>
      <c r="BF334" s="194"/>
      <c r="BG334" s="196"/>
      <c r="BH334" s="194"/>
      <c r="BI334" s="194"/>
      <c r="BJ334" s="194"/>
      <c r="BK334" s="194"/>
      <c r="BL334" s="196"/>
      <c r="BM334" s="194"/>
      <c r="BN334" s="194"/>
      <c r="BO334" s="194"/>
      <c r="BP334" s="194"/>
      <c r="BQ334" s="196"/>
      <c r="BR334" s="194"/>
      <c r="BS334" s="194"/>
      <c r="BT334" s="194"/>
      <c r="BU334" s="194"/>
      <c r="BV334" s="196"/>
      <c r="BW334" s="68"/>
      <c r="BX334" s="68"/>
      <c r="BY334" s="68"/>
      <c r="BZ334" s="68"/>
      <c r="CA334" s="196"/>
      <c r="CB334" s="68"/>
      <c r="CC334" s="68"/>
      <c r="CD334" s="68"/>
      <c r="CE334" s="68"/>
      <c r="CF334" s="196"/>
      <c r="CG334" s="68"/>
      <c r="CH334" s="68"/>
      <c r="CI334" s="68"/>
      <c r="CJ334" s="68"/>
      <c r="CK334" s="196"/>
      <c r="CL334" s="68"/>
      <c r="CM334" s="68"/>
      <c r="CN334" s="68"/>
      <c r="CO334" s="68"/>
      <c r="CP334" s="196"/>
      <c r="CQ334" s="68"/>
      <c r="CR334" s="68"/>
      <c r="CS334" s="68"/>
      <c r="CT334" s="68"/>
      <c r="CU334" s="196"/>
      <c r="CV334" s="68"/>
      <c r="CW334" s="68"/>
      <c r="CX334" s="68"/>
      <c r="CY334" s="68"/>
      <c r="CZ334" s="196"/>
      <c r="DA334" s="68"/>
      <c r="DB334" s="68"/>
      <c r="DC334" s="68"/>
      <c r="DD334" s="68"/>
      <c r="DE334" s="196"/>
      <c r="DF334" s="68"/>
      <c r="DG334" s="68"/>
      <c r="DH334" s="68"/>
      <c r="DI334" s="68"/>
      <c r="DJ334" s="196"/>
      <c r="DK334" s="68"/>
      <c r="DL334" s="68"/>
      <c r="DM334" s="68"/>
      <c r="DN334" s="68"/>
      <c r="DO334" s="196"/>
      <c r="DP334" s="68"/>
      <c r="DQ334" s="68"/>
      <c r="DR334" s="68"/>
      <c r="DS334" s="68"/>
      <c r="DT334" s="196"/>
      <c r="DU334" s="196"/>
      <c r="DV334" s="196"/>
    </row>
    <row r="335" spans="1:126" s="108" customFormat="1">
      <c r="A335" s="37"/>
      <c r="B335" s="505" t="s">
        <v>375</v>
      </c>
      <c r="C335" s="101"/>
      <c r="D335" s="101"/>
      <c r="E335" s="101"/>
      <c r="F335" s="101"/>
      <c r="G335" s="101"/>
      <c r="H335" s="101"/>
      <c r="I335" s="101"/>
      <c r="J335" s="37"/>
      <c r="K335" s="37"/>
      <c r="L335" s="37"/>
      <c r="M335" s="37"/>
      <c r="N335" s="101"/>
      <c r="O335" s="37"/>
      <c r="P335" s="37"/>
      <c r="Q335" s="37"/>
      <c r="R335" s="37"/>
      <c r="S335" s="101"/>
      <c r="T335" s="37"/>
      <c r="U335" s="37"/>
      <c r="V335" s="37"/>
      <c r="W335" s="37"/>
      <c r="X335" s="101"/>
      <c r="Y335" s="37"/>
      <c r="Z335" s="37"/>
      <c r="AA335" s="37"/>
      <c r="AB335" s="37"/>
      <c r="AC335" s="101"/>
      <c r="AD335" s="37"/>
      <c r="AE335" s="37"/>
      <c r="AF335" s="37"/>
      <c r="AG335" s="37"/>
      <c r="AH335" s="101"/>
      <c r="AI335" s="37"/>
      <c r="AJ335" s="37"/>
      <c r="AK335" s="37"/>
      <c r="AL335" s="37"/>
      <c r="AM335" s="101"/>
      <c r="AN335" s="37"/>
      <c r="AO335" s="37"/>
      <c r="AP335" s="37"/>
      <c r="AQ335" s="37"/>
      <c r="AR335" s="101"/>
      <c r="AS335" s="37"/>
      <c r="AT335" s="37"/>
      <c r="AU335" s="37"/>
      <c r="AV335" s="37"/>
      <c r="AW335" s="27"/>
      <c r="AX335" s="68"/>
      <c r="AY335" s="68"/>
      <c r="AZ335" s="68"/>
      <c r="BA335" s="68"/>
      <c r="BB335" s="196"/>
      <c r="BC335" s="194"/>
      <c r="BD335" s="194"/>
      <c r="BE335" s="194"/>
      <c r="BF335" s="194"/>
      <c r="BG335" s="196"/>
      <c r="BH335" s="194"/>
      <c r="BI335" s="194"/>
      <c r="BJ335" s="194"/>
      <c r="BK335" s="194"/>
      <c r="BL335" s="196"/>
      <c r="BM335" s="194"/>
      <c r="BN335" s="194"/>
      <c r="BO335" s="194"/>
      <c r="BP335" s="194"/>
      <c r="BQ335" s="196"/>
      <c r="BR335" s="194"/>
      <c r="BS335" s="194"/>
      <c r="BT335" s="194"/>
      <c r="BU335" s="194"/>
      <c r="BV335" s="196"/>
      <c r="BW335" s="68"/>
      <c r="BX335" s="68"/>
      <c r="BY335" s="68"/>
      <c r="BZ335" s="68"/>
      <c r="CA335" s="196"/>
      <c r="CB335" s="68"/>
      <c r="CC335" s="68"/>
      <c r="CD335" s="68"/>
      <c r="CE335" s="68"/>
      <c r="CF335" s="196"/>
      <c r="CG335" s="68"/>
      <c r="CH335" s="68"/>
      <c r="CI335" s="68"/>
      <c r="CJ335" s="68"/>
      <c r="CK335" s="196"/>
      <c r="CL335" s="68"/>
      <c r="CM335" s="68"/>
      <c r="CN335" s="68"/>
      <c r="CO335" s="68"/>
      <c r="CP335" s="196"/>
      <c r="CQ335" s="68"/>
      <c r="CR335" s="68"/>
      <c r="CS335" s="68"/>
      <c r="CT335" s="68"/>
      <c r="CU335" s="196"/>
      <c r="CV335" s="68"/>
      <c r="CW335" s="68"/>
      <c r="CX335" s="68"/>
      <c r="CY335" s="68"/>
      <c r="CZ335" s="196"/>
      <c r="DA335" s="68"/>
      <c r="DB335" s="68"/>
      <c r="DC335" s="68"/>
      <c r="DD335" s="68"/>
      <c r="DE335" s="196"/>
      <c r="DF335" s="68"/>
      <c r="DG335" s="68"/>
      <c r="DH335" s="68"/>
      <c r="DI335" s="68"/>
      <c r="DJ335" s="196"/>
      <c r="DK335" s="68"/>
      <c r="DL335" s="68"/>
      <c r="DM335" s="68"/>
      <c r="DN335" s="68"/>
      <c r="DO335" s="196"/>
      <c r="DP335" s="68"/>
      <c r="DQ335" s="68"/>
      <c r="DR335" s="68"/>
      <c r="DS335" s="68"/>
      <c r="DT335" s="196"/>
      <c r="DU335" s="196"/>
      <c r="DV335" s="196"/>
    </row>
    <row r="336" spans="1:126" s="108" customFormat="1">
      <c r="A336" s="37"/>
      <c r="B336" s="505" t="s">
        <v>376</v>
      </c>
      <c r="C336" s="101"/>
      <c r="D336" s="101"/>
      <c r="E336" s="101"/>
      <c r="F336" s="101"/>
      <c r="G336" s="101"/>
      <c r="H336" s="101"/>
      <c r="I336" s="101"/>
      <c r="J336" s="37"/>
      <c r="K336" s="37"/>
      <c r="L336" s="37"/>
      <c r="M336" s="37"/>
      <c r="N336" s="101"/>
      <c r="O336" s="37"/>
      <c r="P336" s="37"/>
      <c r="Q336" s="37"/>
      <c r="R336" s="37"/>
      <c r="S336" s="101"/>
      <c r="T336" s="37"/>
      <c r="U336" s="37"/>
      <c r="V336" s="37"/>
      <c r="W336" s="37"/>
      <c r="X336" s="101"/>
      <c r="Y336" s="37"/>
      <c r="Z336" s="37"/>
      <c r="AA336" s="37"/>
      <c r="AB336" s="37"/>
      <c r="AC336" s="101"/>
      <c r="AD336" s="37"/>
      <c r="AE336" s="37"/>
      <c r="AF336" s="37"/>
      <c r="AG336" s="37"/>
      <c r="AH336" s="101"/>
      <c r="AI336" s="37"/>
      <c r="AJ336" s="37"/>
      <c r="AK336" s="37"/>
      <c r="AL336" s="37"/>
      <c r="AM336" s="101"/>
      <c r="AN336" s="37"/>
      <c r="AO336" s="37"/>
      <c r="AP336" s="37"/>
      <c r="AQ336" s="37"/>
      <c r="AR336" s="101"/>
      <c r="AS336" s="37"/>
      <c r="AT336" s="37"/>
      <c r="AU336" s="37"/>
      <c r="AV336" s="37"/>
      <c r="AW336" s="27"/>
      <c r="AX336" s="68"/>
      <c r="AY336" s="68"/>
      <c r="AZ336" s="68"/>
      <c r="BA336" s="68"/>
      <c r="BB336" s="196"/>
      <c r="BC336" s="194"/>
      <c r="BD336" s="194"/>
      <c r="BE336" s="194"/>
      <c r="BF336" s="194"/>
      <c r="BG336" s="196"/>
      <c r="BH336" s="194"/>
      <c r="BI336" s="194"/>
      <c r="BJ336" s="194"/>
      <c r="BK336" s="194"/>
      <c r="BL336" s="196"/>
      <c r="BM336" s="194"/>
      <c r="BN336" s="194"/>
      <c r="BO336" s="194"/>
      <c r="BP336" s="194"/>
      <c r="BQ336" s="196"/>
      <c r="BR336" s="194"/>
      <c r="BS336" s="194"/>
      <c r="BT336" s="194"/>
      <c r="BU336" s="194"/>
      <c r="BV336" s="196"/>
      <c r="BW336" s="68"/>
      <c r="BX336" s="68"/>
      <c r="BY336" s="68"/>
      <c r="BZ336" s="68"/>
      <c r="CA336" s="196"/>
      <c r="CB336" s="68"/>
      <c r="CC336" s="68"/>
      <c r="CD336" s="68"/>
      <c r="CE336" s="68"/>
      <c r="CF336" s="196"/>
      <c r="CG336" s="68"/>
      <c r="CH336" s="68"/>
      <c r="CI336" s="68"/>
      <c r="CJ336" s="68"/>
      <c r="CK336" s="196"/>
      <c r="CL336" s="68"/>
      <c r="CM336" s="68"/>
      <c r="CN336" s="68"/>
      <c r="CO336" s="68"/>
      <c r="CP336" s="196"/>
      <c r="CQ336" s="68"/>
      <c r="CR336" s="68"/>
      <c r="CS336" s="68"/>
      <c r="CT336" s="68"/>
      <c r="CU336" s="196"/>
      <c r="CV336" s="68"/>
      <c r="CW336" s="68"/>
      <c r="CX336" s="68"/>
      <c r="CY336" s="68"/>
      <c r="CZ336" s="196"/>
      <c r="DA336" s="68"/>
      <c r="DB336" s="68"/>
      <c r="DC336" s="68"/>
      <c r="DD336" s="68"/>
      <c r="DE336" s="196"/>
      <c r="DF336" s="68"/>
      <c r="DG336" s="68"/>
      <c r="DH336" s="68"/>
      <c r="DI336" s="68"/>
      <c r="DJ336" s="196"/>
      <c r="DK336" s="68"/>
      <c r="DL336" s="68"/>
      <c r="DM336" s="68"/>
      <c r="DN336" s="68"/>
      <c r="DO336" s="196"/>
      <c r="DP336" s="68"/>
      <c r="DQ336" s="68"/>
      <c r="DR336" s="68"/>
      <c r="DS336" s="68"/>
      <c r="DT336" s="196"/>
      <c r="DU336" s="196"/>
      <c r="DV336" s="196"/>
    </row>
    <row r="337" spans="1:126" s="108" customFormat="1">
      <c r="A337" s="37"/>
      <c r="B337" s="505" t="s">
        <v>377</v>
      </c>
      <c r="C337" s="101"/>
      <c r="D337" s="101"/>
      <c r="E337" s="101"/>
      <c r="F337" s="101"/>
      <c r="G337" s="101"/>
      <c r="H337" s="101"/>
      <c r="I337" s="101"/>
      <c r="J337" s="37"/>
      <c r="K337" s="37"/>
      <c r="L337" s="37"/>
      <c r="M337" s="37"/>
      <c r="N337" s="101"/>
      <c r="O337" s="37"/>
      <c r="P337" s="37"/>
      <c r="Q337" s="37"/>
      <c r="R337" s="37"/>
      <c r="S337" s="101"/>
      <c r="T337" s="37"/>
      <c r="U337" s="37"/>
      <c r="V337" s="37"/>
      <c r="W337" s="37"/>
      <c r="X337" s="101"/>
      <c r="Y337" s="37"/>
      <c r="Z337" s="37"/>
      <c r="AA337" s="37"/>
      <c r="AB337" s="37"/>
      <c r="AC337" s="101"/>
      <c r="AD337" s="37"/>
      <c r="AE337" s="37"/>
      <c r="AF337" s="37"/>
      <c r="AG337" s="37"/>
      <c r="AH337" s="101"/>
      <c r="AI337" s="37"/>
      <c r="AJ337" s="37"/>
      <c r="AK337" s="37"/>
      <c r="AL337" s="37"/>
      <c r="AM337" s="101"/>
      <c r="AN337" s="37"/>
      <c r="AO337" s="37"/>
      <c r="AP337" s="37"/>
      <c r="AQ337" s="37"/>
      <c r="AR337" s="101"/>
      <c r="AS337" s="37"/>
      <c r="AT337" s="37"/>
      <c r="AU337" s="37"/>
      <c r="AV337" s="37"/>
      <c r="AW337" s="27"/>
      <c r="AX337" s="68"/>
      <c r="AY337" s="68"/>
      <c r="AZ337" s="68"/>
      <c r="BA337" s="68"/>
      <c r="BB337" s="196"/>
      <c r="BC337" s="194"/>
      <c r="BD337" s="194"/>
      <c r="BE337" s="194"/>
      <c r="BF337" s="194"/>
      <c r="BG337" s="196"/>
      <c r="BH337" s="194"/>
      <c r="BI337" s="194"/>
      <c r="BJ337" s="194"/>
      <c r="BK337" s="194"/>
      <c r="BL337" s="196"/>
      <c r="BM337" s="194"/>
      <c r="BN337" s="194"/>
      <c r="BO337" s="194"/>
      <c r="BP337" s="194"/>
      <c r="BQ337" s="196"/>
      <c r="BR337" s="194"/>
      <c r="BS337" s="194"/>
      <c r="BT337" s="194"/>
      <c r="BU337" s="194"/>
      <c r="BV337" s="196"/>
      <c r="BW337" s="68"/>
      <c r="BX337" s="68"/>
      <c r="BY337" s="68"/>
      <c r="BZ337" s="68"/>
      <c r="CA337" s="196"/>
      <c r="CB337" s="68"/>
      <c r="CC337" s="68"/>
      <c r="CD337" s="68"/>
      <c r="CE337" s="68"/>
      <c r="CF337" s="196"/>
      <c r="CG337" s="68"/>
      <c r="CH337" s="68"/>
      <c r="CI337" s="68"/>
      <c r="CJ337" s="68"/>
      <c r="CK337" s="196"/>
      <c r="CL337" s="68"/>
      <c r="CM337" s="68"/>
      <c r="CN337" s="68"/>
      <c r="CO337" s="68"/>
      <c r="CP337" s="196"/>
      <c r="CQ337" s="68"/>
      <c r="CR337" s="68"/>
      <c r="CS337" s="68"/>
      <c r="CT337" s="68"/>
      <c r="CU337" s="196"/>
      <c r="CV337" s="68"/>
      <c r="CW337" s="68"/>
      <c r="CX337" s="68"/>
      <c r="CY337" s="68"/>
      <c r="CZ337" s="196"/>
      <c r="DA337" s="68"/>
      <c r="DB337" s="68"/>
      <c r="DC337" s="68"/>
      <c r="DD337" s="68"/>
      <c r="DE337" s="196"/>
      <c r="DF337" s="68"/>
      <c r="DG337" s="68"/>
      <c r="DH337" s="68"/>
      <c r="DI337" s="68"/>
      <c r="DJ337" s="196"/>
      <c r="DK337" s="68"/>
      <c r="DL337" s="68"/>
      <c r="DM337" s="68"/>
      <c r="DN337" s="68"/>
      <c r="DO337" s="196"/>
      <c r="DP337" s="68"/>
      <c r="DQ337" s="68"/>
      <c r="DR337" s="68"/>
      <c r="DS337" s="68"/>
      <c r="DT337" s="196"/>
      <c r="DU337" s="196"/>
      <c r="DV337" s="196"/>
    </row>
    <row r="338" spans="1:126" s="108" customFormat="1">
      <c r="A338" s="37"/>
      <c r="B338" s="506" t="s">
        <v>148</v>
      </c>
      <c r="C338" s="101"/>
      <c r="D338" s="101"/>
      <c r="E338" s="101"/>
      <c r="F338" s="101"/>
      <c r="G338" s="101"/>
      <c r="H338" s="101"/>
      <c r="I338" s="101"/>
      <c r="J338" s="37"/>
      <c r="K338" s="37"/>
      <c r="L338" s="37"/>
      <c r="M338" s="37"/>
      <c r="N338" s="101"/>
      <c r="O338" s="37"/>
      <c r="P338" s="37"/>
      <c r="Q338" s="37"/>
      <c r="R338" s="37"/>
      <c r="S338" s="101"/>
      <c r="T338" s="37"/>
      <c r="U338" s="37"/>
      <c r="V338" s="37"/>
      <c r="W338" s="37"/>
      <c r="X338" s="101"/>
      <c r="Y338" s="37"/>
      <c r="Z338" s="37"/>
      <c r="AA338" s="37"/>
      <c r="AB338" s="37"/>
      <c r="AC338" s="101"/>
      <c r="AD338" s="37"/>
      <c r="AE338" s="37"/>
      <c r="AF338" s="37"/>
      <c r="AG338" s="37"/>
      <c r="AH338" s="101"/>
      <c r="AI338" s="37"/>
      <c r="AJ338" s="37"/>
      <c r="AK338" s="37"/>
      <c r="AL338" s="37"/>
      <c r="AM338" s="101"/>
      <c r="AN338" s="37"/>
      <c r="AO338" s="37"/>
      <c r="AP338" s="37"/>
      <c r="AQ338" s="37"/>
      <c r="AR338" s="101"/>
      <c r="AS338" s="37"/>
      <c r="AT338" s="37"/>
      <c r="AU338" s="37"/>
      <c r="AV338" s="37"/>
      <c r="AW338" s="27"/>
      <c r="AX338" s="68"/>
      <c r="AY338" s="68"/>
      <c r="AZ338" s="68"/>
      <c r="BA338" s="68"/>
      <c r="BB338" s="196"/>
      <c r="BC338" s="194"/>
      <c r="BD338" s="194"/>
      <c r="BE338" s="194"/>
      <c r="BF338" s="194"/>
      <c r="BG338" s="196"/>
      <c r="BH338" s="194"/>
      <c r="BI338" s="194"/>
      <c r="BJ338" s="194"/>
      <c r="BK338" s="194"/>
      <c r="BL338" s="196"/>
      <c r="BM338" s="194"/>
      <c r="BN338" s="194"/>
      <c r="BO338" s="194"/>
      <c r="BP338" s="194"/>
      <c r="BQ338" s="196"/>
      <c r="BR338" s="194"/>
      <c r="BS338" s="194"/>
      <c r="BT338" s="194"/>
      <c r="BU338" s="194"/>
      <c r="BV338" s="196"/>
      <c r="BW338" s="68"/>
      <c r="BX338" s="68"/>
      <c r="BY338" s="68"/>
      <c r="BZ338" s="68"/>
      <c r="CA338" s="196"/>
      <c r="CB338" s="68"/>
      <c r="CC338" s="68"/>
      <c r="CD338" s="68"/>
      <c r="CE338" s="68"/>
      <c r="CF338" s="196"/>
      <c r="CG338" s="68"/>
      <c r="CH338" s="68"/>
      <c r="CI338" s="68"/>
      <c r="CJ338" s="68"/>
      <c r="CK338" s="431">
        <f>SUM(CK217,CK219)</f>
        <v>0.11000000000000001</v>
      </c>
      <c r="CL338" s="430"/>
      <c r="CM338" s="430"/>
      <c r="CN338" s="430"/>
      <c r="CO338" s="430"/>
      <c r="CP338" s="431">
        <f>SUM(CP217,CP219)</f>
        <v>0.11000000000000001</v>
      </c>
      <c r="CQ338" s="430"/>
      <c r="CR338" s="430"/>
      <c r="CS338" s="430"/>
      <c r="CT338" s="430"/>
      <c r="CU338" s="431">
        <f>SUM(CU217,CU219)</f>
        <v>0.11000000000000001</v>
      </c>
      <c r="CV338" s="430"/>
      <c r="CW338" s="430"/>
      <c r="CX338" s="430"/>
      <c r="CY338" s="430"/>
      <c r="CZ338" s="431">
        <f>SUM(CZ217,CZ219)</f>
        <v>0.11000000000000001</v>
      </c>
      <c r="DA338" s="430"/>
      <c r="DB338" s="430"/>
      <c r="DC338" s="430"/>
      <c r="DD338" s="430"/>
      <c r="DE338" s="431">
        <f>SUM(DE217,DE219)</f>
        <v>0.11000000000000001</v>
      </c>
      <c r="DF338" s="430"/>
      <c r="DG338" s="430"/>
      <c r="DH338" s="430"/>
      <c r="DI338" s="430"/>
      <c r="DJ338" s="431">
        <f>SUM(DJ217,DJ219)</f>
        <v>0.11000000000000001</v>
      </c>
      <c r="DK338" s="430"/>
      <c r="DL338" s="430"/>
      <c r="DM338" s="430"/>
      <c r="DN338" s="430"/>
      <c r="DO338" s="431">
        <f>SUM(DO217,DO219)</f>
        <v>0.11000000000000001</v>
      </c>
      <c r="DP338" s="430"/>
      <c r="DQ338" s="430"/>
      <c r="DR338" s="430"/>
      <c r="DS338" s="430"/>
      <c r="DT338" s="431">
        <f>SUM(DT217,DT219)</f>
        <v>0.11000000000000001</v>
      </c>
      <c r="DU338" s="431">
        <f>SUM(DU217,DU219)</f>
        <v>0.11000000000000001</v>
      </c>
      <c r="DV338" s="431">
        <f>SUM(DV217,DV219)</f>
        <v>0.11000000000000001</v>
      </c>
    </row>
    <row r="339" spans="1:126" s="108" customFormat="1">
      <c r="A339" s="37"/>
      <c r="B339" s="180"/>
      <c r="C339" s="101"/>
      <c r="D339" s="101"/>
      <c r="E339" s="101"/>
      <c r="F339" s="101"/>
      <c r="G339" s="101"/>
      <c r="H339" s="101"/>
      <c r="I339" s="101"/>
      <c r="J339" s="37"/>
      <c r="K339" s="37"/>
      <c r="L339" s="37"/>
      <c r="M339" s="37"/>
      <c r="N339" s="101"/>
      <c r="O339" s="37"/>
      <c r="P339" s="37"/>
      <c r="Q339" s="37"/>
      <c r="R339" s="37"/>
      <c r="S339" s="101"/>
      <c r="T339" s="37"/>
      <c r="U339" s="37"/>
      <c r="V339" s="37"/>
      <c r="W339" s="37"/>
      <c r="X339" s="101"/>
      <c r="Y339" s="37"/>
      <c r="Z339" s="37"/>
      <c r="AA339" s="37"/>
      <c r="AB339" s="37"/>
      <c r="AC339" s="101"/>
      <c r="AD339" s="37"/>
      <c r="AE339" s="37"/>
      <c r="AF339" s="37"/>
      <c r="AG339" s="37"/>
      <c r="AH339" s="101"/>
      <c r="AI339" s="37"/>
      <c r="AJ339" s="37"/>
      <c r="AK339" s="37"/>
      <c r="AL339" s="37"/>
      <c r="AM339" s="101"/>
      <c r="AN339" s="37"/>
      <c r="AO339" s="37"/>
      <c r="AP339" s="37"/>
      <c r="AQ339" s="37"/>
      <c r="AR339" s="101"/>
      <c r="AS339" s="37"/>
      <c r="AT339" s="37"/>
      <c r="AU339" s="37"/>
      <c r="AV339" s="37"/>
      <c r="AW339" s="27"/>
      <c r="AX339" s="68"/>
      <c r="AY339" s="68"/>
      <c r="AZ339" s="68"/>
      <c r="BA339" s="68"/>
      <c r="BB339" s="27"/>
      <c r="BC339" s="68"/>
      <c r="BD339" s="68"/>
      <c r="BE339" s="68"/>
      <c r="BF339" s="68"/>
      <c r="BG339" s="27"/>
      <c r="BH339" s="68"/>
      <c r="BI339" s="68"/>
      <c r="BJ339" s="68"/>
      <c r="BK339" s="68"/>
      <c r="BL339" s="27"/>
      <c r="BM339" s="68"/>
      <c r="BN339" s="68"/>
      <c r="BO339" s="68"/>
      <c r="BP339" s="68"/>
      <c r="BQ339" s="27"/>
      <c r="BR339" s="68"/>
      <c r="BS339" s="68"/>
      <c r="BT339" s="68"/>
      <c r="BU339" s="68"/>
      <c r="BV339" s="27"/>
      <c r="BW339" s="68"/>
      <c r="BX339" s="68"/>
      <c r="BY339" s="68"/>
      <c r="BZ339" s="68"/>
      <c r="CA339" s="27"/>
      <c r="CB339" s="68"/>
      <c r="CC339" s="68"/>
      <c r="CD339" s="68"/>
      <c r="CE339" s="68"/>
      <c r="CF339" s="27"/>
      <c r="CG339" s="68"/>
      <c r="CH339" s="68"/>
      <c r="CI339" s="68"/>
      <c r="CJ339" s="68"/>
      <c r="CK339" s="27"/>
      <c r="CL339" s="68"/>
      <c r="CM339" s="68"/>
      <c r="CN339" s="68"/>
      <c r="CO339" s="68"/>
      <c r="CP339" s="27"/>
      <c r="CQ339" s="68"/>
      <c r="CR339" s="68"/>
      <c r="CS339" s="68"/>
      <c r="CT339" s="68"/>
      <c r="CU339" s="27"/>
      <c r="CV339" s="68"/>
      <c r="CW339" s="68"/>
      <c r="CX339" s="68"/>
      <c r="CY339" s="68"/>
      <c r="CZ339" s="27"/>
      <c r="DA339" s="68"/>
      <c r="DB339" s="68"/>
      <c r="DC339" s="68"/>
      <c r="DD339" s="68"/>
      <c r="DE339" s="27"/>
      <c r="DF339" s="68"/>
      <c r="DG339" s="68"/>
      <c r="DH339" s="68"/>
      <c r="DI339" s="68"/>
      <c r="DJ339" s="27"/>
      <c r="DK339" s="68"/>
      <c r="DL339" s="68"/>
      <c r="DM339" s="68"/>
      <c r="DN339" s="68"/>
      <c r="DO339" s="27"/>
      <c r="DP339" s="68"/>
      <c r="DQ339" s="68"/>
      <c r="DR339" s="68"/>
      <c r="DS339" s="68"/>
      <c r="DT339" s="27"/>
      <c r="DU339" s="27"/>
      <c r="DV339" s="27"/>
    </row>
    <row r="340" spans="1:126" s="108" customFormat="1">
      <c r="A340" s="37"/>
      <c r="B340" s="510" t="s">
        <v>383</v>
      </c>
      <c r="C340" s="101"/>
      <c r="D340" s="101"/>
      <c r="E340" s="101"/>
      <c r="F340" s="101"/>
      <c r="G340" s="101"/>
      <c r="H340" s="101"/>
      <c r="I340" s="101"/>
      <c r="J340" s="37"/>
      <c r="K340" s="37"/>
      <c r="L340" s="37"/>
      <c r="M340" s="37"/>
      <c r="N340" s="101"/>
      <c r="O340" s="37"/>
      <c r="P340" s="37"/>
      <c r="Q340" s="37"/>
      <c r="R340" s="37"/>
      <c r="S340" s="101"/>
      <c r="T340" s="37"/>
      <c r="U340" s="37"/>
      <c r="V340" s="37"/>
      <c r="W340" s="37"/>
      <c r="X340" s="101"/>
      <c r="Y340" s="37"/>
      <c r="Z340" s="37"/>
      <c r="AA340" s="37"/>
      <c r="AB340" s="37"/>
      <c r="AC340" s="101"/>
      <c r="AD340" s="37"/>
      <c r="AE340" s="37"/>
      <c r="AF340" s="37"/>
      <c r="AG340" s="37"/>
      <c r="AH340" s="101"/>
      <c r="AI340" s="37"/>
      <c r="AJ340" s="37"/>
      <c r="AK340" s="37"/>
      <c r="AL340" s="37"/>
      <c r="AM340" s="101"/>
      <c r="AN340" s="37"/>
      <c r="AO340" s="37"/>
      <c r="AP340" s="37"/>
      <c r="AQ340" s="37"/>
      <c r="AR340" s="101"/>
      <c r="AS340" s="37"/>
      <c r="AT340" s="37"/>
      <c r="AU340" s="37"/>
      <c r="AV340" s="37"/>
      <c r="AW340" s="27"/>
      <c r="AX340" s="68"/>
      <c r="AY340" s="68"/>
      <c r="AZ340" s="68"/>
      <c r="BA340" s="68"/>
      <c r="BB340" s="27"/>
      <c r="BC340" s="68"/>
      <c r="BD340" s="68"/>
      <c r="BE340" s="68"/>
      <c r="BF340" s="68"/>
      <c r="BG340" s="27"/>
      <c r="BH340" s="68"/>
      <c r="BI340" s="68"/>
      <c r="BJ340" s="68"/>
      <c r="BK340" s="68"/>
      <c r="BL340" s="27"/>
      <c r="BM340" s="68"/>
      <c r="BN340" s="68"/>
      <c r="BO340" s="68"/>
      <c r="BP340" s="68"/>
      <c r="BQ340" s="27"/>
      <c r="BR340" s="68"/>
      <c r="BS340" s="68"/>
      <c r="BT340" s="68"/>
      <c r="BU340" s="68"/>
      <c r="BV340" s="27"/>
      <c r="BW340" s="68"/>
      <c r="BX340" s="68"/>
      <c r="BY340" s="68"/>
      <c r="BZ340" s="68"/>
      <c r="CA340" s="27"/>
      <c r="CB340" s="68"/>
      <c r="CC340" s="68"/>
      <c r="CD340" s="68"/>
      <c r="CE340" s="68"/>
      <c r="CF340" s="27"/>
      <c r="CG340" s="68"/>
      <c r="CH340" s="68"/>
      <c r="CI340" s="68"/>
      <c r="CJ340" s="68"/>
      <c r="CK340" s="27"/>
      <c r="CL340" s="68"/>
      <c r="CM340" s="68"/>
      <c r="CN340" s="68"/>
      <c r="CO340" s="68"/>
      <c r="CP340" s="27"/>
      <c r="CQ340" s="68"/>
      <c r="CR340" s="68"/>
      <c r="CS340" s="68"/>
      <c r="CT340" s="68"/>
      <c r="CU340" s="27"/>
      <c r="CV340" s="68"/>
      <c r="CW340" s="68"/>
      <c r="CX340" s="68"/>
      <c r="CY340" s="68"/>
      <c r="CZ340" s="27"/>
      <c r="DA340" s="68"/>
      <c r="DB340" s="68"/>
      <c r="DC340" s="68"/>
      <c r="DD340" s="68"/>
      <c r="DE340" s="27"/>
      <c r="DF340" s="68"/>
      <c r="DG340" s="68"/>
      <c r="DH340" s="68"/>
      <c r="DI340" s="68"/>
      <c r="DJ340" s="27"/>
      <c r="DK340" s="68"/>
      <c r="DL340" s="68"/>
      <c r="DM340" s="68"/>
      <c r="DN340" s="68"/>
      <c r="DO340" s="27"/>
      <c r="DP340" s="68"/>
      <c r="DQ340" s="68"/>
      <c r="DR340" s="68"/>
      <c r="DS340" s="68"/>
      <c r="DT340" s="27"/>
      <c r="DU340" s="27"/>
      <c r="DV340" s="27"/>
    </row>
    <row r="341" spans="1:126" s="108" customFormat="1">
      <c r="A341" s="37"/>
      <c r="B341" s="509" t="s">
        <v>384</v>
      </c>
      <c r="C341" s="101"/>
      <c r="D341" s="101"/>
      <c r="E341" s="101"/>
      <c r="F341" s="101"/>
      <c r="G341" s="101"/>
      <c r="H341" s="101"/>
      <c r="I341" s="101"/>
      <c r="J341" s="37"/>
      <c r="K341" s="37"/>
      <c r="L341" s="37"/>
      <c r="M341" s="37"/>
      <c r="N341" s="101"/>
      <c r="O341" s="37"/>
      <c r="P341" s="37"/>
      <c r="Q341" s="37"/>
      <c r="R341" s="37"/>
      <c r="S341" s="101"/>
      <c r="T341" s="37"/>
      <c r="U341" s="37"/>
      <c r="V341" s="37"/>
      <c r="W341" s="37"/>
      <c r="X341" s="101"/>
      <c r="Y341" s="37"/>
      <c r="Z341" s="37"/>
      <c r="AA341" s="37"/>
      <c r="AB341" s="37"/>
      <c r="AC341" s="101"/>
      <c r="AD341" s="37"/>
      <c r="AE341" s="37"/>
      <c r="AF341" s="37"/>
      <c r="AG341" s="37"/>
      <c r="AH341" s="101"/>
      <c r="AI341" s="37"/>
      <c r="AJ341" s="37"/>
      <c r="AK341" s="37"/>
      <c r="AL341" s="37"/>
      <c r="AM341" s="101"/>
      <c r="AN341" s="37"/>
      <c r="AO341" s="37"/>
      <c r="AP341" s="37"/>
      <c r="AQ341" s="37"/>
      <c r="AR341" s="101"/>
      <c r="AS341" s="37"/>
      <c r="AT341" s="37"/>
      <c r="AU341" s="37"/>
      <c r="AV341" s="37"/>
      <c r="AW341" s="27"/>
      <c r="AX341" s="68"/>
      <c r="AY341" s="68"/>
      <c r="AZ341" s="68"/>
      <c r="BA341" s="68"/>
      <c r="BB341" s="27"/>
      <c r="BC341" s="68"/>
      <c r="BD341" s="68"/>
      <c r="BE341" s="68"/>
      <c r="BF341" s="68"/>
      <c r="BG341" s="27"/>
      <c r="BH341" s="68"/>
      <c r="BI341" s="68"/>
      <c r="BJ341" s="68"/>
      <c r="BK341" s="68"/>
      <c r="BL341" s="27"/>
      <c r="BM341" s="68"/>
      <c r="BN341" s="68"/>
      <c r="BO341" s="68"/>
      <c r="BP341" s="68"/>
      <c r="BQ341" s="27"/>
      <c r="BR341" s="68"/>
      <c r="BS341" s="68"/>
      <c r="BT341" s="68"/>
      <c r="BU341" s="68"/>
      <c r="BV341" s="27"/>
      <c r="BW341" s="68"/>
      <c r="BX341" s="68"/>
      <c r="BY341" s="68"/>
      <c r="BZ341" s="68"/>
      <c r="CA341" s="27"/>
      <c r="CB341" s="68"/>
      <c r="CC341" s="68"/>
      <c r="CD341" s="68"/>
      <c r="CE341" s="68"/>
      <c r="CF341" s="27"/>
      <c r="CG341" s="68"/>
      <c r="CH341" s="68"/>
      <c r="CI341" s="68"/>
      <c r="CJ341" s="68"/>
      <c r="CK341" s="27">
        <f>AVERAGE(0.87,0.36)</f>
        <v>0.61499999999999999</v>
      </c>
      <c r="CL341" s="68"/>
      <c r="CM341" s="68"/>
      <c r="CN341" s="68"/>
      <c r="CO341" s="68"/>
      <c r="CP341" s="795">
        <f>AVERAGE(0.87,0.36)</f>
        <v>0.61499999999999999</v>
      </c>
      <c r="CQ341" s="68"/>
      <c r="CR341" s="68"/>
      <c r="CS341" s="68"/>
      <c r="CT341" s="68"/>
      <c r="CU341" s="795">
        <f>AVERAGE(0.87,0.36)</f>
        <v>0.61499999999999999</v>
      </c>
      <c r="CV341" s="68"/>
      <c r="CW341" s="68"/>
      <c r="CX341" s="68"/>
      <c r="CY341" s="68"/>
      <c r="CZ341" s="795">
        <f>AVERAGE(0.87,0.36)</f>
        <v>0.61499999999999999</v>
      </c>
      <c r="DA341" s="68"/>
      <c r="DB341" s="68"/>
      <c r="DC341" s="68"/>
      <c r="DD341" s="68"/>
      <c r="DE341" s="795">
        <f>AVERAGE(0.87,0.36)</f>
        <v>0.61499999999999999</v>
      </c>
      <c r="DF341" s="68"/>
      <c r="DG341" s="68"/>
      <c r="DH341" s="68"/>
      <c r="DI341" s="68"/>
      <c r="DJ341" s="795">
        <f>AVERAGE(0.87,0.36)</f>
        <v>0.61499999999999999</v>
      </c>
      <c r="DK341" s="68"/>
      <c r="DL341" s="68"/>
      <c r="DM341" s="68"/>
      <c r="DN341" s="68"/>
      <c r="DO341" s="795">
        <f>AVERAGE(0.87,0.36)</f>
        <v>0.61499999999999999</v>
      </c>
      <c r="DP341" s="68"/>
      <c r="DQ341" s="68"/>
      <c r="DR341" s="68"/>
      <c r="DS341" s="68"/>
      <c r="DT341" s="795">
        <f>AVERAGE(0.87,0.36)</f>
        <v>0.61499999999999999</v>
      </c>
      <c r="DU341" s="795">
        <f>AVERAGE(0.87,0.36)</f>
        <v>0.61499999999999999</v>
      </c>
      <c r="DV341" s="795">
        <f>AVERAGE(0.87,0.36)</f>
        <v>0.61499999999999999</v>
      </c>
    </row>
    <row r="342" spans="1:126" s="108" customFormat="1">
      <c r="A342" s="37"/>
      <c r="B342" s="509" t="s">
        <v>385</v>
      </c>
      <c r="C342" s="101"/>
      <c r="D342" s="101"/>
      <c r="E342" s="101"/>
      <c r="F342" s="101"/>
      <c r="G342" s="101"/>
      <c r="H342" s="101"/>
      <c r="I342" s="101"/>
      <c r="J342" s="37"/>
      <c r="K342" s="37"/>
      <c r="L342" s="37"/>
      <c r="M342" s="37"/>
      <c r="N342" s="101"/>
      <c r="O342" s="37"/>
      <c r="P342" s="37"/>
      <c r="Q342" s="37"/>
      <c r="R342" s="37"/>
      <c r="S342" s="101"/>
      <c r="T342" s="37"/>
      <c r="U342" s="37"/>
      <c r="V342" s="37"/>
      <c r="W342" s="37"/>
      <c r="X342" s="101"/>
      <c r="Y342" s="37"/>
      <c r="Z342" s="37"/>
      <c r="AA342" s="37"/>
      <c r="AB342" s="37"/>
      <c r="AC342" s="101"/>
      <c r="AD342" s="37"/>
      <c r="AE342" s="37"/>
      <c r="AF342" s="37"/>
      <c r="AG342" s="37"/>
      <c r="AH342" s="101"/>
      <c r="AI342" s="37"/>
      <c r="AJ342" s="37"/>
      <c r="AK342" s="37"/>
      <c r="AL342" s="37"/>
      <c r="AM342" s="101"/>
      <c r="AN342" s="37"/>
      <c r="AO342" s="37"/>
      <c r="AP342" s="37"/>
      <c r="AQ342" s="37"/>
      <c r="AR342" s="101"/>
      <c r="AS342" s="37"/>
      <c r="AT342" s="37"/>
      <c r="AU342" s="37"/>
      <c r="AV342" s="37"/>
      <c r="AW342" s="27"/>
      <c r="AX342" s="68"/>
      <c r="AY342" s="68"/>
      <c r="AZ342" s="68"/>
      <c r="BA342" s="68"/>
      <c r="BB342" s="27"/>
      <c r="BC342" s="68"/>
      <c r="BD342" s="68"/>
      <c r="BE342" s="68"/>
      <c r="BF342" s="68"/>
      <c r="BG342" s="27"/>
      <c r="BH342" s="68"/>
      <c r="BI342" s="68"/>
      <c r="BJ342" s="68"/>
      <c r="BK342" s="68"/>
      <c r="BL342" s="27"/>
      <c r="BM342" s="68"/>
      <c r="BN342" s="68"/>
      <c r="BO342" s="68"/>
      <c r="BP342" s="68"/>
      <c r="BQ342" s="27"/>
      <c r="BR342" s="68"/>
      <c r="BS342" s="68"/>
      <c r="BT342" s="68"/>
      <c r="BU342" s="68"/>
      <c r="BV342" s="27"/>
      <c r="BW342" s="68"/>
      <c r="BX342" s="68"/>
      <c r="BY342" s="68"/>
      <c r="BZ342" s="68"/>
      <c r="CA342" s="27"/>
      <c r="CB342" s="68"/>
      <c r="CC342" s="68"/>
      <c r="CD342" s="68"/>
      <c r="CE342" s="68"/>
      <c r="CF342" s="27"/>
      <c r="CG342" s="68"/>
      <c r="CH342" s="68"/>
      <c r="CI342" s="68"/>
      <c r="CJ342" s="68"/>
      <c r="CK342" s="27">
        <f>1-CK341</f>
        <v>0.38500000000000001</v>
      </c>
      <c r="CL342" s="68"/>
      <c r="CM342" s="68"/>
      <c r="CN342" s="68"/>
      <c r="CO342" s="68"/>
      <c r="CP342" s="795">
        <f>1-CP341</f>
        <v>0.38500000000000001</v>
      </c>
      <c r="CQ342" s="68"/>
      <c r="CR342" s="68"/>
      <c r="CS342" s="68"/>
      <c r="CT342" s="68"/>
      <c r="CU342" s="795">
        <f>1-CU341</f>
        <v>0.38500000000000001</v>
      </c>
      <c r="CV342" s="68"/>
      <c r="CW342" s="68"/>
      <c r="CX342" s="68"/>
      <c r="CY342" s="68"/>
      <c r="CZ342" s="795">
        <f>1-CZ341</f>
        <v>0.38500000000000001</v>
      </c>
      <c r="DA342" s="68"/>
      <c r="DB342" s="68"/>
      <c r="DC342" s="68"/>
      <c r="DD342" s="68"/>
      <c r="DE342" s="795">
        <f>1-DE341</f>
        <v>0.38500000000000001</v>
      </c>
      <c r="DF342" s="68"/>
      <c r="DG342" s="68"/>
      <c r="DH342" s="68"/>
      <c r="DI342" s="68"/>
      <c r="DJ342" s="795">
        <f>1-DJ341</f>
        <v>0.38500000000000001</v>
      </c>
      <c r="DK342" s="68"/>
      <c r="DL342" s="68"/>
      <c r="DM342" s="68"/>
      <c r="DN342" s="68"/>
      <c r="DO342" s="795">
        <f>1-DO341</f>
        <v>0.38500000000000001</v>
      </c>
      <c r="DP342" s="68"/>
      <c r="DQ342" s="68"/>
      <c r="DR342" s="68"/>
      <c r="DS342" s="68"/>
      <c r="DT342" s="795">
        <f>1-DT341</f>
        <v>0.38500000000000001</v>
      </c>
      <c r="DU342" s="795">
        <f>1-DU341</f>
        <v>0.38500000000000001</v>
      </c>
      <c r="DV342" s="795">
        <f>1-DV341</f>
        <v>0.38500000000000001</v>
      </c>
    </row>
    <row r="343" spans="1:126" s="108" customFormat="1">
      <c r="A343" s="37"/>
      <c r="B343" s="509" t="s">
        <v>386</v>
      </c>
      <c r="C343" s="101"/>
      <c r="D343" s="101"/>
      <c r="E343" s="101"/>
      <c r="F343" s="101"/>
      <c r="G343" s="101"/>
      <c r="H343" s="101"/>
      <c r="I343" s="101"/>
      <c r="J343" s="37"/>
      <c r="K343" s="37"/>
      <c r="L343" s="37"/>
      <c r="M343" s="37"/>
      <c r="N343" s="101"/>
      <c r="O343" s="37"/>
      <c r="P343" s="37"/>
      <c r="Q343" s="37"/>
      <c r="R343" s="37"/>
      <c r="S343" s="101"/>
      <c r="T343" s="37"/>
      <c r="U343" s="37"/>
      <c r="V343" s="37"/>
      <c r="W343" s="37"/>
      <c r="X343" s="101"/>
      <c r="Y343" s="37"/>
      <c r="Z343" s="37"/>
      <c r="AA343" s="37"/>
      <c r="AB343" s="37"/>
      <c r="AC343" s="101"/>
      <c r="AD343" s="37"/>
      <c r="AE343" s="37"/>
      <c r="AF343" s="37"/>
      <c r="AG343" s="37"/>
      <c r="AH343" s="101"/>
      <c r="AI343" s="37"/>
      <c r="AJ343" s="37"/>
      <c r="AK343" s="37"/>
      <c r="AL343" s="37"/>
      <c r="AM343" s="101"/>
      <c r="AN343" s="37"/>
      <c r="AO343" s="37"/>
      <c r="AP343" s="37"/>
      <c r="AQ343" s="37"/>
      <c r="AR343" s="101"/>
      <c r="AS343" s="37"/>
      <c r="AT343" s="37"/>
      <c r="AU343" s="37"/>
      <c r="AV343" s="37"/>
      <c r="AW343" s="27"/>
      <c r="AX343" s="68"/>
      <c r="AY343" s="68"/>
      <c r="AZ343" s="68"/>
      <c r="BA343" s="68"/>
      <c r="BB343" s="27"/>
      <c r="BC343" s="68"/>
      <c r="BD343" s="68"/>
      <c r="BE343" s="68"/>
      <c r="BF343" s="68"/>
      <c r="BG343" s="27"/>
      <c r="BH343" s="68"/>
      <c r="BI343" s="68"/>
      <c r="BJ343" s="68"/>
      <c r="BK343" s="68"/>
      <c r="BL343" s="27"/>
      <c r="BM343" s="68"/>
      <c r="BN343" s="68"/>
      <c r="BO343" s="68"/>
      <c r="BP343" s="68"/>
      <c r="BQ343" s="27"/>
      <c r="BR343" s="68"/>
      <c r="BS343" s="68"/>
      <c r="BT343" s="68"/>
      <c r="BU343" s="68"/>
      <c r="BV343" s="27"/>
      <c r="BW343" s="68"/>
      <c r="BX343" s="68"/>
      <c r="BY343" s="68"/>
      <c r="BZ343" s="68"/>
      <c r="CA343" s="27"/>
      <c r="CB343" s="68"/>
      <c r="CC343" s="68"/>
      <c r="CD343" s="68"/>
      <c r="CE343" s="68"/>
      <c r="CF343" s="27"/>
      <c r="CG343" s="68"/>
      <c r="CH343" s="68"/>
      <c r="CI343" s="68"/>
      <c r="CJ343" s="68"/>
      <c r="CK343" s="27">
        <f>AVERAGE(0.87,0.36)</f>
        <v>0.61499999999999999</v>
      </c>
      <c r="CL343" s="68"/>
      <c r="CM343" s="68"/>
      <c r="CN343" s="68"/>
      <c r="CO343" s="68"/>
      <c r="CP343" s="795">
        <f>AVERAGE(0.87,0.36)</f>
        <v>0.61499999999999999</v>
      </c>
      <c r="CQ343" s="68"/>
      <c r="CR343" s="68"/>
      <c r="CS343" s="68"/>
      <c r="CT343" s="68"/>
      <c r="CU343" s="795">
        <f>AVERAGE(0.87,0.36)</f>
        <v>0.61499999999999999</v>
      </c>
      <c r="CV343" s="68"/>
      <c r="CW343" s="68"/>
      <c r="CX343" s="68"/>
      <c r="CY343" s="68"/>
      <c r="CZ343" s="795">
        <f>AVERAGE(0.87,0.36)</f>
        <v>0.61499999999999999</v>
      </c>
      <c r="DA343" s="68"/>
      <c r="DB343" s="68"/>
      <c r="DC343" s="68"/>
      <c r="DD343" s="68"/>
      <c r="DE343" s="795">
        <f>AVERAGE(0.87,0.36)</f>
        <v>0.61499999999999999</v>
      </c>
      <c r="DF343" s="68"/>
      <c r="DG343" s="68"/>
      <c r="DH343" s="68"/>
      <c r="DI343" s="68"/>
      <c r="DJ343" s="795">
        <f>AVERAGE(0.87,0.36)</f>
        <v>0.61499999999999999</v>
      </c>
      <c r="DK343" s="68"/>
      <c r="DL343" s="68"/>
      <c r="DM343" s="68"/>
      <c r="DN343" s="68"/>
      <c r="DO343" s="795">
        <f>AVERAGE(0.87,0.36)</f>
        <v>0.61499999999999999</v>
      </c>
      <c r="DP343" s="68"/>
      <c r="DQ343" s="68"/>
      <c r="DR343" s="68"/>
      <c r="DS343" s="68"/>
      <c r="DT343" s="795">
        <f>AVERAGE(0.87,0.36)</f>
        <v>0.61499999999999999</v>
      </c>
      <c r="DU343" s="795">
        <f>AVERAGE(0.87,0.36)</f>
        <v>0.61499999999999999</v>
      </c>
      <c r="DV343" s="795">
        <f>AVERAGE(0.87,0.36)</f>
        <v>0.61499999999999999</v>
      </c>
    </row>
    <row r="344" spans="1:126" s="108" customFormat="1">
      <c r="A344" s="37"/>
      <c r="B344" s="509" t="s">
        <v>387</v>
      </c>
      <c r="C344" s="101"/>
      <c r="D344" s="101"/>
      <c r="E344" s="101"/>
      <c r="F344" s="101"/>
      <c r="G344" s="101"/>
      <c r="H344" s="101"/>
      <c r="I344" s="101"/>
      <c r="J344" s="37"/>
      <c r="K344" s="37"/>
      <c r="L344" s="37"/>
      <c r="M344" s="37"/>
      <c r="N344" s="101"/>
      <c r="O344" s="37"/>
      <c r="P344" s="37"/>
      <c r="Q344" s="37"/>
      <c r="R344" s="37"/>
      <c r="S344" s="101"/>
      <c r="T344" s="37"/>
      <c r="U344" s="37"/>
      <c r="V344" s="37"/>
      <c r="W344" s="37"/>
      <c r="X344" s="101"/>
      <c r="Y344" s="37"/>
      <c r="Z344" s="37"/>
      <c r="AA344" s="37"/>
      <c r="AB344" s="37"/>
      <c r="AC344" s="101"/>
      <c r="AD344" s="37"/>
      <c r="AE344" s="37"/>
      <c r="AF344" s="37"/>
      <c r="AG344" s="37"/>
      <c r="AH344" s="101"/>
      <c r="AI344" s="37"/>
      <c r="AJ344" s="37"/>
      <c r="AK344" s="37"/>
      <c r="AL344" s="37"/>
      <c r="AM344" s="101"/>
      <c r="AN344" s="37"/>
      <c r="AO344" s="37"/>
      <c r="AP344" s="37"/>
      <c r="AQ344" s="37"/>
      <c r="AR344" s="101"/>
      <c r="AS344" s="37"/>
      <c r="AT344" s="37"/>
      <c r="AU344" s="37"/>
      <c r="AV344" s="37"/>
      <c r="AW344" s="27"/>
      <c r="AX344" s="68"/>
      <c r="AY344" s="68"/>
      <c r="AZ344" s="68"/>
      <c r="BA344" s="68"/>
      <c r="BB344" s="27"/>
      <c r="BC344" s="68"/>
      <c r="BD344" s="68"/>
      <c r="BE344" s="68"/>
      <c r="BF344" s="68"/>
      <c r="BG344" s="27"/>
      <c r="BH344" s="68"/>
      <c r="BI344" s="68"/>
      <c r="BJ344" s="68"/>
      <c r="BK344" s="68"/>
      <c r="BL344" s="27"/>
      <c r="BM344" s="68"/>
      <c r="BN344" s="68"/>
      <c r="BO344" s="68"/>
      <c r="BP344" s="68"/>
      <c r="BQ344" s="27"/>
      <c r="BR344" s="68"/>
      <c r="BS344" s="68"/>
      <c r="BT344" s="68"/>
      <c r="BU344" s="68"/>
      <c r="BV344" s="27"/>
      <c r="BW344" s="68"/>
      <c r="BX344" s="68"/>
      <c r="BY344" s="68"/>
      <c r="BZ344" s="68"/>
      <c r="CA344" s="27"/>
      <c r="CB344" s="68"/>
      <c r="CC344" s="68"/>
      <c r="CD344" s="68"/>
      <c r="CE344" s="68"/>
      <c r="CF344" s="27"/>
      <c r="CG344" s="68"/>
      <c r="CH344" s="68"/>
      <c r="CI344" s="68"/>
      <c r="CJ344" s="68"/>
      <c r="CK344" s="27">
        <f>1-CK343</f>
        <v>0.38500000000000001</v>
      </c>
      <c r="CL344" s="68"/>
      <c r="CM344" s="68"/>
      <c r="CN344" s="68"/>
      <c r="CO344" s="68"/>
      <c r="CP344" s="795">
        <f>1-CP343</f>
        <v>0.38500000000000001</v>
      </c>
      <c r="CQ344" s="68"/>
      <c r="CR344" s="68"/>
      <c r="CS344" s="68"/>
      <c r="CT344" s="68"/>
      <c r="CU344" s="795">
        <f>1-CU343</f>
        <v>0.38500000000000001</v>
      </c>
      <c r="CV344" s="68"/>
      <c r="CW344" s="68"/>
      <c r="CX344" s="68"/>
      <c r="CY344" s="68"/>
      <c r="CZ344" s="795">
        <f>1-CZ343</f>
        <v>0.38500000000000001</v>
      </c>
      <c r="DA344" s="68"/>
      <c r="DB344" s="68"/>
      <c r="DC344" s="68"/>
      <c r="DD344" s="68"/>
      <c r="DE344" s="795">
        <f>1-DE343</f>
        <v>0.38500000000000001</v>
      </c>
      <c r="DF344" s="68"/>
      <c r="DG344" s="68"/>
      <c r="DH344" s="68"/>
      <c r="DI344" s="68"/>
      <c r="DJ344" s="795">
        <f>1-DJ343</f>
        <v>0.38500000000000001</v>
      </c>
      <c r="DK344" s="68"/>
      <c r="DL344" s="68"/>
      <c r="DM344" s="68"/>
      <c r="DN344" s="68"/>
      <c r="DO344" s="795">
        <f>1-DO343</f>
        <v>0.38500000000000001</v>
      </c>
      <c r="DP344" s="68"/>
      <c r="DQ344" s="68"/>
      <c r="DR344" s="68"/>
      <c r="DS344" s="68"/>
      <c r="DT344" s="795">
        <f>1-DT343</f>
        <v>0.38500000000000001</v>
      </c>
      <c r="DU344" s="795">
        <f>1-DU343</f>
        <v>0.38500000000000001</v>
      </c>
      <c r="DV344" s="795">
        <f>1-DV343</f>
        <v>0.38500000000000001</v>
      </c>
    </row>
    <row r="345" spans="1:126" s="108" customFormat="1">
      <c r="A345" s="37"/>
      <c r="B345" s="509"/>
      <c r="C345" s="101"/>
      <c r="D345" s="101"/>
      <c r="E345" s="101"/>
      <c r="F345" s="101"/>
      <c r="G345" s="101"/>
      <c r="H345" s="101"/>
      <c r="I345" s="101"/>
      <c r="J345" s="37"/>
      <c r="K345" s="37"/>
      <c r="L345" s="37"/>
      <c r="M345" s="37"/>
      <c r="N345" s="101"/>
      <c r="O345" s="37"/>
      <c r="P345" s="37"/>
      <c r="Q345" s="37"/>
      <c r="R345" s="37"/>
      <c r="S345" s="101"/>
      <c r="T345" s="37"/>
      <c r="U345" s="37"/>
      <c r="V345" s="37"/>
      <c r="W345" s="37"/>
      <c r="X345" s="101"/>
      <c r="Y345" s="37"/>
      <c r="Z345" s="37"/>
      <c r="AA345" s="37"/>
      <c r="AB345" s="37"/>
      <c r="AC345" s="101"/>
      <c r="AD345" s="37"/>
      <c r="AE345" s="37"/>
      <c r="AF345" s="37"/>
      <c r="AG345" s="37"/>
      <c r="AH345" s="101"/>
      <c r="AI345" s="37"/>
      <c r="AJ345" s="37"/>
      <c r="AK345" s="37"/>
      <c r="AL345" s="37"/>
      <c r="AM345" s="101"/>
      <c r="AN345" s="37"/>
      <c r="AO345" s="37"/>
      <c r="AP345" s="37"/>
      <c r="AQ345" s="37"/>
      <c r="AR345" s="101"/>
      <c r="AS345" s="37"/>
      <c r="AT345" s="37"/>
      <c r="AU345" s="37"/>
      <c r="AV345" s="37"/>
      <c r="AW345" s="27"/>
      <c r="AX345" s="68"/>
      <c r="AY345" s="68"/>
      <c r="AZ345" s="68"/>
      <c r="BA345" s="68"/>
      <c r="BB345" s="27"/>
      <c r="BC345" s="68"/>
      <c r="BD345" s="68"/>
      <c r="BE345" s="68"/>
      <c r="BF345" s="68"/>
      <c r="BG345" s="27"/>
      <c r="BH345" s="68"/>
      <c r="BI345" s="68"/>
      <c r="BJ345" s="68"/>
      <c r="BK345" s="68"/>
      <c r="BL345" s="27"/>
      <c r="BM345" s="68"/>
      <c r="BN345" s="68"/>
      <c r="BO345" s="68"/>
      <c r="BP345" s="68"/>
      <c r="BQ345" s="27"/>
      <c r="BR345" s="68"/>
      <c r="BS345" s="68"/>
      <c r="BT345" s="68"/>
      <c r="BU345" s="68"/>
      <c r="BV345" s="27"/>
      <c r="BW345" s="68"/>
      <c r="BX345" s="68"/>
      <c r="BY345" s="68"/>
      <c r="BZ345" s="68"/>
      <c r="CA345" s="27"/>
      <c r="CB345" s="68"/>
      <c r="CC345" s="68"/>
      <c r="CD345" s="68"/>
      <c r="CE345" s="68"/>
      <c r="CF345" s="27"/>
      <c r="CG345" s="68"/>
      <c r="CH345" s="68"/>
      <c r="CI345" s="68"/>
      <c r="CJ345" s="68"/>
      <c r="CK345" s="27"/>
      <c r="CL345" s="68"/>
      <c r="CM345" s="68"/>
      <c r="CN345" s="68"/>
      <c r="CO345" s="68"/>
      <c r="CP345" s="27"/>
      <c r="CQ345" s="68"/>
      <c r="CR345" s="68"/>
      <c r="CS345" s="68"/>
      <c r="CT345" s="68"/>
      <c r="CU345" s="27"/>
      <c r="CV345" s="68"/>
      <c r="CW345" s="68"/>
      <c r="CX345" s="68"/>
      <c r="CY345" s="68"/>
      <c r="CZ345" s="27"/>
      <c r="DA345" s="68"/>
      <c r="DB345" s="68"/>
      <c r="DC345" s="68"/>
      <c r="DD345" s="68"/>
      <c r="DE345" s="27"/>
      <c r="DF345" s="68"/>
      <c r="DG345" s="68"/>
      <c r="DH345" s="68"/>
      <c r="DI345" s="68"/>
      <c r="DJ345" s="27"/>
      <c r="DK345" s="68"/>
      <c r="DL345" s="68"/>
      <c r="DM345" s="68"/>
      <c r="DN345" s="68"/>
      <c r="DO345" s="27"/>
      <c r="DP345" s="68"/>
      <c r="DQ345" s="68"/>
      <c r="DR345" s="68"/>
      <c r="DS345" s="68"/>
      <c r="DT345" s="27"/>
      <c r="DU345" s="27"/>
      <c r="DV345" s="27"/>
    </row>
    <row r="346" spans="1:126" s="108" customFormat="1">
      <c r="A346" s="37"/>
      <c r="B346" s="510" t="s">
        <v>388</v>
      </c>
      <c r="C346" s="101"/>
      <c r="D346" s="101"/>
      <c r="E346" s="101"/>
      <c r="F346" s="101"/>
      <c r="G346" s="101"/>
      <c r="H346" s="101"/>
      <c r="I346" s="101"/>
      <c r="J346" s="37"/>
      <c r="K346" s="37"/>
      <c r="L346" s="37"/>
      <c r="M346" s="37"/>
      <c r="N346" s="101"/>
      <c r="O346" s="37"/>
      <c r="P346" s="37"/>
      <c r="Q346" s="37"/>
      <c r="R346" s="37"/>
      <c r="S346" s="101"/>
      <c r="T346" s="37"/>
      <c r="U346" s="37"/>
      <c r="V346" s="37"/>
      <c r="W346" s="37"/>
      <c r="X346" s="101"/>
      <c r="Y346" s="37"/>
      <c r="Z346" s="37"/>
      <c r="AA346" s="37"/>
      <c r="AB346" s="37"/>
      <c r="AC346" s="101"/>
      <c r="AD346" s="37"/>
      <c r="AE346" s="37"/>
      <c r="AF346" s="37"/>
      <c r="AG346" s="37"/>
      <c r="AH346" s="101"/>
      <c r="AI346" s="37"/>
      <c r="AJ346" s="37"/>
      <c r="AK346" s="37"/>
      <c r="AL346" s="37"/>
      <c r="AM346" s="101"/>
      <c r="AN346" s="37"/>
      <c r="AO346" s="37"/>
      <c r="AP346" s="37"/>
      <c r="AQ346" s="37"/>
      <c r="AR346" s="101"/>
      <c r="AS346" s="37"/>
      <c r="AT346" s="37"/>
      <c r="AU346" s="37"/>
      <c r="AV346" s="37"/>
      <c r="AW346" s="27"/>
      <c r="AX346" s="68"/>
      <c r="AY346" s="68"/>
      <c r="AZ346" s="68"/>
      <c r="BA346" s="68"/>
      <c r="BB346" s="27"/>
      <c r="BC346" s="68"/>
      <c r="BD346" s="68"/>
      <c r="BE346" s="68"/>
      <c r="BF346" s="68"/>
      <c r="BG346" s="27"/>
      <c r="BH346" s="68"/>
      <c r="BI346" s="68"/>
      <c r="BJ346" s="68"/>
      <c r="BK346" s="68"/>
      <c r="BL346" s="27"/>
      <c r="BM346" s="68"/>
      <c r="BN346" s="68"/>
      <c r="BO346" s="68"/>
      <c r="BP346" s="68"/>
      <c r="BQ346" s="27"/>
      <c r="BR346" s="68"/>
      <c r="BS346" s="68"/>
      <c r="BT346" s="68"/>
      <c r="BU346" s="68"/>
      <c r="BV346" s="27"/>
      <c r="BW346" s="68"/>
      <c r="BX346" s="68"/>
      <c r="BY346" s="68"/>
      <c r="BZ346" s="68"/>
      <c r="CA346" s="27"/>
      <c r="CB346" s="68"/>
      <c r="CC346" s="68"/>
      <c r="CD346" s="68"/>
      <c r="CE346" s="68"/>
      <c r="CF346" s="27"/>
      <c r="CG346" s="68"/>
      <c r="CH346" s="68"/>
      <c r="CI346" s="68"/>
      <c r="CJ346" s="68"/>
      <c r="CK346" s="27"/>
      <c r="CL346" s="68"/>
      <c r="CM346" s="68"/>
      <c r="CN346" s="68"/>
      <c r="CO346" s="68"/>
      <c r="CP346" s="27"/>
      <c r="CQ346" s="68"/>
      <c r="CR346" s="68"/>
      <c r="CS346" s="68"/>
      <c r="CT346" s="68"/>
      <c r="CU346" s="27"/>
      <c r="CV346" s="68"/>
      <c r="CW346" s="68"/>
      <c r="CX346" s="68"/>
      <c r="CY346" s="68"/>
      <c r="CZ346" s="27"/>
      <c r="DA346" s="68"/>
      <c r="DB346" s="68"/>
      <c r="DC346" s="68"/>
      <c r="DD346" s="68"/>
      <c r="DE346" s="27"/>
      <c r="DF346" s="68"/>
      <c r="DG346" s="68"/>
      <c r="DH346" s="68"/>
      <c r="DI346" s="68"/>
      <c r="DJ346" s="27"/>
      <c r="DK346" s="68"/>
      <c r="DL346" s="68"/>
      <c r="DM346" s="68"/>
      <c r="DN346" s="68"/>
      <c r="DO346" s="27"/>
      <c r="DP346" s="68"/>
      <c r="DQ346" s="68"/>
      <c r="DR346" s="68"/>
      <c r="DS346" s="68"/>
      <c r="DT346" s="27"/>
      <c r="DU346" s="27"/>
      <c r="DV346" s="27"/>
    </row>
    <row r="347" spans="1:126" s="108" customFormat="1">
      <c r="A347" s="37"/>
      <c r="B347" s="508" t="s">
        <v>389</v>
      </c>
      <c r="C347" s="101"/>
      <c r="D347" s="101"/>
      <c r="E347" s="101"/>
      <c r="F347" s="101"/>
      <c r="G347" s="101"/>
      <c r="H347" s="101"/>
      <c r="I347" s="101"/>
      <c r="J347" s="37"/>
      <c r="K347" s="37"/>
      <c r="L347" s="37"/>
      <c r="M347" s="37"/>
      <c r="N347" s="101"/>
      <c r="O347" s="37"/>
      <c r="P347" s="37"/>
      <c r="Q347" s="37"/>
      <c r="R347" s="37"/>
      <c r="S347" s="101"/>
      <c r="T347" s="37"/>
      <c r="U347" s="37"/>
      <c r="V347" s="37"/>
      <c r="W347" s="37"/>
      <c r="X347" s="101"/>
      <c r="Y347" s="37"/>
      <c r="Z347" s="37"/>
      <c r="AA347" s="37"/>
      <c r="AB347" s="37"/>
      <c r="AC347" s="101"/>
      <c r="AD347" s="37"/>
      <c r="AE347" s="37"/>
      <c r="AF347" s="37"/>
      <c r="AG347" s="37"/>
      <c r="AH347" s="101"/>
      <c r="AI347" s="37"/>
      <c r="AJ347" s="37"/>
      <c r="AK347" s="37"/>
      <c r="AL347" s="37"/>
      <c r="AM347" s="101"/>
      <c r="AN347" s="37"/>
      <c r="AO347" s="37"/>
      <c r="AP347" s="37"/>
      <c r="AQ347" s="37"/>
      <c r="AR347" s="101"/>
      <c r="AS347" s="37"/>
      <c r="AT347" s="37"/>
      <c r="AU347" s="37"/>
      <c r="AV347" s="37"/>
      <c r="AW347" s="27"/>
      <c r="AX347" s="68"/>
      <c r="AY347" s="68"/>
      <c r="AZ347" s="68"/>
      <c r="BA347" s="68"/>
      <c r="BB347" s="27"/>
      <c r="BC347" s="68"/>
      <c r="BD347" s="68"/>
      <c r="BE347" s="68"/>
      <c r="BF347" s="68"/>
      <c r="BG347" s="27"/>
      <c r="BH347" s="68"/>
      <c r="BI347" s="68"/>
      <c r="BJ347" s="68"/>
      <c r="BK347" s="68"/>
      <c r="BL347" s="27"/>
      <c r="BM347" s="68"/>
      <c r="BN347" s="68"/>
      <c r="BO347" s="68"/>
      <c r="BP347" s="68"/>
      <c r="BQ347" s="27"/>
      <c r="BR347" s="68"/>
      <c r="BS347" s="68"/>
      <c r="BT347" s="68"/>
      <c r="BU347" s="68"/>
      <c r="BV347" s="27"/>
      <c r="BW347" s="68"/>
      <c r="BX347" s="68"/>
      <c r="BY347" s="68"/>
      <c r="BZ347" s="68"/>
      <c r="CA347" s="27"/>
      <c r="CB347" s="68"/>
      <c r="CC347" s="68"/>
      <c r="CD347" s="68"/>
      <c r="CE347" s="68"/>
      <c r="CF347" s="27"/>
      <c r="CG347" s="68"/>
      <c r="CH347" s="68"/>
      <c r="CI347" s="68"/>
      <c r="CJ347" s="68"/>
      <c r="CK347" s="27"/>
      <c r="CL347" s="68"/>
      <c r="CM347" s="68"/>
      <c r="CN347" s="68"/>
      <c r="CO347" s="68"/>
      <c r="CP347" s="27"/>
      <c r="CQ347" s="68"/>
      <c r="CR347" s="68"/>
      <c r="CS347" s="68"/>
      <c r="CT347" s="68"/>
      <c r="CU347" s="27"/>
      <c r="CV347" s="68"/>
      <c r="CW347" s="68"/>
      <c r="CX347" s="68"/>
      <c r="CY347" s="68"/>
      <c r="CZ347" s="27"/>
      <c r="DA347" s="68"/>
      <c r="DB347" s="68"/>
      <c r="DC347" s="68"/>
      <c r="DD347" s="68"/>
      <c r="DE347" s="27"/>
      <c r="DF347" s="68"/>
      <c r="DG347" s="68"/>
      <c r="DH347" s="68"/>
      <c r="DI347" s="68"/>
      <c r="DJ347" s="27"/>
      <c r="DK347" s="68"/>
      <c r="DL347" s="68"/>
      <c r="DM347" s="68"/>
      <c r="DN347" s="68"/>
      <c r="DO347" s="27"/>
      <c r="DP347" s="68"/>
      <c r="DQ347" s="68"/>
      <c r="DR347" s="68"/>
      <c r="DS347" s="68"/>
      <c r="DT347" s="27"/>
      <c r="DU347" s="27"/>
      <c r="DV347" s="27"/>
    </row>
    <row r="348" spans="1:126" s="108" customFormat="1">
      <c r="A348" s="37"/>
      <c r="B348" s="508" t="s">
        <v>390</v>
      </c>
      <c r="C348" s="101"/>
      <c r="D348" s="101"/>
      <c r="E348" s="101"/>
      <c r="F348" s="101"/>
      <c r="G348" s="101"/>
      <c r="H348" s="101"/>
      <c r="I348" s="101"/>
      <c r="J348" s="37"/>
      <c r="K348" s="37"/>
      <c r="L348" s="37"/>
      <c r="M348" s="37"/>
      <c r="N348" s="101"/>
      <c r="O348" s="37"/>
      <c r="P348" s="37"/>
      <c r="Q348" s="37"/>
      <c r="R348" s="37"/>
      <c r="S348" s="101"/>
      <c r="T348" s="37"/>
      <c r="U348" s="37"/>
      <c r="V348" s="37"/>
      <c r="W348" s="37"/>
      <c r="X348" s="101"/>
      <c r="Y348" s="37"/>
      <c r="Z348" s="37"/>
      <c r="AA348" s="37"/>
      <c r="AB348" s="37"/>
      <c r="AC348" s="101"/>
      <c r="AD348" s="37"/>
      <c r="AE348" s="37"/>
      <c r="AF348" s="37"/>
      <c r="AG348" s="37"/>
      <c r="AH348" s="101"/>
      <c r="AI348" s="37"/>
      <c r="AJ348" s="37"/>
      <c r="AK348" s="37"/>
      <c r="AL348" s="37"/>
      <c r="AM348" s="101"/>
      <c r="AN348" s="37"/>
      <c r="AO348" s="37"/>
      <c r="AP348" s="37"/>
      <c r="AQ348" s="37"/>
      <c r="AR348" s="101"/>
      <c r="AS348" s="37"/>
      <c r="AT348" s="37"/>
      <c r="AU348" s="37"/>
      <c r="AV348" s="37"/>
      <c r="AW348" s="27"/>
      <c r="AX348" s="68"/>
      <c r="AY348" s="68"/>
      <c r="AZ348" s="68"/>
      <c r="BA348" s="68"/>
      <c r="BB348" s="27"/>
      <c r="BC348" s="68"/>
      <c r="BD348" s="68"/>
      <c r="BE348" s="68"/>
      <c r="BF348" s="68"/>
      <c r="BG348" s="27"/>
      <c r="BH348" s="68"/>
      <c r="BI348" s="68"/>
      <c r="BJ348" s="68"/>
      <c r="BK348" s="68"/>
      <c r="BL348" s="27"/>
      <c r="BM348" s="68"/>
      <c r="BN348" s="68"/>
      <c r="BO348" s="68"/>
      <c r="BP348" s="68"/>
      <c r="BQ348" s="27"/>
      <c r="BR348" s="68"/>
      <c r="BS348" s="68"/>
      <c r="BT348" s="68"/>
      <c r="BU348" s="68"/>
      <c r="BV348" s="27"/>
      <c r="BW348" s="68"/>
      <c r="BX348" s="68"/>
      <c r="BY348" s="68"/>
      <c r="BZ348" s="68"/>
      <c r="CA348" s="27"/>
      <c r="CB348" s="68"/>
      <c r="CC348" s="68"/>
      <c r="CD348" s="68"/>
      <c r="CE348" s="68"/>
      <c r="CF348" s="27"/>
      <c r="CG348" s="68"/>
      <c r="CH348" s="68"/>
      <c r="CI348" s="68"/>
      <c r="CJ348" s="68"/>
      <c r="CK348" s="27"/>
      <c r="CL348" s="68"/>
      <c r="CM348" s="68"/>
      <c r="CN348" s="68"/>
      <c r="CO348" s="68"/>
      <c r="CP348" s="27"/>
      <c r="CQ348" s="68"/>
      <c r="CR348" s="68"/>
      <c r="CS348" s="68"/>
      <c r="CT348" s="68"/>
      <c r="CU348" s="27"/>
      <c r="CV348" s="68"/>
      <c r="CW348" s="68"/>
      <c r="CX348" s="68"/>
      <c r="CY348" s="68"/>
      <c r="CZ348" s="27"/>
      <c r="DA348" s="68"/>
      <c r="DB348" s="68"/>
      <c r="DC348" s="68"/>
      <c r="DD348" s="68"/>
      <c r="DE348" s="27"/>
      <c r="DF348" s="68"/>
      <c r="DG348" s="68"/>
      <c r="DH348" s="68"/>
      <c r="DI348" s="68"/>
      <c r="DJ348" s="27"/>
      <c r="DK348" s="68"/>
      <c r="DL348" s="68"/>
      <c r="DM348" s="68"/>
      <c r="DN348" s="68"/>
      <c r="DO348" s="27"/>
      <c r="DP348" s="68"/>
      <c r="DQ348" s="68"/>
      <c r="DR348" s="68"/>
      <c r="DS348" s="68"/>
      <c r="DT348" s="27"/>
      <c r="DU348" s="27"/>
      <c r="DV348" s="27"/>
    </row>
    <row r="349" spans="1:126" s="108" customFormat="1">
      <c r="A349" s="37"/>
      <c r="B349" s="180"/>
      <c r="C349" s="101"/>
      <c r="D349" s="101"/>
      <c r="E349" s="101"/>
      <c r="F349" s="101"/>
      <c r="G349" s="101"/>
      <c r="H349" s="101"/>
      <c r="I349" s="101"/>
      <c r="J349" s="37"/>
      <c r="K349" s="37"/>
      <c r="L349" s="37"/>
      <c r="M349" s="37"/>
      <c r="N349" s="101"/>
      <c r="O349" s="37"/>
      <c r="P349" s="37"/>
      <c r="Q349" s="37"/>
      <c r="R349" s="37"/>
      <c r="S349" s="101"/>
      <c r="T349" s="37"/>
      <c r="U349" s="37"/>
      <c r="V349" s="37"/>
      <c r="W349" s="37"/>
      <c r="X349" s="101"/>
      <c r="Y349" s="37"/>
      <c r="Z349" s="37"/>
      <c r="AA349" s="37"/>
      <c r="AB349" s="37"/>
      <c r="AC349" s="101"/>
      <c r="AD349" s="37"/>
      <c r="AE349" s="37"/>
      <c r="AF349" s="37"/>
      <c r="AG349" s="37"/>
      <c r="AH349" s="101"/>
      <c r="AI349" s="37"/>
      <c r="AJ349" s="37"/>
      <c r="AK349" s="37"/>
      <c r="AL349" s="37"/>
      <c r="AM349" s="101"/>
      <c r="AN349" s="37"/>
      <c r="AO349" s="37"/>
      <c r="AP349" s="37"/>
      <c r="AQ349" s="37"/>
      <c r="AR349" s="101"/>
      <c r="AS349" s="37"/>
      <c r="AT349" s="37"/>
      <c r="AU349" s="37"/>
      <c r="AV349" s="37"/>
      <c r="AW349" s="27"/>
      <c r="AX349" s="68"/>
      <c r="AY349" s="68"/>
      <c r="AZ349" s="68"/>
      <c r="BA349" s="68"/>
      <c r="BB349" s="27"/>
      <c r="BC349" s="68"/>
      <c r="BD349" s="68"/>
      <c r="BE349" s="68"/>
      <c r="BF349" s="68"/>
      <c r="BG349" s="27"/>
      <c r="BH349" s="68"/>
      <c r="BI349" s="68"/>
      <c r="BJ349" s="68"/>
      <c r="BK349" s="68"/>
      <c r="BL349" s="27"/>
      <c r="BM349" s="68"/>
      <c r="BN349" s="68"/>
      <c r="BO349" s="68"/>
      <c r="BP349" s="68"/>
      <c r="BQ349" s="27"/>
      <c r="BR349" s="68"/>
      <c r="BS349" s="68"/>
      <c r="BT349" s="68"/>
      <c r="BU349" s="68"/>
      <c r="BV349" s="27"/>
      <c r="BW349" s="68"/>
      <c r="BX349" s="68"/>
      <c r="BY349" s="68"/>
      <c r="BZ349" s="68"/>
      <c r="CA349" s="27"/>
      <c r="CB349" s="68"/>
      <c r="CC349" s="68"/>
      <c r="CD349" s="68"/>
      <c r="CE349" s="68"/>
      <c r="CF349" s="27"/>
      <c r="CG349" s="68"/>
      <c r="CH349" s="68"/>
      <c r="CI349" s="68"/>
      <c r="CJ349" s="68"/>
      <c r="CK349" s="27"/>
      <c r="CL349" s="68"/>
      <c r="CM349" s="68"/>
      <c r="CN349" s="68"/>
      <c r="CO349" s="68"/>
      <c r="CP349" s="27"/>
      <c r="CQ349" s="68"/>
      <c r="CR349" s="68"/>
      <c r="CS349" s="68"/>
      <c r="CT349" s="68"/>
      <c r="CU349" s="27"/>
      <c r="CV349" s="68"/>
      <c r="CW349" s="68"/>
      <c r="CX349" s="68"/>
      <c r="CY349" s="68"/>
      <c r="CZ349" s="27"/>
      <c r="DA349" s="68"/>
      <c r="DB349" s="68"/>
      <c r="DC349" s="68"/>
      <c r="DD349" s="68"/>
      <c r="DE349" s="27"/>
      <c r="DF349" s="68"/>
      <c r="DG349" s="68"/>
      <c r="DH349" s="68"/>
      <c r="DI349" s="68"/>
      <c r="DJ349" s="27"/>
      <c r="DK349" s="68"/>
      <c r="DL349" s="68"/>
      <c r="DM349" s="68"/>
      <c r="DN349" s="68"/>
      <c r="DO349" s="27"/>
      <c r="DP349" s="68"/>
      <c r="DQ349" s="68"/>
      <c r="DR349" s="68"/>
      <c r="DS349" s="68"/>
      <c r="DT349" s="27"/>
      <c r="DU349" s="27"/>
      <c r="DV349" s="27"/>
    </row>
    <row r="350" spans="1:126" s="108" customFormat="1">
      <c r="A350" s="37"/>
      <c r="B350" s="423" t="s">
        <v>267</v>
      </c>
      <c r="C350" s="101"/>
      <c r="D350" s="101"/>
      <c r="E350" s="101"/>
      <c r="F350" s="101"/>
      <c r="G350" s="101"/>
      <c r="H350" s="101"/>
      <c r="I350" s="101"/>
      <c r="J350" s="37"/>
      <c r="K350" s="37"/>
      <c r="L350" s="37"/>
      <c r="M350" s="37"/>
      <c r="N350" s="101"/>
      <c r="O350" s="37"/>
      <c r="P350" s="37"/>
      <c r="Q350" s="37"/>
      <c r="R350" s="37"/>
      <c r="S350" s="101"/>
      <c r="T350" s="37"/>
      <c r="U350" s="37"/>
      <c r="V350" s="37"/>
      <c r="W350" s="37"/>
      <c r="X350" s="101"/>
      <c r="Y350" s="37"/>
      <c r="Z350" s="37"/>
      <c r="AA350" s="37"/>
      <c r="AB350" s="37"/>
      <c r="AC350" s="101"/>
      <c r="AD350" s="37"/>
      <c r="AE350" s="37"/>
      <c r="AF350" s="37"/>
      <c r="AG350" s="37"/>
      <c r="AH350" s="101"/>
      <c r="AI350" s="37"/>
      <c r="AJ350" s="37"/>
      <c r="AK350" s="37"/>
      <c r="AL350" s="37"/>
      <c r="AM350" s="101"/>
      <c r="AN350" s="37"/>
      <c r="AO350" s="37"/>
      <c r="AP350" s="37"/>
      <c r="AQ350" s="37"/>
      <c r="AR350" s="101"/>
      <c r="AS350" s="37"/>
      <c r="AT350" s="37"/>
      <c r="AU350" s="37"/>
      <c r="AV350" s="37"/>
      <c r="AW350" s="27"/>
      <c r="AX350" s="68"/>
      <c r="AY350" s="68"/>
      <c r="AZ350" s="68"/>
      <c r="BA350" s="68"/>
      <c r="BB350" s="27"/>
      <c r="BC350" s="68"/>
      <c r="BD350" s="68"/>
      <c r="BE350" s="68"/>
      <c r="BF350" s="68"/>
      <c r="BG350" s="27"/>
      <c r="BH350" s="68"/>
      <c r="BI350" s="68"/>
      <c r="BJ350" s="68"/>
      <c r="BK350" s="68"/>
      <c r="BL350" s="27"/>
      <c r="BM350" s="68"/>
      <c r="BN350" s="68"/>
      <c r="BO350" s="68"/>
      <c r="BP350" s="68"/>
      <c r="BQ350" s="27"/>
      <c r="BR350" s="68"/>
      <c r="BS350" s="68"/>
      <c r="BT350" s="68"/>
      <c r="BU350" s="68"/>
      <c r="BV350" s="27"/>
      <c r="BW350" s="68"/>
      <c r="BX350" s="68"/>
      <c r="BY350" s="68"/>
      <c r="BZ350" s="68"/>
      <c r="CA350" s="27"/>
      <c r="CB350" s="68"/>
      <c r="CC350" s="68"/>
      <c r="CD350" s="68"/>
      <c r="CE350" s="68"/>
      <c r="CF350" s="27"/>
      <c r="CG350" s="68"/>
      <c r="CH350" s="68"/>
      <c r="CI350" s="68"/>
      <c r="CJ350" s="68"/>
      <c r="CK350" s="27"/>
      <c r="CL350" s="68"/>
      <c r="CM350" s="68"/>
      <c r="CN350" s="68"/>
      <c r="CO350" s="68"/>
      <c r="CP350" s="27"/>
      <c r="CQ350" s="68"/>
      <c r="CR350" s="68"/>
      <c r="CS350" s="68"/>
      <c r="CT350" s="68"/>
      <c r="CU350" s="27"/>
      <c r="CV350" s="68"/>
      <c r="CW350" s="68"/>
      <c r="CX350" s="68"/>
      <c r="CY350" s="68"/>
      <c r="CZ350" s="27"/>
      <c r="DA350" s="68"/>
      <c r="DB350" s="68"/>
      <c r="DC350" s="68"/>
      <c r="DD350" s="68"/>
      <c r="DE350" s="27"/>
      <c r="DF350" s="68"/>
      <c r="DG350" s="68"/>
      <c r="DH350" s="68"/>
      <c r="DI350" s="68"/>
      <c r="DJ350" s="27"/>
      <c r="DK350" s="68"/>
      <c r="DL350" s="68"/>
      <c r="DM350" s="68"/>
      <c r="DN350" s="68"/>
      <c r="DO350" s="27"/>
      <c r="DP350" s="68"/>
      <c r="DQ350" s="68"/>
      <c r="DR350" s="68"/>
      <c r="DS350" s="68"/>
      <c r="DT350" s="27"/>
      <c r="DU350" s="27"/>
      <c r="DV350" s="27"/>
    </row>
    <row r="351" spans="1:126" s="108" customFormat="1">
      <c r="A351" s="37"/>
      <c r="B351" s="180" t="s">
        <v>270</v>
      </c>
      <c r="C351" s="101"/>
      <c r="D351" s="101"/>
      <c r="E351" s="101"/>
      <c r="F351" s="101"/>
      <c r="G351" s="101"/>
      <c r="H351" s="101"/>
      <c r="I351" s="101"/>
      <c r="J351" s="37"/>
      <c r="K351" s="37"/>
      <c r="L351" s="37"/>
      <c r="M351" s="37"/>
      <c r="N351" s="101"/>
      <c r="O351" s="37"/>
      <c r="P351" s="37"/>
      <c r="Q351" s="37"/>
      <c r="R351" s="37"/>
      <c r="S351" s="101"/>
      <c r="T351" s="37"/>
      <c r="U351" s="37"/>
      <c r="V351" s="37"/>
      <c r="W351" s="37"/>
      <c r="X351" s="101"/>
      <c r="Y351" s="37"/>
      <c r="Z351" s="37"/>
      <c r="AA351" s="37"/>
      <c r="AB351" s="37"/>
      <c r="AC351" s="101"/>
      <c r="AD351" s="37"/>
      <c r="AE351" s="37"/>
      <c r="AF351" s="37"/>
      <c r="AG351" s="37"/>
      <c r="AH351" s="101"/>
      <c r="AI351" s="37"/>
      <c r="AJ351" s="37"/>
      <c r="AK351" s="37"/>
      <c r="AL351" s="37"/>
      <c r="AM351" s="101"/>
      <c r="AN351" s="37"/>
      <c r="AO351" s="37"/>
      <c r="AP351" s="37"/>
      <c r="AQ351" s="37"/>
      <c r="AR351" s="101"/>
      <c r="AS351" s="37"/>
      <c r="AT351" s="37"/>
      <c r="AU351" s="37"/>
      <c r="AV351" s="37"/>
      <c r="AW351" s="27"/>
      <c r="AX351" s="68"/>
      <c r="AY351" s="68"/>
      <c r="AZ351" s="68"/>
      <c r="BA351" s="68"/>
      <c r="BB351" s="27"/>
      <c r="BC351" s="68"/>
      <c r="BD351" s="68"/>
      <c r="BE351" s="68"/>
      <c r="BF351" s="68"/>
      <c r="BG351" s="27"/>
      <c r="BH351" s="68"/>
      <c r="BI351" s="68"/>
      <c r="BJ351" s="68"/>
      <c r="BK351" s="68"/>
      <c r="BL351" s="27"/>
      <c r="BM351" s="68"/>
      <c r="BN351" s="68"/>
      <c r="BO351" s="68"/>
      <c r="BP351" s="68"/>
      <c r="BQ351" s="27"/>
      <c r="BR351" s="68"/>
      <c r="BS351" s="68"/>
      <c r="BT351" s="68"/>
      <c r="BU351" s="68"/>
      <c r="BV351" s="27"/>
      <c r="BW351" s="68"/>
      <c r="BX351" s="68"/>
      <c r="BY351" s="68"/>
      <c r="BZ351" s="68"/>
      <c r="CA351" s="27"/>
      <c r="CB351" s="68"/>
      <c r="CC351" s="68"/>
      <c r="CD351" s="68"/>
      <c r="CE351" s="68"/>
      <c r="CF351" s="27"/>
      <c r="CG351" s="68"/>
      <c r="CH351" s="68"/>
      <c r="CI351" s="68"/>
      <c r="CJ351" s="68"/>
      <c r="CK351" s="27"/>
      <c r="CL351" s="68"/>
      <c r="CM351" s="68"/>
      <c r="CN351" s="68"/>
      <c r="CO351" s="68"/>
      <c r="CP351" s="27"/>
      <c r="CQ351" s="68"/>
      <c r="CR351" s="68"/>
      <c r="CS351" s="68"/>
      <c r="CT351" s="68"/>
      <c r="CU351" s="27"/>
      <c r="CV351" s="68"/>
      <c r="CW351" s="68"/>
      <c r="CX351" s="68"/>
      <c r="CY351" s="68"/>
      <c r="CZ351" s="27"/>
      <c r="DA351" s="68"/>
      <c r="DB351" s="68"/>
      <c r="DC351" s="68"/>
      <c r="DD351" s="68"/>
      <c r="DE351" s="27"/>
      <c r="DF351" s="68"/>
      <c r="DG351" s="68"/>
      <c r="DH351" s="68"/>
      <c r="DI351" s="68"/>
      <c r="DJ351" s="27"/>
      <c r="DK351" s="68"/>
      <c r="DL351" s="68"/>
      <c r="DM351" s="68"/>
      <c r="DN351" s="68"/>
      <c r="DO351" s="27"/>
      <c r="DP351" s="68"/>
      <c r="DQ351" s="68"/>
      <c r="DR351" s="68"/>
      <c r="DS351" s="68"/>
      <c r="DT351" s="27"/>
      <c r="DU351" s="27"/>
      <c r="DV351" s="27"/>
    </row>
    <row r="352" spans="1:126" s="108" customFormat="1">
      <c r="A352" s="37"/>
      <c r="B352" s="180" t="s">
        <v>285</v>
      </c>
      <c r="C352" s="101"/>
      <c r="D352" s="101"/>
      <c r="E352" s="101"/>
      <c r="F352" s="101"/>
      <c r="G352" s="101"/>
      <c r="H352" s="101"/>
      <c r="I352" s="101"/>
      <c r="J352" s="37"/>
      <c r="K352" s="37"/>
      <c r="L352" s="37"/>
      <c r="M352" s="37"/>
      <c r="N352" s="101"/>
      <c r="O352" s="37"/>
      <c r="P352" s="37"/>
      <c r="Q352" s="37"/>
      <c r="R352" s="37"/>
      <c r="S352" s="101"/>
      <c r="T352" s="37"/>
      <c r="U352" s="37"/>
      <c r="V352" s="37"/>
      <c r="W352" s="37"/>
      <c r="X352" s="101"/>
      <c r="Y352" s="37"/>
      <c r="Z352" s="37"/>
      <c r="AA352" s="37"/>
      <c r="AB352" s="37"/>
      <c r="AC352" s="101"/>
      <c r="AD352" s="37"/>
      <c r="AE352" s="37"/>
      <c r="AF352" s="37"/>
      <c r="AG352" s="37"/>
      <c r="AH352" s="101"/>
      <c r="AI352" s="37"/>
      <c r="AJ352" s="37"/>
      <c r="AK352" s="37"/>
      <c r="AL352" s="37"/>
      <c r="AM352" s="101"/>
      <c r="AN352" s="37"/>
      <c r="AO352" s="37"/>
      <c r="AP352" s="37"/>
      <c r="AQ352" s="37"/>
      <c r="AR352" s="101"/>
      <c r="AS352" s="37"/>
      <c r="AT352" s="37"/>
      <c r="AU352" s="37"/>
      <c r="AV352" s="37"/>
      <c r="AW352" s="27"/>
      <c r="AX352" s="68"/>
      <c r="AY352" s="68"/>
      <c r="AZ352" s="68"/>
      <c r="BA352" s="68"/>
      <c r="BB352" s="27"/>
      <c r="BC352" s="68"/>
      <c r="BD352" s="68"/>
      <c r="BE352" s="68"/>
      <c r="BF352" s="68"/>
      <c r="BG352" s="27"/>
      <c r="BH352" s="68"/>
      <c r="BI352" s="68"/>
      <c r="BJ352" s="68"/>
      <c r="BK352" s="68"/>
      <c r="BL352" s="27"/>
      <c r="BM352" s="68"/>
      <c r="BN352" s="68"/>
      <c r="BO352" s="68"/>
      <c r="BP352" s="68"/>
      <c r="BQ352" s="27"/>
      <c r="BR352" s="68"/>
      <c r="BS352" s="68"/>
      <c r="BT352" s="68"/>
      <c r="BU352" s="68"/>
      <c r="BV352" s="27"/>
      <c r="BW352" s="68"/>
      <c r="BX352" s="68"/>
      <c r="BY352" s="68"/>
      <c r="BZ352" s="68"/>
      <c r="CA352" s="27"/>
      <c r="CB352" s="68"/>
      <c r="CC352" s="68"/>
      <c r="CD352" s="68"/>
      <c r="CE352" s="68"/>
      <c r="CF352" s="27"/>
      <c r="CG352" s="68"/>
      <c r="CH352" s="68"/>
      <c r="CI352" s="68"/>
      <c r="CJ352" s="68"/>
      <c r="CK352" s="27"/>
      <c r="CL352" s="68"/>
      <c r="CM352" s="68"/>
      <c r="CN352" s="68"/>
      <c r="CO352" s="68"/>
      <c r="CP352" s="27"/>
      <c r="CQ352" s="68"/>
      <c r="CR352" s="68"/>
      <c r="CS352" s="68"/>
      <c r="CT352" s="68"/>
      <c r="CU352" s="27"/>
      <c r="CV352" s="68"/>
      <c r="CW352" s="68"/>
      <c r="CX352" s="68"/>
      <c r="CY352" s="68"/>
      <c r="CZ352" s="27"/>
      <c r="DA352" s="68"/>
      <c r="DB352" s="68"/>
      <c r="DC352" s="68"/>
      <c r="DD352" s="68"/>
      <c r="DE352" s="27"/>
      <c r="DF352" s="68"/>
      <c r="DG352" s="68"/>
      <c r="DH352" s="68"/>
      <c r="DI352" s="68"/>
      <c r="DJ352" s="27"/>
      <c r="DK352" s="68"/>
      <c r="DL352" s="68"/>
      <c r="DM352" s="68"/>
      <c r="DN352" s="68"/>
      <c r="DO352" s="27"/>
      <c r="DP352" s="68"/>
      <c r="DQ352" s="68"/>
      <c r="DR352" s="68"/>
      <c r="DS352" s="68"/>
      <c r="DT352" s="27"/>
      <c r="DU352" s="27"/>
      <c r="DV352" s="27"/>
    </row>
    <row r="353" spans="1:126" s="108" customFormat="1">
      <c r="A353" s="37"/>
      <c r="B353" s="180" t="s">
        <v>286</v>
      </c>
      <c r="C353" s="101"/>
      <c r="D353" s="101"/>
      <c r="E353" s="101"/>
      <c r="F353" s="101"/>
      <c r="G353" s="101"/>
      <c r="H353" s="101"/>
      <c r="I353" s="101"/>
      <c r="J353" s="37"/>
      <c r="K353" s="37"/>
      <c r="L353" s="37"/>
      <c r="M353" s="37"/>
      <c r="N353" s="101"/>
      <c r="O353" s="37"/>
      <c r="P353" s="37"/>
      <c r="Q353" s="37"/>
      <c r="R353" s="37"/>
      <c r="S353" s="101"/>
      <c r="T353" s="37"/>
      <c r="U353" s="37"/>
      <c r="V353" s="37"/>
      <c r="W353" s="37"/>
      <c r="X353" s="101"/>
      <c r="Y353" s="37"/>
      <c r="Z353" s="37"/>
      <c r="AA353" s="37"/>
      <c r="AB353" s="37"/>
      <c r="AC353" s="101"/>
      <c r="AD353" s="37"/>
      <c r="AE353" s="37"/>
      <c r="AF353" s="37"/>
      <c r="AG353" s="37"/>
      <c r="AH353" s="101"/>
      <c r="AI353" s="37"/>
      <c r="AJ353" s="37"/>
      <c r="AK353" s="37"/>
      <c r="AL353" s="37"/>
      <c r="AM353" s="101"/>
      <c r="AN353" s="37"/>
      <c r="AO353" s="37"/>
      <c r="AP353" s="37"/>
      <c r="AQ353" s="37"/>
      <c r="AR353" s="101"/>
      <c r="AS353" s="37"/>
      <c r="AT353" s="37"/>
      <c r="AU353" s="37"/>
      <c r="AV353" s="37"/>
      <c r="AW353" s="27"/>
      <c r="AX353" s="68"/>
      <c r="AY353" s="68"/>
      <c r="AZ353" s="68"/>
      <c r="BA353" s="68"/>
      <c r="BB353" s="27"/>
      <c r="BC353" s="68"/>
      <c r="BD353" s="68"/>
      <c r="BE353" s="68"/>
      <c r="BF353" s="68"/>
      <c r="BG353" s="27"/>
      <c r="BH353" s="68"/>
      <c r="BI353" s="68"/>
      <c r="BJ353" s="68"/>
      <c r="BK353" s="68"/>
      <c r="BL353" s="27"/>
      <c r="BM353" s="68"/>
      <c r="BN353" s="68"/>
      <c r="BO353" s="68"/>
      <c r="BP353" s="68"/>
      <c r="BQ353" s="27"/>
      <c r="BR353" s="68"/>
      <c r="BS353" s="68"/>
      <c r="BT353" s="68"/>
      <c r="BU353" s="68"/>
      <c r="BV353" s="27"/>
      <c r="BW353" s="68"/>
      <c r="BX353" s="68"/>
      <c r="BY353" s="68"/>
      <c r="BZ353" s="68"/>
      <c r="CA353" s="27"/>
      <c r="CB353" s="68"/>
      <c r="CC353" s="68"/>
      <c r="CD353" s="68"/>
      <c r="CE353" s="68"/>
      <c r="CF353" s="27"/>
      <c r="CG353" s="68"/>
      <c r="CH353" s="68"/>
      <c r="CI353" s="68"/>
      <c r="CJ353" s="68"/>
      <c r="CK353" s="27"/>
      <c r="CL353" s="68"/>
      <c r="CM353" s="68"/>
      <c r="CN353" s="68"/>
      <c r="CO353" s="68"/>
      <c r="CP353" s="27"/>
      <c r="CQ353" s="68"/>
      <c r="CR353" s="68"/>
      <c r="CS353" s="68"/>
      <c r="CT353" s="68"/>
      <c r="CU353" s="27"/>
      <c r="CV353" s="68"/>
      <c r="CW353" s="68"/>
      <c r="CX353" s="68"/>
      <c r="CY353" s="68"/>
      <c r="CZ353" s="27"/>
      <c r="DA353" s="68"/>
      <c r="DB353" s="68"/>
      <c r="DC353" s="68"/>
      <c r="DD353" s="68"/>
      <c r="DE353" s="27"/>
      <c r="DF353" s="68"/>
      <c r="DG353" s="68"/>
      <c r="DH353" s="68"/>
      <c r="DI353" s="68"/>
      <c r="DJ353" s="27"/>
      <c r="DK353" s="68"/>
      <c r="DL353" s="68"/>
      <c r="DM353" s="68"/>
      <c r="DN353" s="68"/>
      <c r="DO353" s="27"/>
      <c r="DP353" s="68"/>
      <c r="DQ353" s="68"/>
      <c r="DR353" s="68"/>
      <c r="DS353" s="68"/>
      <c r="DT353" s="27"/>
      <c r="DU353" s="27"/>
      <c r="DV353" s="27"/>
    </row>
    <row r="354" spans="1:126" s="108" customFormat="1">
      <c r="A354" s="37"/>
      <c r="B354" s="180" t="s">
        <v>287</v>
      </c>
      <c r="C354" s="101"/>
      <c r="D354" s="101"/>
      <c r="E354" s="101"/>
      <c r="F354" s="101"/>
      <c r="G354" s="101"/>
      <c r="H354" s="101"/>
      <c r="I354" s="101"/>
      <c r="J354" s="37"/>
      <c r="K354" s="37"/>
      <c r="L354" s="37"/>
      <c r="M354" s="37"/>
      <c r="N354" s="101"/>
      <c r="O354" s="37"/>
      <c r="P354" s="37"/>
      <c r="Q354" s="37"/>
      <c r="R354" s="37"/>
      <c r="S354" s="101"/>
      <c r="T354" s="37"/>
      <c r="U354" s="37"/>
      <c r="V354" s="37"/>
      <c r="W354" s="37"/>
      <c r="X354" s="101"/>
      <c r="Y354" s="37"/>
      <c r="Z354" s="37"/>
      <c r="AA354" s="37"/>
      <c r="AB354" s="37"/>
      <c r="AC354" s="101"/>
      <c r="AD354" s="37"/>
      <c r="AE354" s="37"/>
      <c r="AF354" s="37"/>
      <c r="AG354" s="37"/>
      <c r="AH354" s="101"/>
      <c r="AI354" s="37"/>
      <c r="AJ354" s="37"/>
      <c r="AK354" s="37"/>
      <c r="AL354" s="37"/>
      <c r="AM354" s="101"/>
      <c r="AN354" s="37"/>
      <c r="AO354" s="37"/>
      <c r="AP354" s="37"/>
      <c r="AQ354" s="37"/>
      <c r="AR354" s="101"/>
      <c r="AS354" s="37"/>
      <c r="AT354" s="37"/>
      <c r="AU354" s="37"/>
      <c r="AV354" s="37"/>
      <c r="AW354" s="27"/>
      <c r="AX354" s="68"/>
      <c r="AY354" s="68"/>
      <c r="AZ354" s="68"/>
      <c r="BA354" s="68"/>
      <c r="BB354" s="27"/>
      <c r="BC354" s="68"/>
      <c r="BD354" s="68"/>
      <c r="BE354" s="68"/>
      <c r="BF354" s="68"/>
      <c r="BG354" s="27"/>
      <c r="BH354" s="68"/>
      <c r="BI354" s="68"/>
      <c r="BJ354" s="68"/>
      <c r="BK354" s="68"/>
      <c r="BL354" s="27"/>
      <c r="BM354" s="68"/>
      <c r="BN354" s="68"/>
      <c r="BO354" s="68"/>
      <c r="BP354" s="68"/>
      <c r="BQ354" s="27"/>
      <c r="BR354" s="68"/>
      <c r="BS354" s="68"/>
      <c r="BT354" s="68"/>
      <c r="BU354" s="68"/>
      <c r="BV354" s="27"/>
      <c r="BW354" s="68"/>
      <c r="BX354" s="68"/>
      <c r="BY354" s="68"/>
      <c r="BZ354" s="68"/>
      <c r="CA354" s="27"/>
      <c r="CB354" s="68"/>
      <c r="CC354" s="68"/>
      <c r="CD354" s="68"/>
      <c r="CE354" s="68"/>
      <c r="CF354" s="27"/>
      <c r="CG354" s="68"/>
      <c r="CH354" s="68"/>
      <c r="CI354" s="68"/>
      <c r="CJ354" s="68"/>
      <c r="CK354" s="27"/>
      <c r="CL354" s="68"/>
      <c r="CM354" s="68"/>
      <c r="CN354" s="68"/>
      <c r="CO354" s="68"/>
      <c r="CP354" s="27"/>
      <c r="CQ354" s="68"/>
      <c r="CR354" s="68"/>
      <c r="CS354" s="68"/>
      <c r="CT354" s="68"/>
      <c r="CU354" s="27"/>
      <c r="CV354" s="68"/>
      <c r="CW354" s="68"/>
      <c r="CX354" s="68"/>
      <c r="CY354" s="68"/>
      <c r="CZ354" s="27"/>
      <c r="DA354" s="68"/>
      <c r="DB354" s="68"/>
      <c r="DC354" s="68"/>
      <c r="DD354" s="68"/>
      <c r="DE354" s="27"/>
      <c r="DF354" s="68"/>
      <c r="DG354" s="68"/>
      <c r="DH354" s="68"/>
      <c r="DI354" s="68"/>
      <c r="DJ354" s="27"/>
      <c r="DK354" s="68"/>
      <c r="DL354" s="68"/>
      <c r="DM354" s="68"/>
      <c r="DN354" s="68"/>
      <c r="DO354" s="27"/>
      <c r="DP354" s="68"/>
      <c r="DQ354" s="68"/>
      <c r="DR354" s="68"/>
      <c r="DS354" s="68"/>
      <c r="DT354" s="27"/>
      <c r="DU354" s="27"/>
      <c r="DV354" s="27"/>
    </row>
    <row r="355" spans="1:126" s="108" customFormat="1">
      <c r="A355" s="37"/>
      <c r="B355" s="180" t="s">
        <v>288</v>
      </c>
      <c r="C355" s="101"/>
      <c r="D355" s="101"/>
      <c r="E355" s="101"/>
      <c r="F355" s="101"/>
      <c r="G355" s="101"/>
      <c r="H355" s="101"/>
      <c r="I355" s="101"/>
      <c r="J355" s="37"/>
      <c r="K355" s="37"/>
      <c r="L355" s="37"/>
      <c r="M355" s="37"/>
      <c r="N355" s="101"/>
      <c r="O355" s="37"/>
      <c r="P355" s="37"/>
      <c r="Q355" s="37"/>
      <c r="R355" s="37"/>
      <c r="S355" s="101"/>
      <c r="T355" s="37"/>
      <c r="U355" s="37"/>
      <c r="V355" s="37"/>
      <c r="W355" s="37"/>
      <c r="X355" s="101"/>
      <c r="Y355" s="37"/>
      <c r="Z355" s="37"/>
      <c r="AA355" s="37"/>
      <c r="AB355" s="37"/>
      <c r="AC355" s="101"/>
      <c r="AD355" s="37"/>
      <c r="AE355" s="37"/>
      <c r="AF355" s="37"/>
      <c r="AG355" s="37"/>
      <c r="AH355" s="101"/>
      <c r="AI355" s="37"/>
      <c r="AJ355" s="37"/>
      <c r="AK355" s="37"/>
      <c r="AL355" s="37"/>
      <c r="AM355" s="101"/>
      <c r="AN355" s="37"/>
      <c r="AO355" s="37"/>
      <c r="AP355" s="37"/>
      <c r="AQ355" s="37"/>
      <c r="AR355" s="101"/>
      <c r="AS355" s="37"/>
      <c r="AT355" s="37"/>
      <c r="AU355" s="37"/>
      <c r="AV355" s="37"/>
      <c r="AW355" s="27">
        <v>0.15</v>
      </c>
      <c r="AX355" s="68"/>
      <c r="AY355" s="68"/>
      <c r="AZ355" s="68"/>
      <c r="BA355" s="68"/>
      <c r="BB355" s="27">
        <v>0.15</v>
      </c>
      <c r="BC355" s="68"/>
      <c r="BD355" s="68"/>
      <c r="BE355" s="68"/>
      <c r="BF355" s="68"/>
      <c r="BG355" s="27">
        <v>0.15</v>
      </c>
      <c r="BH355" s="68"/>
      <c r="BI355" s="68"/>
      <c r="BJ355" s="68"/>
      <c r="BK355" s="68"/>
      <c r="BL355" s="27">
        <v>0.15</v>
      </c>
      <c r="BM355" s="68"/>
      <c r="BN355" s="68"/>
      <c r="BO355" s="68"/>
      <c r="BP355" s="68"/>
      <c r="BQ355" s="27">
        <v>0.15</v>
      </c>
      <c r="BR355" s="68"/>
      <c r="BS355" s="68"/>
      <c r="BT355" s="68"/>
      <c r="BU355" s="68"/>
      <c r="BV355" s="27">
        <v>0.15</v>
      </c>
      <c r="BW355" s="68"/>
      <c r="BX355" s="68"/>
      <c r="BY355" s="68"/>
      <c r="BZ355" s="68"/>
      <c r="CA355" s="27">
        <v>0.15</v>
      </c>
      <c r="CB355" s="68"/>
      <c r="CC355" s="68"/>
      <c r="CD355" s="68"/>
      <c r="CE355" s="68"/>
      <c r="CF355" s="27">
        <v>0.15</v>
      </c>
      <c r="CG355" s="68"/>
      <c r="CH355" s="68"/>
      <c r="CI355" s="68"/>
      <c r="CJ355" s="68"/>
      <c r="CK355" s="27">
        <v>0.15</v>
      </c>
      <c r="CL355" s="68"/>
      <c r="CM355" s="68"/>
      <c r="CN355" s="68"/>
      <c r="CO355" s="68"/>
      <c r="CP355" s="795">
        <v>0.15</v>
      </c>
      <c r="CQ355" s="68"/>
      <c r="CR355" s="68"/>
      <c r="CS355" s="68"/>
      <c r="CT355" s="68"/>
      <c r="CU355" s="795">
        <v>0.15</v>
      </c>
      <c r="CV355" s="68"/>
      <c r="CW355" s="68"/>
      <c r="CX355" s="68"/>
      <c r="CY355" s="68"/>
      <c r="CZ355" s="795">
        <v>0.15</v>
      </c>
      <c r="DA355" s="68"/>
      <c r="DB355" s="68"/>
      <c r="DC355" s="68"/>
      <c r="DD355" s="68"/>
      <c r="DE355" s="795">
        <v>0.15</v>
      </c>
      <c r="DF355" s="68"/>
      <c r="DG355" s="68"/>
      <c r="DH355" s="68"/>
      <c r="DI355" s="68"/>
      <c r="DJ355" s="795">
        <v>0.15</v>
      </c>
      <c r="DK355" s="68"/>
      <c r="DL355" s="68"/>
      <c r="DM355" s="68"/>
      <c r="DN355" s="68"/>
      <c r="DO355" s="795">
        <v>0.15</v>
      </c>
      <c r="DP355" s="68"/>
      <c r="DQ355" s="68"/>
      <c r="DR355" s="68"/>
      <c r="DS355" s="68"/>
      <c r="DT355" s="795">
        <v>0.15</v>
      </c>
      <c r="DU355" s="795">
        <v>0.15</v>
      </c>
      <c r="DV355" s="795">
        <v>0.15</v>
      </c>
    </row>
    <row r="356" spans="1:126" s="108" customFormat="1">
      <c r="A356" s="37"/>
      <c r="B356" s="180" t="s">
        <v>289</v>
      </c>
      <c r="C356" s="101"/>
      <c r="D356" s="101"/>
      <c r="E356" s="101"/>
      <c r="F356" s="101"/>
      <c r="G356" s="101"/>
      <c r="H356" s="101"/>
      <c r="I356" s="101"/>
      <c r="J356" s="37"/>
      <c r="K356" s="37"/>
      <c r="L356" s="37"/>
      <c r="M356" s="37"/>
      <c r="N356" s="101"/>
      <c r="O356" s="37"/>
      <c r="P356" s="37"/>
      <c r="Q356" s="37"/>
      <c r="R356" s="37"/>
      <c r="S356" s="101"/>
      <c r="T356" s="37"/>
      <c r="U356" s="37"/>
      <c r="V356" s="37"/>
      <c r="W356" s="37"/>
      <c r="X356" s="101"/>
      <c r="Y356" s="37"/>
      <c r="Z356" s="37"/>
      <c r="AA356" s="37"/>
      <c r="AB356" s="37"/>
      <c r="AC356" s="101"/>
      <c r="AD356" s="37"/>
      <c r="AE356" s="37"/>
      <c r="AF356" s="37"/>
      <c r="AG356" s="37"/>
      <c r="AH356" s="101"/>
      <c r="AI356" s="37"/>
      <c r="AJ356" s="37"/>
      <c r="AK356" s="37"/>
      <c r="AL356" s="37"/>
      <c r="AM356" s="101"/>
      <c r="AN356" s="37"/>
      <c r="AO356" s="37"/>
      <c r="AP356" s="37"/>
      <c r="AQ356" s="37"/>
      <c r="AR356" s="101"/>
      <c r="AS356" s="37"/>
      <c r="AT356" s="37"/>
      <c r="AU356" s="37"/>
      <c r="AV356" s="37"/>
      <c r="AW356" s="27"/>
      <c r="AX356" s="68"/>
      <c r="AY356" s="68"/>
      <c r="AZ356" s="68"/>
      <c r="BA356" s="68"/>
      <c r="BB356" s="27"/>
      <c r="BC356" s="68"/>
      <c r="BD356" s="68"/>
      <c r="BE356" s="68"/>
      <c r="BF356" s="68"/>
      <c r="BG356" s="27"/>
      <c r="BH356" s="68"/>
      <c r="BI356" s="68"/>
      <c r="BJ356" s="68"/>
      <c r="BK356" s="68"/>
      <c r="BL356" s="27"/>
      <c r="BM356" s="68"/>
      <c r="BN356" s="68"/>
      <c r="BO356" s="68"/>
      <c r="BP356" s="68"/>
      <c r="BQ356" s="27"/>
      <c r="BR356" s="68"/>
      <c r="BS356" s="68"/>
      <c r="BT356" s="68"/>
      <c r="BU356" s="68"/>
      <c r="BV356" s="27"/>
      <c r="BW356" s="68"/>
      <c r="BX356" s="68"/>
      <c r="BY356" s="68"/>
      <c r="BZ356" s="68"/>
      <c r="CA356" s="27"/>
      <c r="CB356" s="68"/>
      <c r="CC356" s="68"/>
      <c r="CD356" s="68"/>
      <c r="CE356" s="68"/>
      <c r="CF356" s="27"/>
      <c r="CG356" s="68"/>
      <c r="CH356" s="68"/>
      <c r="CI356" s="68"/>
      <c r="CJ356" s="68"/>
      <c r="CK356" s="27"/>
      <c r="CL356" s="68"/>
      <c r="CM356" s="68"/>
      <c r="CN356" s="68"/>
      <c r="CO356" s="68"/>
      <c r="CP356" s="795"/>
      <c r="CQ356" s="68"/>
      <c r="CR356" s="68"/>
      <c r="CS356" s="68"/>
      <c r="CT356" s="68"/>
      <c r="CU356" s="795"/>
      <c r="CV356" s="68"/>
      <c r="CW356" s="68"/>
      <c r="CX356" s="68"/>
      <c r="CY356" s="68"/>
      <c r="CZ356" s="795"/>
      <c r="DA356" s="68"/>
      <c r="DB356" s="68"/>
      <c r="DC356" s="68"/>
      <c r="DD356" s="68"/>
      <c r="DE356" s="795"/>
      <c r="DF356" s="68"/>
      <c r="DG356" s="68"/>
      <c r="DH356" s="68"/>
      <c r="DI356" s="68"/>
      <c r="DJ356" s="795"/>
      <c r="DK356" s="68"/>
      <c r="DL356" s="68"/>
      <c r="DM356" s="68"/>
      <c r="DN356" s="68"/>
      <c r="DO356" s="795"/>
      <c r="DP356" s="68"/>
      <c r="DQ356" s="68"/>
      <c r="DR356" s="68"/>
      <c r="DS356" s="68"/>
      <c r="DT356" s="795"/>
      <c r="DU356" s="795"/>
      <c r="DV356" s="795"/>
    </row>
    <row r="357" spans="1:126" s="108" customFormat="1">
      <c r="A357" s="37"/>
      <c r="B357" s="180" t="s">
        <v>290</v>
      </c>
      <c r="C357" s="101"/>
      <c r="D357" s="101"/>
      <c r="E357" s="101"/>
      <c r="F357" s="101"/>
      <c r="G357" s="101"/>
      <c r="H357" s="101"/>
      <c r="I357" s="101"/>
      <c r="J357" s="37"/>
      <c r="K357" s="37"/>
      <c r="L357" s="37"/>
      <c r="M357" s="37"/>
      <c r="N357" s="101"/>
      <c r="O357" s="37"/>
      <c r="P357" s="37"/>
      <c r="Q357" s="37"/>
      <c r="R357" s="37"/>
      <c r="S357" s="101"/>
      <c r="T357" s="37"/>
      <c r="U357" s="37"/>
      <c r="V357" s="37"/>
      <c r="W357" s="37"/>
      <c r="X357" s="101"/>
      <c r="Y357" s="37"/>
      <c r="Z357" s="37"/>
      <c r="AA357" s="37"/>
      <c r="AB357" s="37"/>
      <c r="AC357" s="101"/>
      <c r="AD357" s="37"/>
      <c r="AE357" s="37"/>
      <c r="AF357" s="37"/>
      <c r="AG357" s="37"/>
      <c r="AH357" s="101"/>
      <c r="AI357" s="37"/>
      <c r="AJ357" s="37"/>
      <c r="AK357" s="37"/>
      <c r="AL357" s="37"/>
      <c r="AM357" s="101"/>
      <c r="AN357" s="37"/>
      <c r="AO357" s="37"/>
      <c r="AP357" s="37"/>
      <c r="AQ357" s="37"/>
      <c r="AR357" s="101"/>
      <c r="AS357" s="37"/>
      <c r="AT357" s="37"/>
      <c r="AU357" s="37"/>
      <c r="AV357" s="37"/>
      <c r="AW357" s="27"/>
      <c r="AX357" s="68"/>
      <c r="AY357" s="68"/>
      <c r="AZ357" s="68"/>
      <c r="BA357" s="68"/>
      <c r="BB357" s="27"/>
      <c r="BC357" s="68"/>
      <c r="BD357" s="68"/>
      <c r="BE357" s="68"/>
      <c r="BF357" s="68"/>
      <c r="BG357" s="27"/>
      <c r="BH357" s="68"/>
      <c r="BI357" s="68"/>
      <c r="BJ357" s="68"/>
      <c r="BK357" s="68"/>
      <c r="BL357" s="27"/>
      <c r="BM357" s="68"/>
      <c r="BN357" s="68"/>
      <c r="BO357" s="68"/>
      <c r="BP357" s="68"/>
      <c r="BQ357" s="27"/>
      <c r="BR357" s="68"/>
      <c r="BS357" s="68"/>
      <c r="BT357" s="68"/>
      <c r="BU357" s="68"/>
      <c r="BV357" s="27"/>
      <c r="BW357" s="68"/>
      <c r="BX357" s="68"/>
      <c r="BY357" s="68"/>
      <c r="BZ357" s="68"/>
      <c r="CA357" s="27"/>
      <c r="CB357" s="68"/>
      <c r="CC357" s="68"/>
      <c r="CD357" s="68"/>
      <c r="CE357" s="68"/>
      <c r="CF357" s="27"/>
      <c r="CG357" s="68"/>
      <c r="CH357" s="68"/>
      <c r="CI357" s="68"/>
      <c r="CJ357" s="68"/>
      <c r="CK357" s="27"/>
      <c r="CL357" s="68"/>
      <c r="CM357" s="68"/>
      <c r="CN357" s="68"/>
      <c r="CO357" s="68"/>
      <c r="CP357" s="795"/>
      <c r="CQ357" s="68"/>
      <c r="CR357" s="68"/>
      <c r="CS357" s="68"/>
      <c r="CT357" s="68"/>
      <c r="CU357" s="795"/>
      <c r="CV357" s="68"/>
      <c r="CW357" s="68"/>
      <c r="CX357" s="68"/>
      <c r="CY357" s="68"/>
      <c r="CZ357" s="795"/>
      <c r="DA357" s="68"/>
      <c r="DB357" s="68"/>
      <c r="DC357" s="68"/>
      <c r="DD357" s="68"/>
      <c r="DE357" s="795"/>
      <c r="DF357" s="68"/>
      <c r="DG357" s="68"/>
      <c r="DH357" s="68"/>
      <c r="DI357" s="68"/>
      <c r="DJ357" s="795"/>
      <c r="DK357" s="68"/>
      <c r="DL357" s="68"/>
      <c r="DM357" s="68"/>
      <c r="DN357" s="68"/>
      <c r="DO357" s="795"/>
      <c r="DP357" s="68"/>
      <c r="DQ357" s="68"/>
      <c r="DR357" s="68"/>
      <c r="DS357" s="68"/>
      <c r="DT357" s="795"/>
      <c r="DU357" s="795"/>
      <c r="DV357" s="795"/>
    </row>
    <row r="358" spans="1:126" s="108" customFormat="1" ht="12.75">
      <c r="A358" s="37"/>
      <c r="B358" s="180" t="s">
        <v>291</v>
      </c>
      <c r="C358" s="101"/>
      <c r="D358" s="101"/>
      <c r="E358" s="101"/>
      <c r="F358" s="101"/>
      <c r="G358" s="101"/>
      <c r="H358" s="101"/>
      <c r="I358" s="101"/>
      <c r="J358" s="37"/>
      <c r="K358" s="37"/>
      <c r="L358" s="37"/>
      <c r="M358" s="37"/>
      <c r="N358" s="101"/>
      <c r="O358" s="37"/>
      <c r="P358" s="37"/>
      <c r="Q358" s="37"/>
      <c r="R358" s="37"/>
      <c r="S358" s="101"/>
      <c r="T358" s="37"/>
      <c r="U358" s="37"/>
      <c r="V358" s="37"/>
      <c r="W358" s="37"/>
      <c r="X358" s="101"/>
      <c r="Y358" s="37"/>
      <c r="Z358" s="37"/>
      <c r="AA358" s="37"/>
      <c r="AB358" s="37"/>
      <c r="AC358" s="101"/>
      <c r="AD358" s="37"/>
      <c r="AE358" s="37"/>
      <c r="AF358" s="37"/>
      <c r="AG358" s="37"/>
      <c r="AH358" s="101"/>
      <c r="AI358" s="37"/>
      <c r="AJ358" s="37"/>
      <c r="AK358" s="37"/>
      <c r="AL358" s="37"/>
      <c r="AM358" s="101"/>
      <c r="AN358" s="37"/>
      <c r="AO358" s="37"/>
      <c r="AP358" s="37"/>
      <c r="AQ358" s="37"/>
      <c r="AR358" s="101"/>
      <c r="AS358" s="37"/>
      <c r="AT358" s="37"/>
      <c r="AU358" s="37"/>
      <c r="AV358" s="37"/>
      <c r="AW358" s="27"/>
      <c r="AX358" s="68"/>
      <c r="AY358" s="68"/>
      <c r="AZ358" s="68"/>
      <c r="BA358" s="68"/>
      <c r="BB358" s="27"/>
      <c r="BC358" s="68"/>
      <c r="BD358" s="464"/>
      <c r="BE358" s="68"/>
      <c r="BF358" s="68"/>
      <c r="BG358" s="27"/>
      <c r="BH358" s="68"/>
      <c r="BI358" s="68"/>
      <c r="BJ358" s="68"/>
      <c r="BK358" s="68"/>
      <c r="BL358" s="27"/>
      <c r="BM358" s="68"/>
      <c r="BN358" s="68"/>
      <c r="BO358" s="68"/>
      <c r="BP358" s="68"/>
      <c r="BQ358" s="27"/>
      <c r="BR358" s="68"/>
      <c r="BS358" s="68"/>
      <c r="BT358" s="68"/>
      <c r="BU358" s="68"/>
      <c r="BV358" s="27"/>
      <c r="BW358" s="68"/>
      <c r="BX358" s="68"/>
      <c r="BY358" s="68"/>
      <c r="BZ358" s="68"/>
      <c r="CA358" s="27"/>
      <c r="CB358" s="68"/>
      <c r="CC358" s="68"/>
      <c r="CD358" s="68"/>
      <c r="CE358" s="68"/>
      <c r="CF358" s="27"/>
      <c r="CG358" s="68"/>
      <c r="CH358" s="68"/>
      <c r="CI358" s="68"/>
      <c r="CJ358" s="68"/>
      <c r="CK358" s="27"/>
      <c r="CL358" s="68"/>
      <c r="CM358" s="68"/>
      <c r="CN358" s="68"/>
      <c r="CO358" s="68"/>
      <c r="CP358" s="795"/>
      <c r="CQ358" s="68"/>
      <c r="CR358" s="68"/>
      <c r="CS358" s="68"/>
      <c r="CT358" s="68"/>
      <c r="CU358" s="795"/>
      <c r="CV358" s="68"/>
      <c r="CW358" s="68"/>
      <c r="CX358" s="68"/>
      <c r="CY358" s="68"/>
      <c r="CZ358" s="795"/>
      <c r="DA358" s="68"/>
      <c r="DB358" s="68"/>
      <c r="DC358" s="68"/>
      <c r="DD358" s="68"/>
      <c r="DE358" s="795"/>
      <c r="DF358" s="68"/>
      <c r="DG358" s="68"/>
      <c r="DH358" s="68"/>
      <c r="DI358" s="68"/>
      <c r="DJ358" s="795"/>
      <c r="DK358" s="68"/>
      <c r="DL358" s="68"/>
      <c r="DM358" s="68"/>
      <c r="DN358" s="68"/>
      <c r="DO358" s="795"/>
      <c r="DP358" s="68"/>
      <c r="DQ358" s="68"/>
      <c r="DR358" s="68"/>
      <c r="DS358" s="68"/>
      <c r="DT358" s="795"/>
      <c r="DU358" s="795"/>
      <c r="DV358" s="795"/>
    </row>
    <row r="359" spans="1:126" s="108" customFormat="1">
      <c r="A359" s="37"/>
      <c r="B359" s="180" t="s">
        <v>292</v>
      </c>
      <c r="C359" s="101"/>
      <c r="D359" s="101"/>
      <c r="E359" s="101"/>
      <c r="F359" s="101"/>
      <c r="G359" s="101"/>
      <c r="H359" s="101"/>
      <c r="I359" s="101"/>
      <c r="J359" s="37"/>
      <c r="K359" s="37"/>
      <c r="L359" s="37"/>
      <c r="M359" s="37"/>
      <c r="N359" s="101"/>
      <c r="O359" s="37"/>
      <c r="P359" s="37"/>
      <c r="Q359" s="37"/>
      <c r="R359" s="37"/>
      <c r="S359" s="101"/>
      <c r="T359" s="37"/>
      <c r="U359" s="37"/>
      <c r="V359" s="37"/>
      <c r="W359" s="37"/>
      <c r="X359" s="101"/>
      <c r="Y359" s="37"/>
      <c r="Z359" s="37"/>
      <c r="AA359" s="37"/>
      <c r="AB359" s="37"/>
      <c r="AC359" s="101"/>
      <c r="AD359" s="37"/>
      <c r="AE359" s="37"/>
      <c r="AF359" s="37"/>
      <c r="AG359" s="37"/>
      <c r="AH359" s="101"/>
      <c r="AI359" s="37"/>
      <c r="AJ359" s="37"/>
      <c r="AK359" s="37"/>
      <c r="AL359" s="37"/>
      <c r="AM359" s="101"/>
      <c r="AN359" s="37"/>
      <c r="AO359" s="37"/>
      <c r="AP359" s="37"/>
      <c r="AQ359" s="37"/>
      <c r="AR359" s="101"/>
      <c r="AS359" s="37"/>
      <c r="AT359" s="37"/>
      <c r="AU359" s="37"/>
      <c r="AV359" s="37"/>
      <c r="AW359" s="27">
        <v>0.12</v>
      </c>
      <c r="AX359" s="68"/>
      <c r="AY359" s="68"/>
      <c r="AZ359" s="68"/>
      <c r="BA359" s="68"/>
      <c r="BB359" s="27">
        <v>0.12</v>
      </c>
      <c r="BC359" s="68"/>
      <c r="BD359" s="68"/>
      <c r="BE359" s="68"/>
      <c r="BF359" s="68"/>
      <c r="BG359" s="27">
        <v>0.12</v>
      </c>
      <c r="BH359" s="68"/>
      <c r="BI359" s="68"/>
      <c r="BJ359" s="68"/>
      <c r="BK359" s="68"/>
      <c r="BL359" s="27">
        <v>0.12</v>
      </c>
      <c r="BM359" s="68"/>
      <c r="BN359" s="68"/>
      <c r="BO359" s="68"/>
      <c r="BP359" s="68"/>
      <c r="BQ359" s="27">
        <v>0.12</v>
      </c>
      <c r="BR359" s="68"/>
      <c r="BS359" s="68"/>
      <c r="BT359" s="68"/>
      <c r="BU359" s="68"/>
      <c r="BV359" s="27">
        <v>0.12</v>
      </c>
      <c r="BW359" s="68"/>
      <c r="BX359" s="68"/>
      <c r="BY359" s="68"/>
      <c r="BZ359" s="68"/>
      <c r="CA359" s="27">
        <v>0.12</v>
      </c>
      <c r="CB359" s="68"/>
      <c r="CC359" s="68"/>
      <c r="CD359" s="68"/>
      <c r="CE359" s="68"/>
      <c r="CF359" s="27">
        <v>0.12</v>
      </c>
      <c r="CG359" s="68"/>
      <c r="CH359" s="68"/>
      <c r="CI359" s="68"/>
      <c r="CJ359" s="68"/>
      <c r="CK359" s="27">
        <v>0.12</v>
      </c>
      <c r="CL359" s="68"/>
      <c r="CM359" s="68"/>
      <c r="CN359" s="68"/>
      <c r="CO359" s="68"/>
      <c r="CP359" s="795">
        <v>0.12</v>
      </c>
      <c r="CQ359" s="68"/>
      <c r="CR359" s="68"/>
      <c r="CS359" s="68"/>
      <c r="CT359" s="68"/>
      <c r="CU359" s="795">
        <v>0.12</v>
      </c>
      <c r="CV359" s="68"/>
      <c r="CW359" s="68"/>
      <c r="CX359" s="68"/>
      <c r="CY359" s="68"/>
      <c r="CZ359" s="795">
        <v>0.12</v>
      </c>
      <c r="DA359" s="68"/>
      <c r="DB359" s="68"/>
      <c r="DC359" s="68"/>
      <c r="DD359" s="68"/>
      <c r="DE359" s="795">
        <v>0.12</v>
      </c>
      <c r="DF359" s="68"/>
      <c r="DG359" s="68"/>
      <c r="DH359" s="68"/>
      <c r="DI359" s="68"/>
      <c r="DJ359" s="795">
        <v>0.12</v>
      </c>
      <c r="DK359" s="68"/>
      <c r="DL359" s="68"/>
      <c r="DM359" s="68"/>
      <c r="DN359" s="68"/>
      <c r="DO359" s="795">
        <v>0.12</v>
      </c>
      <c r="DP359" s="68"/>
      <c r="DQ359" s="68"/>
      <c r="DR359" s="68"/>
      <c r="DS359" s="68"/>
      <c r="DT359" s="795">
        <v>0.12</v>
      </c>
      <c r="DU359" s="795">
        <v>0.12</v>
      </c>
      <c r="DV359" s="795">
        <v>0.12</v>
      </c>
    </row>
    <row r="360" spans="1:126" s="108" customFormat="1">
      <c r="A360" s="37"/>
      <c r="B360" s="180" t="s">
        <v>293</v>
      </c>
      <c r="C360" s="101"/>
      <c r="D360" s="101"/>
      <c r="E360" s="101"/>
      <c r="F360" s="101"/>
      <c r="G360" s="101"/>
      <c r="H360" s="101"/>
      <c r="I360" s="101"/>
      <c r="J360" s="37"/>
      <c r="K360" s="37"/>
      <c r="L360" s="37"/>
      <c r="M360" s="37"/>
      <c r="N360" s="101"/>
      <c r="O360" s="37"/>
      <c r="P360" s="37"/>
      <c r="Q360" s="37"/>
      <c r="R360" s="37"/>
      <c r="S360" s="101"/>
      <c r="T360" s="37"/>
      <c r="U360" s="37"/>
      <c r="V360" s="37"/>
      <c r="W360" s="37"/>
      <c r="X360" s="101"/>
      <c r="Y360" s="37"/>
      <c r="Z360" s="37"/>
      <c r="AA360" s="37"/>
      <c r="AB360" s="37"/>
      <c r="AC360" s="101"/>
      <c r="AD360" s="37"/>
      <c r="AE360" s="37"/>
      <c r="AF360" s="37"/>
      <c r="AG360" s="37"/>
      <c r="AH360" s="101"/>
      <c r="AI360" s="37"/>
      <c r="AJ360" s="37"/>
      <c r="AK360" s="37"/>
      <c r="AL360" s="37"/>
      <c r="AM360" s="101"/>
      <c r="AN360" s="37"/>
      <c r="AO360" s="37"/>
      <c r="AP360" s="37"/>
      <c r="AQ360" s="37"/>
      <c r="AR360" s="101"/>
      <c r="AS360" s="37"/>
      <c r="AT360" s="37"/>
      <c r="AU360" s="37"/>
      <c r="AV360" s="37"/>
      <c r="AW360" s="27">
        <v>0.05</v>
      </c>
      <c r="AX360" s="68"/>
      <c r="AY360" s="68"/>
      <c r="AZ360" s="68"/>
      <c r="BA360" s="68"/>
      <c r="BB360" s="27">
        <v>0.05</v>
      </c>
      <c r="BC360" s="68"/>
      <c r="BD360" s="68"/>
      <c r="BE360" s="68"/>
      <c r="BF360" s="68"/>
      <c r="BG360" s="27">
        <v>0.05</v>
      </c>
      <c r="BH360" s="68"/>
      <c r="BI360" s="68"/>
      <c r="BJ360" s="68"/>
      <c r="BK360" s="68"/>
      <c r="BL360" s="27">
        <v>0.05</v>
      </c>
      <c r="BM360" s="68"/>
      <c r="BN360" s="68"/>
      <c r="BO360" s="68"/>
      <c r="BP360" s="68"/>
      <c r="BQ360" s="27">
        <v>0.05</v>
      </c>
      <c r="BR360" s="68"/>
      <c r="BS360" s="68"/>
      <c r="BT360" s="68"/>
      <c r="BU360" s="68"/>
      <c r="BV360" s="27">
        <v>0.05</v>
      </c>
      <c r="BW360" s="68"/>
      <c r="BX360" s="68"/>
      <c r="BY360" s="68"/>
      <c r="BZ360" s="68"/>
      <c r="CA360" s="27">
        <v>0.05</v>
      </c>
      <c r="CB360" s="68"/>
      <c r="CC360" s="68"/>
      <c r="CD360" s="68"/>
      <c r="CE360" s="68"/>
      <c r="CF360" s="27">
        <v>0.05</v>
      </c>
      <c r="CG360" s="68"/>
      <c r="CH360" s="68"/>
      <c r="CI360" s="68"/>
      <c r="CJ360" s="68"/>
      <c r="CK360" s="27">
        <v>0.05</v>
      </c>
      <c r="CL360" s="68"/>
      <c r="CM360" s="68"/>
      <c r="CN360" s="68"/>
      <c r="CO360" s="68"/>
      <c r="CP360" s="795">
        <v>0.05</v>
      </c>
      <c r="CQ360" s="68"/>
      <c r="CR360" s="68"/>
      <c r="CS360" s="68"/>
      <c r="CT360" s="68"/>
      <c r="CU360" s="795">
        <v>0.05</v>
      </c>
      <c r="CV360" s="68"/>
      <c r="CW360" s="68"/>
      <c r="CX360" s="68"/>
      <c r="CY360" s="68"/>
      <c r="CZ360" s="795">
        <v>0.05</v>
      </c>
      <c r="DA360" s="68"/>
      <c r="DB360" s="68"/>
      <c r="DC360" s="68"/>
      <c r="DD360" s="68"/>
      <c r="DE360" s="795">
        <v>0.05</v>
      </c>
      <c r="DF360" s="68"/>
      <c r="DG360" s="68"/>
      <c r="DH360" s="68"/>
      <c r="DI360" s="68"/>
      <c r="DJ360" s="795">
        <v>0.05</v>
      </c>
      <c r="DK360" s="68"/>
      <c r="DL360" s="68"/>
      <c r="DM360" s="68"/>
      <c r="DN360" s="68"/>
      <c r="DO360" s="795">
        <v>0.05</v>
      </c>
      <c r="DP360" s="68"/>
      <c r="DQ360" s="68"/>
      <c r="DR360" s="68"/>
      <c r="DS360" s="68"/>
      <c r="DT360" s="795">
        <v>0.05</v>
      </c>
      <c r="DU360" s="795">
        <v>0.05</v>
      </c>
      <c r="DV360" s="795">
        <v>0.05</v>
      </c>
    </row>
    <row r="361" spans="1:126" s="108" customFormat="1">
      <c r="A361" s="37"/>
      <c r="B361" s="180" t="s">
        <v>294</v>
      </c>
      <c r="C361" s="101"/>
      <c r="D361" s="101"/>
      <c r="E361" s="101"/>
      <c r="F361" s="101"/>
      <c r="G361" s="101"/>
      <c r="H361" s="101"/>
      <c r="I361" s="101"/>
      <c r="J361" s="37"/>
      <c r="K361" s="37"/>
      <c r="L361" s="37"/>
      <c r="M361" s="37"/>
      <c r="N361" s="101"/>
      <c r="O361" s="37"/>
      <c r="P361" s="37"/>
      <c r="Q361" s="37"/>
      <c r="R361" s="37"/>
      <c r="S361" s="101"/>
      <c r="T361" s="37"/>
      <c r="U361" s="37"/>
      <c r="V361" s="37"/>
      <c r="W361" s="37"/>
      <c r="X361" s="101"/>
      <c r="Y361" s="37"/>
      <c r="Z361" s="37"/>
      <c r="AA361" s="37"/>
      <c r="AB361" s="37"/>
      <c r="AC361" s="101"/>
      <c r="AD361" s="37"/>
      <c r="AE361" s="37"/>
      <c r="AF361" s="37"/>
      <c r="AG361" s="37"/>
      <c r="AH361" s="101"/>
      <c r="AI361" s="37"/>
      <c r="AJ361" s="37"/>
      <c r="AK361" s="37"/>
      <c r="AL361" s="37"/>
      <c r="AM361" s="101"/>
      <c r="AN361" s="37"/>
      <c r="AO361" s="37"/>
      <c r="AP361" s="37"/>
      <c r="AQ361" s="37"/>
      <c r="AR361" s="101"/>
      <c r="AS361" s="37"/>
      <c r="AT361" s="37"/>
      <c r="AU361" s="37"/>
      <c r="AV361" s="37"/>
      <c r="AW361" s="27"/>
      <c r="AX361" s="68"/>
      <c r="AY361" s="68"/>
      <c r="AZ361" s="68"/>
      <c r="BA361" s="68"/>
      <c r="BB361" s="27"/>
      <c r="BC361" s="68"/>
      <c r="BD361" s="68"/>
      <c r="BE361" s="68"/>
      <c r="BF361" s="68"/>
      <c r="BG361" s="27"/>
      <c r="BH361" s="68"/>
      <c r="BI361" s="68"/>
      <c r="BJ361" s="68"/>
      <c r="BK361" s="68"/>
      <c r="BL361" s="27"/>
      <c r="BM361" s="68"/>
      <c r="BN361" s="68"/>
      <c r="BO361" s="68"/>
      <c r="BP361" s="68"/>
      <c r="BQ361" s="27"/>
      <c r="BR361" s="68"/>
      <c r="BS361" s="68"/>
      <c r="BT361" s="68"/>
      <c r="BU361" s="68"/>
      <c r="BV361" s="27"/>
      <c r="BW361" s="68"/>
      <c r="BX361" s="68"/>
      <c r="BY361" s="68"/>
      <c r="BZ361" s="68"/>
      <c r="CA361" s="27"/>
      <c r="CB361" s="68"/>
      <c r="CC361" s="68"/>
      <c r="CD361" s="68"/>
      <c r="CE361" s="68"/>
      <c r="CF361" s="27"/>
      <c r="CG361" s="68"/>
      <c r="CH361" s="68"/>
      <c r="CI361" s="68"/>
      <c r="CJ361" s="68"/>
      <c r="CK361" s="27"/>
      <c r="CL361" s="68"/>
      <c r="CM361" s="68"/>
      <c r="CN361" s="68"/>
      <c r="CO361" s="68"/>
      <c r="CP361" s="795"/>
      <c r="CQ361" s="68"/>
      <c r="CR361" s="68"/>
      <c r="CS361" s="68"/>
      <c r="CT361" s="68"/>
      <c r="CU361" s="795"/>
      <c r="CV361" s="68"/>
      <c r="CW361" s="68"/>
      <c r="CX361" s="68"/>
      <c r="CY361" s="68"/>
      <c r="CZ361" s="795"/>
      <c r="DA361" s="68"/>
      <c r="DB361" s="68"/>
      <c r="DC361" s="68"/>
      <c r="DD361" s="68"/>
      <c r="DE361" s="795"/>
      <c r="DF361" s="68"/>
      <c r="DG361" s="68"/>
      <c r="DH361" s="68"/>
      <c r="DI361" s="68"/>
      <c r="DJ361" s="795"/>
      <c r="DK361" s="68"/>
      <c r="DL361" s="68"/>
      <c r="DM361" s="68"/>
      <c r="DN361" s="68"/>
      <c r="DO361" s="795"/>
      <c r="DP361" s="68"/>
      <c r="DQ361" s="68"/>
      <c r="DR361" s="68"/>
      <c r="DS361" s="68"/>
      <c r="DT361" s="795"/>
      <c r="DU361" s="795"/>
      <c r="DV361" s="795"/>
    </row>
    <row r="362" spans="1:126" s="108" customFormat="1">
      <c r="A362" s="37"/>
      <c r="B362" s="180" t="s">
        <v>295</v>
      </c>
      <c r="C362" s="101"/>
      <c r="D362" s="101"/>
      <c r="E362" s="101"/>
      <c r="F362" s="101"/>
      <c r="G362" s="101"/>
      <c r="H362" s="101"/>
      <c r="I362" s="101"/>
      <c r="J362" s="37"/>
      <c r="K362" s="37"/>
      <c r="L362" s="37"/>
      <c r="M362" s="37"/>
      <c r="N362" s="101"/>
      <c r="O362" s="37"/>
      <c r="P362" s="37"/>
      <c r="Q362" s="37"/>
      <c r="R362" s="37"/>
      <c r="S362" s="101"/>
      <c r="T362" s="37"/>
      <c r="U362" s="37"/>
      <c r="V362" s="37"/>
      <c r="W362" s="37"/>
      <c r="X362" s="101"/>
      <c r="Y362" s="37"/>
      <c r="Z362" s="37"/>
      <c r="AA362" s="37"/>
      <c r="AB362" s="37"/>
      <c r="AC362" s="101"/>
      <c r="AD362" s="37"/>
      <c r="AE362" s="37"/>
      <c r="AF362" s="37"/>
      <c r="AG362" s="37"/>
      <c r="AH362" s="101"/>
      <c r="AI362" s="37"/>
      <c r="AJ362" s="37"/>
      <c r="AK362" s="37"/>
      <c r="AL362" s="37"/>
      <c r="AM362" s="101"/>
      <c r="AN362" s="37"/>
      <c r="AO362" s="37"/>
      <c r="AP362" s="37"/>
      <c r="AQ362" s="37"/>
      <c r="AR362" s="101"/>
      <c r="AS362" s="37"/>
      <c r="AT362" s="37"/>
      <c r="AU362" s="37"/>
      <c r="AV362" s="37"/>
      <c r="AW362" s="27">
        <v>0.2</v>
      </c>
      <c r="AX362" s="68"/>
      <c r="AY362" s="68"/>
      <c r="AZ362" s="68"/>
      <c r="BA362" s="68"/>
      <c r="BB362" s="27">
        <v>0.2</v>
      </c>
      <c r="BC362" s="68"/>
      <c r="BD362" s="68"/>
      <c r="BE362" s="68"/>
      <c r="BF362" s="68"/>
      <c r="BG362" s="27">
        <v>0.2</v>
      </c>
      <c r="BH362" s="68"/>
      <c r="BI362" s="68"/>
      <c r="BJ362" s="68"/>
      <c r="BK362" s="68"/>
      <c r="BL362" s="27">
        <v>0.2</v>
      </c>
      <c r="BM362" s="68"/>
      <c r="BN362" s="68"/>
      <c r="BO362" s="68"/>
      <c r="BP362" s="68"/>
      <c r="BQ362" s="27">
        <v>0.2</v>
      </c>
      <c r="BR362" s="68"/>
      <c r="BS362" s="68"/>
      <c r="BT362" s="68"/>
      <c r="BU362" s="68"/>
      <c r="BV362" s="27">
        <v>0.2</v>
      </c>
      <c r="BW362" s="68"/>
      <c r="BX362" s="68"/>
      <c r="BY362" s="68"/>
      <c r="BZ362" s="68"/>
      <c r="CA362" s="27">
        <v>0.2</v>
      </c>
      <c r="CB362" s="68"/>
      <c r="CC362" s="68"/>
      <c r="CD362" s="68"/>
      <c r="CE362" s="68"/>
      <c r="CF362" s="27">
        <v>0.2</v>
      </c>
      <c r="CG362" s="68"/>
      <c r="CH362" s="68"/>
      <c r="CI362" s="68"/>
      <c r="CJ362" s="68"/>
      <c r="CK362" s="27">
        <v>0.2</v>
      </c>
      <c r="CL362" s="68"/>
      <c r="CM362" s="68"/>
      <c r="CN362" s="68"/>
      <c r="CO362" s="68"/>
      <c r="CP362" s="795">
        <v>0.2</v>
      </c>
      <c r="CQ362" s="68"/>
      <c r="CR362" s="68"/>
      <c r="CS362" s="68"/>
      <c r="CT362" s="68"/>
      <c r="CU362" s="795">
        <v>0.2</v>
      </c>
      <c r="CV362" s="68"/>
      <c r="CW362" s="68"/>
      <c r="CX362" s="68"/>
      <c r="CY362" s="68"/>
      <c r="CZ362" s="795">
        <v>0.2</v>
      </c>
      <c r="DA362" s="68"/>
      <c r="DB362" s="68"/>
      <c r="DC362" s="68"/>
      <c r="DD362" s="68"/>
      <c r="DE362" s="795">
        <v>0.2</v>
      </c>
      <c r="DF362" s="68"/>
      <c r="DG362" s="68"/>
      <c r="DH362" s="68"/>
      <c r="DI362" s="68"/>
      <c r="DJ362" s="795">
        <v>0.2</v>
      </c>
      <c r="DK362" s="68"/>
      <c r="DL362" s="68"/>
      <c r="DM362" s="68"/>
      <c r="DN362" s="68"/>
      <c r="DO362" s="795">
        <v>0.2</v>
      </c>
      <c r="DP362" s="68"/>
      <c r="DQ362" s="68"/>
      <c r="DR362" s="68"/>
      <c r="DS362" s="68"/>
      <c r="DT362" s="795">
        <v>0.2</v>
      </c>
      <c r="DU362" s="795">
        <v>0.2</v>
      </c>
      <c r="DV362" s="795">
        <v>0.2</v>
      </c>
    </row>
    <row r="363" spans="1:126" s="108" customFormat="1">
      <c r="A363" s="37"/>
      <c r="B363" s="180" t="s">
        <v>296</v>
      </c>
      <c r="C363" s="101"/>
      <c r="D363" s="101"/>
      <c r="E363" s="101"/>
      <c r="F363" s="101"/>
      <c r="G363" s="101"/>
      <c r="H363" s="101"/>
      <c r="I363" s="101"/>
      <c r="J363" s="37"/>
      <c r="K363" s="37"/>
      <c r="L363" s="37"/>
      <c r="M363" s="37"/>
      <c r="N363" s="101"/>
      <c r="O363" s="37"/>
      <c r="P363" s="37"/>
      <c r="Q363" s="37"/>
      <c r="R363" s="37"/>
      <c r="S363" s="101"/>
      <c r="T363" s="37"/>
      <c r="U363" s="37"/>
      <c r="V363" s="37"/>
      <c r="W363" s="37"/>
      <c r="X363" s="101"/>
      <c r="Y363" s="37"/>
      <c r="Z363" s="37"/>
      <c r="AA363" s="37"/>
      <c r="AB363" s="37"/>
      <c r="AC363" s="101"/>
      <c r="AD363" s="37"/>
      <c r="AE363" s="37"/>
      <c r="AF363" s="37"/>
      <c r="AG363" s="37"/>
      <c r="AH363" s="101"/>
      <c r="AI363" s="37"/>
      <c r="AJ363" s="37"/>
      <c r="AK363" s="37"/>
      <c r="AL363" s="37"/>
      <c r="AM363" s="101"/>
      <c r="AN363" s="37"/>
      <c r="AO363" s="37"/>
      <c r="AP363" s="37"/>
      <c r="AQ363" s="37"/>
      <c r="AR363" s="101"/>
      <c r="AS363" s="37"/>
      <c r="AT363" s="37"/>
      <c r="AU363" s="37"/>
      <c r="AV363" s="37"/>
      <c r="AW363" s="27"/>
      <c r="AX363" s="68"/>
      <c r="AY363" s="68"/>
      <c r="AZ363" s="68"/>
      <c r="BA363" s="68"/>
      <c r="BB363" s="27"/>
      <c r="BC363" s="68"/>
      <c r="BD363" s="68"/>
      <c r="BE363" s="68"/>
      <c r="BF363" s="68"/>
      <c r="BG363" s="27"/>
      <c r="BH363" s="68"/>
      <c r="BI363" s="68"/>
      <c r="BJ363" s="68"/>
      <c r="BK363" s="68"/>
      <c r="BL363" s="27"/>
      <c r="BM363" s="68"/>
      <c r="BN363" s="68"/>
      <c r="BO363" s="68"/>
      <c r="BP363" s="68"/>
      <c r="BQ363" s="27"/>
      <c r="BR363" s="68"/>
      <c r="BS363" s="68"/>
      <c r="BT363" s="68"/>
      <c r="BU363" s="68"/>
      <c r="BV363" s="27"/>
      <c r="BW363" s="68"/>
      <c r="BX363" s="68"/>
      <c r="BY363" s="68"/>
      <c r="BZ363" s="68"/>
      <c r="CA363" s="27"/>
      <c r="CB363" s="68"/>
      <c r="CC363" s="68"/>
      <c r="CD363" s="68"/>
      <c r="CE363" s="68"/>
      <c r="CF363" s="27"/>
      <c r="CG363" s="68"/>
      <c r="CH363" s="68"/>
      <c r="CI363" s="68"/>
      <c r="CJ363" s="68"/>
      <c r="CK363" s="27"/>
      <c r="CL363" s="68"/>
      <c r="CM363" s="68"/>
      <c r="CN363" s="68"/>
      <c r="CO363" s="68"/>
      <c r="CP363" s="795"/>
      <c r="CQ363" s="68"/>
      <c r="CR363" s="68"/>
      <c r="CS363" s="68"/>
      <c r="CT363" s="68"/>
      <c r="CU363" s="795"/>
      <c r="CV363" s="68"/>
      <c r="CW363" s="68"/>
      <c r="CX363" s="68"/>
      <c r="CY363" s="68"/>
      <c r="CZ363" s="795"/>
      <c r="DA363" s="68"/>
      <c r="DB363" s="68"/>
      <c r="DC363" s="68"/>
      <c r="DD363" s="68"/>
      <c r="DE363" s="795"/>
      <c r="DF363" s="68"/>
      <c r="DG363" s="68"/>
      <c r="DH363" s="68"/>
      <c r="DI363" s="68"/>
      <c r="DJ363" s="795"/>
      <c r="DK363" s="68"/>
      <c r="DL363" s="68"/>
      <c r="DM363" s="68"/>
      <c r="DN363" s="68"/>
      <c r="DO363" s="795"/>
      <c r="DP363" s="68"/>
      <c r="DQ363" s="68"/>
      <c r="DR363" s="68"/>
      <c r="DS363" s="68"/>
      <c r="DT363" s="795"/>
      <c r="DU363" s="795"/>
      <c r="DV363" s="795"/>
    </row>
    <row r="364" spans="1:126" s="108" customFormat="1">
      <c r="A364" s="37"/>
      <c r="B364" s="180" t="s">
        <v>297</v>
      </c>
      <c r="C364" s="101"/>
      <c r="D364" s="101"/>
      <c r="E364" s="101"/>
      <c r="F364" s="101"/>
      <c r="G364" s="101"/>
      <c r="H364" s="101"/>
      <c r="I364" s="101"/>
      <c r="J364" s="37"/>
      <c r="K364" s="37"/>
      <c r="L364" s="37"/>
      <c r="M364" s="37"/>
      <c r="N364" s="101"/>
      <c r="O364" s="37"/>
      <c r="P364" s="37"/>
      <c r="Q364" s="37"/>
      <c r="R364" s="37"/>
      <c r="S364" s="101"/>
      <c r="T364" s="37"/>
      <c r="U364" s="37"/>
      <c r="V364" s="37"/>
      <c r="W364" s="37"/>
      <c r="X364" s="101"/>
      <c r="Y364" s="37"/>
      <c r="Z364" s="37"/>
      <c r="AA364" s="37"/>
      <c r="AB364" s="37"/>
      <c r="AC364" s="101"/>
      <c r="AD364" s="37"/>
      <c r="AE364" s="37"/>
      <c r="AF364" s="37"/>
      <c r="AG364" s="37"/>
      <c r="AH364" s="101"/>
      <c r="AI364" s="37"/>
      <c r="AJ364" s="37"/>
      <c r="AK364" s="37"/>
      <c r="AL364" s="37"/>
      <c r="AM364" s="101"/>
      <c r="AN364" s="37"/>
      <c r="AO364" s="37"/>
      <c r="AP364" s="37"/>
      <c r="AQ364" s="37"/>
      <c r="AR364" s="101"/>
      <c r="AS364" s="37"/>
      <c r="AT364" s="37"/>
      <c r="AU364" s="37"/>
      <c r="AV364" s="37"/>
      <c r="AW364" s="27"/>
      <c r="AX364" s="68"/>
      <c r="AY364" s="68"/>
      <c r="AZ364" s="68"/>
      <c r="BA364" s="68"/>
      <c r="BB364" s="27"/>
      <c r="BC364" s="68"/>
      <c r="BD364" s="68"/>
      <c r="BE364" s="68"/>
      <c r="BF364" s="68"/>
      <c r="BG364" s="27"/>
      <c r="BH364" s="68"/>
      <c r="BI364" s="68"/>
      <c r="BJ364" s="68"/>
      <c r="BK364" s="68"/>
      <c r="BL364" s="27"/>
      <c r="BM364" s="68"/>
      <c r="BN364" s="68"/>
      <c r="BO364" s="68"/>
      <c r="BP364" s="68"/>
      <c r="BQ364" s="27"/>
      <c r="BR364" s="68"/>
      <c r="BS364" s="68"/>
      <c r="BT364" s="68"/>
      <c r="BU364" s="68"/>
      <c r="BV364" s="27"/>
      <c r="BW364" s="68"/>
      <c r="BX364" s="68"/>
      <c r="BY364" s="68"/>
      <c r="BZ364" s="68"/>
      <c r="CA364" s="27"/>
      <c r="CB364" s="68"/>
      <c r="CC364" s="68"/>
      <c r="CD364" s="68"/>
      <c r="CE364" s="68"/>
      <c r="CF364" s="27"/>
      <c r="CG364" s="68"/>
      <c r="CH364" s="68"/>
      <c r="CI364" s="68"/>
      <c r="CJ364" s="68"/>
      <c r="CK364" s="27"/>
      <c r="CL364" s="68"/>
      <c r="CM364" s="68"/>
      <c r="CN364" s="68"/>
      <c r="CO364" s="68"/>
      <c r="CP364" s="795"/>
      <c r="CQ364" s="68"/>
      <c r="CR364" s="68"/>
      <c r="CS364" s="68"/>
      <c r="CT364" s="68"/>
      <c r="CU364" s="795"/>
      <c r="CV364" s="68"/>
      <c r="CW364" s="68"/>
      <c r="CX364" s="68"/>
      <c r="CY364" s="68"/>
      <c r="CZ364" s="795"/>
      <c r="DA364" s="68"/>
      <c r="DB364" s="68"/>
      <c r="DC364" s="68"/>
      <c r="DD364" s="68"/>
      <c r="DE364" s="795"/>
      <c r="DF364" s="68"/>
      <c r="DG364" s="68"/>
      <c r="DH364" s="68"/>
      <c r="DI364" s="68"/>
      <c r="DJ364" s="795"/>
      <c r="DK364" s="68"/>
      <c r="DL364" s="68"/>
      <c r="DM364" s="68"/>
      <c r="DN364" s="68"/>
      <c r="DO364" s="795"/>
      <c r="DP364" s="68"/>
      <c r="DQ364" s="68"/>
      <c r="DR364" s="68"/>
      <c r="DS364" s="68"/>
      <c r="DT364" s="795"/>
      <c r="DU364" s="795"/>
      <c r="DV364" s="795"/>
    </row>
    <row r="365" spans="1:126" s="108" customFormat="1">
      <c r="A365" s="37"/>
      <c r="B365" s="180" t="s">
        <v>298</v>
      </c>
      <c r="C365" s="101"/>
      <c r="D365" s="101"/>
      <c r="E365" s="101"/>
      <c r="F365" s="101"/>
      <c r="G365" s="101"/>
      <c r="H365" s="101"/>
      <c r="I365" s="101"/>
      <c r="J365" s="37"/>
      <c r="K365" s="37"/>
      <c r="L365" s="37"/>
      <c r="M365" s="37"/>
      <c r="N365" s="101"/>
      <c r="O365" s="37"/>
      <c r="P365" s="37"/>
      <c r="Q365" s="37"/>
      <c r="R365" s="37"/>
      <c r="S365" s="101"/>
      <c r="T365" s="37"/>
      <c r="U365" s="37"/>
      <c r="V365" s="37"/>
      <c r="W365" s="37"/>
      <c r="X365" s="101"/>
      <c r="Y365" s="37"/>
      <c r="Z365" s="37"/>
      <c r="AA365" s="37"/>
      <c r="AB365" s="37"/>
      <c r="AC365" s="101"/>
      <c r="AD365" s="37"/>
      <c r="AE365" s="37"/>
      <c r="AF365" s="37"/>
      <c r="AG365" s="37"/>
      <c r="AH365" s="101"/>
      <c r="AI365" s="37"/>
      <c r="AJ365" s="37"/>
      <c r="AK365" s="37"/>
      <c r="AL365" s="37"/>
      <c r="AM365" s="101"/>
      <c r="AN365" s="37"/>
      <c r="AO365" s="37"/>
      <c r="AP365" s="37"/>
      <c r="AQ365" s="37"/>
      <c r="AR365" s="101"/>
      <c r="AS365" s="37"/>
      <c r="AT365" s="37"/>
      <c r="AU365" s="37"/>
      <c r="AV365" s="37"/>
      <c r="AW365" s="27"/>
      <c r="AX365" s="68"/>
      <c r="AY365" s="68"/>
      <c r="AZ365" s="68"/>
      <c r="BA365" s="68"/>
      <c r="BB365" s="27"/>
      <c r="BC365" s="68"/>
      <c r="BD365" s="68"/>
      <c r="BE365" s="68"/>
      <c r="BF365" s="68"/>
      <c r="BG365" s="27"/>
      <c r="BH365" s="68"/>
      <c r="BI365" s="68"/>
      <c r="BJ365" s="68"/>
      <c r="BK365" s="68"/>
      <c r="BL365" s="27"/>
      <c r="BM365" s="68"/>
      <c r="BN365" s="68"/>
      <c r="BO365" s="68"/>
      <c r="BP365" s="68"/>
      <c r="BQ365" s="27"/>
      <c r="BR365" s="68"/>
      <c r="BS365" s="68"/>
      <c r="BT365" s="68"/>
      <c r="BU365" s="68"/>
      <c r="BV365" s="27"/>
      <c r="BW365" s="68"/>
      <c r="BX365" s="68"/>
      <c r="BY365" s="68"/>
      <c r="BZ365" s="68"/>
      <c r="CA365" s="27"/>
      <c r="CB365" s="68"/>
      <c r="CC365" s="68"/>
      <c r="CD365" s="68"/>
      <c r="CE365" s="68"/>
      <c r="CF365" s="27"/>
      <c r="CG365" s="68"/>
      <c r="CH365" s="68"/>
      <c r="CI365" s="68"/>
      <c r="CJ365" s="68"/>
      <c r="CK365" s="27"/>
      <c r="CL365" s="68"/>
      <c r="CM365" s="68"/>
      <c r="CN365" s="68"/>
      <c r="CO365" s="68"/>
      <c r="CP365" s="795"/>
      <c r="CQ365" s="68"/>
      <c r="CR365" s="68"/>
      <c r="CS365" s="68"/>
      <c r="CT365" s="68"/>
      <c r="CU365" s="795"/>
      <c r="CV365" s="68"/>
      <c r="CW365" s="68"/>
      <c r="CX365" s="68"/>
      <c r="CY365" s="68"/>
      <c r="CZ365" s="795"/>
      <c r="DA365" s="68"/>
      <c r="DB365" s="68"/>
      <c r="DC365" s="68"/>
      <c r="DD365" s="68"/>
      <c r="DE365" s="795"/>
      <c r="DF365" s="68"/>
      <c r="DG365" s="68"/>
      <c r="DH365" s="68"/>
      <c r="DI365" s="68"/>
      <c r="DJ365" s="795"/>
      <c r="DK365" s="68"/>
      <c r="DL365" s="68"/>
      <c r="DM365" s="68"/>
      <c r="DN365" s="68"/>
      <c r="DO365" s="795"/>
      <c r="DP365" s="68"/>
      <c r="DQ365" s="68"/>
      <c r="DR365" s="68"/>
      <c r="DS365" s="68"/>
      <c r="DT365" s="795"/>
      <c r="DU365" s="795"/>
      <c r="DV365" s="795"/>
    </row>
    <row r="366" spans="1:126" s="108" customFormat="1">
      <c r="A366" s="37"/>
      <c r="B366" s="180" t="s">
        <v>299</v>
      </c>
      <c r="C366" s="101"/>
      <c r="D366" s="101"/>
      <c r="E366" s="101"/>
      <c r="F366" s="101"/>
      <c r="G366" s="101"/>
      <c r="H366" s="101"/>
      <c r="I366" s="101"/>
      <c r="J366" s="37"/>
      <c r="K366" s="37"/>
      <c r="L366" s="37"/>
      <c r="M366" s="37"/>
      <c r="N366" s="101"/>
      <c r="O366" s="37"/>
      <c r="P366" s="37"/>
      <c r="Q366" s="37"/>
      <c r="R366" s="37"/>
      <c r="S366" s="101"/>
      <c r="T366" s="37"/>
      <c r="U366" s="37"/>
      <c r="V366" s="37"/>
      <c r="W366" s="37"/>
      <c r="X366" s="101"/>
      <c r="Y366" s="37"/>
      <c r="Z366" s="37"/>
      <c r="AA366" s="37"/>
      <c r="AB366" s="37"/>
      <c r="AC366" s="101"/>
      <c r="AD366" s="37"/>
      <c r="AE366" s="37"/>
      <c r="AF366" s="37"/>
      <c r="AG366" s="37"/>
      <c r="AH366" s="101"/>
      <c r="AI366" s="37"/>
      <c r="AJ366" s="37"/>
      <c r="AK366" s="37"/>
      <c r="AL366" s="37"/>
      <c r="AM366" s="101"/>
      <c r="AN366" s="37"/>
      <c r="AO366" s="37"/>
      <c r="AP366" s="37"/>
      <c r="AQ366" s="37"/>
      <c r="AR366" s="101"/>
      <c r="AS366" s="37"/>
      <c r="AT366" s="37"/>
      <c r="AU366" s="37"/>
      <c r="AV366" s="37"/>
      <c r="AW366" s="27">
        <v>0.1</v>
      </c>
      <c r="AX366" s="68"/>
      <c r="AY366" s="68"/>
      <c r="AZ366" s="68"/>
      <c r="BA366" s="68"/>
      <c r="BB366" s="27">
        <v>0.1</v>
      </c>
      <c r="BC366" s="68"/>
      <c r="BD366" s="68"/>
      <c r="BE366" s="68"/>
      <c r="BF366" s="68"/>
      <c r="BG366" s="27">
        <v>0.1</v>
      </c>
      <c r="BH366" s="68"/>
      <c r="BI366" s="68"/>
      <c r="BJ366" s="68"/>
      <c r="BK366" s="68"/>
      <c r="BL366" s="27">
        <v>0.1</v>
      </c>
      <c r="BM366" s="68"/>
      <c r="BN366" s="68"/>
      <c r="BO366" s="68"/>
      <c r="BP366" s="68"/>
      <c r="BQ366" s="27">
        <v>0.1</v>
      </c>
      <c r="BR366" s="68"/>
      <c r="BS366" s="68"/>
      <c r="BT366" s="68"/>
      <c r="BU366" s="68"/>
      <c r="BV366" s="27">
        <v>0.1</v>
      </c>
      <c r="BW366" s="68"/>
      <c r="BX366" s="68"/>
      <c r="BY366" s="68"/>
      <c r="BZ366" s="68"/>
      <c r="CA366" s="27">
        <v>0.1</v>
      </c>
      <c r="CB366" s="68"/>
      <c r="CC366" s="68"/>
      <c r="CD366" s="68"/>
      <c r="CE366" s="68"/>
      <c r="CF366" s="27">
        <v>0.1</v>
      </c>
      <c r="CG366" s="68"/>
      <c r="CH366" s="68"/>
      <c r="CI366" s="68"/>
      <c r="CJ366" s="68"/>
      <c r="CK366" s="27">
        <v>0.1</v>
      </c>
      <c r="CL366" s="68"/>
      <c r="CM366" s="68"/>
      <c r="CN366" s="68"/>
      <c r="CO366" s="68"/>
      <c r="CP366" s="795">
        <v>0.1</v>
      </c>
      <c r="CQ366" s="68"/>
      <c r="CR366" s="68"/>
      <c r="CS366" s="68"/>
      <c r="CT366" s="68"/>
      <c r="CU366" s="795">
        <v>0.1</v>
      </c>
      <c r="CV366" s="68"/>
      <c r="CW366" s="68"/>
      <c r="CX366" s="68"/>
      <c r="CY366" s="68"/>
      <c r="CZ366" s="795">
        <v>0.1</v>
      </c>
      <c r="DA366" s="68"/>
      <c r="DB366" s="68"/>
      <c r="DC366" s="68"/>
      <c r="DD366" s="68"/>
      <c r="DE366" s="795">
        <v>0.1</v>
      </c>
      <c r="DF366" s="68"/>
      <c r="DG366" s="68"/>
      <c r="DH366" s="68"/>
      <c r="DI366" s="68"/>
      <c r="DJ366" s="795">
        <v>0.1</v>
      </c>
      <c r="DK366" s="68"/>
      <c r="DL366" s="68"/>
      <c r="DM366" s="68"/>
      <c r="DN366" s="68"/>
      <c r="DO366" s="795">
        <v>0.1</v>
      </c>
      <c r="DP366" s="68"/>
      <c r="DQ366" s="68"/>
      <c r="DR366" s="68"/>
      <c r="DS366" s="68"/>
      <c r="DT366" s="795">
        <v>0.1</v>
      </c>
      <c r="DU366" s="795">
        <v>0.1</v>
      </c>
      <c r="DV366" s="795">
        <v>0.1</v>
      </c>
    </row>
    <row r="367" spans="1:126" s="108" customFormat="1">
      <c r="A367" s="37"/>
      <c r="B367" s="180" t="s">
        <v>300</v>
      </c>
      <c r="C367" s="101"/>
      <c r="D367" s="101"/>
      <c r="E367" s="101"/>
      <c r="F367" s="101"/>
      <c r="G367" s="101"/>
      <c r="H367" s="101"/>
      <c r="I367" s="101"/>
      <c r="J367" s="37"/>
      <c r="K367" s="37"/>
      <c r="L367" s="37"/>
      <c r="M367" s="37"/>
      <c r="N367" s="101"/>
      <c r="O367" s="37"/>
      <c r="P367" s="37"/>
      <c r="Q367" s="37"/>
      <c r="R367" s="37"/>
      <c r="S367" s="101"/>
      <c r="T367" s="37"/>
      <c r="U367" s="37"/>
      <c r="V367" s="37"/>
      <c r="W367" s="37"/>
      <c r="X367" s="101"/>
      <c r="Y367" s="37"/>
      <c r="Z367" s="37"/>
      <c r="AA367" s="37"/>
      <c r="AB367" s="37"/>
      <c r="AC367" s="101"/>
      <c r="AD367" s="37"/>
      <c r="AE367" s="37"/>
      <c r="AF367" s="37"/>
      <c r="AG367" s="37"/>
      <c r="AH367" s="101"/>
      <c r="AI367" s="37"/>
      <c r="AJ367" s="37"/>
      <c r="AK367" s="37"/>
      <c r="AL367" s="37"/>
      <c r="AM367" s="101"/>
      <c r="AN367" s="37"/>
      <c r="AO367" s="37"/>
      <c r="AP367" s="37"/>
      <c r="AQ367" s="37"/>
      <c r="AR367" s="101"/>
      <c r="AS367" s="37"/>
      <c r="AT367" s="37"/>
      <c r="AU367" s="37"/>
      <c r="AV367" s="37"/>
      <c r="AW367" s="27">
        <f>1-SUM(AW351:AW366)</f>
        <v>0.38</v>
      </c>
      <c r="AX367" s="68"/>
      <c r="AY367" s="68"/>
      <c r="AZ367" s="68"/>
      <c r="BA367" s="68"/>
      <c r="BB367" s="27">
        <f>1-SUM(BB351:BB366)</f>
        <v>0.38</v>
      </c>
      <c r="BC367" s="68"/>
      <c r="BD367" s="68"/>
      <c r="BE367" s="68"/>
      <c r="BF367" s="68"/>
      <c r="BG367" s="27">
        <f>1-SUM(BG351:BG366)</f>
        <v>0.38</v>
      </c>
      <c r="BH367" s="68"/>
      <c r="BI367" s="68"/>
      <c r="BJ367" s="68"/>
      <c r="BK367" s="68"/>
      <c r="BL367" s="27">
        <f>1-SUM(BL351:BL366)</f>
        <v>0.38</v>
      </c>
      <c r="BM367" s="68"/>
      <c r="BN367" s="68"/>
      <c r="BO367" s="68"/>
      <c r="BP367" s="68"/>
      <c r="BQ367" s="27">
        <f>1-SUM(BQ351:BQ366)</f>
        <v>0.38</v>
      </c>
      <c r="BR367" s="68"/>
      <c r="BS367" s="68"/>
      <c r="BT367" s="68"/>
      <c r="BU367" s="68"/>
      <c r="BV367" s="27">
        <f>1-SUM(BV351:BV366)</f>
        <v>0.38</v>
      </c>
      <c r="BW367" s="68"/>
      <c r="BX367" s="68"/>
      <c r="BY367" s="68"/>
      <c r="BZ367" s="68"/>
      <c r="CA367" s="27">
        <f>1-SUM(CA351:CA366)</f>
        <v>0.38</v>
      </c>
      <c r="CB367" s="68"/>
      <c r="CC367" s="68"/>
      <c r="CD367" s="68"/>
      <c r="CE367" s="68"/>
      <c r="CF367" s="27">
        <f>1-SUM(CF351:CF366)</f>
        <v>0.38</v>
      </c>
      <c r="CG367" s="68"/>
      <c r="CH367" s="68"/>
      <c r="CI367" s="68"/>
      <c r="CJ367" s="68"/>
      <c r="CK367" s="27">
        <f>1-SUM(CK351:CK366)</f>
        <v>0.38</v>
      </c>
      <c r="CL367" s="68"/>
      <c r="CM367" s="68"/>
      <c r="CN367" s="68"/>
      <c r="CO367" s="68"/>
      <c r="CP367" s="795">
        <f>1-SUM(CP351:CP366)</f>
        <v>0.38</v>
      </c>
      <c r="CQ367" s="68"/>
      <c r="CR367" s="68"/>
      <c r="CS367" s="68"/>
      <c r="CT367" s="68"/>
      <c r="CU367" s="795">
        <f>1-SUM(CU351:CU366)</f>
        <v>0.38</v>
      </c>
      <c r="CV367" s="68"/>
      <c r="CW367" s="68"/>
      <c r="CX367" s="68"/>
      <c r="CY367" s="68"/>
      <c r="CZ367" s="795">
        <f>1-SUM(CZ351:CZ366)</f>
        <v>0.38</v>
      </c>
      <c r="DA367" s="68"/>
      <c r="DB367" s="68"/>
      <c r="DC367" s="68"/>
      <c r="DD367" s="68"/>
      <c r="DE367" s="795">
        <f>1-SUM(DE351:DE366)</f>
        <v>0.38</v>
      </c>
      <c r="DF367" s="68"/>
      <c r="DG367" s="68"/>
      <c r="DH367" s="68"/>
      <c r="DI367" s="68"/>
      <c r="DJ367" s="795">
        <f>1-SUM(DJ351:DJ366)</f>
        <v>0.38</v>
      </c>
      <c r="DK367" s="68"/>
      <c r="DL367" s="68"/>
      <c r="DM367" s="68"/>
      <c r="DN367" s="68"/>
      <c r="DO367" s="795">
        <f>1-SUM(DO351:DO366)</f>
        <v>0.38</v>
      </c>
      <c r="DP367" s="68"/>
      <c r="DQ367" s="68"/>
      <c r="DR367" s="68"/>
      <c r="DS367" s="68"/>
      <c r="DT367" s="795">
        <f>1-SUM(DT351:DT366)</f>
        <v>0.38</v>
      </c>
      <c r="DU367" s="795">
        <f>1-SUM(DU351:DU366)</f>
        <v>0.38</v>
      </c>
      <c r="DV367" s="795">
        <f>1-SUM(DV351:DV366)</f>
        <v>0.38</v>
      </c>
    </row>
    <row r="368" spans="1:126" s="108" customFormat="1">
      <c r="A368" s="37"/>
      <c r="B368" s="180"/>
      <c r="C368" s="101"/>
      <c r="D368" s="101"/>
      <c r="E368" s="101"/>
      <c r="F368" s="101"/>
      <c r="G368" s="101"/>
      <c r="H368" s="101"/>
      <c r="I368" s="101"/>
      <c r="J368" s="37"/>
      <c r="K368" s="37"/>
      <c r="L368" s="37"/>
      <c r="M368" s="37"/>
      <c r="N368" s="101"/>
      <c r="O368" s="37"/>
      <c r="P368" s="37"/>
      <c r="Q368" s="37"/>
      <c r="R368" s="37"/>
      <c r="S368" s="101"/>
      <c r="T368" s="37"/>
      <c r="U368" s="37"/>
      <c r="V368" s="37"/>
      <c r="W368" s="37"/>
      <c r="X368" s="101"/>
      <c r="Y368" s="37"/>
      <c r="Z368" s="37"/>
      <c r="AA368" s="37"/>
      <c r="AB368" s="37"/>
      <c r="AC368" s="101"/>
      <c r="AD368" s="37"/>
      <c r="AE368" s="37"/>
      <c r="AF368" s="37"/>
      <c r="AG368" s="37"/>
      <c r="AH368" s="101"/>
      <c r="AI368" s="37"/>
      <c r="AJ368" s="37"/>
      <c r="AK368" s="37"/>
      <c r="AL368" s="37"/>
      <c r="AM368" s="101"/>
      <c r="AN368" s="37"/>
      <c r="AO368" s="37"/>
      <c r="AP368" s="37"/>
      <c r="AQ368" s="37"/>
      <c r="AR368" s="101"/>
      <c r="AS368" s="37"/>
      <c r="AT368" s="37"/>
      <c r="AU368" s="37"/>
      <c r="AV368" s="37"/>
      <c r="AW368" s="27"/>
      <c r="AX368" s="68"/>
      <c r="AY368" s="68"/>
      <c r="AZ368" s="68"/>
      <c r="BA368" s="68"/>
      <c r="BB368" s="27"/>
      <c r="BC368" s="68"/>
      <c r="BD368" s="68"/>
      <c r="BE368" s="68"/>
      <c r="BF368" s="68"/>
      <c r="BG368" s="27"/>
      <c r="BH368" s="68"/>
      <c r="BI368" s="68"/>
      <c r="BJ368" s="68"/>
      <c r="BK368" s="68"/>
      <c r="BL368" s="27"/>
      <c r="BM368" s="68"/>
      <c r="BN368" s="68"/>
      <c r="BO368" s="68"/>
      <c r="BP368" s="68"/>
      <c r="BQ368" s="27"/>
      <c r="BR368" s="68"/>
      <c r="BS368" s="68"/>
      <c r="BT368" s="68"/>
      <c r="BU368" s="68"/>
      <c r="BV368" s="27"/>
      <c r="BW368" s="68"/>
      <c r="BX368" s="68"/>
      <c r="BY368" s="68"/>
      <c r="BZ368" s="68"/>
      <c r="CA368" s="27"/>
      <c r="CB368" s="68"/>
      <c r="CC368" s="68"/>
      <c r="CD368" s="68"/>
      <c r="CE368" s="68"/>
      <c r="CF368" s="27"/>
      <c r="CG368" s="68"/>
      <c r="CH368" s="68"/>
      <c r="CI368" s="68"/>
      <c r="CJ368" s="68"/>
      <c r="CK368" s="27"/>
      <c r="CL368" s="68"/>
      <c r="CM368" s="68"/>
      <c r="CN368" s="68"/>
      <c r="CO368" s="68"/>
      <c r="CP368" s="795"/>
      <c r="CQ368" s="68"/>
      <c r="CR368" s="68"/>
      <c r="CS368" s="68"/>
      <c r="CT368" s="68"/>
      <c r="CU368" s="795"/>
      <c r="CV368" s="68"/>
      <c r="CW368" s="68"/>
      <c r="CX368" s="68"/>
      <c r="CY368" s="68"/>
      <c r="CZ368" s="795"/>
      <c r="DA368" s="68"/>
      <c r="DB368" s="68"/>
      <c r="DC368" s="68"/>
      <c r="DD368" s="68"/>
      <c r="DE368" s="795"/>
      <c r="DF368" s="68"/>
      <c r="DG368" s="68"/>
      <c r="DH368" s="68"/>
      <c r="DI368" s="68"/>
      <c r="DJ368" s="795"/>
      <c r="DK368" s="68"/>
      <c r="DL368" s="68"/>
      <c r="DM368" s="68"/>
      <c r="DN368" s="68"/>
      <c r="DO368" s="795"/>
      <c r="DP368" s="68"/>
      <c r="DQ368" s="68"/>
      <c r="DR368" s="68"/>
      <c r="DS368" s="68"/>
      <c r="DT368" s="795"/>
      <c r="DU368" s="795"/>
      <c r="DV368" s="795"/>
    </row>
    <row r="369" spans="1:126" s="108" customFormat="1">
      <c r="A369" s="37"/>
      <c r="B369" s="423" t="s">
        <v>268</v>
      </c>
      <c r="C369" s="101"/>
      <c r="D369" s="101"/>
      <c r="E369" s="101"/>
      <c r="F369" s="101"/>
      <c r="G369" s="101"/>
      <c r="H369" s="101"/>
      <c r="I369" s="101"/>
      <c r="J369" s="37"/>
      <c r="K369" s="37"/>
      <c r="L369" s="37"/>
      <c r="M369" s="37"/>
      <c r="N369" s="101"/>
      <c r="O369" s="37"/>
      <c r="P369" s="37"/>
      <c r="Q369" s="37"/>
      <c r="R369" s="37"/>
      <c r="S369" s="101"/>
      <c r="T369" s="37"/>
      <c r="U369" s="37"/>
      <c r="V369" s="37"/>
      <c r="W369" s="37"/>
      <c r="X369" s="101"/>
      <c r="Y369" s="37"/>
      <c r="Z369" s="37"/>
      <c r="AA369" s="37"/>
      <c r="AB369" s="37"/>
      <c r="AC369" s="101"/>
      <c r="AD369" s="37"/>
      <c r="AE369" s="37"/>
      <c r="AF369" s="37"/>
      <c r="AG369" s="37"/>
      <c r="AH369" s="101"/>
      <c r="AI369" s="37"/>
      <c r="AJ369" s="37"/>
      <c r="AK369" s="37"/>
      <c r="AL369" s="37"/>
      <c r="AM369" s="101"/>
      <c r="AN369" s="37"/>
      <c r="AO369" s="37"/>
      <c r="AP369" s="37"/>
      <c r="AQ369" s="37"/>
      <c r="AR369" s="101"/>
      <c r="AS369" s="37"/>
      <c r="AT369" s="37"/>
      <c r="AU369" s="37"/>
      <c r="AV369" s="37"/>
      <c r="AW369" s="27"/>
      <c r="AX369" s="68"/>
      <c r="AY369" s="68"/>
      <c r="AZ369" s="68"/>
      <c r="BA369" s="68"/>
      <c r="BB369" s="27"/>
      <c r="BC369" s="68"/>
      <c r="BD369" s="68"/>
      <c r="BE369" s="68"/>
      <c r="BF369" s="68"/>
      <c r="BG369" s="27"/>
      <c r="BH369" s="68"/>
      <c r="BI369" s="68"/>
      <c r="BJ369" s="68"/>
      <c r="BK369" s="68"/>
      <c r="BL369" s="27"/>
      <c r="BM369" s="68"/>
      <c r="BN369" s="68"/>
      <c r="BO369" s="68"/>
      <c r="BP369" s="68"/>
      <c r="BQ369" s="27"/>
      <c r="BR369" s="68"/>
      <c r="BS369" s="68"/>
      <c r="BT369" s="68"/>
      <c r="BU369" s="68"/>
      <c r="BV369" s="27"/>
      <c r="BW369" s="68"/>
      <c r="BX369" s="68"/>
      <c r="BY369" s="68"/>
      <c r="BZ369" s="68"/>
      <c r="CA369" s="27"/>
      <c r="CB369" s="68"/>
      <c r="CC369" s="68"/>
      <c r="CD369" s="68"/>
      <c r="CE369" s="68"/>
      <c r="CF369" s="27"/>
      <c r="CG369" s="68"/>
      <c r="CH369" s="68"/>
      <c r="CI369" s="68"/>
      <c r="CJ369" s="68"/>
      <c r="CK369" s="27"/>
      <c r="CL369" s="68"/>
      <c r="CM369" s="68"/>
      <c r="CN369" s="68"/>
      <c r="CO369" s="68"/>
      <c r="CP369" s="795"/>
      <c r="CQ369" s="68"/>
      <c r="CR369" s="68"/>
      <c r="CS369" s="68"/>
      <c r="CT369" s="68"/>
      <c r="CU369" s="795"/>
      <c r="CV369" s="68"/>
      <c r="CW369" s="68"/>
      <c r="CX369" s="68"/>
      <c r="CY369" s="68"/>
      <c r="CZ369" s="795"/>
      <c r="DA369" s="68"/>
      <c r="DB369" s="68"/>
      <c r="DC369" s="68"/>
      <c r="DD369" s="68"/>
      <c r="DE369" s="795"/>
      <c r="DF369" s="68"/>
      <c r="DG369" s="68"/>
      <c r="DH369" s="68"/>
      <c r="DI369" s="68"/>
      <c r="DJ369" s="795"/>
      <c r="DK369" s="68"/>
      <c r="DL369" s="68"/>
      <c r="DM369" s="68"/>
      <c r="DN369" s="68"/>
      <c r="DO369" s="795"/>
      <c r="DP369" s="68"/>
      <c r="DQ369" s="68"/>
      <c r="DR369" s="68"/>
      <c r="DS369" s="68"/>
      <c r="DT369" s="795"/>
      <c r="DU369" s="795"/>
      <c r="DV369" s="795"/>
    </row>
    <row r="370" spans="1:126" s="108" customFormat="1">
      <c r="A370" s="37"/>
      <c r="B370" s="180" t="s">
        <v>271</v>
      </c>
      <c r="C370" s="101"/>
      <c r="D370" s="101"/>
      <c r="E370" s="101"/>
      <c r="F370" s="101"/>
      <c r="G370" s="101"/>
      <c r="H370" s="101"/>
      <c r="I370" s="101"/>
      <c r="J370" s="37"/>
      <c r="K370" s="37"/>
      <c r="L370" s="37"/>
      <c r="M370" s="37"/>
      <c r="N370" s="101"/>
      <c r="O370" s="37"/>
      <c r="P370" s="37"/>
      <c r="Q370" s="37"/>
      <c r="R370" s="37"/>
      <c r="S370" s="101"/>
      <c r="T370" s="37"/>
      <c r="U370" s="37"/>
      <c r="V370" s="37"/>
      <c r="W370" s="37"/>
      <c r="X370" s="101"/>
      <c r="Y370" s="37"/>
      <c r="Z370" s="37"/>
      <c r="AA370" s="37"/>
      <c r="AB370" s="37"/>
      <c r="AC370" s="101"/>
      <c r="AD370" s="37"/>
      <c r="AE370" s="37"/>
      <c r="AF370" s="37"/>
      <c r="AG370" s="37"/>
      <c r="AH370" s="101"/>
      <c r="AI370" s="37"/>
      <c r="AJ370" s="37"/>
      <c r="AK370" s="37"/>
      <c r="AL370" s="37"/>
      <c r="AM370" s="101"/>
      <c r="AN370" s="37"/>
      <c r="AO370" s="37"/>
      <c r="AP370" s="37"/>
      <c r="AQ370" s="37"/>
      <c r="AR370" s="101"/>
      <c r="AS370" s="37"/>
      <c r="AT370" s="37"/>
      <c r="AU370" s="37"/>
      <c r="AV370" s="37"/>
      <c r="AW370" s="27"/>
      <c r="AX370" s="68"/>
      <c r="AY370" s="68"/>
      <c r="AZ370" s="68"/>
      <c r="BA370" s="68"/>
      <c r="BB370" s="27"/>
      <c r="BC370" s="68"/>
      <c r="BD370" s="68"/>
      <c r="BE370" s="68"/>
      <c r="BF370" s="68"/>
      <c r="BG370" s="27"/>
      <c r="BH370" s="68"/>
      <c r="BI370" s="68"/>
      <c r="BJ370" s="68"/>
      <c r="BK370" s="68"/>
      <c r="BL370" s="27"/>
      <c r="BM370" s="68"/>
      <c r="BN370" s="68"/>
      <c r="BO370" s="68"/>
      <c r="BP370" s="68"/>
      <c r="BQ370" s="27"/>
      <c r="BR370" s="68"/>
      <c r="BS370" s="68"/>
      <c r="BT370" s="68"/>
      <c r="BU370" s="68"/>
      <c r="BV370" s="27"/>
      <c r="BW370" s="68"/>
      <c r="BX370" s="68"/>
      <c r="BY370" s="68"/>
      <c r="BZ370" s="68"/>
      <c r="CA370" s="27"/>
      <c r="CB370" s="68"/>
      <c r="CC370" s="68"/>
      <c r="CD370" s="68"/>
      <c r="CE370" s="68"/>
      <c r="CF370" s="27"/>
      <c r="CG370" s="68"/>
      <c r="CH370" s="68"/>
      <c r="CI370" s="68"/>
      <c r="CJ370" s="68"/>
      <c r="CK370" s="27"/>
      <c r="CL370" s="68"/>
      <c r="CM370" s="68"/>
      <c r="CN370" s="68"/>
      <c r="CO370" s="68"/>
      <c r="CP370" s="795"/>
      <c r="CQ370" s="68"/>
      <c r="CR370" s="68"/>
      <c r="CS370" s="68"/>
      <c r="CT370" s="68"/>
      <c r="CU370" s="795"/>
      <c r="CV370" s="68"/>
      <c r="CW370" s="68"/>
      <c r="CX370" s="68"/>
      <c r="CY370" s="68"/>
      <c r="CZ370" s="795"/>
      <c r="DA370" s="68"/>
      <c r="DB370" s="68"/>
      <c r="DC370" s="68"/>
      <c r="DD370" s="68"/>
      <c r="DE370" s="795"/>
      <c r="DF370" s="68"/>
      <c r="DG370" s="68"/>
      <c r="DH370" s="68"/>
      <c r="DI370" s="68"/>
      <c r="DJ370" s="795"/>
      <c r="DK370" s="68"/>
      <c r="DL370" s="68"/>
      <c r="DM370" s="68"/>
      <c r="DN370" s="68"/>
      <c r="DO370" s="795"/>
      <c r="DP370" s="68"/>
      <c r="DQ370" s="68"/>
      <c r="DR370" s="68"/>
      <c r="DS370" s="68"/>
      <c r="DT370" s="795"/>
      <c r="DU370" s="795"/>
      <c r="DV370" s="795"/>
    </row>
    <row r="371" spans="1:126" s="108" customFormat="1">
      <c r="A371" s="37"/>
      <c r="B371" s="180" t="s">
        <v>272</v>
      </c>
      <c r="C371" s="101"/>
      <c r="D371" s="101"/>
      <c r="E371" s="101"/>
      <c r="F371" s="101"/>
      <c r="G371" s="101"/>
      <c r="H371" s="101"/>
      <c r="I371" s="101"/>
      <c r="J371" s="37"/>
      <c r="K371" s="37"/>
      <c r="L371" s="37"/>
      <c r="M371" s="37"/>
      <c r="N371" s="101"/>
      <c r="O371" s="37"/>
      <c r="P371" s="37"/>
      <c r="Q371" s="37"/>
      <c r="R371" s="37"/>
      <c r="S371" s="101"/>
      <c r="T371" s="37"/>
      <c r="U371" s="37"/>
      <c r="V371" s="37"/>
      <c r="W371" s="37"/>
      <c r="X371" s="101"/>
      <c r="Y371" s="37"/>
      <c r="Z371" s="37"/>
      <c r="AA371" s="37"/>
      <c r="AB371" s="37"/>
      <c r="AC371" s="101"/>
      <c r="AD371" s="37"/>
      <c r="AE371" s="37"/>
      <c r="AF371" s="37"/>
      <c r="AG371" s="37"/>
      <c r="AH371" s="101"/>
      <c r="AI371" s="37"/>
      <c r="AJ371" s="37"/>
      <c r="AK371" s="37"/>
      <c r="AL371" s="37"/>
      <c r="AM371" s="101"/>
      <c r="AN371" s="37"/>
      <c r="AO371" s="37"/>
      <c r="AP371" s="37"/>
      <c r="AQ371" s="37"/>
      <c r="AR371" s="101"/>
      <c r="AS371" s="37"/>
      <c r="AT371" s="37"/>
      <c r="AU371" s="37"/>
      <c r="AV371" s="37"/>
      <c r="AW371" s="27">
        <v>0.02</v>
      </c>
      <c r="AX371" s="68"/>
      <c r="AY371" s="68"/>
      <c r="AZ371" s="68"/>
      <c r="BA371" s="68"/>
      <c r="BB371" s="27">
        <v>0.02</v>
      </c>
      <c r="BC371" s="68"/>
      <c r="BD371" s="68"/>
      <c r="BE371" s="68"/>
      <c r="BF371" s="68"/>
      <c r="BG371" s="27">
        <v>0.02</v>
      </c>
      <c r="BH371" s="68"/>
      <c r="BI371" s="68"/>
      <c r="BJ371" s="68"/>
      <c r="BK371" s="68"/>
      <c r="BL371" s="27">
        <v>0.02</v>
      </c>
      <c r="BM371" s="68"/>
      <c r="BN371" s="68"/>
      <c r="BO371" s="68"/>
      <c r="BP371" s="68"/>
      <c r="BQ371" s="27">
        <v>0.02</v>
      </c>
      <c r="BR371" s="68"/>
      <c r="BS371" s="68"/>
      <c r="BT371" s="68"/>
      <c r="BU371" s="68"/>
      <c r="BV371" s="27">
        <v>0.02</v>
      </c>
      <c r="BW371" s="68"/>
      <c r="BX371" s="68"/>
      <c r="BY371" s="68"/>
      <c r="BZ371" s="68"/>
      <c r="CA371" s="27">
        <v>0.02</v>
      </c>
      <c r="CB371" s="68"/>
      <c r="CC371" s="68"/>
      <c r="CD371" s="68"/>
      <c r="CE371" s="68"/>
      <c r="CF371" s="27">
        <v>0.02</v>
      </c>
      <c r="CG371" s="68"/>
      <c r="CH371" s="68"/>
      <c r="CI371" s="68"/>
      <c r="CJ371" s="68"/>
      <c r="CK371" s="27">
        <v>2.5000000000000001E-2</v>
      </c>
      <c r="CL371" s="68"/>
      <c r="CM371" s="68"/>
      <c r="CN371" s="68"/>
      <c r="CO371" s="68"/>
      <c r="CP371" s="795">
        <v>2.5000000000000001E-2</v>
      </c>
      <c r="CQ371" s="68"/>
      <c r="CR371" s="68"/>
      <c r="CS371" s="68"/>
      <c r="CT371" s="68"/>
      <c r="CU371" s="795">
        <v>2.5000000000000001E-2</v>
      </c>
      <c r="CV371" s="68"/>
      <c r="CW371" s="68"/>
      <c r="CX371" s="68"/>
      <c r="CY371" s="68"/>
      <c r="CZ371" s="795">
        <v>2.5000000000000001E-2</v>
      </c>
      <c r="DA371" s="68"/>
      <c r="DB371" s="68"/>
      <c r="DC371" s="68"/>
      <c r="DD371" s="68"/>
      <c r="DE371" s="795">
        <v>2.5000000000000001E-2</v>
      </c>
      <c r="DF371" s="68"/>
      <c r="DG371" s="68"/>
      <c r="DH371" s="68"/>
      <c r="DI371" s="68"/>
      <c r="DJ371" s="795">
        <v>2.5000000000000001E-2</v>
      </c>
      <c r="DK371" s="68"/>
      <c r="DL371" s="68"/>
      <c r="DM371" s="68"/>
      <c r="DN371" s="68"/>
      <c r="DO371" s="795">
        <v>2.5000000000000001E-2</v>
      </c>
      <c r="DP371" s="68"/>
      <c r="DQ371" s="68"/>
      <c r="DR371" s="68"/>
      <c r="DS371" s="68"/>
      <c r="DT371" s="795">
        <v>2.5000000000000001E-2</v>
      </c>
      <c r="DU371" s="795">
        <v>2.5000000000000001E-2</v>
      </c>
      <c r="DV371" s="795">
        <v>2.5000000000000001E-2</v>
      </c>
    </row>
    <row r="372" spans="1:126" s="108" customFormat="1">
      <c r="A372" s="37"/>
      <c r="B372" s="180" t="s">
        <v>273</v>
      </c>
      <c r="C372" s="101"/>
      <c r="D372" s="101"/>
      <c r="E372" s="101"/>
      <c r="F372" s="101"/>
      <c r="G372" s="101"/>
      <c r="H372" s="101"/>
      <c r="I372" s="101"/>
      <c r="J372" s="37"/>
      <c r="K372" s="37"/>
      <c r="L372" s="37"/>
      <c r="M372" s="37"/>
      <c r="N372" s="101"/>
      <c r="O372" s="37"/>
      <c r="P372" s="37"/>
      <c r="Q372" s="37"/>
      <c r="R372" s="37"/>
      <c r="S372" s="101"/>
      <c r="T372" s="37"/>
      <c r="U372" s="37"/>
      <c r="V372" s="37"/>
      <c r="W372" s="37"/>
      <c r="X372" s="101"/>
      <c r="Y372" s="37"/>
      <c r="Z372" s="37"/>
      <c r="AA372" s="37"/>
      <c r="AB372" s="37"/>
      <c r="AC372" s="101"/>
      <c r="AD372" s="37"/>
      <c r="AE372" s="37"/>
      <c r="AF372" s="37"/>
      <c r="AG372" s="37"/>
      <c r="AH372" s="101"/>
      <c r="AI372" s="37"/>
      <c r="AJ372" s="37"/>
      <c r="AK372" s="37"/>
      <c r="AL372" s="37"/>
      <c r="AM372" s="101"/>
      <c r="AN372" s="37"/>
      <c r="AO372" s="37"/>
      <c r="AP372" s="37"/>
      <c r="AQ372" s="37"/>
      <c r="AR372" s="101"/>
      <c r="AS372" s="37"/>
      <c r="AT372" s="37"/>
      <c r="AU372" s="37"/>
      <c r="AV372" s="37"/>
      <c r="AW372" s="465"/>
      <c r="AX372" s="68"/>
      <c r="AY372" s="68"/>
      <c r="AZ372" s="68"/>
      <c r="BA372" s="68"/>
      <c r="BB372" s="465"/>
      <c r="BC372" s="68"/>
      <c r="BD372" s="68"/>
      <c r="BE372" s="68"/>
      <c r="BF372" s="68"/>
      <c r="BG372" s="465"/>
      <c r="BH372" s="68"/>
      <c r="BI372" s="68"/>
      <c r="BJ372" s="68"/>
      <c r="BK372" s="68"/>
      <c r="BL372" s="465"/>
      <c r="BM372" s="68"/>
      <c r="BN372" s="68"/>
      <c r="BO372" s="68"/>
      <c r="BP372" s="68"/>
      <c r="BQ372" s="465"/>
      <c r="BR372" s="68"/>
      <c r="BS372" s="68"/>
      <c r="BT372" s="68"/>
      <c r="BU372" s="68"/>
      <c r="BV372" s="465"/>
      <c r="BW372" s="68"/>
      <c r="BX372" s="68"/>
      <c r="BY372" s="68"/>
      <c r="BZ372" s="68"/>
      <c r="CA372" s="465"/>
      <c r="CB372" s="68"/>
      <c r="CC372" s="68"/>
      <c r="CD372" s="68"/>
      <c r="CE372" s="68"/>
      <c r="CF372" s="465"/>
      <c r="CG372" s="68"/>
      <c r="CH372" s="68"/>
      <c r="CI372" s="68"/>
      <c r="CJ372" s="68"/>
      <c r="CK372" s="465"/>
      <c r="CL372" s="68"/>
      <c r="CM372" s="68"/>
      <c r="CN372" s="68"/>
      <c r="CO372" s="68"/>
      <c r="CP372" s="795"/>
      <c r="CQ372" s="68"/>
      <c r="CR372" s="68"/>
      <c r="CS372" s="68"/>
      <c r="CT372" s="68"/>
      <c r="CU372" s="795"/>
      <c r="CV372" s="68"/>
      <c r="CW372" s="68"/>
      <c r="CX372" s="68"/>
      <c r="CY372" s="68"/>
      <c r="CZ372" s="795"/>
      <c r="DA372" s="68"/>
      <c r="DB372" s="68"/>
      <c r="DC372" s="68"/>
      <c r="DD372" s="68"/>
      <c r="DE372" s="795"/>
      <c r="DF372" s="68"/>
      <c r="DG372" s="68"/>
      <c r="DH372" s="68"/>
      <c r="DI372" s="68"/>
      <c r="DJ372" s="795"/>
      <c r="DK372" s="68"/>
      <c r="DL372" s="68"/>
      <c r="DM372" s="68"/>
      <c r="DN372" s="68"/>
      <c r="DO372" s="795"/>
      <c r="DP372" s="68"/>
      <c r="DQ372" s="68"/>
      <c r="DR372" s="68"/>
      <c r="DS372" s="68"/>
      <c r="DT372" s="795"/>
      <c r="DU372" s="795"/>
      <c r="DV372" s="795"/>
    </row>
    <row r="373" spans="1:126" s="108" customFormat="1">
      <c r="A373" s="37"/>
      <c r="B373" s="180" t="s">
        <v>274</v>
      </c>
      <c r="C373" s="101"/>
      <c r="D373" s="101"/>
      <c r="E373" s="101"/>
      <c r="F373" s="101"/>
      <c r="G373" s="101"/>
      <c r="H373" s="101"/>
      <c r="I373" s="101"/>
      <c r="J373" s="37"/>
      <c r="K373" s="37"/>
      <c r="L373" s="37"/>
      <c r="M373" s="37"/>
      <c r="N373" s="101"/>
      <c r="O373" s="37"/>
      <c r="P373" s="37"/>
      <c r="Q373" s="37"/>
      <c r="R373" s="37"/>
      <c r="S373" s="101"/>
      <c r="T373" s="37"/>
      <c r="U373" s="37"/>
      <c r="V373" s="37"/>
      <c r="W373" s="37"/>
      <c r="X373" s="101"/>
      <c r="Y373" s="37"/>
      <c r="Z373" s="37"/>
      <c r="AA373" s="37"/>
      <c r="AB373" s="37"/>
      <c r="AC373" s="101"/>
      <c r="AD373" s="37"/>
      <c r="AE373" s="37"/>
      <c r="AF373" s="37"/>
      <c r="AG373" s="37"/>
      <c r="AH373" s="101"/>
      <c r="AI373" s="37"/>
      <c r="AJ373" s="37"/>
      <c r="AK373" s="37"/>
      <c r="AL373" s="37"/>
      <c r="AM373" s="101"/>
      <c r="AN373" s="37"/>
      <c r="AO373" s="37"/>
      <c r="AP373" s="37"/>
      <c r="AQ373" s="37"/>
      <c r="AR373" s="101"/>
      <c r="AS373" s="37"/>
      <c r="AT373" s="37"/>
      <c r="AU373" s="37"/>
      <c r="AV373" s="37"/>
      <c r="AW373" s="465">
        <v>0.97499999999999998</v>
      </c>
      <c r="AX373" s="68"/>
      <c r="AY373" s="68"/>
      <c r="AZ373" s="68"/>
      <c r="BA373" s="68"/>
      <c r="BB373" s="465">
        <v>0.97499999999999998</v>
      </c>
      <c r="BC373" s="68"/>
      <c r="BD373" s="68"/>
      <c r="BE373" s="68"/>
      <c r="BF373" s="68"/>
      <c r="BG373" s="465">
        <v>0.97499999999999998</v>
      </c>
      <c r="BH373" s="68"/>
      <c r="BI373" s="68"/>
      <c r="BJ373" s="68"/>
      <c r="BK373" s="68"/>
      <c r="BL373" s="465">
        <v>0.97499999999999998</v>
      </c>
      <c r="BM373" s="68"/>
      <c r="BN373" s="68"/>
      <c r="BO373" s="68"/>
      <c r="BP373" s="68"/>
      <c r="BQ373" s="465">
        <v>0.97499999999999998</v>
      </c>
      <c r="BR373" s="68"/>
      <c r="BS373" s="68"/>
      <c r="BT373" s="68"/>
      <c r="BU373" s="68"/>
      <c r="BV373" s="465">
        <v>0.97499999999999998</v>
      </c>
      <c r="BW373" s="68"/>
      <c r="BX373" s="68"/>
      <c r="BY373" s="68"/>
      <c r="BZ373" s="68"/>
      <c r="CA373" s="465">
        <v>0.97499999999999998</v>
      </c>
      <c r="CB373" s="68"/>
      <c r="CC373" s="68"/>
      <c r="CD373" s="68"/>
      <c r="CE373" s="68"/>
      <c r="CF373" s="465">
        <v>0.97499999999999998</v>
      </c>
      <c r="CG373" s="68"/>
      <c r="CH373" s="68"/>
      <c r="CI373" s="68"/>
      <c r="CJ373" s="68"/>
      <c r="CK373" s="465">
        <v>0.97499999999999998</v>
      </c>
      <c r="CL373" s="68"/>
      <c r="CM373" s="68"/>
      <c r="CN373" s="68"/>
      <c r="CO373" s="68"/>
      <c r="CP373" s="795">
        <v>0.97499999999999998</v>
      </c>
      <c r="CQ373" s="68"/>
      <c r="CR373" s="68"/>
      <c r="CS373" s="68"/>
      <c r="CT373" s="68"/>
      <c r="CU373" s="795">
        <v>0.97499999999999998</v>
      </c>
      <c r="CV373" s="68"/>
      <c r="CW373" s="68"/>
      <c r="CX373" s="68"/>
      <c r="CY373" s="68"/>
      <c r="CZ373" s="795">
        <v>0.97499999999999998</v>
      </c>
      <c r="DA373" s="68"/>
      <c r="DB373" s="68"/>
      <c r="DC373" s="68"/>
      <c r="DD373" s="68"/>
      <c r="DE373" s="795">
        <v>0.97499999999999998</v>
      </c>
      <c r="DF373" s="68"/>
      <c r="DG373" s="68"/>
      <c r="DH373" s="68"/>
      <c r="DI373" s="68"/>
      <c r="DJ373" s="795">
        <v>0.97499999999999998</v>
      </c>
      <c r="DK373" s="68"/>
      <c r="DL373" s="68"/>
      <c r="DM373" s="68"/>
      <c r="DN373" s="68"/>
      <c r="DO373" s="795">
        <v>0.97499999999999998</v>
      </c>
      <c r="DP373" s="68"/>
      <c r="DQ373" s="68"/>
      <c r="DR373" s="68"/>
      <c r="DS373" s="68"/>
      <c r="DT373" s="795">
        <v>0.97499999999999998</v>
      </c>
      <c r="DU373" s="795">
        <v>0.97499999999999998</v>
      </c>
      <c r="DV373" s="795">
        <v>0.97499999999999998</v>
      </c>
    </row>
    <row r="374" spans="1:126" s="108" customFormat="1">
      <c r="A374" s="37"/>
      <c r="B374" s="180" t="s">
        <v>275</v>
      </c>
      <c r="C374" s="101"/>
      <c r="D374" s="101"/>
      <c r="E374" s="101"/>
      <c r="F374" s="101"/>
      <c r="G374" s="101"/>
      <c r="H374" s="101"/>
      <c r="I374" s="101"/>
      <c r="J374" s="37"/>
      <c r="K374" s="37"/>
      <c r="L374" s="37"/>
      <c r="M374" s="37"/>
      <c r="N374" s="101"/>
      <c r="O374" s="37"/>
      <c r="P374" s="37"/>
      <c r="Q374" s="37"/>
      <c r="R374" s="37"/>
      <c r="S374" s="101"/>
      <c r="T374" s="37"/>
      <c r="U374" s="37"/>
      <c r="V374" s="37"/>
      <c r="W374" s="37"/>
      <c r="X374" s="101"/>
      <c r="Y374" s="37"/>
      <c r="Z374" s="37"/>
      <c r="AA374" s="37"/>
      <c r="AB374" s="37"/>
      <c r="AC374" s="101"/>
      <c r="AD374" s="37"/>
      <c r="AE374" s="37"/>
      <c r="AF374" s="37"/>
      <c r="AG374" s="37"/>
      <c r="AH374" s="101"/>
      <c r="AI374" s="37"/>
      <c r="AJ374" s="37"/>
      <c r="AK374" s="37"/>
      <c r="AL374" s="37"/>
      <c r="AM374" s="101"/>
      <c r="AN374" s="37"/>
      <c r="AO374" s="37"/>
      <c r="AP374" s="37"/>
      <c r="AQ374" s="37"/>
      <c r="AR374" s="101"/>
      <c r="AS374" s="37"/>
      <c r="AT374" s="37"/>
      <c r="AU374" s="37"/>
      <c r="AV374" s="37"/>
      <c r="AW374" s="465"/>
      <c r="AX374" s="68"/>
      <c r="AY374" s="68"/>
      <c r="AZ374" s="68"/>
      <c r="BA374" s="68"/>
      <c r="BB374" s="465"/>
      <c r="BC374" s="68"/>
      <c r="BD374" s="68"/>
      <c r="BE374" s="68"/>
      <c r="BF374" s="68"/>
      <c r="BG374" s="465"/>
      <c r="BH374" s="68"/>
      <c r="BI374" s="68"/>
      <c r="BJ374" s="68"/>
      <c r="BK374" s="68"/>
      <c r="BL374" s="465"/>
      <c r="BM374" s="68"/>
      <c r="BN374" s="68"/>
      <c r="BO374" s="68"/>
      <c r="BP374" s="68"/>
      <c r="BQ374" s="465"/>
      <c r="BR374" s="68"/>
      <c r="BS374" s="68"/>
      <c r="BT374" s="68"/>
      <c r="BU374" s="68"/>
      <c r="BV374" s="465"/>
      <c r="BW374" s="68"/>
      <c r="BX374" s="68"/>
      <c r="BY374" s="68"/>
      <c r="BZ374" s="68"/>
      <c r="CA374" s="465"/>
      <c r="CB374" s="68"/>
      <c r="CC374" s="68"/>
      <c r="CD374" s="68"/>
      <c r="CE374" s="68"/>
      <c r="CF374" s="465"/>
      <c r="CG374" s="68"/>
      <c r="CH374" s="68"/>
      <c r="CI374" s="68"/>
      <c r="CJ374" s="68"/>
      <c r="CK374" s="465"/>
      <c r="CL374" s="68"/>
      <c r="CM374" s="68"/>
      <c r="CN374" s="68"/>
      <c r="CO374" s="68"/>
      <c r="CP374" s="465"/>
      <c r="CQ374" s="68"/>
      <c r="CR374" s="68"/>
      <c r="CS374" s="68"/>
      <c r="CT374" s="68"/>
      <c r="CU374" s="27"/>
      <c r="CV374" s="68"/>
      <c r="CW374" s="68"/>
      <c r="CX374" s="68"/>
      <c r="CY374" s="68"/>
      <c r="CZ374" s="27"/>
      <c r="DA374" s="68"/>
      <c r="DB374" s="68"/>
      <c r="DC374" s="68"/>
      <c r="DD374" s="68"/>
      <c r="DE374" s="27"/>
      <c r="DF374" s="68"/>
      <c r="DG374" s="68"/>
      <c r="DH374" s="68"/>
      <c r="DI374" s="68"/>
      <c r="DJ374" s="27"/>
      <c r="DK374" s="68"/>
      <c r="DL374" s="68"/>
      <c r="DM374" s="68"/>
      <c r="DN374" s="68"/>
      <c r="DO374" s="27"/>
      <c r="DP374" s="68"/>
      <c r="DQ374" s="68"/>
      <c r="DR374" s="68"/>
      <c r="DS374" s="68"/>
      <c r="DT374" s="27"/>
      <c r="DU374" s="27"/>
      <c r="DV374" s="27"/>
    </row>
    <row r="375" spans="1:126" s="108" customFormat="1">
      <c r="A375" s="37"/>
      <c r="B375" s="180" t="s">
        <v>276</v>
      </c>
      <c r="C375" s="101"/>
      <c r="D375" s="101"/>
      <c r="E375" s="101"/>
      <c r="F375" s="101"/>
      <c r="G375" s="101"/>
      <c r="H375" s="101"/>
      <c r="I375" s="101"/>
      <c r="J375" s="37"/>
      <c r="K375" s="37"/>
      <c r="L375" s="37"/>
      <c r="M375" s="37"/>
      <c r="N375" s="101"/>
      <c r="O375" s="37"/>
      <c r="P375" s="37"/>
      <c r="Q375" s="37"/>
      <c r="R375" s="37"/>
      <c r="S375" s="101"/>
      <c r="T375" s="37"/>
      <c r="U375" s="37"/>
      <c r="V375" s="37"/>
      <c r="W375" s="37"/>
      <c r="X375" s="101"/>
      <c r="Y375" s="37"/>
      <c r="Z375" s="37"/>
      <c r="AA375" s="37"/>
      <c r="AB375" s="37"/>
      <c r="AC375" s="101"/>
      <c r="AD375" s="37"/>
      <c r="AE375" s="37"/>
      <c r="AF375" s="37"/>
      <c r="AG375" s="37"/>
      <c r="AH375" s="101"/>
      <c r="AI375" s="37"/>
      <c r="AJ375" s="37"/>
      <c r="AK375" s="37"/>
      <c r="AL375" s="37"/>
      <c r="AM375" s="101"/>
      <c r="AN375" s="37"/>
      <c r="AO375" s="37"/>
      <c r="AP375" s="37"/>
      <c r="AQ375" s="37"/>
      <c r="AR375" s="101"/>
      <c r="AS375" s="37"/>
      <c r="AT375" s="37"/>
      <c r="AU375" s="37"/>
      <c r="AV375" s="37"/>
      <c r="AW375" s="465"/>
      <c r="AX375" s="68"/>
      <c r="AY375" s="68"/>
      <c r="AZ375" s="68"/>
      <c r="BA375" s="68"/>
      <c r="BB375" s="465"/>
      <c r="BC375" s="68"/>
      <c r="BD375" s="68"/>
      <c r="BE375" s="68"/>
      <c r="BF375" s="68"/>
      <c r="BG375" s="465"/>
      <c r="BH375" s="68"/>
      <c r="BI375" s="68"/>
      <c r="BJ375" s="68"/>
      <c r="BK375" s="68"/>
      <c r="BL375" s="465"/>
      <c r="BM375" s="68"/>
      <c r="BN375" s="68"/>
      <c r="BO375" s="68"/>
      <c r="BP375" s="68"/>
      <c r="BQ375" s="465"/>
      <c r="BR375" s="68"/>
      <c r="BS375" s="68"/>
      <c r="BT375" s="68"/>
      <c r="BU375" s="68"/>
      <c r="BV375" s="465"/>
      <c r="BW375" s="68"/>
      <c r="BX375" s="68"/>
      <c r="BY375" s="68"/>
      <c r="BZ375" s="68"/>
      <c r="CA375" s="465"/>
      <c r="CB375" s="68"/>
      <c r="CC375" s="68"/>
      <c r="CD375" s="68"/>
      <c r="CE375" s="68"/>
      <c r="CF375" s="465"/>
      <c r="CG375" s="68"/>
      <c r="CH375" s="68"/>
      <c r="CI375" s="68"/>
      <c r="CJ375" s="68"/>
      <c r="CK375" s="465"/>
      <c r="CL375" s="68"/>
      <c r="CM375" s="68"/>
      <c r="CN375" s="68"/>
      <c r="CO375" s="68"/>
      <c r="CP375" s="465"/>
      <c r="CQ375" s="68"/>
      <c r="CR375" s="68"/>
      <c r="CS375" s="68"/>
      <c r="CT375" s="68"/>
      <c r="CU375" s="27"/>
      <c r="CV375" s="68"/>
      <c r="CW375" s="68"/>
      <c r="CX375" s="68"/>
      <c r="CY375" s="68"/>
      <c r="CZ375" s="27"/>
      <c r="DA375" s="68"/>
      <c r="DB375" s="68"/>
      <c r="DC375" s="68"/>
      <c r="DD375" s="68"/>
      <c r="DE375" s="27"/>
      <c r="DF375" s="68"/>
      <c r="DG375" s="68"/>
      <c r="DH375" s="68"/>
      <c r="DI375" s="68"/>
      <c r="DJ375" s="27"/>
      <c r="DK375" s="68"/>
      <c r="DL375" s="68"/>
      <c r="DM375" s="68"/>
      <c r="DN375" s="68"/>
      <c r="DO375" s="27"/>
      <c r="DP375" s="68"/>
      <c r="DQ375" s="68"/>
      <c r="DR375" s="68"/>
      <c r="DS375" s="68"/>
      <c r="DT375" s="27"/>
      <c r="DU375" s="27"/>
      <c r="DV375" s="27"/>
    </row>
    <row r="376" spans="1:126" s="108" customFormat="1">
      <c r="A376" s="37"/>
      <c r="B376" s="180" t="s">
        <v>277</v>
      </c>
      <c r="C376" s="101"/>
      <c r="D376" s="101"/>
      <c r="E376" s="101"/>
      <c r="F376" s="101"/>
      <c r="G376" s="101"/>
      <c r="H376" s="101"/>
      <c r="I376" s="101"/>
      <c r="J376" s="37"/>
      <c r="K376" s="37"/>
      <c r="L376" s="37"/>
      <c r="M376" s="37"/>
      <c r="N376" s="101"/>
      <c r="O376" s="37"/>
      <c r="P376" s="37"/>
      <c r="Q376" s="37"/>
      <c r="R376" s="37"/>
      <c r="S376" s="101"/>
      <c r="T376" s="37"/>
      <c r="U376" s="37"/>
      <c r="V376" s="37"/>
      <c r="W376" s="37"/>
      <c r="X376" s="101"/>
      <c r="Y376" s="37"/>
      <c r="Z376" s="37"/>
      <c r="AA376" s="37"/>
      <c r="AB376" s="37"/>
      <c r="AC376" s="101"/>
      <c r="AD376" s="37"/>
      <c r="AE376" s="37"/>
      <c r="AF376" s="37"/>
      <c r="AG376" s="37"/>
      <c r="AH376" s="101"/>
      <c r="AI376" s="37"/>
      <c r="AJ376" s="37"/>
      <c r="AK376" s="37"/>
      <c r="AL376" s="37"/>
      <c r="AM376" s="101"/>
      <c r="AN376" s="37"/>
      <c r="AO376" s="37"/>
      <c r="AP376" s="37"/>
      <c r="AQ376" s="37"/>
      <c r="AR376" s="101"/>
      <c r="AS376" s="37"/>
      <c r="AT376" s="37"/>
      <c r="AU376" s="37"/>
      <c r="AV376" s="37"/>
      <c r="AW376" s="465"/>
      <c r="AX376" s="68"/>
      <c r="AY376" s="68"/>
      <c r="AZ376" s="68"/>
      <c r="BA376" s="68"/>
      <c r="BB376" s="465"/>
      <c r="BC376" s="68"/>
      <c r="BD376" s="68"/>
      <c r="BE376" s="68"/>
      <c r="BF376" s="68"/>
      <c r="BG376" s="465"/>
      <c r="BH376" s="68"/>
      <c r="BI376" s="68"/>
      <c r="BJ376" s="68"/>
      <c r="BK376" s="68"/>
      <c r="BL376" s="465"/>
      <c r="BM376" s="68"/>
      <c r="BN376" s="68"/>
      <c r="BO376" s="68"/>
      <c r="BP376" s="68"/>
      <c r="BQ376" s="465"/>
      <c r="BR376" s="68"/>
      <c r="BS376" s="68"/>
      <c r="BT376" s="68"/>
      <c r="BU376" s="68"/>
      <c r="BV376" s="465"/>
      <c r="BW376" s="68"/>
      <c r="BX376" s="68"/>
      <c r="BY376" s="68"/>
      <c r="BZ376" s="68"/>
      <c r="CA376" s="465"/>
      <c r="CB376" s="68"/>
      <c r="CC376" s="68"/>
      <c r="CD376" s="68"/>
      <c r="CE376" s="68"/>
      <c r="CF376" s="465"/>
      <c r="CG376" s="68"/>
      <c r="CH376" s="68"/>
      <c r="CI376" s="68"/>
      <c r="CJ376" s="68"/>
      <c r="CK376" s="465"/>
      <c r="CL376" s="68"/>
      <c r="CM376" s="68"/>
      <c r="CN376" s="68"/>
      <c r="CO376" s="68"/>
      <c r="CP376" s="465"/>
      <c r="CQ376" s="68"/>
      <c r="CR376" s="68"/>
      <c r="CS376" s="68"/>
      <c r="CT376" s="68"/>
      <c r="CU376" s="27"/>
      <c r="CV376" s="68"/>
      <c r="CW376" s="68"/>
      <c r="CX376" s="68"/>
      <c r="CY376" s="68"/>
      <c r="CZ376" s="27"/>
      <c r="DA376" s="68"/>
      <c r="DB376" s="68"/>
      <c r="DC376" s="68"/>
      <c r="DD376" s="68"/>
      <c r="DE376" s="27"/>
      <c r="DF376" s="68"/>
      <c r="DG376" s="68"/>
      <c r="DH376" s="68"/>
      <c r="DI376" s="68"/>
      <c r="DJ376" s="27"/>
      <c r="DK376" s="68"/>
      <c r="DL376" s="68"/>
      <c r="DM376" s="68"/>
      <c r="DN376" s="68"/>
      <c r="DO376" s="27"/>
      <c r="DP376" s="68"/>
      <c r="DQ376" s="68"/>
      <c r="DR376" s="68"/>
      <c r="DS376" s="68"/>
      <c r="DT376" s="27"/>
      <c r="DU376" s="27"/>
      <c r="DV376" s="27"/>
    </row>
    <row r="377" spans="1:126" s="108" customFormat="1">
      <c r="A377" s="37"/>
      <c r="B377" s="180" t="s">
        <v>278</v>
      </c>
      <c r="C377" s="101"/>
      <c r="D377" s="101"/>
      <c r="E377" s="101"/>
      <c r="F377" s="101"/>
      <c r="G377" s="101"/>
      <c r="H377" s="101"/>
      <c r="I377" s="101"/>
      <c r="J377" s="37"/>
      <c r="K377" s="37"/>
      <c r="L377" s="37"/>
      <c r="M377" s="37"/>
      <c r="N377" s="101"/>
      <c r="O377" s="37"/>
      <c r="P377" s="37"/>
      <c r="Q377" s="37"/>
      <c r="R377" s="37"/>
      <c r="S377" s="101"/>
      <c r="T377" s="37"/>
      <c r="U377" s="37"/>
      <c r="V377" s="37"/>
      <c r="W377" s="37"/>
      <c r="X377" s="101"/>
      <c r="Y377" s="37"/>
      <c r="Z377" s="37"/>
      <c r="AA377" s="37"/>
      <c r="AB377" s="37"/>
      <c r="AC377" s="101"/>
      <c r="AD377" s="37"/>
      <c r="AE377" s="37"/>
      <c r="AF377" s="37"/>
      <c r="AG377" s="37"/>
      <c r="AH377" s="101"/>
      <c r="AI377" s="37"/>
      <c r="AJ377" s="37"/>
      <c r="AK377" s="37"/>
      <c r="AL377" s="37"/>
      <c r="AM377" s="101"/>
      <c r="AN377" s="37"/>
      <c r="AO377" s="37"/>
      <c r="AP377" s="37"/>
      <c r="AQ377" s="37"/>
      <c r="AR377" s="101"/>
      <c r="AS377" s="37"/>
      <c r="AT377" s="37"/>
      <c r="AU377" s="37"/>
      <c r="AV377" s="37"/>
      <c r="AW377" s="465"/>
      <c r="AX377" s="68"/>
      <c r="AY377" s="68"/>
      <c r="AZ377" s="68"/>
      <c r="BA377" s="68"/>
      <c r="BB377" s="465"/>
      <c r="BC377" s="68"/>
      <c r="BD377" s="68"/>
      <c r="BE377" s="68"/>
      <c r="BF377" s="68"/>
      <c r="BG377" s="465"/>
      <c r="BH377" s="68"/>
      <c r="BI377" s="68"/>
      <c r="BJ377" s="68"/>
      <c r="BK377" s="68"/>
      <c r="BL377" s="465"/>
      <c r="BM377" s="68"/>
      <c r="BN377" s="68"/>
      <c r="BO377" s="68"/>
      <c r="BP377" s="68"/>
      <c r="BQ377" s="465"/>
      <c r="BR377" s="68"/>
      <c r="BS377" s="68"/>
      <c r="BT377" s="68"/>
      <c r="BU377" s="68"/>
      <c r="BV377" s="465"/>
      <c r="BW377" s="68"/>
      <c r="BX377" s="68"/>
      <c r="BY377" s="68"/>
      <c r="BZ377" s="68"/>
      <c r="CA377" s="465"/>
      <c r="CB377" s="68"/>
      <c r="CC377" s="68"/>
      <c r="CD377" s="68"/>
      <c r="CE377" s="68"/>
      <c r="CF377" s="465"/>
      <c r="CG377" s="68"/>
      <c r="CH377" s="68"/>
      <c r="CI377" s="68"/>
      <c r="CJ377" s="68"/>
      <c r="CK377" s="465"/>
      <c r="CL377" s="68"/>
      <c r="CM377" s="68"/>
      <c r="CN377" s="68"/>
      <c r="CO377" s="68"/>
      <c r="CP377" s="465"/>
      <c r="CQ377" s="68"/>
      <c r="CR377" s="68"/>
      <c r="CS377" s="68"/>
      <c r="CT377" s="68"/>
      <c r="CU377" s="27"/>
      <c r="CV377" s="68"/>
      <c r="CW377" s="68"/>
      <c r="CX377" s="68"/>
      <c r="CY377" s="68"/>
      <c r="CZ377" s="27"/>
      <c r="DA377" s="68"/>
      <c r="DB377" s="68"/>
      <c r="DC377" s="68"/>
      <c r="DD377" s="68"/>
      <c r="DE377" s="27"/>
      <c r="DF377" s="68"/>
      <c r="DG377" s="68"/>
      <c r="DH377" s="68"/>
      <c r="DI377" s="68"/>
      <c r="DJ377" s="27"/>
      <c r="DK377" s="68"/>
      <c r="DL377" s="68"/>
      <c r="DM377" s="68"/>
      <c r="DN377" s="68"/>
      <c r="DO377" s="27"/>
      <c r="DP377" s="68"/>
      <c r="DQ377" s="68"/>
      <c r="DR377" s="68"/>
      <c r="DS377" s="68"/>
      <c r="DT377" s="27"/>
      <c r="DU377" s="27"/>
      <c r="DV377" s="27"/>
    </row>
    <row r="378" spans="1:126" s="108" customFormat="1">
      <c r="A378" s="37"/>
      <c r="B378" s="180" t="s">
        <v>279</v>
      </c>
      <c r="C378" s="101"/>
      <c r="D378" s="101"/>
      <c r="E378" s="101"/>
      <c r="F378" s="101"/>
      <c r="G378" s="101"/>
      <c r="H378" s="101"/>
      <c r="I378" s="101"/>
      <c r="J378" s="37"/>
      <c r="K378" s="37"/>
      <c r="L378" s="37"/>
      <c r="M378" s="37"/>
      <c r="N378" s="101"/>
      <c r="O378" s="37"/>
      <c r="P378" s="37"/>
      <c r="Q378" s="37"/>
      <c r="R378" s="37"/>
      <c r="S378" s="101"/>
      <c r="T378" s="37"/>
      <c r="U378" s="37"/>
      <c r="V378" s="37"/>
      <c r="W378" s="37"/>
      <c r="X378" s="101"/>
      <c r="Y378" s="37"/>
      <c r="Z378" s="37"/>
      <c r="AA378" s="37"/>
      <c r="AB378" s="37"/>
      <c r="AC378" s="101"/>
      <c r="AD378" s="37"/>
      <c r="AE378" s="37"/>
      <c r="AF378" s="37"/>
      <c r="AG378" s="37"/>
      <c r="AH378" s="101"/>
      <c r="AI378" s="37"/>
      <c r="AJ378" s="37"/>
      <c r="AK378" s="37"/>
      <c r="AL378" s="37"/>
      <c r="AM378" s="101"/>
      <c r="AN378" s="37"/>
      <c r="AO378" s="37"/>
      <c r="AP378" s="37"/>
      <c r="AQ378" s="37"/>
      <c r="AR378" s="101"/>
      <c r="AS378" s="37"/>
      <c r="AT378" s="37"/>
      <c r="AU378" s="37"/>
      <c r="AV378" s="37"/>
      <c r="AW378" s="465"/>
      <c r="AX378" s="68"/>
      <c r="AY378" s="68"/>
      <c r="AZ378" s="68"/>
      <c r="BA378" s="68"/>
      <c r="BB378" s="465"/>
      <c r="BC378" s="68"/>
      <c r="BD378" s="68"/>
      <c r="BE378" s="68"/>
      <c r="BF378" s="68"/>
      <c r="BG378" s="465"/>
      <c r="BH378" s="68"/>
      <c r="BI378" s="68"/>
      <c r="BJ378" s="68"/>
      <c r="BK378" s="68"/>
      <c r="BL378" s="465"/>
      <c r="BM378" s="68"/>
      <c r="BN378" s="68"/>
      <c r="BO378" s="68"/>
      <c r="BP378" s="68"/>
      <c r="BQ378" s="465"/>
      <c r="BR378" s="68"/>
      <c r="BS378" s="68"/>
      <c r="BT378" s="68"/>
      <c r="BU378" s="68"/>
      <c r="BV378" s="465"/>
      <c r="BW378" s="68"/>
      <c r="BX378" s="68"/>
      <c r="BY378" s="68"/>
      <c r="BZ378" s="68"/>
      <c r="CA378" s="465"/>
      <c r="CB378" s="68"/>
      <c r="CC378" s="68"/>
      <c r="CD378" s="68"/>
      <c r="CE378" s="68"/>
      <c r="CF378" s="465"/>
      <c r="CG378" s="68"/>
      <c r="CH378" s="68"/>
      <c r="CI378" s="68"/>
      <c r="CJ378" s="68"/>
      <c r="CK378" s="465"/>
      <c r="CL378" s="68"/>
      <c r="CM378" s="68"/>
      <c r="CN378" s="68"/>
      <c r="CO378" s="68"/>
      <c r="CP378" s="465"/>
      <c r="CQ378" s="68"/>
      <c r="CR378" s="68"/>
      <c r="CS378" s="68"/>
      <c r="CT378" s="68"/>
      <c r="CU378" s="27"/>
      <c r="CV378" s="68"/>
      <c r="CW378" s="68"/>
      <c r="CX378" s="68"/>
      <c r="CY378" s="68"/>
      <c r="CZ378" s="27"/>
      <c r="DA378" s="68"/>
      <c r="DB378" s="68"/>
      <c r="DC378" s="68"/>
      <c r="DD378" s="68"/>
      <c r="DE378" s="27"/>
      <c r="DF378" s="68"/>
      <c r="DG378" s="68"/>
      <c r="DH378" s="68"/>
      <c r="DI378" s="68"/>
      <c r="DJ378" s="27"/>
      <c r="DK378" s="68"/>
      <c r="DL378" s="68"/>
      <c r="DM378" s="68"/>
      <c r="DN378" s="68"/>
      <c r="DO378" s="27"/>
      <c r="DP378" s="68"/>
      <c r="DQ378" s="68"/>
      <c r="DR378" s="68"/>
      <c r="DS378" s="68"/>
      <c r="DT378" s="27"/>
      <c r="DU378" s="27"/>
      <c r="DV378" s="27"/>
    </row>
    <row r="379" spans="1:126" s="108" customFormat="1">
      <c r="A379" s="37"/>
      <c r="B379" s="180" t="s">
        <v>280</v>
      </c>
      <c r="C379" s="101"/>
      <c r="D379" s="101"/>
      <c r="E379" s="101"/>
      <c r="F379" s="101"/>
      <c r="G379" s="101"/>
      <c r="H379" s="101"/>
      <c r="I379" s="101"/>
      <c r="J379" s="37"/>
      <c r="K379" s="37"/>
      <c r="L379" s="37"/>
      <c r="M379" s="37"/>
      <c r="N379" s="101"/>
      <c r="O379" s="37"/>
      <c r="P379" s="37"/>
      <c r="Q379" s="37"/>
      <c r="R379" s="37"/>
      <c r="S379" s="101"/>
      <c r="T379" s="37"/>
      <c r="U379" s="37"/>
      <c r="V379" s="37"/>
      <c r="W379" s="37"/>
      <c r="X379" s="101"/>
      <c r="Y379" s="37"/>
      <c r="Z379" s="37"/>
      <c r="AA379" s="37"/>
      <c r="AB379" s="37"/>
      <c r="AC379" s="101"/>
      <c r="AD379" s="37"/>
      <c r="AE379" s="37"/>
      <c r="AF379" s="37"/>
      <c r="AG379" s="37"/>
      <c r="AH379" s="101"/>
      <c r="AI379" s="37"/>
      <c r="AJ379" s="37"/>
      <c r="AK379" s="37"/>
      <c r="AL379" s="37"/>
      <c r="AM379" s="101"/>
      <c r="AN379" s="37"/>
      <c r="AO379" s="37"/>
      <c r="AP379" s="37"/>
      <c r="AQ379" s="37"/>
      <c r="AR379" s="101"/>
      <c r="AS379" s="37"/>
      <c r="AT379" s="37"/>
      <c r="AU379" s="37"/>
      <c r="AV379" s="37"/>
      <c r="AW379" s="465"/>
      <c r="AX379" s="68"/>
      <c r="AY379" s="68"/>
      <c r="AZ379" s="68"/>
      <c r="BA379" s="68"/>
      <c r="BB379" s="465"/>
      <c r="BC379" s="68"/>
      <c r="BD379" s="68"/>
      <c r="BE379" s="68"/>
      <c r="BF379" s="68"/>
      <c r="BG379" s="465"/>
      <c r="BH379" s="68"/>
      <c r="BI379" s="68"/>
      <c r="BJ379" s="68"/>
      <c r="BK379" s="68"/>
      <c r="BL379" s="465"/>
      <c r="BM379" s="68"/>
      <c r="BN379" s="68"/>
      <c r="BO379" s="68"/>
      <c r="BP379" s="68"/>
      <c r="BQ379" s="465"/>
      <c r="BR379" s="68"/>
      <c r="BS379" s="68"/>
      <c r="BT379" s="68"/>
      <c r="BU379" s="68"/>
      <c r="BV379" s="465"/>
      <c r="BW379" s="68"/>
      <c r="BX379" s="68"/>
      <c r="BY379" s="68"/>
      <c r="BZ379" s="68"/>
      <c r="CA379" s="465"/>
      <c r="CB379" s="68"/>
      <c r="CC379" s="68"/>
      <c r="CD379" s="68"/>
      <c r="CE379" s="68"/>
      <c r="CF379" s="465"/>
      <c r="CG379" s="68"/>
      <c r="CH379" s="68"/>
      <c r="CI379" s="68"/>
      <c r="CJ379" s="68"/>
      <c r="CK379" s="465"/>
      <c r="CL379" s="68"/>
      <c r="CM379" s="68"/>
      <c r="CN379" s="68"/>
      <c r="CO379" s="68"/>
      <c r="CP379" s="465"/>
      <c r="CQ379" s="68"/>
      <c r="CR379" s="68"/>
      <c r="CS379" s="68"/>
      <c r="CT379" s="68"/>
      <c r="CU379" s="27"/>
      <c r="CV379" s="68"/>
      <c r="CW379" s="68"/>
      <c r="CX379" s="68"/>
      <c r="CY379" s="68"/>
      <c r="CZ379" s="27"/>
      <c r="DA379" s="68"/>
      <c r="DB379" s="68"/>
      <c r="DC379" s="68"/>
      <c r="DD379" s="68"/>
      <c r="DE379" s="27"/>
      <c r="DF379" s="68"/>
      <c r="DG379" s="68"/>
      <c r="DH379" s="68"/>
      <c r="DI379" s="68"/>
      <c r="DJ379" s="27"/>
      <c r="DK379" s="68"/>
      <c r="DL379" s="68"/>
      <c r="DM379" s="68"/>
      <c r="DN379" s="68"/>
      <c r="DO379" s="27"/>
      <c r="DP379" s="68"/>
      <c r="DQ379" s="68"/>
      <c r="DR379" s="68"/>
      <c r="DS379" s="68"/>
      <c r="DT379" s="27"/>
      <c r="DU379" s="27"/>
      <c r="DV379" s="27"/>
    </row>
    <row r="380" spans="1:126" s="108" customFormat="1">
      <c r="A380" s="37"/>
      <c r="B380" s="180" t="s">
        <v>281</v>
      </c>
      <c r="C380" s="101"/>
      <c r="D380" s="101"/>
      <c r="E380" s="101"/>
      <c r="F380" s="101"/>
      <c r="G380" s="101"/>
      <c r="H380" s="101"/>
      <c r="I380" s="101"/>
      <c r="J380" s="37"/>
      <c r="K380" s="37"/>
      <c r="L380" s="37"/>
      <c r="M380" s="37"/>
      <c r="N380" s="101"/>
      <c r="O380" s="37"/>
      <c r="P380" s="37"/>
      <c r="Q380" s="37"/>
      <c r="R380" s="37"/>
      <c r="S380" s="101"/>
      <c r="T380" s="37"/>
      <c r="U380" s="37"/>
      <c r="V380" s="37"/>
      <c r="W380" s="37"/>
      <c r="X380" s="101"/>
      <c r="Y380" s="37"/>
      <c r="Z380" s="37"/>
      <c r="AA380" s="37"/>
      <c r="AB380" s="37"/>
      <c r="AC380" s="101"/>
      <c r="AD380" s="37"/>
      <c r="AE380" s="37"/>
      <c r="AF380" s="37"/>
      <c r="AG380" s="37"/>
      <c r="AH380" s="101"/>
      <c r="AI380" s="37"/>
      <c r="AJ380" s="37"/>
      <c r="AK380" s="37"/>
      <c r="AL380" s="37"/>
      <c r="AM380" s="101"/>
      <c r="AN380" s="37"/>
      <c r="AO380" s="37"/>
      <c r="AP380" s="37"/>
      <c r="AQ380" s="37"/>
      <c r="AR380" s="101"/>
      <c r="AS380" s="37"/>
      <c r="AT380" s="37"/>
      <c r="AU380" s="37"/>
      <c r="AV380" s="37"/>
      <c r="AW380" s="465"/>
      <c r="AX380" s="68"/>
      <c r="AY380" s="68"/>
      <c r="AZ380" s="68"/>
      <c r="BA380" s="68"/>
      <c r="BB380" s="465"/>
      <c r="BC380" s="68"/>
      <c r="BD380" s="68"/>
      <c r="BE380" s="68"/>
      <c r="BF380" s="68"/>
      <c r="BG380" s="465"/>
      <c r="BH380" s="68"/>
      <c r="BI380" s="68"/>
      <c r="BJ380" s="68"/>
      <c r="BK380" s="68"/>
      <c r="BL380" s="465"/>
      <c r="BM380" s="68"/>
      <c r="BN380" s="68"/>
      <c r="BO380" s="68"/>
      <c r="BP380" s="68"/>
      <c r="BQ380" s="465"/>
      <c r="BR380" s="68"/>
      <c r="BS380" s="68"/>
      <c r="BT380" s="68"/>
      <c r="BU380" s="68"/>
      <c r="BV380" s="465"/>
      <c r="BW380" s="68"/>
      <c r="BX380" s="68"/>
      <c r="BY380" s="68"/>
      <c r="BZ380" s="68"/>
      <c r="CA380" s="465"/>
      <c r="CB380" s="68"/>
      <c r="CC380" s="68"/>
      <c r="CD380" s="68"/>
      <c r="CE380" s="68"/>
      <c r="CF380" s="465"/>
      <c r="CG380" s="68"/>
      <c r="CH380" s="68"/>
      <c r="CI380" s="68"/>
      <c r="CJ380" s="68"/>
      <c r="CK380" s="465"/>
      <c r="CL380" s="68"/>
      <c r="CM380" s="68"/>
      <c r="CN380" s="68"/>
      <c r="CO380" s="68"/>
      <c r="CP380" s="465"/>
      <c r="CQ380" s="68"/>
      <c r="CR380" s="68"/>
      <c r="CS380" s="68"/>
      <c r="CT380" s="68"/>
      <c r="CU380" s="27"/>
      <c r="CV380" s="68"/>
      <c r="CW380" s="68"/>
      <c r="CX380" s="68"/>
      <c r="CY380" s="68"/>
      <c r="CZ380" s="27"/>
      <c r="DA380" s="68"/>
      <c r="DB380" s="68"/>
      <c r="DC380" s="68"/>
      <c r="DD380" s="68"/>
      <c r="DE380" s="27"/>
      <c r="DF380" s="68"/>
      <c r="DG380" s="68"/>
      <c r="DH380" s="68"/>
      <c r="DI380" s="68"/>
      <c r="DJ380" s="27"/>
      <c r="DK380" s="68"/>
      <c r="DL380" s="68"/>
      <c r="DM380" s="68"/>
      <c r="DN380" s="68"/>
      <c r="DO380" s="27"/>
      <c r="DP380" s="68"/>
      <c r="DQ380" s="68"/>
      <c r="DR380" s="68"/>
      <c r="DS380" s="68"/>
      <c r="DT380" s="27"/>
      <c r="DU380" s="27"/>
      <c r="DV380" s="27"/>
    </row>
    <row r="381" spans="1:126" s="108" customFormat="1">
      <c r="A381" s="37"/>
      <c r="B381" s="180" t="s">
        <v>282</v>
      </c>
      <c r="C381" s="101"/>
      <c r="D381" s="101"/>
      <c r="E381" s="101"/>
      <c r="F381" s="101"/>
      <c r="G381" s="101"/>
      <c r="H381" s="101"/>
      <c r="I381" s="101"/>
      <c r="J381" s="37"/>
      <c r="K381" s="37"/>
      <c r="L381" s="37"/>
      <c r="M381" s="37"/>
      <c r="N381" s="101"/>
      <c r="O381" s="37"/>
      <c r="P381" s="37"/>
      <c r="Q381" s="37"/>
      <c r="R381" s="37"/>
      <c r="S381" s="101"/>
      <c r="T381" s="37"/>
      <c r="U381" s="37"/>
      <c r="V381" s="37"/>
      <c r="W381" s="37"/>
      <c r="X381" s="101"/>
      <c r="Y381" s="37"/>
      <c r="Z381" s="37"/>
      <c r="AA381" s="37"/>
      <c r="AB381" s="37"/>
      <c r="AC381" s="101"/>
      <c r="AD381" s="37"/>
      <c r="AE381" s="37"/>
      <c r="AF381" s="37"/>
      <c r="AG381" s="37"/>
      <c r="AH381" s="101"/>
      <c r="AI381" s="37"/>
      <c r="AJ381" s="37"/>
      <c r="AK381" s="37"/>
      <c r="AL381" s="37"/>
      <c r="AM381" s="101"/>
      <c r="AN381" s="37"/>
      <c r="AO381" s="37"/>
      <c r="AP381" s="37"/>
      <c r="AQ381" s="37"/>
      <c r="AR381" s="101"/>
      <c r="AS381" s="37"/>
      <c r="AT381" s="37"/>
      <c r="AU381" s="37"/>
      <c r="AV381" s="37"/>
      <c r="AW381" s="465"/>
      <c r="AX381" s="68"/>
      <c r="AY381" s="68"/>
      <c r="AZ381" s="68"/>
      <c r="BA381" s="68"/>
      <c r="BB381" s="465"/>
      <c r="BC381" s="68"/>
      <c r="BD381" s="68"/>
      <c r="BE381" s="68"/>
      <c r="BF381" s="68"/>
      <c r="BG381" s="465"/>
      <c r="BH381" s="68"/>
      <c r="BI381" s="68"/>
      <c r="BJ381" s="68"/>
      <c r="BK381" s="68"/>
      <c r="BL381" s="465"/>
      <c r="BM381" s="68"/>
      <c r="BN381" s="68"/>
      <c r="BO381" s="68"/>
      <c r="BP381" s="68"/>
      <c r="BQ381" s="465"/>
      <c r="BR381" s="68"/>
      <c r="BS381" s="68"/>
      <c r="BT381" s="68"/>
      <c r="BU381" s="68"/>
      <c r="BV381" s="465"/>
      <c r="BW381" s="68"/>
      <c r="BX381" s="68"/>
      <c r="BY381" s="68"/>
      <c r="BZ381" s="68"/>
      <c r="CA381" s="465"/>
      <c r="CB381" s="68"/>
      <c r="CC381" s="68"/>
      <c r="CD381" s="68"/>
      <c r="CE381" s="68"/>
      <c r="CF381" s="465"/>
      <c r="CG381" s="68"/>
      <c r="CH381" s="68"/>
      <c r="CI381" s="68"/>
      <c r="CJ381" s="68"/>
      <c r="CK381" s="465"/>
      <c r="CL381" s="68"/>
      <c r="CM381" s="68"/>
      <c r="CN381" s="68"/>
      <c r="CO381" s="68"/>
      <c r="CP381" s="465"/>
      <c r="CQ381" s="68"/>
      <c r="CR381" s="68"/>
      <c r="CS381" s="68"/>
      <c r="CT381" s="68"/>
      <c r="CU381" s="27"/>
      <c r="CV381" s="68"/>
      <c r="CW381" s="68"/>
      <c r="CX381" s="68"/>
      <c r="CY381" s="68"/>
      <c r="CZ381" s="27"/>
      <c r="DA381" s="68"/>
      <c r="DB381" s="68"/>
      <c r="DC381" s="68"/>
      <c r="DD381" s="68"/>
      <c r="DE381" s="27"/>
      <c r="DF381" s="68"/>
      <c r="DG381" s="68"/>
      <c r="DH381" s="68"/>
      <c r="DI381" s="68"/>
      <c r="DJ381" s="27"/>
      <c r="DK381" s="68"/>
      <c r="DL381" s="68"/>
      <c r="DM381" s="68"/>
      <c r="DN381" s="68"/>
      <c r="DO381" s="27"/>
      <c r="DP381" s="68"/>
      <c r="DQ381" s="68"/>
      <c r="DR381" s="68"/>
      <c r="DS381" s="68"/>
      <c r="DT381" s="27"/>
      <c r="DU381" s="27"/>
      <c r="DV381" s="27"/>
    </row>
    <row r="382" spans="1:126" s="108" customFormat="1">
      <c r="A382" s="37"/>
      <c r="B382" s="180" t="s">
        <v>283</v>
      </c>
      <c r="C382" s="101"/>
      <c r="D382" s="101"/>
      <c r="E382" s="101"/>
      <c r="F382" s="101"/>
      <c r="G382" s="101"/>
      <c r="H382" s="101"/>
      <c r="I382" s="101"/>
      <c r="J382" s="37"/>
      <c r="K382" s="37"/>
      <c r="L382" s="37"/>
      <c r="M382" s="37"/>
      <c r="N382" s="101"/>
      <c r="O382" s="37"/>
      <c r="P382" s="37"/>
      <c r="Q382" s="37"/>
      <c r="R382" s="37"/>
      <c r="S382" s="101"/>
      <c r="T382" s="37"/>
      <c r="U382" s="37"/>
      <c r="V382" s="37"/>
      <c r="W382" s="37"/>
      <c r="X382" s="101"/>
      <c r="Y382" s="37"/>
      <c r="Z382" s="37"/>
      <c r="AA382" s="37"/>
      <c r="AB382" s="37"/>
      <c r="AC382" s="101"/>
      <c r="AD382" s="37"/>
      <c r="AE382" s="37"/>
      <c r="AF382" s="37"/>
      <c r="AG382" s="37"/>
      <c r="AH382" s="101"/>
      <c r="AI382" s="37"/>
      <c r="AJ382" s="37"/>
      <c r="AK382" s="37"/>
      <c r="AL382" s="37"/>
      <c r="AM382" s="101"/>
      <c r="AN382" s="37"/>
      <c r="AO382" s="37"/>
      <c r="AP382" s="37"/>
      <c r="AQ382" s="37"/>
      <c r="AR382" s="101"/>
      <c r="AS382" s="37"/>
      <c r="AT382" s="37"/>
      <c r="AU382" s="37"/>
      <c r="AV382" s="37"/>
      <c r="AW382" s="465"/>
      <c r="AX382" s="68"/>
      <c r="AY382" s="68"/>
      <c r="AZ382" s="68"/>
      <c r="BA382" s="68"/>
      <c r="BB382" s="465"/>
      <c r="BC382" s="68"/>
      <c r="BD382" s="68"/>
      <c r="BE382" s="68"/>
      <c r="BF382" s="68"/>
      <c r="BG382" s="465"/>
      <c r="BH382" s="68"/>
      <c r="BI382" s="68"/>
      <c r="BJ382" s="68"/>
      <c r="BK382" s="68"/>
      <c r="BL382" s="465"/>
      <c r="BM382" s="68"/>
      <c r="BN382" s="68"/>
      <c r="BO382" s="68"/>
      <c r="BP382" s="68"/>
      <c r="BQ382" s="465"/>
      <c r="BR382" s="68"/>
      <c r="BS382" s="68"/>
      <c r="BT382" s="68"/>
      <c r="BU382" s="68"/>
      <c r="BV382" s="465"/>
      <c r="BW382" s="68"/>
      <c r="BX382" s="68"/>
      <c r="BY382" s="68"/>
      <c r="BZ382" s="68"/>
      <c r="CA382" s="465"/>
      <c r="CB382" s="68"/>
      <c r="CC382" s="68"/>
      <c r="CD382" s="68"/>
      <c r="CE382" s="68"/>
      <c r="CF382" s="465"/>
      <c r="CG382" s="68"/>
      <c r="CH382" s="68"/>
      <c r="CI382" s="68"/>
      <c r="CJ382" s="68"/>
      <c r="CK382" s="465"/>
      <c r="CL382" s="68"/>
      <c r="CM382" s="68"/>
      <c r="CN382" s="68"/>
      <c r="CO382" s="68"/>
      <c r="CP382" s="465"/>
      <c r="CQ382" s="68"/>
      <c r="CR382" s="68"/>
      <c r="CS382" s="68"/>
      <c r="CT382" s="68"/>
      <c r="CU382" s="27"/>
      <c r="CV382" s="68"/>
      <c r="CW382" s="68"/>
      <c r="CX382" s="68"/>
      <c r="CY382" s="68"/>
      <c r="CZ382" s="27"/>
      <c r="DA382" s="68"/>
      <c r="DB382" s="68"/>
      <c r="DC382" s="68"/>
      <c r="DD382" s="68"/>
      <c r="DE382" s="27"/>
      <c r="DF382" s="68"/>
      <c r="DG382" s="68"/>
      <c r="DH382" s="68"/>
      <c r="DI382" s="68"/>
      <c r="DJ382" s="27"/>
      <c r="DK382" s="68"/>
      <c r="DL382" s="68"/>
      <c r="DM382" s="68"/>
      <c r="DN382" s="68"/>
      <c r="DO382" s="27"/>
      <c r="DP382" s="68"/>
      <c r="DQ382" s="68"/>
      <c r="DR382" s="68"/>
      <c r="DS382" s="68"/>
      <c r="DT382" s="27"/>
      <c r="DU382" s="27"/>
      <c r="DV382" s="27"/>
    </row>
    <row r="383" spans="1:126" ht="6" customHeight="1" thickBot="1">
      <c r="B383" s="3"/>
      <c r="C383" s="26"/>
      <c r="D383" s="26"/>
      <c r="E383" s="26"/>
      <c r="F383" s="26"/>
      <c r="G383" s="26"/>
      <c r="H383" s="26"/>
      <c r="I383" s="26"/>
      <c r="N383" s="26"/>
      <c r="S383" s="26"/>
      <c r="X383" s="26"/>
      <c r="AC383" s="26"/>
      <c r="AH383" s="26"/>
      <c r="AM383" s="26"/>
      <c r="AR383" s="26"/>
      <c r="AW383" s="463"/>
      <c r="AX383" s="68"/>
      <c r="AY383" s="68"/>
      <c r="AZ383" s="68"/>
      <c r="BA383" s="68"/>
      <c r="BB383" s="463"/>
      <c r="BC383" s="68"/>
      <c r="BD383" s="68"/>
      <c r="BE383" s="68"/>
      <c r="BF383" s="68"/>
      <c r="BG383" s="463"/>
      <c r="BH383" s="68"/>
      <c r="BI383" s="68"/>
      <c r="BJ383" s="68"/>
      <c r="BK383" s="68"/>
      <c r="BL383" s="463"/>
      <c r="BM383" s="68"/>
      <c r="BN383" s="68"/>
      <c r="BO383" s="68"/>
      <c r="BP383" s="68"/>
      <c r="BQ383" s="463"/>
      <c r="BR383" s="68"/>
      <c r="BS383" s="68"/>
      <c r="BT383" s="68"/>
      <c r="BU383" s="68"/>
      <c r="BV383" s="463"/>
      <c r="BW383" s="68"/>
      <c r="BX383" s="68"/>
      <c r="BY383" s="68"/>
      <c r="BZ383" s="68"/>
      <c r="CA383" s="463"/>
      <c r="CB383" s="68"/>
      <c r="CC383" s="68"/>
      <c r="CD383" s="68"/>
      <c r="CE383" s="68"/>
      <c r="CF383" s="463"/>
      <c r="CG383" s="68"/>
      <c r="CH383" s="68"/>
      <c r="CI383" s="68"/>
      <c r="CJ383" s="68"/>
      <c r="CK383" s="463"/>
      <c r="CL383" s="68"/>
      <c r="CM383" s="68"/>
      <c r="CN383" s="68"/>
      <c r="CO383" s="68"/>
      <c r="CP383" s="463"/>
      <c r="CQ383" s="68"/>
      <c r="CR383" s="68"/>
      <c r="CS383" s="68"/>
      <c r="CT383" s="68"/>
      <c r="CU383" s="463"/>
      <c r="CV383" s="68"/>
      <c r="CW383" s="68"/>
      <c r="CX383" s="68"/>
      <c r="CY383" s="68"/>
      <c r="CZ383" s="463"/>
      <c r="DA383" s="68"/>
      <c r="DB383" s="68"/>
      <c r="DC383" s="68"/>
      <c r="DD383" s="68"/>
      <c r="DE383" s="463"/>
      <c r="DF383" s="68"/>
      <c r="DG383" s="68"/>
      <c r="DH383" s="68"/>
      <c r="DI383" s="68"/>
      <c r="DJ383" s="463"/>
      <c r="DK383" s="68"/>
      <c r="DL383" s="68"/>
      <c r="DM383" s="68"/>
      <c r="DN383" s="68"/>
      <c r="DO383" s="463"/>
      <c r="DP383" s="68"/>
      <c r="DQ383" s="68"/>
      <c r="DR383" s="68"/>
      <c r="DS383" s="68"/>
      <c r="DT383" s="463"/>
      <c r="DU383" s="463"/>
      <c r="DV383" s="463"/>
    </row>
  </sheetData>
  <phoneticPr fontId="6" type="noConversion"/>
  <printOptions horizontalCentered="1" verticalCentered="1"/>
  <pageMargins left="0.8" right="0.3" top="0.7" bottom="0.7" header="0.5" footer="0.5"/>
  <pageSetup scale="10" orientation="portrait" r:id="rId1"/>
  <headerFooter alignWithMargins="0"/>
  <rowBreaks count="1" manualBreakCount="1">
    <brk id="130" min="1" max="78" man="1"/>
  </rowBreaks>
  <customProperties>
    <customPr name="Qube.Worksheet.Visibility" r:id="rId2"/>
  </customProperties>
  <ignoredErrors>
    <ignoredError sqref="N142 AW143:AW144 N176:N186 N145:N151" formulaRange="1"/>
  </ignoredErrors>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autoPageBreaks="0" fitToPage="1"/>
  </sheetPr>
  <dimension ref="A1:DV245"/>
  <sheetViews>
    <sheetView showGridLines="0" zoomScaleNormal="100" workbookViewId="0">
      <pane xSplit="2" ySplit="4" topLeftCell="C5" activePane="bottomRight" state="frozen"/>
      <selection activeCell="BO5" sqref="BO5"/>
      <selection pane="topRight" activeCell="BO5" sqref="BO5"/>
      <selection pane="bottomLeft" activeCell="BO5" sqref="BO5"/>
      <selection pane="bottomRight"/>
    </sheetView>
  </sheetViews>
  <sheetFormatPr defaultRowHeight="12" outlineLevelRow="2"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customWidth="1" collapsed="1"/>
    <col min="55" max="58" width="9.7109375" hidden="1" customWidth="1" outlineLevel="1"/>
    <col min="59" max="59" width="9.7109375" customWidth="1" collapsed="1"/>
    <col min="60" max="63" width="9.7109375" hidden="1" customWidth="1" outlineLevel="1"/>
    <col min="64" max="64" width="9.7109375"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hidden="1" customWidth="1" outlineLevel="1"/>
    <col min="114" max="114" width="9.7109375" customWidth="1" collapsed="1"/>
    <col min="115" max="118" width="9.7109375" customWidth="1" outlineLevel="1"/>
    <col min="119" max="119" width="9.7109375" customWidth="1"/>
    <col min="120" max="123" width="9.7109375" hidden="1" customWidth="1" outlineLevel="1"/>
    <col min="124" max="124" width="9.7109375" customWidth="1" collapsed="1"/>
    <col min="125" max="125" width="9.7109375" customWidth="1"/>
  </cols>
  <sheetData>
    <row r="1" spans="1:126" ht="12.75" thickBot="1">
      <c r="AU1" s="435"/>
      <c r="AZ1" s="29"/>
      <c r="BA1" s="29"/>
      <c r="BB1" s="29"/>
      <c r="BC1" s="182"/>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row>
    <row r="2" spans="1:126" ht="6" customHeight="1">
      <c r="C2" s="19"/>
      <c r="D2" s="19"/>
      <c r="E2" s="19"/>
      <c r="F2" s="19"/>
      <c r="G2" s="19"/>
      <c r="H2" s="19"/>
      <c r="I2" s="19"/>
      <c r="N2" s="19"/>
      <c r="S2" s="19"/>
      <c r="X2" s="19"/>
      <c r="AC2" s="19"/>
      <c r="AH2" s="19"/>
      <c r="AM2" s="19"/>
      <c r="AR2" s="19"/>
      <c r="AW2" s="19"/>
      <c r="BB2" s="19"/>
      <c r="BG2" s="19"/>
      <c r="BL2" s="19"/>
      <c r="BQ2" s="19"/>
      <c r="BV2" s="19"/>
      <c r="CA2" s="19"/>
      <c r="CF2" s="19"/>
      <c r="CK2" s="19"/>
      <c r="CP2" s="19"/>
      <c r="CU2" s="19"/>
      <c r="CZ2" s="19"/>
      <c r="DE2" s="19"/>
      <c r="DJ2" s="19"/>
      <c r="DO2" s="19"/>
      <c r="DT2" s="19"/>
      <c r="DU2" s="19"/>
      <c r="DV2" s="19"/>
    </row>
    <row r="3" spans="1:126" ht="15.75">
      <c r="B3" s="23" t="s">
        <v>554</v>
      </c>
      <c r="C3" s="467">
        <v>1997</v>
      </c>
      <c r="D3" s="467">
        <v>1998</v>
      </c>
      <c r="E3" s="467">
        <v>1999</v>
      </c>
      <c r="F3" s="467">
        <v>2000</v>
      </c>
      <c r="G3" s="467">
        <v>2001</v>
      </c>
      <c r="H3" s="467">
        <v>2002</v>
      </c>
      <c r="I3" s="467">
        <v>2003</v>
      </c>
      <c r="J3" s="20" t="s">
        <v>0</v>
      </c>
      <c r="K3" s="20" t="s">
        <v>1</v>
      </c>
      <c r="L3" s="20" t="s">
        <v>2</v>
      </c>
      <c r="M3" s="20" t="s">
        <v>3</v>
      </c>
      <c r="N3" s="467">
        <v>2004</v>
      </c>
      <c r="O3" s="20" t="s">
        <v>4</v>
      </c>
      <c r="P3" s="20" t="s">
        <v>5</v>
      </c>
      <c r="Q3" s="20" t="s">
        <v>6</v>
      </c>
      <c r="R3" s="20" t="s">
        <v>7</v>
      </c>
      <c r="S3" s="467">
        <v>2005</v>
      </c>
      <c r="T3" s="20" t="s">
        <v>8</v>
      </c>
      <c r="U3" s="20" t="s">
        <v>9</v>
      </c>
      <c r="V3" s="20" t="s">
        <v>10</v>
      </c>
      <c r="W3" s="20" t="s">
        <v>11</v>
      </c>
      <c r="X3" s="467">
        <v>2006</v>
      </c>
      <c r="Y3" s="20" t="s">
        <v>12</v>
      </c>
      <c r="Z3" s="20" t="s">
        <v>13</v>
      </c>
      <c r="AA3" s="20" t="s">
        <v>14</v>
      </c>
      <c r="AB3" s="20" t="s">
        <v>15</v>
      </c>
      <c r="AC3" s="467">
        <v>2007</v>
      </c>
      <c r="AD3" s="20" t="s">
        <v>16</v>
      </c>
      <c r="AE3" s="20" t="s">
        <v>17</v>
      </c>
      <c r="AF3" s="20" t="s">
        <v>18</v>
      </c>
      <c r="AG3" s="20" t="s">
        <v>19</v>
      </c>
      <c r="AH3" s="467">
        <v>2008</v>
      </c>
      <c r="AI3" s="20" t="s">
        <v>20</v>
      </c>
      <c r="AJ3" s="20" t="s">
        <v>21</v>
      </c>
      <c r="AK3" s="20" t="s">
        <v>22</v>
      </c>
      <c r="AL3" s="20" t="s">
        <v>23</v>
      </c>
      <c r="AM3" s="467">
        <v>2009</v>
      </c>
      <c r="AN3" s="20" t="s">
        <v>24</v>
      </c>
      <c r="AO3" s="20" t="s">
        <v>25</v>
      </c>
      <c r="AP3" s="20" t="s">
        <v>174</v>
      </c>
      <c r="AQ3" s="20" t="s">
        <v>175</v>
      </c>
      <c r="AR3" s="467">
        <v>2010</v>
      </c>
      <c r="AS3" s="20" t="s">
        <v>176</v>
      </c>
      <c r="AT3" s="20" t="s">
        <v>177</v>
      </c>
      <c r="AU3" s="20" t="s">
        <v>178</v>
      </c>
      <c r="AV3" s="20" t="s">
        <v>179</v>
      </c>
      <c r="AW3" s="467">
        <v>2011</v>
      </c>
      <c r="AX3" s="20" t="s">
        <v>181</v>
      </c>
      <c r="AY3" s="20" t="s">
        <v>182</v>
      </c>
      <c r="AZ3" s="20" t="s">
        <v>242</v>
      </c>
      <c r="BA3" s="20" t="s">
        <v>183</v>
      </c>
      <c r="BB3" s="467">
        <v>2012</v>
      </c>
      <c r="BC3" s="20"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461</v>
      </c>
      <c r="CH3" s="20" t="s">
        <v>462</v>
      </c>
      <c r="CI3" s="20" t="s">
        <v>463</v>
      </c>
      <c r="CJ3" s="20" t="s">
        <v>464</v>
      </c>
      <c r="CK3" s="467">
        <v>2019</v>
      </c>
      <c r="CL3" s="20" t="s">
        <v>470</v>
      </c>
      <c r="CM3" s="20" t="s">
        <v>469</v>
      </c>
      <c r="CN3" s="20" t="s">
        <v>468</v>
      </c>
      <c r="CO3" s="20" t="s">
        <v>467</v>
      </c>
      <c r="CP3" s="467">
        <v>2020</v>
      </c>
      <c r="CQ3" s="20" t="s">
        <v>597</v>
      </c>
      <c r="CR3" s="20" t="s">
        <v>598</v>
      </c>
      <c r="CS3" s="20" t="s">
        <v>599</v>
      </c>
      <c r="CT3" s="20" t="s">
        <v>600</v>
      </c>
      <c r="CU3" s="467">
        <v>2021</v>
      </c>
      <c r="CV3" s="20" t="s">
        <v>611</v>
      </c>
      <c r="CW3" s="20" t="s">
        <v>612</v>
      </c>
      <c r="CX3" s="20" t="s">
        <v>613</v>
      </c>
      <c r="CY3" s="20" t="s">
        <v>614</v>
      </c>
      <c r="CZ3" s="467">
        <v>2022</v>
      </c>
      <c r="DA3" s="20" t="s">
        <v>617</v>
      </c>
      <c r="DB3" s="20" t="s">
        <v>618</v>
      </c>
      <c r="DC3" s="20" t="s">
        <v>619</v>
      </c>
      <c r="DD3" s="20" t="s">
        <v>620</v>
      </c>
      <c r="DE3" s="467">
        <v>2023</v>
      </c>
      <c r="DF3" s="20" t="s">
        <v>625</v>
      </c>
      <c r="DG3" s="20" t="s">
        <v>626</v>
      </c>
      <c r="DH3" s="20" t="s">
        <v>627</v>
      </c>
      <c r="DI3" s="20" t="s">
        <v>628</v>
      </c>
      <c r="DJ3" s="467">
        <v>2024</v>
      </c>
      <c r="DK3" s="20" t="s">
        <v>642</v>
      </c>
      <c r="DL3" s="20" t="s">
        <v>643</v>
      </c>
      <c r="DM3" s="20" t="s">
        <v>644</v>
      </c>
      <c r="DN3" s="20" t="s">
        <v>635</v>
      </c>
      <c r="DO3" s="467" t="s">
        <v>404</v>
      </c>
      <c r="DP3" s="20" t="s">
        <v>651</v>
      </c>
      <c r="DQ3" s="20" t="s">
        <v>652</v>
      </c>
      <c r="DR3" s="20" t="s">
        <v>653</v>
      </c>
      <c r="DS3" s="20" t="s">
        <v>654</v>
      </c>
      <c r="DT3" s="467" t="s">
        <v>632</v>
      </c>
      <c r="DU3" s="467" t="s">
        <v>633</v>
      </c>
      <c r="DV3" s="467" t="s">
        <v>650</v>
      </c>
    </row>
    <row r="4" spans="1:126" ht="12.75">
      <c r="B4" s="24" t="s">
        <v>100</v>
      </c>
      <c r="C4" s="21">
        <v>35795</v>
      </c>
      <c r="D4" s="21">
        <v>36160</v>
      </c>
      <c r="E4" s="21">
        <v>36525</v>
      </c>
      <c r="F4" s="21">
        <v>36891</v>
      </c>
      <c r="G4" s="21">
        <v>37256</v>
      </c>
      <c r="H4" s="21">
        <v>37621</v>
      </c>
      <c r="I4" s="21">
        <v>37986</v>
      </c>
      <c r="J4" s="217">
        <v>38076</v>
      </c>
      <c r="K4" s="217">
        <v>38168</v>
      </c>
      <c r="L4" s="217">
        <v>38260</v>
      </c>
      <c r="M4" s="22">
        <v>38352</v>
      </c>
      <c r="N4" s="21">
        <v>38352</v>
      </c>
      <c r="O4" s="217">
        <v>38441</v>
      </c>
      <c r="P4" s="217">
        <v>38533</v>
      </c>
      <c r="Q4" s="217">
        <v>38625</v>
      </c>
      <c r="R4" s="22">
        <v>38717</v>
      </c>
      <c r="S4" s="21">
        <v>38717</v>
      </c>
      <c r="T4" s="217">
        <v>38806</v>
      </c>
      <c r="U4" s="217">
        <v>38898</v>
      </c>
      <c r="V4" s="217">
        <v>38990</v>
      </c>
      <c r="W4" s="22">
        <v>39082</v>
      </c>
      <c r="X4" s="21">
        <v>39082</v>
      </c>
      <c r="Y4" s="217">
        <v>39171</v>
      </c>
      <c r="Z4" s="217">
        <v>39263</v>
      </c>
      <c r="AA4" s="217">
        <v>39355</v>
      </c>
      <c r="AB4" s="22">
        <v>39447</v>
      </c>
      <c r="AC4" s="21">
        <v>39447</v>
      </c>
      <c r="AD4" s="217">
        <v>39537</v>
      </c>
      <c r="AE4" s="217">
        <v>39629</v>
      </c>
      <c r="AF4" s="217">
        <v>39721</v>
      </c>
      <c r="AG4" s="22">
        <v>39813</v>
      </c>
      <c r="AH4" s="21">
        <v>39813</v>
      </c>
      <c r="AI4" s="217">
        <v>39902</v>
      </c>
      <c r="AJ4" s="217">
        <v>39994</v>
      </c>
      <c r="AK4" s="217">
        <v>40086</v>
      </c>
      <c r="AL4" s="22">
        <v>40178</v>
      </c>
      <c r="AM4" s="21">
        <v>40178</v>
      </c>
      <c r="AN4" s="217">
        <v>40267</v>
      </c>
      <c r="AO4" s="217">
        <v>40359</v>
      </c>
      <c r="AP4" s="217">
        <v>40451</v>
      </c>
      <c r="AQ4" s="22">
        <v>40543</v>
      </c>
      <c r="AR4" s="21">
        <v>40543</v>
      </c>
      <c r="AS4" s="217">
        <v>40632</v>
      </c>
      <c r="AT4" s="217">
        <v>40724</v>
      </c>
      <c r="AU4" s="217">
        <v>40816</v>
      </c>
      <c r="AV4" s="22">
        <v>40908</v>
      </c>
      <c r="AW4" s="21">
        <v>40908</v>
      </c>
      <c r="AX4" s="217">
        <v>40998</v>
      </c>
      <c r="AY4" s="217">
        <v>41090</v>
      </c>
      <c r="AZ4" s="217">
        <v>41182</v>
      </c>
      <c r="BA4" s="217">
        <v>41274</v>
      </c>
      <c r="BB4" s="21">
        <v>41274</v>
      </c>
      <c r="BC4" s="217">
        <v>41363</v>
      </c>
      <c r="BD4" s="217">
        <v>41455</v>
      </c>
      <c r="BE4" s="217">
        <v>41547</v>
      </c>
      <c r="BF4" s="22">
        <v>41639</v>
      </c>
      <c r="BG4" s="21">
        <v>41639</v>
      </c>
      <c r="BH4" s="217">
        <v>41728</v>
      </c>
      <c r="BI4" s="217">
        <v>41820</v>
      </c>
      <c r="BJ4" s="217">
        <v>41912</v>
      </c>
      <c r="BK4" s="22">
        <v>42004</v>
      </c>
      <c r="BL4" s="21">
        <v>42004</v>
      </c>
      <c r="BM4" s="217">
        <v>42093</v>
      </c>
      <c r="BN4" s="217">
        <v>42185</v>
      </c>
      <c r="BO4" s="217">
        <v>42277</v>
      </c>
      <c r="BP4" s="22">
        <v>42369</v>
      </c>
      <c r="BQ4" s="21">
        <v>42369</v>
      </c>
      <c r="BR4" s="217">
        <v>42459</v>
      </c>
      <c r="BS4" s="217">
        <v>42551</v>
      </c>
      <c r="BT4" s="217">
        <v>42643</v>
      </c>
      <c r="BU4" s="22">
        <v>42735</v>
      </c>
      <c r="BV4" s="21">
        <v>42735</v>
      </c>
      <c r="BW4" s="217">
        <v>42824</v>
      </c>
      <c r="BX4" s="217">
        <v>42916</v>
      </c>
      <c r="BY4" s="217">
        <v>43008</v>
      </c>
      <c r="BZ4" s="22">
        <v>43100</v>
      </c>
      <c r="CA4" s="21">
        <v>43100</v>
      </c>
      <c r="CB4" s="217">
        <v>43189</v>
      </c>
      <c r="CC4" s="217">
        <v>43281</v>
      </c>
      <c r="CD4" s="217">
        <v>43373</v>
      </c>
      <c r="CE4" s="22">
        <v>43465</v>
      </c>
      <c r="CF4" s="21">
        <v>43465</v>
      </c>
      <c r="CG4" s="217">
        <v>43554</v>
      </c>
      <c r="CH4" s="217">
        <v>43646</v>
      </c>
      <c r="CI4" s="217">
        <v>43738</v>
      </c>
      <c r="CJ4" s="22">
        <v>43830</v>
      </c>
      <c r="CK4" s="21">
        <v>43830</v>
      </c>
      <c r="CL4" s="217">
        <v>43920</v>
      </c>
      <c r="CM4" s="217">
        <v>44012</v>
      </c>
      <c r="CN4" s="217">
        <v>44104</v>
      </c>
      <c r="CO4" s="22">
        <v>44196</v>
      </c>
      <c r="CP4" s="21">
        <v>44196</v>
      </c>
      <c r="CQ4" s="217">
        <v>44285</v>
      </c>
      <c r="CR4" s="217">
        <v>44377</v>
      </c>
      <c r="CS4" s="217">
        <v>44469</v>
      </c>
      <c r="CT4" s="22">
        <v>44561</v>
      </c>
      <c r="CU4" s="21">
        <v>44561</v>
      </c>
      <c r="CV4" s="217">
        <v>44650</v>
      </c>
      <c r="CW4" s="217">
        <v>44742</v>
      </c>
      <c r="CX4" s="217">
        <v>44834</v>
      </c>
      <c r="CY4" s="22">
        <v>44926</v>
      </c>
      <c r="CZ4" s="21">
        <v>44926</v>
      </c>
      <c r="DA4" s="217">
        <v>45015</v>
      </c>
      <c r="DB4" s="217">
        <v>45107</v>
      </c>
      <c r="DC4" s="217">
        <v>45199</v>
      </c>
      <c r="DD4" s="22">
        <v>45291</v>
      </c>
      <c r="DE4" s="21">
        <v>45291</v>
      </c>
      <c r="DF4" s="217">
        <v>45381</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
        <v>46752</v>
      </c>
      <c r="DV4" s="21">
        <v>47118</v>
      </c>
    </row>
    <row r="5" spans="1:126" s="32" customFormat="1">
      <c r="C5" s="34"/>
      <c r="D5" s="34"/>
      <c r="E5" s="34"/>
      <c r="F5" s="34"/>
      <c r="G5" s="34"/>
      <c r="H5" s="34"/>
      <c r="I5" s="34"/>
      <c r="N5" s="34"/>
      <c r="S5" s="34"/>
      <c r="X5" s="34"/>
      <c r="AC5" s="34"/>
      <c r="AH5" s="34"/>
      <c r="AM5" s="34"/>
      <c r="AR5" s="34"/>
      <c r="AW5" s="34"/>
      <c r="AY5" s="390"/>
      <c r="AZ5" s="68"/>
      <c r="BB5" s="34"/>
      <c r="BC5" s="186"/>
      <c r="BG5" s="34"/>
      <c r="BL5" s="34"/>
      <c r="BQ5" s="34"/>
      <c r="BV5" s="34"/>
      <c r="CA5" s="34"/>
      <c r="CF5" s="34"/>
      <c r="CK5" s="34"/>
      <c r="CL5" s="466"/>
      <c r="CM5" s="466"/>
      <c r="CN5" s="794"/>
      <c r="CO5" s="720"/>
      <c r="CP5" s="34"/>
      <c r="CU5" s="27"/>
      <c r="CZ5" s="27"/>
      <c r="DE5" s="27"/>
      <c r="DJ5" s="27"/>
      <c r="DO5" s="27"/>
      <c r="DT5" s="27"/>
      <c r="DU5" s="34"/>
      <c r="DV5" s="34"/>
    </row>
    <row r="6" spans="1:126" s="92" customFormat="1">
      <c r="A6" s="32"/>
      <c r="B6" s="64" t="s">
        <v>76</v>
      </c>
      <c r="C6" s="91"/>
      <c r="D6" s="91"/>
      <c r="E6" s="91"/>
      <c r="F6" s="91"/>
      <c r="G6" s="91"/>
      <c r="H6" s="91"/>
      <c r="I6" s="91"/>
      <c r="N6" s="91"/>
      <c r="S6" s="91"/>
      <c r="X6" s="91"/>
      <c r="AC6" s="91"/>
      <c r="AH6" s="91"/>
      <c r="AM6" s="91"/>
      <c r="AR6" s="91"/>
      <c r="AU6" s="391"/>
      <c r="AW6" s="91"/>
      <c r="BB6" s="91"/>
      <c r="BG6" s="91"/>
      <c r="BL6" s="91"/>
      <c r="BQ6" s="91"/>
      <c r="BV6" s="91"/>
      <c r="CA6" s="91"/>
      <c r="CF6" s="91"/>
      <c r="CG6" s="32"/>
      <c r="CH6" s="32"/>
      <c r="CI6" s="32"/>
      <c r="CJ6" s="32"/>
      <c r="CK6" s="91"/>
      <c r="CO6" s="720"/>
      <c r="CP6" s="91"/>
      <c r="CU6" s="27"/>
      <c r="CZ6" s="27"/>
      <c r="DE6" s="27"/>
      <c r="DJ6" s="27"/>
      <c r="DO6" s="27"/>
      <c r="DT6" s="27"/>
      <c r="DU6" s="91"/>
      <c r="DV6" s="91"/>
    </row>
    <row r="7" spans="1:126" s="113" customFormat="1" hidden="1" outlineLevel="1">
      <c r="A7" s="92"/>
      <c r="B7" s="63"/>
      <c r="C7" s="112"/>
      <c r="D7" s="112"/>
      <c r="E7" s="112"/>
      <c r="F7" s="112"/>
      <c r="G7" s="112"/>
      <c r="H7" s="112"/>
      <c r="I7" s="112"/>
      <c r="N7" s="112"/>
      <c r="S7" s="112"/>
      <c r="X7" s="112"/>
      <c r="AC7" s="112"/>
      <c r="AH7" s="112"/>
      <c r="AM7" s="112"/>
      <c r="AR7" s="112"/>
      <c r="AW7" s="112"/>
      <c r="AZ7" s="69"/>
      <c r="BA7" s="69"/>
      <c r="BB7" s="112"/>
      <c r="BD7" s="69"/>
      <c r="BE7" s="69"/>
      <c r="BF7" s="69"/>
      <c r="BG7" s="112"/>
      <c r="BH7" s="69"/>
      <c r="BI7" s="69"/>
      <c r="BJ7" s="476"/>
      <c r="BK7" s="69"/>
      <c r="BL7" s="112"/>
      <c r="BM7" s="69"/>
      <c r="BN7" s="69"/>
      <c r="BO7" s="69"/>
      <c r="BP7" s="69"/>
      <c r="BQ7" s="112"/>
      <c r="BR7" s="69"/>
      <c r="BS7" s="69"/>
      <c r="BT7" s="69"/>
      <c r="BU7" s="69"/>
      <c r="BV7" s="112"/>
      <c r="BW7" s="69"/>
      <c r="BX7" s="69"/>
      <c r="BY7" s="69"/>
      <c r="BZ7" s="69"/>
      <c r="CA7" s="70"/>
      <c r="CB7" s="69"/>
      <c r="CC7" s="69"/>
      <c r="CD7" s="69"/>
      <c r="CE7" s="69"/>
      <c r="CF7" s="70"/>
      <c r="CG7" s="69"/>
      <c r="CH7" s="69"/>
      <c r="CI7" s="69"/>
      <c r="CJ7" s="69"/>
      <c r="CK7" s="70"/>
      <c r="CL7" s="69"/>
      <c r="CM7" s="69"/>
      <c r="CN7" s="69"/>
      <c r="CO7" s="69"/>
      <c r="CP7" s="70"/>
      <c r="CQ7" s="69"/>
      <c r="CR7" s="69"/>
      <c r="CS7" s="69"/>
      <c r="CT7" s="69"/>
      <c r="CU7" s="70"/>
      <c r="CV7" s="69"/>
      <c r="CW7" s="69"/>
      <c r="CX7" s="69"/>
      <c r="CY7" s="69"/>
      <c r="CZ7" s="70"/>
      <c r="DA7" s="69"/>
      <c r="DB7" s="69"/>
      <c r="DC7" s="69"/>
      <c r="DD7" s="69"/>
      <c r="DE7" s="70"/>
      <c r="DF7" s="69"/>
      <c r="DG7" s="69"/>
      <c r="DH7" s="69"/>
      <c r="DI7" s="69"/>
      <c r="DJ7" s="70"/>
      <c r="DK7" s="69"/>
      <c r="DL7" s="69"/>
      <c r="DM7" s="69"/>
      <c r="DN7" s="69"/>
      <c r="DO7" s="70"/>
      <c r="DP7" s="69"/>
      <c r="DQ7" s="69"/>
      <c r="DR7" s="69"/>
      <c r="DS7" s="69"/>
      <c r="DT7" s="70"/>
      <c r="DU7" s="70"/>
      <c r="DV7" s="70"/>
    </row>
    <row r="8" spans="1:126" s="113" customFormat="1" hidden="1" outlineLevel="1">
      <c r="A8" s="92"/>
      <c r="B8" s="111" t="s">
        <v>72</v>
      </c>
      <c r="C8" s="112"/>
      <c r="D8" s="112"/>
      <c r="E8" s="112"/>
      <c r="F8" s="112"/>
      <c r="G8" s="112"/>
      <c r="H8" s="112"/>
      <c r="I8" s="112"/>
      <c r="N8" s="112"/>
      <c r="S8" s="112"/>
      <c r="X8" s="112"/>
      <c r="AC8" s="112"/>
      <c r="AH8" s="112"/>
      <c r="AM8" s="112"/>
      <c r="AR8" s="112"/>
      <c r="AW8" s="112"/>
      <c r="BB8" s="112"/>
      <c r="BG8" s="112"/>
      <c r="BJ8" s="456"/>
      <c r="BL8" s="112"/>
      <c r="BQ8" s="112"/>
      <c r="BV8" s="112"/>
      <c r="CA8" s="112"/>
      <c r="CF8" s="112"/>
      <c r="CK8" s="112"/>
      <c r="CP8" s="112"/>
      <c r="CU8" s="112"/>
      <c r="CZ8" s="112"/>
      <c r="DE8" s="112"/>
      <c r="DJ8" s="112"/>
      <c r="DO8" s="112"/>
      <c r="DT8" s="112"/>
      <c r="DU8" s="112"/>
      <c r="DV8" s="112"/>
    </row>
    <row r="9" spans="1:126" s="113" customFormat="1" hidden="1" outlineLevel="1">
      <c r="A9" s="92"/>
      <c r="B9" s="63" t="s">
        <v>258</v>
      </c>
      <c r="C9" s="112"/>
      <c r="D9" s="112"/>
      <c r="E9" s="112"/>
      <c r="F9" s="112"/>
      <c r="G9" s="112"/>
      <c r="H9" s="112"/>
      <c r="I9" s="112"/>
      <c r="N9" s="112"/>
      <c r="S9" s="112"/>
      <c r="X9" s="112"/>
      <c r="AC9" s="112"/>
      <c r="AH9" s="112"/>
      <c r="AM9" s="112"/>
      <c r="AR9" s="112"/>
      <c r="AW9" s="112"/>
      <c r="AZ9" s="351">
        <v>550</v>
      </c>
      <c r="BA9" s="351">
        <v>550</v>
      </c>
      <c r="BB9" s="112">
        <f>SUM(AZ9:BA9)</f>
        <v>1100</v>
      </c>
      <c r="BC9" s="351">
        <v>550</v>
      </c>
      <c r="BD9" s="351">
        <v>375</v>
      </c>
      <c r="BE9" s="351"/>
      <c r="BF9" s="351"/>
      <c r="BG9" s="112">
        <f>SUM(BC9:BF9)</f>
        <v>925</v>
      </c>
      <c r="BH9" s="206"/>
      <c r="BI9" s="206"/>
      <c r="BJ9" s="477"/>
      <c r="BK9" s="206"/>
      <c r="BL9" s="112"/>
      <c r="BM9" s="206"/>
      <c r="BN9" s="206"/>
      <c r="BO9" s="206"/>
      <c r="BP9" s="206"/>
      <c r="BQ9" s="112"/>
      <c r="BR9" s="206"/>
      <c r="BS9" s="206"/>
      <c r="BT9" s="206"/>
      <c r="BU9" s="206"/>
      <c r="BV9" s="112"/>
      <c r="BW9" s="206"/>
      <c r="BX9" s="206"/>
      <c r="BY9" s="206"/>
      <c r="BZ9" s="206"/>
      <c r="CA9" s="112"/>
      <c r="CB9" s="206"/>
      <c r="CC9" s="206"/>
      <c r="CD9" s="206"/>
      <c r="CE9" s="206"/>
      <c r="CF9" s="112"/>
      <c r="CG9" s="206"/>
      <c r="CH9" s="206"/>
      <c r="CI9" s="206"/>
      <c r="CJ9" s="206"/>
      <c r="CK9" s="112"/>
      <c r="CL9" s="206"/>
      <c r="CM9" s="206"/>
      <c r="CN9" s="206"/>
      <c r="CO9" s="206"/>
      <c r="CP9" s="112"/>
      <c r="CQ9" s="206"/>
      <c r="CR9" s="206"/>
      <c r="CS9" s="206"/>
      <c r="CT9" s="206"/>
      <c r="CU9" s="112"/>
      <c r="CV9" s="206"/>
      <c r="CW9" s="206"/>
      <c r="CX9" s="206"/>
      <c r="CY9" s="206"/>
      <c r="CZ9" s="112"/>
      <c r="DA9" s="206"/>
      <c r="DB9" s="206"/>
      <c r="DC9" s="206"/>
      <c r="DD9" s="206"/>
      <c r="DE9" s="112"/>
      <c r="DF9" s="206"/>
      <c r="DG9" s="206"/>
      <c r="DH9" s="206"/>
      <c r="DI9" s="206"/>
      <c r="DJ9" s="112"/>
      <c r="DK9" s="206"/>
      <c r="DL9" s="206"/>
      <c r="DM9" s="206"/>
      <c r="DN9" s="206"/>
      <c r="DO9" s="112"/>
      <c r="DP9" s="206"/>
      <c r="DQ9" s="206"/>
      <c r="DR9" s="206"/>
      <c r="DS9" s="206"/>
      <c r="DT9" s="112"/>
      <c r="DU9" s="112"/>
      <c r="DV9" s="112"/>
    </row>
    <row r="10" spans="1:126" s="113" customFormat="1" hidden="1" outlineLevel="1">
      <c r="A10" s="92"/>
      <c r="B10" s="63"/>
      <c r="C10" s="109"/>
      <c r="D10" s="109"/>
      <c r="E10" s="109"/>
      <c r="F10" s="109"/>
      <c r="G10" s="109"/>
      <c r="H10" s="109"/>
      <c r="I10" s="109"/>
      <c r="J10" s="72"/>
      <c r="K10" s="72"/>
      <c r="L10" s="72"/>
      <c r="M10" s="72"/>
      <c r="N10" s="112"/>
      <c r="O10" s="72"/>
      <c r="P10" s="72"/>
      <c r="Q10" s="72"/>
      <c r="R10" s="72"/>
      <c r="S10" s="112"/>
      <c r="T10" s="72"/>
      <c r="U10" s="72"/>
      <c r="V10" s="72"/>
      <c r="W10" s="72"/>
      <c r="X10" s="112"/>
      <c r="Y10" s="72"/>
      <c r="Z10" s="72"/>
      <c r="AA10" s="72"/>
      <c r="AB10" s="72"/>
      <c r="AC10" s="112"/>
      <c r="AD10" s="72"/>
      <c r="AE10" s="72"/>
      <c r="AF10" s="72"/>
      <c r="AG10" s="72"/>
      <c r="AH10" s="112"/>
      <c r="AI10" s="72"/>
      <c r="AJ10" s="72"/>
      <c r="AK10" s="72"/>
      <c r="AL10" s="72"/>
      <c r="AM10" s="112"/>
      <c r="AN10" s="72"/>
      <c r="AO10" s="72"/>
      <c r="AP10" s="72"/>
      <c r="AQ10" s="72"/>
      <c r="AR10" s="112"/>
      <c r="AS10" s="72"/>
      <c r="AT10" s="72"/>
      <c r="AU10" s="72"/>
      <c r="AV10" s="72"/>
      <c r="AW10" s="112"/>
      <c r="AX10" s="72"/>
      <c r="AY10" s="72"/>
      <c r="AZ10" s="206"/>
      <c r="BA10" s="206"/>
      <c r="BB10" s="112"/>
      <c r="BC10" s="72"/>
      <c r="BD10" s="206"/>
      <c r="BE10" s="206"/>
      <c r="BF10" s="206"/>
      <c r="BG10" s="112"/>
      <c r="BH10" s="206"/>
      <c r="BI10" s="206"/>
      <c r="BJ10" s="477"/>
      <c r="BK10" s="206"/>
      <c r="BL10" s="112"/>
      <c r="BM10" s="206"/>
      <c r="BN10" s="206"/>
      <c r="BO10" s="206"/>
      <c r="BP10" s="206"/>
      <c r="BQ10" s="112"/>
      <c r="BR10" s="206"/>
      <c r="BS10" s="206"/>
      <c r="BT10" s="206"/>
      <c r="BU10" s="206"/>
      <c r="BV10" s="112"/>
      <c r="BW10" s="206"/>
      <c r="BX10" s="206"/>
      <c r="BY10" s="206"/>
      <c r="BZ10" s="206"/>
      <c r="CA10" s="112"/>
      <c r="CB10" s="206"/>
      <c r="CC10" s="206"/>
      <c r="CD10" s="206"/>
      <c r="CE10" s="206"/>
      <c r="CF10" s="112"/>
      <c r="CG10" s="206"/>
      <c r="CH10" s="206"/>
      <c r="CI10" s="206"/>
      <c r="CJ10" s="206"/>
      <c r="CK10" s="112"/>
      <c r="CL10" s="206"/>
      <c r="CM10" s="206"/>
      <c r="CN10" s="206"/>
      <c r="CO10" s="206"/>
      <c r="CP10" s="112"/>
      <c r="CQ10" s="206"/>
      <c r="CR10" s="206"/>
      <c r="CS10" s="206"/>
      <c r="CT10" s="206"/>
      <c r="CU10" s="112"/>
      <c r="CV10" s="206"/>
      <c r="CW10" s="206"/>
      <c r="CX10" s="206"/>
      <c r="CY10" s="206"/>
      <c r="CZ10" s="112"/>
      <c r="DA10" s="206"/>
      <c r="DB10" s="206"/>
      <c r="DC10" s="206"/>
      <c r="DD10" s="206"/>
      <c r="DE10" s="112"/>
      <c r="DF10" s="206"/>
      <c r="DG10" s="206"/>
      <c r="DH10" s="206"/>
      <c r="DI10" s="206"/>
      <c r="DJ10" s="112"/>
      <c r="DK10" s="206"/>
      <c r="DL10" s="206"/>
      <c r="DM10" s="206"/>
      <c r="DN10" s="206"/>
      <c r="DO10" s="112"/>
      <c r="DP10" s="206"/>
      <c r="DQ10" s="206"/>
      <c r="DR10" s="206"/>
      <c r="DS10" s="206"/>
      <c r="DT10" s="112"/>
      <c r="DU10" s="112"/>
      <c r="DV10" s="112"/>
    </row>
    <row r="11" spans="1:126" s="113" customFormat="1" hidden="1" outlineLevel="1">
      <c r="A11" s="92"/>
      <c r="B11" s="111" t="s">
        <v>73</v>
      </c>
      <c r="C11" s="112"/>
      <c r="D11" s="112"/>
      <c r="E11" s="112"/>
      <c r="F11" s="112"/>
      <c r="G11" s="112"/>
      <c r="H11" s="112"/>
      <c r="I11" s="112"/>
      <c r="N11" s="112"/>
      <c r="S11" s="112"/>
      <c r="X11" s="112"/>
      <c r="AC11" s="112"/>
      <c r="AH11" s="112"/>
      <c r="AM11" s="112"/>
      <c r="AR11" s="112"/>
      <c r="AW11" s="112"/>
      <c r="BB11" s="112"/>
      <c r="BG11" s="112"/>
      <c r="BH11" s="351">
        <v>-68</v>
      </c>
      <c r="BI11" s="351">
        <v>0</v>
      </c>
      <c r="BJ11" s="478">
        <v>0</v>
      </c>
      <c r="BK11" s="351"/>
      <c r="BL11" s="112">
        <f>SUM(BH11:BK11)</f>
        <v>-68</v>
      </c>
      <c r="BQ11" s="112"/>
      <c r="BV11" s="112"/>
      <c r="CA11" s="112"/>
      <c r="CF11" s="112"/>
      <c r="CK11" s="112"/>
      <c r="CP11" s="112"/>
      <c r="CU11" s="112"/>
      <c r="CZ11" s="112"/>
      <c r="DE11" s="112"/>
      <c r="DJ11" s="112"/>
      <c r="DO11" s="112"/>
      <c r="DT11" s="112"/>
      <c r="DU11" s="112"/>
      <c r="DV11" s="112"/>
    </row>
    <row r="12" spans="1:126" s="113" customFormat="1" hidden="1" outlineLevel="1">
      <c r="A12" s="92"/>
      <c r="B12" s="63" t="s">
        <v>622</v>
      </c>
      <c r="C12" s="112"/>
      <c r="D12" s="112"/>
      <c r="E12" s="112"/>
      <c r="F12" s="112"/>
      <c r="G12" s="112"/>
      <c r="H12" s="112"/>
      <c r="I12" s="112"/>
      <c r="N12" s="112"/>
      <c r="S12" s="112"/>
      <c r="X12" s="112"/>
      <c r="AC12" s="112"/>
      <c r="AH12" s="112"/>
      <c r="AM12" s="112"/>
      <c r="AR12" s="112"/>
      <c r="AW12" s="112"/>
      <c r="AZ12" s="351"/>
      <c r="BA12" s="351"/>
      <c r="BB12" s="112"/>
      <c r="BC12" s="351"/>
      <c r="BD12" s="351"/>
      <c r="BE12" s="351"/>
      <c r="BF12" s="351"/>
      <c r="BG12" s="112"/>
      <c r="BH12" s="206"/>
      <c r="BI12" s="206"/>
      <c r="BJ12" s="477"/>
      <c r="BK12" s="206"/>
      <c r="BL12" s="112"/>
      <c r="BM12" s="206"/>
      <c r="BN12" s="206"/>
      <c r="BO12" s="206"/>
      <c r="BP12" s="206"/>
      <c r="BQ12" s="112"/>
      <c r="BR12" s="206"/>
      <c r="BS12" s="206"/>
      <c r="BT12" s="206"/>
      <c r="BU12" s="206"/>
      <c r="BV12" s="112"/>
      <c r="BW12" s="206"/>
      <c r="BX12" s="206"/>
      <c r="BY12" s="206"/>
      <c r="BZ12" s="206"/>
      <c r="CA12" s="112"/>
      <c r="CB12" s="206"/>
      <c r="CC12" s="206"/>
      <c r="CD12" s="206"/>
      <c r="CE12" s="206"/>
      <c r="CF12" s="112"/>
      <c r="CG12" s="206"/>
      <c r="CH12" s="206"/>
      <c r="CI12" s="206"/>
      <c r="CJ12" s="206"/>
      <c r="CK12" s="112"/>
      <c r="CL12" s="206"/>
      <c r="CM12" s="206"/>
      <c r="CN12" s="206"/>
      <c r="CO12" s="206"/>
      <c r="CP12" s="112"/>
      <c r="CQ12" s="206"/>
      <c r="CR12" s="206"/>
      <c r="CS12" s="206"/>
      <c r="CT12" s="206"/>
      <c r="CU12" s="112"/>
      <c r="CV12" s="206">
        <v>-15</v>
      </c>
      <c r="CW12" s="206">
        <v>-25</v>
      </c>
      <c r="CX12" s="206"/>
      <c r="CY12" s="206"/>
      <c r="CZ12" s="112">
        <f>SUM(CV12:CY12)</f>
        <v>-40</v>
      </c>
      <c r="DA12" s="206"/>
      <c r="DB12" s="206"/>
      <c r="DC12" s="206">
        <v>-5401</v>
      </c>
      <c r="DD12" s="206"/>
      <c r="DE12" s="112">
        <f>SUM(DA12:DD12)</f>
        <v>-5401</v>
      </c>
      <c r="DF12" s="206"/>
      <c r="DG12" s="206"/>
      <c r="DH12" s="206"/>
      <c r="DI12" s="206"/>
      <c r="DJ12" s="112">
        <f>SUM(DF12:DI12)</f>
        <v>0</v>
      </c>
      <c r="DK12" s="206"/>
      <c r="DL12" s="206"/>
      <c r="DM12" s="206"/>
      <c r="DN12" s="206"/>
      <c r="DO12" s="112">
        <f>SUM(DK12:DN12)</f>
        <v>0</v>
      </c>
      <c r="DP12" s="206"/>
      <c r="DQ12" s="206"/>
      <c r="DR12" s="206"/>
      <c r="DS12" s="206"/>
      <c r="DT12" s="112"/>
      <c r="DU12" s="112"/>
      <c r="DV12" s="112"/>
    </row>
    <row r="13" spans="1:126" s="113" customFormat="1" hidden="1" outlineLevel="1">
      <c r="A13" s="92"/>
      <c r="B13" s="114"/>
      <c r="C13" s="112"/>
      <c r="D13" s="112"/>
      <c r="E13" s="112"/>
      <c r="F13" s="112"/>
      <c r="G13" s="112"/>
      <c r="H13" s="112"/>
      <c r="I13" s="112"/>
      <c r="N13" s="112"/>
      <c r="S13" s="112"/>
      <c r="X13" s="112"/>
      <c r="AC13" s="112"/>
      <c r="AH13" s="112"/>
      <c r="AM13" s="112"/>
      <c r="AR13" s="112"/>
      <c r="AW13" s="112"/>
      <c r="BB13" s="112"/>
      <c r="BG13" s="112"/>
      <c r="BJ13" s="456"/>
      <c r="BL13" s="112"/>
      <c r="BQ13" s="112"/>
      <c r="BV13" s="112"/>
      <c r="CA13" s="112"/>
      <c r="CF13" s="112"/>
      <c r="CK13" s="112"/>
      <c r="CP13" s="112"/>
      <c r="CU13" s="112"/>
      <c r="CZ13" s="112"/>
      <c r="DE13" s="112"/>
      <c r="DJ13" s="112"/>
      <c r="DO13" s="112"/>
      <c r="DT13" s="112"/>
      <c r="DU13" s="112"/>
      <c r="DV13" s="112"/>
    </row>
    <row r="14" spans="1:126" s="113" customFormat="1" collapsed="1">
      <c r="A14" s="92"/>
      <c r="B14" s="3" t="s">
        <v>194</v>
      </c>
      <c r="C14" s="17">
        <f>+Data!C133</f>
        <v>7402</v>
      </c>
      <c r="D14" s="17">
        <f>+Data!D133</f>
        <v>7876</v>
      </c>
      <c r="E14" s="17">
        <f>+Data!E133</f>
        <v>7674</v>
      </c>
      <c r="F14" s="17">
        <f>+Data!F133</f>
        <v>7366</v>
      </c>
      <c r="G14" s="17">
        <f>+Data!G133</f>
        <v>7679</v>
      </c>
      <c r="H14" s="17">
        <f>+Data!H133</f>
        <v>7645</v>
      </c>
      <c r="I14" s="17">
        <f>+Data!I133</f>
        <v>7484</v>
      </c>
      <c r="J14" s="113">
        <f>+Data!J133</f>
        <v>1939</v>
      </c>
      <c r="K14" s="113">
        <f>+Data!K133</f>
        <v>2080</v>
      </c>
      <c r="L14" s="113">
        <f>+Data!L133</f>
        <v>2100</v>
      </c>
      <c r="M14" s="113">
        <f>+Data!M133</f>
        <v>2162</v>
      </c>
      <c r="N14" s="112">
        <f>+Data!N133</f>
        <v>8281</v>
      </c>
      <c r="O14" s="113">
        <f>+Data!O133</f>
        <v>2013</v>
      </c>
      <c r="P14" s="113">
        <f>+Data!P133</f>
        <v>2273</v>
      </c>
      <c r="Q14" s="113">
        <f>+Data!Q133</f>
        <v>2414</v>
      </c>
      <c r="R14" s="113">
        <f>+Data!R133</f>
        <v>2595</v>
      </c>
      <c r="S14" s="112">
        <f>+Data!S133</f>
        <v>9295</v>
      </c>
      <c r="T14" s="113">
        <f>+Data!T133</f>
        <v>2568</v>
      </c>
      <c r="U14" s="113">
        <f>+Data!U133</f>
        <v>2727</v>
      </c>
      <c r="V14" s="113">
        <f>+Data!V133</f>
        <v>2771</v>
      </c>
      <c r="W14" s="113">
        <f>+Data!W133</f>
        <v>3046</v>
      </c>
      <c r="X14" s="112">
        <f>+Data!X133</f>
        <v>11112</v>
      </c>
      <c r="Y14" s="113">
        <f>+Data!Y133</f>
        <v>2767</v>
      </c>
      <c r="Z14" s="113">
        <f>+Data!Z133</f>
        <v>3108</v>
      </c>
      <c r="AA14" s="113">
        <f>+Data!AA133</f>
        <v>3036</v>
      </c>
      <c r="AB14" s="113">
        <f>+Data!AB133</f>
        <v>4175</v>
      </c>
      <c r="AC14" s="112">
        <f>+Data!AC133</f>
        <v>13086</v>
      </c>
      <c r="AD14" s="113">
        <f>+Data!AD133</f>
        <v>3464</v>
      </c>
      <c r="AE14" s="113">
        <f>+Data!AE133</f>
        <v>3569</v>
      </c>
      <c r="AF14" s="113">
        <f>+Data!AF133</f>
        <v>3421</v>
      </c>
      <c r="AG14" s="113">
        <f>+Data!AG133</f>
        <v>3395</v>
      </c>
      <c r="AH14" s="112">
        <f>+Data!AH133</f>
        <v>13849</v>
      </c>
      <c r="AI14" s="113">
        <f>+Data!AI133</f>
        <v>3180</v>
      </c>
      <c r="AJ14" s="113">
        <f>+Data!AJ133</f>
        <v>3111</v>
      </c>
      <c r="AK14" s="113">
        <f>+Data!AK133</f>
        <v>3031</v>
      </c>
      <c r="AL14" s="113">
        <f>+Data!AL133</f>
        <v>3070</v>
      </c>
      <c r="AM14" s="112">
        <f>+Data!AM133</f>
        <v>12392</v>
      </c>
      <c r="AN14" s="113">
        <f>+Data!AN133</f>
        <v>2841</v>
      </c>
      <c r="AO14" s="113">
        <f>+Data!AO133</f>
        <v>3279</v>
      </c>
      <c r="AP14" s="113">
        <f>+Data!AP133</f>
        <v>3230</v>
      </c>
      <c r="AQ14" s="113">
        <f>+Data!AQ133</f>
        <v>3585</v>
      </c>
      <c r="AR14" s="112">
        <f>+Data!AR133</f>
        <v>12935</v>
      </c>
      <c r="AS14" s="113">
        <f>+Data!AS133</f>
        <v>2873</v>
      </c>
      <c r="AT14" s="113">
        <f>+Data!AT133</f>
        <v>3276</v>
      </c>
      <c r="AU14" s="113">
        <f>+Data!AU133</f>
        <v>3081</v>
      </c>
      <c r="AV14" s="113">
        <f>+Data!AV133</f>
        <v>3481</v>
      </c>
      <c r="AW14" s="112">
        <f>+Data!AW133</f>
        <v>12711</v>
      </c>
      <c r="AX14" s="113">
        <f>+Data!AX133</f>
        <v>3052</v>
      </c>
      <c r="AY14" s="113">
        <f>+Data!AY133</f>
        <v>3447</v>
      </c>
      <c r="AZ14" s="113">
        <f>+Data!AZ133</f>
        <v>3574</v>
      </c>
      <c r="BA14" s="198">
        <f>+Data!BA133</f>
        <v>3891</v>
      </c>
      <c r="BB14" s="112">
        <f>+Data!BB133</f>
        <v>13964</v>
      </c>
      <c r="BC14" s="113">
        <f>+Data!BC133</f>
        <v>3402</v>
      </c>
      <c r="BD14" s="113">
        <f>+Data!BD133</f>
        <v>3624</v>
      </c>
      <c r="BE14" s="113">
        <f>+Data!BE133</f>
        <v>3386</v>
      </c>
      <c r="BF14" s="113">
        <f>+Data!BF133</f>
        <v>4089</v>
      </c>
      <c r="BG14" s="112">
        <f>+Data!BG133</f>
        <v>14501</v>
      </c>
      <c r="BH14" s="113">
        <f>+Data!BH133</f>
        <v>3329</v>
      </c>
      <c r="BI14" s="113">
        <f>+Data!BI133</f>
        <v>3592</v>
      </c>
      <c r="BJ14" s="456">
        <f>+Data!BJ133</f>
        <v>3564</v>
      </c>
      <c r="BK14" s="456">
        <f>+Data!BK133</f>
        <v>4023</v>
      </c>
      <c r="BL14" s="112">
        <f>+Data!BL133</f>
        <v>14508</v>
      </c>
      <c r="BM14" s="456">
        <f>+Data!BM133</f>
        <v>3332</v>
      </c>
      <c r="BN14" s="456">
        <f>+Data!BN133</f>
        <v>3677</v>
      </c>
      <c r="BO14" s="456">
        <f>+Data!BO133</f>
        <v>3234</v>
      </c>
      <c r="BP14" s="456">
        <f>+Data!BP133</f>
        <v>3839</v>
      </c>
      <c r="BQ14" s="112">
        <f>+Data!BQ133</f>
        <v>14082</v>
      </c>
      <c r="BR14" s="198">
        <f>+Data!BR133</f>
        <v>3588</v>
      </c>
      <c r="BS14" s="198">
        <f>+Data!BS133</f>
        <v>3813</v>
      </c>
      <c r="BT14" s="198">
        <f>+Data!BT133</f>
        <v>3501</v>
      </c>
      <c r="BU14" s="198">
        <f>+Data!BU133</f>
        <v>3992</v>
      </c>
      <c r="BV14" s="112">
        <f>+Data!BV133</f>
        <v>14894</v>
      </c>
      <c r="BW14" s="198">
        <f>+Data!BW133</f>
        <v>3758</v>
      </c>
      <c r="BX14" s="198">
        <f>+Data!BX133</f>
        <v>4070</v>
      </c>
      <c r="BY14" s="198">
        <f>+Data!BY133</f>
        <v>4256</v>
      </c>
      <c r="BZ14" s="198">
        <f>+Data!BZ133</f>
        <v>4461</v>
      </c>
      <c r="CA14" s="112">
        <f>+Data!CA133</f>
        <v>16545</v>
      </c>
      <c r="CB14" s="198">
        <f>+Data!CB133</f>
        <v>4329</v>
      </c>
      <c r="CC14" s="198">
        <f>+Data!CC133</f>
        <v>4736</v>
      </c>
      <c r="CD14" s="198">
        <f>+Data!CD133</f>
        <v>4789</v>
      </c>
      <c r="CE14" s="198">
        <f>+Data!CE133</f>
        <v>5543</v>
      </c>
      <c r="CF14" s="609">
        <f>+Data!CF133</f>
        <v>19397</v>
      </c>
      <c r="CG14" s="198">
        <f>+Data!CG133</f>
        <v>4818</v>
      </c>
      <c r="CH14" s="198">
        <f>+Data!CH133</f>
        <v>5154</v>
      </c>
      <c r="CI14" s="198">
        <f>+Data!CI133</f>
        <v>5285</v>
      </c>
      <c r="CJ14" s="198">
        <f>+Data!CJ133</f>
        <v>5645</v>
      </c>
      <c r="CK14" s="609">
        <f>+Data!CK133</f>
        <v>20902</v>
      </c>
      <c r="CL14" s="453">
        <f>Data!CL133</f>
        <v>5353</v>
      </c>
      <c r="CM14" s="453">
        <f>Data!CM133</f>
        <v>3487</v>
      </c>
      <c r="CN14" s="453">
        <f>Data!CN133</f>
        <v>3494</v>
      </c>
      <c r="CO14" s="453">
        <f>Data!CO133</f>
        <v>4890</v>
      </c>
      <c r="CP14" s="609">
        <f>SUM(CL14:CO14)</f>
        <v>17224</v>
      </c>
      <c r="CQ14" s="453">
        <f>Data!CQ133</f>
        <v>4030</v>
      </c>
      <c r="CR14" s="453">
        <f>Data!CR133</f>
        <v>4280</v>
      </c>
      <c r="CS14" s="453">
        <f>Data!CS133</f>
        <v>4725</v>
      </c>
      <c r="CT14" s="453">
        <f>Data!CT133</f>
        <v>5115</v>
      </c>
      <c r="CU14" s="609">
        <f>SUM(CQ14:CT14)</f>
        <v>18150</v>
      </c>
      <c r="CV14" s="453">
        <f>Data!CV133</f>
        <v>4529</v>
      </c>
      <c r="CW14" s="453">
        <f>Data!CW133</f>
        <v>4969</v>
      </c>
      <c r="CX14" s="453">
        <f>Data!CX133</f>
        <v>5380</v>
      </c>
      <c r="CY14" s="453">
        <f>Data!CY133</f>
        <v>5652</v>
      </c>
      <c r="CZ14" s="609">
        <f>SUM(CV14:CY14)</f>
        <v>20530</v>
      </c>
      <c r="DA14" s="453">
        <f>Data!DA133</f>
        <v>5230</v>
      </c>
      <c r="DB14" s="453">
        <f>Data!DB133</f>
        <v>5701</v>
      </c>
      <c r="DC14" s="453">
        <f>Data!DC133</f>
        <v>926</v>
      </c>
      <c r="DD14" s="453">
        <f>Data!DD133</f>
        <v>6439</v>
      </c>
      <c r="DE14" s="609">
        <f>SUM(DA14:DD14)</f>
        <v>18296</v>
      </c>
      <c r="DF14" s="453">
        <f>Data!DF133</f>
        <v>6456</v>
      </c>
      <c r="DG14" s="453">
        <f>Data!DG133</f>
        <v>6802</v>
      </c>
      <c r="DH14" s="453">
        <f>Data!DH133</f>
        <v>7239</v>
      </c>
      <c r="DI14" s="453">
        <f>Data!DI133</f>
        <v>7569</v>
      </c>
      <c r="DJ14" s="609">
        <f>SUM(DF14:DI14)</f>
        <v>28066</v>
      </c>
      <c r="DK14" s="453">
        <f>Data!DK133</f>
        <v>7366</v>
      </c>
      <c r="DL14" s="453">
        <f>Data!DL133</f>
        <v>7631</v>
      </c>
      <c r="DM14" s="453">
        <f>Data!DM133</f>
        <v>8423</v>
      </c>
      <c r="DN14" s="608">
        <f>DI14*(1+DN82)+DN65+DN73</f>
        <v>8515.125</v>
      </c>
      <c r="DO14" s="609">
        <f>SUM(DK14:DN14)</f>
        <v>31935.125</v>
      </c>
      <c r="DP14" s="608">
        <f>DK14*(1+DP82)+DP65+DP73</f>
        <v>8065.7699999999995</v>
      </c>
      <c r="DQ14" s="608">
        <f>DL14*(1+DQ82)+DQ65+DQ73</f>
        <v>8333.0520000000015</v>
      </c>
      <c r="DR14" s="608">
        <f>((DM14-DM73)*(1+DR82))+DR65+DR73</f>
        <v>9189.4930000000004</v>
      </c>
      <c r="DS14" s="608">
        <f>DN14*(1+DS82)+DS65+DS73</f>
        <v>9315.5467500000013</v>
      </c>
      <c r="DT14" s="609">
        <f>SUM(DP14:DS14)</f>
        <v>34903.861750000004</v>
      </c>
      <c r="DU14" s="367">
        <f>DT14*(1+DU82)+DU65+DU73</f>
        <v>37765.978413500008</v>
      </c>
      <c r="DV14" s="367">
        <f>DU14*(1+DV82)+DV65+DV73</f>
        <v>40447.362880858505</v>
      </c>
    </row>
    <row r="15" spans="1:126" s="113" customFormat="1" hidden="1" outlineLevel="1">
      <c r="A15" s="92"/>
      <c r="B15" s="92"/>
      <c r="C15" s="112"/>
      <c r="D15" s="112"/>
      <c r="E15" s="112"/>
      <c r="F15" s="112"/>
      <c r="G15" s="112"/>
      <c r="H15" s="112"/>
      <c r="I15" s="112"/>
      <c r="N15" s="112"/>
      <c r="S15" s="112"/>
      <c r="X15" s="112"/>
      <c r="AC15" s="112"/>
      <c r="AH15" s="112"/>
      <c r="AM15" s="112"/>
      <c r="AR15" s="112"/>
      <c r="AW15" s="112"/>
      <c r="AZ15" s="69"/>
      <c r="BA15" s="69"/>
      <c r="BB15" s="112"/>
      <c r="BD15" s="69"/>
      <c r="BE15" s="69"/>
      <c r="BF15" s="69"/>
      <c r="BG15" s="112"/>
      <c r="BH15" s="69"/>
      <c r="BI15" s="69"/>
      <c r="BJ15" s="476"/>
      <c r="BK15" s="69"/>
      <c r="BL15" s="112"/>
      <c r="BM15" s="69"/>
      <c r="BN15" s="69"/>
      <c r="BO15" s="69"/>
      <c r="BP15" s="69"/>
      <c r="BQ15" s="112"/>
      <c r="BR15" s="69"/>
      <c r="BS15" s="69"/>
      <c r="BT15" s="69"/>
      <c r="BU15" s="69"/>
      <c r="BV15" s="112"/>
      <c r="BW15" s="69"/>
      <c r="BX15" s="69"/>
      <c r="BY15" s="69"/>
      <c r="BZ15" s="69"/>
      <c r="CA15" s="70"/>
      <c r="CB15" s="69"/>
      <c r="CC15" s="69"/>
      <c r="CD15" s="69"/>
      <c r="CE15" s="69"/>
      <c r="CF15" s="70"/>
      <c r="CG15" s="69"/>
      <c r="CH15" s="69"/>
      <c r="CI15" s="69"/>
      <c r="CJ15" s="69"/>
      <c r="CK15" s="70"/>
      <c r="CL15" s="69"/>
      <c r="CM15" s="69"/>
      <c r="CN15" s="69"/>
      <c r="CO15" s="69"/>
      <c r="CP15" s="70"/>
      <c r="CQ15" s="198"/>
      <c r="CR15" s="69"/>
      <c r="CS15" s="69"/>
      <c r="CT15" s="69"/>
      <c r="CU15" s="70"/>
      <c r="CV15" s="69"/>
      <c r="CW15" s="69"/>
      <c r="CX15" s="69"/>
      <c r="CY15" s="69"/>
      <c r="CZ15" s="70"/>
      <c r="DA15" s="69"/>
      <c r="DB15" s="69"/>
      <c r="DC15" s="69"/>
      <c r="DD15" s="69"/>
      <c r="DE15" s="70"/>
      <c r="DF15" s="69"/>
      <c r="DG15" s="69"/>
      <c r="DH15" s="69"/>
      <c r="DI15" s="69"/>
      <c r="DJ15" s="70"/>
      <c r="DK15" s="69"/>
      <c r="DL15" s="69"/>
      <c r="DM15" s="69"/>
      <c r="DN15" s="69"/>
      <c r="DO15" s="70"/>
      <c r="DP15" s="69"/>
      <c r="DQ15" s="69"/>
      <c r="DR15" s="69"/>
      <c r="DS15" s="69"/>
      <c r="DT15" s="70"/>
      <c r="DU15" s="70"/>
      <c r="DV15" s="70"/>
    </row>
    <row r="16" spans="1:126" s="113" customFormat="1" hidden="1" outlineLevel="1">
      <c r="A16" s="92"/>
      <c r="B16" s="111" t="s">
        <v>72</v>
      </c>
      <c r="C16" s="112"/>
      <c r="D16" s="112"/>
      <c r="E16" s="112"/>
      <c r="F16" s="112"/>
      <c r="G16" s="112"/>
      <c r="H16" s="112"/>
      <c r="I16" s="112"/>
      <c r="N16" s="112"/>
      <c r="S16" s="112"/>
      <c r="X16" s="112"/>
      <c r="AC16" s="112"/>
      <c r="AH16" s="112"/>
      <c r="AM16" s="112"/>
      <c r="AR16" s="112"/>
      <c r="AW16" s="112"/>
      <c r="BB16" s="112"/>
      <c r="BG16" s="112"/>
      <c r="BJ16" s="456"/>
      <c r="BL16" s="112"/>
      <c r="BQ16" s="112"/>
      <c r="BV16" s="112"/>
      <c r="CA16" s="112"/>
      <c r="CF16" s="112"/>
      <c r="CK16" s="112"/>
      <c r="CP16" s="112"/>
      <c r="CQ16" s="198"/>
      <c r="CU16" s="112"/>
      <c r="CZ16" s="112"/>
      <c r="DE16" s="112"/>
      <c r="DJ16" s="112"/>
      <c r="DO16" s="112"/>
      <c r="DT16" s="112"/>
      <c r="DU16" s="112"/>
      <c r="DV16" s="112"/>
    </row>
    <row r="17" spans="1:126" s="113" customFormat="1" hidden="1" outlineLevel="1">
      <c r="A17" s="92"/>
      <c r="B17" s="63" t="s">
        <v>400</v>
      </c>
      <c r="C17" s="112"/>
      <c r="D17" s="112"/>
      <c r="E17" s="112"/>
      <c r="F17" s="112"/>
      <c r="G17" s="112"/>
      <c r="H17" s="112"/>
      <c r="I17" s="112"/>
      <c r="N17" s="112"/>
      <c r="S17" s="112"/>
      <c r="X17" s="112"/>
      <c r="AC17" s="112"/>
      <c r="AH17" s="112"/>
      <c r="AM17" s="112"/>
      <c r="AR17" s="112"/>
      <c r="AW17" s="112"/>
      <c r="BB17" s="112"/>
      <c r="BG17" s="112"/>
      <c r="BJ17" s="456"/>
      <c r="BL17" s="112"/>
      <c r="BQ17" s="112"/>
      <c r="BV17" s="112"/>
      <c r="BZ17" s="351"/>
      <c r="CA17" s="112"/>
      <c r="CB17" s="351">
        <f>2180*0.87</f>
        <v>1896.6</v>
      </c>
      <c r="CC17" s="351">
        <f>2208*0.87</f>
        <v>1920.96</v>
      </c>
      <c r="CD17" s="351">
        <f>2266*0.87</f>
        <v>1971.42</v>
      </c>
      <c r="CE17" s="351">
        <f>2113*0.87</f>
        <v>1838.31</v>
      </c>
      <c r="CF17" s="112">
        <f>SUM(CB17:CE17)</f>
        <v>7627.2899999999991</v>
      </c>
      <c r="CG17" s="351"/>
      <c r="CH17" s="351"/>
      <c r="CI17" s="351"/>
      <c r="CJ17" s="351"/>
      <c r="CK17" s="112"/>
      <c r="CL17" s="351"/>
      <c r="CM17" s="351"/>
      <c r="CN17" s="351"/>
      <c r="CO17" s="351"/>
      <c r="CP17" s="112"/>
      <c r="CQ17" s="812"/>
      <c r="CR17" s="351"/>
      <c r="CS17" s="351"/>
      <c r="CT17" s="351"/>
      <c r="CU17" s="112"/>
      <c r="CV17" s="351"/>
      <c r="CW17" s="351"/>
      <c r="CX17" s="351"/>
      <c r="CY17" s="351"/>
      <c r="CZ17" s="112"/>
      <c r="DA17" s="351"/>
      <c r="DB17" s="351"/>
      <c r="DC17" s="351"/>
      <c r="DD17" s="351"/>
      <c r="DE17" s="112"/>
      <c r="DF17" s="351"/>
      <c r="DG17" s="351"/>
      <c r="DH17" s="351"/>
      <c r="DI17" s="351"/>
      <c r="DJ17" s="112"/>
      <c r="DK17" s="351"/>
      <c r="DL17" s="351"/>
      <c r="DM17" s="351"/>
      <c r="DN17" s="351"/>
      <c r="DO17" s="112"/>
      <c r="DP17" s="351"/>
      <c r="DQ17" s="351"/>
      <c r="DR17" s="351"/>
      <c r="DS17" s="351"/>
      <c r="DT17" s="112"/>
      <c r="DU17" s="395"/>
      <c r="DV17" s="395"/>
    </row>
    <row r="18" spans="1:126" s="113" customFormat="1" hidden="1" outlineLevel="1">
      <c r="A18" s="92"/>
      <c r="B18" s="63" t="s">
        <v>515</v>
      </c>
      <c r="C18" s="109"/>
      <c r="D18" s="109"/>
      <c r="E18" s="109"/>
      <c r="F18" s="109"/>
      <c r="G18" s="109"/>
      <c r="H18" s="109"/>
      <c r="I18" s="109"/>
      <c r="N18" s="112"/>
      <c r="S18" s="112"/>
      <c r="X18" s="112"/>
      <c r="AC18" s="112"/>
      <c r="AH18" s="112"/>
      <c r="AM18" s="112"/>
      <c r="AR18" s="112"/>
      <c r="AW18" s="112"/>
      <c r="AX18" s="351"/>
      <c r="AY18" s="351"/>
      <c r="AZ18" s="351">
        <v>1300</v>
      </c>
      <c r="BA18" s="351">
        <v>1525</v>
      </c>
      <c r="BB18" s="112">
        <f>SUM(AZ18:BA18)</f>
        <v>2825</v>
      </c>
      <c r="BC18" s="351">
        <v>1800</v>
      </c>
      <c r="BD18" s="351">
        <v>1800</v>
      </c>
      <c r="BE18" s="351">
        <v>500</v>
      </c>
      <c r="BF18" s="351">
        <v>500</v>
      </c>
      <c r="BG18" s="112">
        <f>SUM(BC18:BF18)</f>
        <v>4600</v>
      </c>
      <c r="BH18" s="351"/>
      <c r="BI18" s="351"/>
      <c r="BJ18" s="478"/>
      <c r="BK18" s="351"/>
      <c r="BL18" s="112"/>
      <c r="BM18" s="351"/>
      <c r="BN18" s="351"/>
      <c r="BO18" s="351"/>
      <c r="BP18" s="351"/>
      <c r="BQ18" s="112"/>
      <c r="BR18" s="351"/>
      <c r="BS18" s="351"/>
      <c r="BT18" s="351"/>
      <c r="BU18" s="351"/>
      <c r="BV18" s="112"/>
      <c r="BW18" s="351"/>
      <c r="BX18" s="351"/>
      <c r="BY18" s="351"/>
      <c r="BZ18" s="351"/>
      <c r="CA18" s="112"/>
      <c r="CB18" s="351"/>
      <c r="CC18" s="351"/>
      <c r="CD18" s="351"/>
      <c r="CE18" s="351"/>
      <c r="CF18" s="112"/>
      <c r="CG18" s="351"/>
      <c r="CH18" s="351"/>
      <c r="CI18" s="351"/>
      <c r="CJ18" s="351"/>
      <c r="CK18" s="112"/>
      <c r="CL18" s="351"/>
      <c r="CM18" s="351"/>
      <c r="CN18" s="351"/>
      <c r="CO18" s="351"/>
      <c r="CP18" s="112"/>
      <c r="CQ18" s="812"/>
      <c r="CR18" s="351"/>
      <c r="CS18" s="351"/>
      <c r="CT18" s="351"/>
      <c r="CU18" s="112"/>
      <c r="CV18" s="351"/>
      <c r="CW18" s="351"/>
      <c r="CX18" s="351"/>
      <c r="CY18" s="351"/>
      <c r="CZ18" s="112"/>
      <c r="DA18" s="351"/>
      <c r="DB18" s="351"/>
      <c r="DC18" s="351"/>
      <c r="DD18" s="351"/>
      <c r="DE18" s="112"/>
      <c r="DF18" s="351"/>
      <c r="DG18" s="351"/>
      <c r="DH18" s="351"/>
      <c r="DI18" s="351"/>
      <c r="DJ18" s="112"/>
      <c r="DK18" s="351"/>
      <c r="DL18" s="351"/>
      <c r="DM18" s="351"/>
      <c r="DN18" s="351"/>
      <c r="DO18" s="112"/>
      <c r="DP18" s="351"/>
      <c r="DQ18" s="351"/>
      <c r="DR18" s="351"/>
      <c r="DS18" s="351"/>
      <c r="DT18" s="112"/>
      <c r="DU18" s="112"/>
      <c r="DV18" s="112"/>
    </row>
    <row r="19" spans="1:126" s="113" customFormat="1" hidden="1" outlineLevel="1">
      <c r="A19" s="92"/>
      <c r="B19" s="114"/>
      <c r="C19" s="109"/>
      <c r="D19" s="109"/>
      <c r="E19" s="109"/>
      <c r="F19" s="109"/>
      <c r="G19" s="109"/>
      <c r="H19" s="109"/>
      <c r="I19" s="109"/>
      <c r="N19" s="112"/>
      <c r="S19" s="112"/>
      <c r="X19" s="112"/>
      <c r="AC19" s="112"/>
      <c r="AH19" s="112"/>
      <c r="AM19" s="112"/>
      <c r="AR19" s="112"/>
      <c r="AW19" s="112"/>
      <c r="BB19" s="112"/>
      <c r="BG19" s="112"/>
      <c r="BJ19" s="456"/>
      <c r="BL19" s="112"/>
      <c r="BQ19" s="112"/>
      <c r="BV19" s="112"/>
      <c r="CA19" s="112"/>
      <c r="CF19" s="112"/>
      <c r="CK19" s="112"/>
      <c r="CP19" s="112"/>
      <c r="CQ19" s="198"/>
      <c r="CU19" s="112"/>
      <c r="CZ19" s="112"/>
      <c r="DE19" s="112"/>
      <c r="DJ19" s="112"/>
      <c r="DO19" s="112"/>
      <c r="DT19" s="112"/>
      <c r="DU19" s="112"/>
      <c r="DV19" s="112"/>
    </row>
    <row r="20" spans="1:126" s="113" customFormat="1" hidden="1" outlineLevel="1">
      <c r="A20" s="92"/>
      <c r="B20" s="111" t="s">
        <v>73</v>
      </c>
      <c r="C20" s="109"/>
      <c r="D20" s="109"/>
      <c r="E20" s="109"/>
      <c r="F20" s="109"/>
      <c r="G20" s="109"/>
      <c r="H20" s="109"/>
      <c r="I20" s="109"/>
      <c r="N20" s="112"/>
      <c r="S20" s="112"/>
      <c r="X20" s="112"/>
      <c r="AC20" s="112"/>
      <c r="AH20" s="112"/>
      <c r="AM20" s="112"/>
      <c r="AR20" s="112"/>
      <c r="AW20" s="112"/>
      <c r="BB20" s="112"/>
      <c r="BG20" s="112"/>
      <c r="BJ20" s="456"/>
      <c r="BL20" s="112"/>
      <c r="BQ20" s="112"/>
      <c r="BV20" s="112"/>
      <c r="CA20" s="112"/>
      <c r="CF20" s="112"/>
      <c r="CK20" s="112"/>
      <c r="CP20" s="112"/>
      <c r="CQ20" s="198"/>
      <c r="CU20" s="112"/>
      <c r="CZ20" s="112"/>
      <c r="DE20" s="112"/>
      <c r="DJ20" s="112"/>
      <c r="DM20" s="69"/>
      <c r="DN20" s="69"/>
      <c r="DO20" s="112"/>
      <c r="DP20" s="69"/>
      <c r="DQ20" s="69"/>
      <c r="DT20" s="112"/>
      <c r="DU20" s="112"/>
      <c r="DV20" s="112"/>
    </row>
    <row r="21" spans="1:126" s="113" customFormat="1" hidden="1" outlineLevel="1">
      <c r="A21" s="92"/>
      <c r="B21" s="63" t="s">
        <v>660</v>
      </c>
      <c r="C21" s="109"/>
      <c r="D21" s="109"/>
      <c r="E21" s="109"/>
      <c r="F21" s="109"/>
      <c r="G21" s="109"/>
      <c r="H21" s="109"/>
      <c r="I21" s="109"/>
      <c r="N21" s="112"/>
      <c r="S21" s="112"/>
      <c r="X21" s="112"/>
      <c r="AC21" s="112"/>
      <c r="AH21" s="112"/>
      <c r="AM21" s="112"/>
      <c r="AR21" s="112"/>
      <c r="AW21" s="112"/>
      <c r="AZ21" s="443"/>
      <c r="BA21" s="443"/>
      <c r="BB21" s="112"/>
      <c r="BC21" s="351"/>
      <c r="BD21" s="443"/>
      <c r="BE21" s="443"/>
      <c r="BF21" s="443"/>
      <c r="BG21" s="112"/>
      <c r="BJ21" s="456"/>
      <c r="BK21" s="443"/>
      <c r="BL21" s="112"/>
      <c r="BQ21" s="112"/>
      <c r="BV21" s="112"/>
      <c r="CA21" s="112"/>
      <c r="CB21" s="351"/>
      <c r="CC21" s="351"/>
      <c r="CD21" s="351"/>
      <c r="CE21" s="351"/>
      <c r="CF21" s="112"/>
      <c r="CG21" s="351"/>
      <c r="CH21" s="351"/>
      <c r="CI21" s="351"/>
      <c r="CJ21" s="351"/>
      <c r="CK21" s="112"/>
      <c r="CP21" s="112"/>
      <c r="CQ21" s="198"/>
      <c r="CU21" s="112"/>
      <c r="CV21" s="206"/>
      <c r="CW21" s="206"/>
      <c r="CX21" s="206"/>
      <c r="CY21" s="206"/>
      <c r="CZ21" s="112"/>
      <c r="DA21" s="206"/>
      <c r="DB21" s="206"/>
      <c r="DC21" s="206"/>
      <c r="DD21" s="206"/>
      <c r="DE21" s="112"/>
      <c r="DF21" s="206"/>
      <c r="DG21" s="206"/>
      <c r="DH21" s="206"/>
      <c r="DI21" s="206"/>
      <c r="DJ21" s="112"/>
      <c r="DK21" s="206"/>
      <c r="DL21" s="206"/>
      <c r="DM21" s="69"/>
      <c r="DN21" s="69">
        <f>+-87.5</f>
        <v>-87.5</v>
      </c>
      <c r="DO21" s="112">
        <f>+SUM(DK21:DN21)</f>
        <v>-87.5</v>
      </c>
      <c r="DP21" s="69">
        <f>+-87.5</f>
        <v>-87.5</v>
      </c>
      <c r="DQ21" s="69">
        <f t="shared" ref="DQ21:DR21" si="0">+-87.5</f>
        <v>-87.5</v>
      </c>
      <c r="DR21" s="69">
        <f t="shared" si="0"/>
        <v>-87.5</v>
      </c>
      <c r="DS21" s="206"/>
      <c r="DT21" s="112">
        <f>+SUM(DP21:DS21)</f>
        <v>-262.5</v>
      </c>
      <c r="DU21" s="112"/>
      <c r="DV21" s="112"/>
    </row>
    <row r="22" spans="1:126" s="113" customFormat="1" hidden="1" outlineLevel="1">
      <c r="A22" s="92"/>
      <c r="B22" s="63" t="s">
        <v>659</v>
      </c>
      <c r="C22" s="109"/>
      <c r="D22" s="109"/>
      <c r="E22" s="109"/>
      <c r="F22" s="109"/>
      <c r="G22" s="109"/>
      <c r="H22" s="109"/>
      <c r="I22" s="109"/>
      <c r="N22" s="112"/>
      <c r="S22" s="112"/>
      <c r="X22" s="112"/>
      <c r="AC22" s="112"/>
      <c r="AH22" s="112"/>
      <c r="AM22" s="112"/>
      <c r="AR22" s="112"/>
      <c r="AW22" s="112"/>
      <c r="AZ22" s="443"/>
      <c r="BA22" s="443"/>
      <c r="BB22" s="112"/>
      <c r="BC22" s="351"/>
      <c r="BD22" s="443"/>
      <c r="BE22" s="443"/>
      <c r="BF22" s="443"/>
      <c r="BG22" s="112"/>
      <c r="BJ22" s="456"/>
      <c r="BK22" s="443"/>
      <c r="BL22" s="112"/>
      <c r="BQ22" s="112"/>
      <c r="BV22" s="112"/>
      <c r="CA22" s="112"/>
      <c r="CB22" s="351"/>
      <c r="CC22" s="351"/>
      <c r="CD22" s="351"/>
      <c r="CE22" s="351"/>
      <c r="CF22" s="112"/>
      <c r="CG22" s="351"/>
      <c r="CH22" s="351"/>
      <c r="CI22" s="351"/>
      <c r="CJ22" s="351"/>
      <c r="CK22" s="112"/>
      <c r="CP22" s="112"/>
      <c r="CQ22" s="198"/>
      <c r="CU22" s="112"/>
      <c r="CV22" s="206"/>
      <c r="CW22" s="206"/>
      <c r="CX22" s="206"/>
      <c r="CY22" s="206"/>
      <c r="CZ22" s="112"/>
      <c r="DA22" s="206"/>
      <c r="DB22" s="206"/>
      <c r="DC22" s="206"/>
      <c r="DD22" s="206"/>
      <c r="DE22" s="112"/>
      <c r="DF22" s="206"/>
      <c r="DG22" s="206"/>
      <c r="DH22" s="206"/>
      <c r="DI22" s="206"/>
      <c r="DJ22" s="112"/>
      <c r="DK22" s="206"/>
      <c r="DL22" s="206"/>
      <c r="DM22" s="69">
        <v>-263</v>
      </c>
      <c r="DN22" s="69">
        <v>-400</v>
      </c>
      <c r="DO22" s="112">
        <f>+SUM(DK22:DN22)</f>
        <v>-663</v>
      </c>
      <c r="DP22" s="69">
        <v>-400</v>
      </c>
      <c r="DQ22" s="69">
        <v>-400</v>
      </c>
      <c r="DR22" s="206"/>
      <c r="DS22" s="206"/>
      <c r="DT22" s="112">
        <f>+SUM(DP22:DS22)</f>
        <v>-800</v>
      </c>
      <c r="DU22" s="112"/>
      <c r="DV22" s="112"/>
    </row>
    <row r="23" spans="1:126" s="113" customFormat="1" hidden="1" outlineLevel="1">
      <c r="A23" s="92"/>
      <c r="B23" s="63" t="s">
        <v>622</v>
      </c>
      <c r="C23" s="109"/>
      <c r="D23" s="109"/>
      <c r="E23" s="109"/>
      <c r="F23" s="109"/>
      <c r="G23" s="109"/>
      <c r="H23" s="109"/>
      <c r="I23" s="109"/>
      <c r="N23" s="112"/>
      <c r="S23" s="112"/>
      <c r="X23" s="112"/>
      <c r="AC23" s="112"/>
      <c r="AH23" s="112"/>
      <c r="AM23" s="112"/>
      <c r="AR23" s="112"/>
      <c r="AW23" s="112"/>
      <c r="AZ23" s="443">
        <v>-200</v>
      </c>
      <c r="BA23" s="443">
        <v>-200</v>
      </c>
      <c r="BB23" s="112">
        <f>SUM(AZ23:BA23)</f>
        <v>-400</v>
      </c>
      <c r="BC23" s="351">
        <v>-25</v>
      </c>
      <c r="BD23" s="443">
        <v>-25</v>
      </c>
      <c r="BE23" s="443">
        <v>-25</v>
      </c>
      <c r="BF23" s="443">
        <v>-25</v>
      </c>
      <c r="BG23" s="112">
        <f>SUM(BC23:BF23)</f>
        <v>-100</v>
      </c>
      <c r="BJ23" s="456"/>
      <c r="BK23" s="443">
        <v>-25</v>
      </c>
      <c r="BL23" s="112">
        <f>SUM(BH23:BK23)</f>
        <v>-25</v>
      </c>
      <c r="BQ23" s="112"/>
      <c r="BV23" s="112"/>
      <c r="CA23" s="112"/>
      <c r="CB23" s="351">
        <v>-40</v>
      </c>
      <c r="CC23" s="351">
        <v>-40</v>
      </c>
      <c r="CD23" s="351">
        <v>-40</v>
      </c>
      <c r="CE23" s="351">
        <v>-40</v>
      </c>
      <c r="CF23" s="112">
        <f>+SUM(CB23:CE23)</f>
        <v>-160</v>
      </c>
      <c r="CG23" s="351"/>
      <c r="CH23" s="351"/>
      <c r="CI23" s="351"/>
      <c r="CJ23" s="351"/>
      <c r="CK23" s="112"/>
      <c r="CP23" s="112"/>
      <c r="CQ23" s="198"/>
      <c r="CU23" s="112"/>
      <c r="CV23" s="206">
        <v>-15</v>
      </c>
      <c r="CW23" s="206">
        <v>-20</v>
      </c>
      <c r="CX23" s="206"/>
      <c r="CY23" s="206"/>
      <c r="CZ23" s="112">
        <f>SUM(CV23:CY23)</f>
        <v>-35</v>
      </c>
      <c r="DA23" s="206">
        <v>-15</v>
      </c>
      <c r="DB23" s="206">
        <v>-20</v>
      </c>
      <c r="DC23" s="206">
        <v>57</v>
      </c>
      <c r="DD23" s="206">
        <v>112</v>
      </c>
      <c r="DE23" s="112">
        <f>SUM(DA23:DD23)</f>
        <v>134</v>
      </c>
      <c r="DF23" s="206"/>
      <c r="DG23" s="206"/>
      <c r="DH23" s="206">
        <v>30</v>
      </c>
      <c r="DI23" s="206"/>
      <c r="DJ23" s="112">
        <f>SUM(DF23:DI23)</f>
        <v>30</v>
      </c>
      <c r="DK23" s="206"/>
      <c r="DL23" s="206"/>
      <c r="DM23" s="206"/>
      <c r="DN23" s="206"/>
      <c r="DO23" s="112">
        <f>SUM(DK23:DN23)</f>
        <v>0</v>
      </c>
      <c r="DP23" s="206"/>
      <c r="DQ23" s="206"/>
      <c r="DR23" s="206"/>
      <c r="DS23" s="206"/>
      <c r="DT23" s="112"/>
      <c r="DU23" s="112"/>
      <c r="DV23" s="112"/>
    </row>
    <row r="24" spans="1:126" s="113" customFormat="1" hidden="1" outlineLevel="1">
      <c r="A24" s="92"/>
      <c r="B24" s="63" t="s">
        <v>604</v>
      </c>
      <c r="C24" s="109"/>
      <c r="D24" s="109"/>
      <c r="E24" s="109"/>
      <c r="F24" s="109"/>
      <c r="G24" s="109"/>
      <c r="H24" s="109"/>
      <c r="I24" s="109"/>
      <c r="N24" s="112"/>
      <c r="S24" s="112"/>
      <c r="X24" s="112"/>
      <c r="AC24" s="112"/>
      <c r="AH24" s="112"/>
      <c r="AM24" s="112"/>
      <c r="AR24" s="112"/>
      <c r="AW24" s="112"/>
      <c r="AZ24" s="443"/>
      <c r="BA24" s="443"/>
      <c r="BB24" s="112"/>
      <c r="BC24" s="351"/>
      <c r="BD24" s="443"/>
      <c r="BE24" s="443"/>
      <c r="BF24" s="443"/>
      <c r="BG24" s="112"/>
      <c r="BJ24" s="456"/>
      <c r="BK24" s="443"/>
      <c r="BL24" s="112"/>
      <c r="BQ24" s="112"/>
      <c r="BV24" s="112"/>
      <c r="CA24" s="112"/>
      <c r="CB24" s="351"/>
      <c r="CC24" s="351"/>
      <c r="CD24" s="351"/>
      <c r="CE24" s="351"/>
      <c r="CF24" s="112"/>
      <c r="CG24" s="351"/>
      <c r="CH24" s="351"/>
      <c r="CI24" s="351"/>
      <c r="CJ24" s="351"/>
      <c r="CK24" s="112"/>
      <c r="CN24" s="351">
        <v>-65</v>
      </c>
      <c r="CO24" s="351">
        <f>-360/4</f>
        <v>-90</v>
      </c>
      <c r="CP24" s="112">
        <f>SUM(CL24:CO24)</f>
        <v>-155</v>
      </c>
      <c r="CQ24" s="812">
        <f>-360/4</f>
        <v>-90</v>
      </c>
      <c r="CR24" s="812">
        <v>-100</v>
      </c>
      <c r="CS24" s="812">
        <v>-70</v>
      </c>
      <c r="CU24" s="112">
        <f>SUM(CQ24:CT24)</f>
        <v>-260</v>
      </c>
      <c r="CV24" s="351"/>
      <c r="CW24" s="351"/>
      <c r="CX24" s="351"/>
      <c r="CY24" s="351"/>
      <c r="CZ24" s="112">
        <f>SUM(CV24:CY24)</f>
        <v>0</v>
      </c>
      <c r="DA24" s="351"/>
      <c r="DB24" s="351"/>
      <c r="DC24" s="351"/>
      <c r="DD24" s="351"/>
      <c r="DE24" s="112">
        <f>SUM(DA24:DD24)</f>
        <v>0</v>
      </c>
      <c r="DF24" s="351"/>
      <c r="DG24" s="351"/>
      <c r="DH24" s="351"/>
      <c r="DI24" s="351"/>
      <c r="DJ24" s="112">
        <f>SUM(DF24:DI24)</f>
        <v>0</v>
      </c>
      <c r="DK24" s="351"/>
      <c r="DL24" s="351"/>
      <c r="DM24" s="351"/>
      <c r="DN24" s="351"/>
      <c r="DO24" s="112">
        <f>SUM(DK24:DN24)</f>
        <v>0</v>
      </c>
      <c r="DP24" s="351"/>
      <c r="DQ24" s="351"/>
      <c r="DR24" s="351"/>
      <c r="DS24" s="351"/>
      <c r="DT24" s="112"/>
      <c r="DU24" s="112"/>
      <c r="DV24" s="112"/>
    </row>
    <row r="25" spans="1:126" s="113" customFormat="1" hidden="1" outlineLevel="1">
      <c r="A25" s="92"/>
      <c r="B25" s="63"/>
      <c r="C25" s="109"/>
      <c r="D25" s="109"/>
      <c r="E25" s="109"/>
      <c r="F25" s="109"/>
      <c r="G25" s="109"/>
      <c r="H25" s="109"/>
      <c r="I25" s="109"/>
      <c r="N25" s="112"/>
      <c r="S25" s="112"/>
      <c r="X25" s="112"/>
      <c r="AC25" s="112"/>
      <c r="AH25" s="112"/>
      <c r="AM25" s="112"/>
      <c r="AR25" s="112"/>
      <c r="AW25" s="112"/>
      <c r="BB25" s="112"/>
      <c r="BG25" s="112"/>
      <c r="BJ25" s="456"/>
      <c r="BL25" s="112"/>
      <c r="BQ25" s="112"/>
      <c r="BV25" s="112"/>
      <c r="CA25" s="112"/>
      <c r="CF25" s="112"/>
      <c r="CK25" s="112"/>
      <c r="CP25" s="112"/>
      <c r="CQ25" s="198"/>
      <c r="CU25" s="112"/>
      <c r="CZ25" s="112"/>
      <c r="DE25" s="112"/>
      <c r="DJ25" s="112"/>
      <c r="DO25" s="112"/>
      <c r="DT25" s="112"/>
      <c r="DU25" s="112"/>
      <c r="DV25" s="112"/>
    </row>
    <row r="26" spans="1:126" s="113" customFormat="1" collapsed="1">
      <c r="A26" s="92"/>
      <c r="B26" s="3" t="s">
        <v>472</v>
      </c>
      <c r="C26" s="112">
        <f>+Data!C134</f>
        <v>2804</v>
      </c>
      <c r="D26" s="112">
        <f>+Data!D134</f>
        <v>2891</v>
      </c>
      <c r="E26" s="112">
        <f>+Data!E134</f>
        <v>3810</v>
      </c>
      <c r="F26" s="112">
        <f>+Data!F134</f>
        <v>4992</v>
      </c>
      <c r="G26" s="112">
        <f>+Data!G134</f>
        <v>5292</v>
      </c>
      <c r="H26" s="112">
        <f>+Data!H134</f>
        <v>3453</v>
      </c>
      <c r="I26" s="112">
        <f>+Data!I134</f>
        <v>3598</v>
      </c>
      <c r="J26" s="113">
        <f>+Data!J134</f>
        <v>926</v>
      </c>
      <c r="K26" s="113">
        <f>+Data!K134</f>
        <v>935</v>
      </c>
      <c r="L26" s="113">
        <f>+Data!L134</f>
        <v>980</v>
      </c>
      <c r="M26" s="113">
        <f>+Data!M134</f>
        <v>1080</v>
      </c>
      <c r="N26" s="112">
        <f>+Data!N134</f>
        <v>3921</v>
      </c>
      <c r="O26" s="113">
        <f>+Data!O134</f>
        <v>1028</v>
      </c>
      <c r="P26" s="113">
        <f>+Data!P134</f>
        <v>1126</v>
      </c>
      <c r="Q26" s="113">
        <f>+Data!Q134</f>
        <v>1077</v>
      </c>
      <c r="R26" s="113">
        <f>+Data!R134</f>
        <v>1151</v>
      </c>
      <c r="S26" s="112">
        <f>+Data!S134</f>
        <v>4382</v>
      </c>
      <c r="T26" s="113">
        <f>+Data!T134</f>
        <v>1164</v>
      </c>
      <c r="U26" s="113">
        <f>+Data!U134</f>
        <v>1281</v>
      </c>
      <c r="V26" s="113">
        <f>+Data!V134</f>
        <v>1253</v>
      </c>
      <c r="W26" s="113">
        <f>+Data!W134</f>
        <v>1297</v>
      </c>
      <c r="X26" s="112">
        <f>+Data!X134</f>
        <v>4995</v>
      </c>
      <c r="Y26" s="113">
        <f>+Data!Y134</f>
        <v>1313</v>
      </c>
      <c r="Z26" s="113">
        <f>+Data!Z134</f>
        <v>1404</v>
      </c>
      <c r="AA26" s="113">
        <f>+Data!AA134</f>
        <v>1427</v>
      </c>
      <c r="AB26" s="113">
        <f>+Data!AB134</f>
        <v>1492</v>
      </c>
      <c r="AC26" s="112">
        <f>+Data!AC134</f>
        <v>5636</v>
      </c>
      <c r="AD26" s="113">
        <f>+Data!AD134</f>
        <v>1461</v>
      </c>
      <c r="AE26" s="113">
        <f>+Data!AE134</f>
        <v>1650</v>
      </c>
      <c r="AF26" s="113">
        <f>+Data!AF134</f>
        <v>1532</v>
      </c>
      <c r="AG26" s="113">
        <f>+Data!AG134</f>
        <v>1484</v>
      </c>
      <c r="AH26" s="112">
        <f>+Data!AH134</f>
        <v>6127</v>
      </c>
      <c r="AI26" s="113">
        <f>+Data!AI134</f>
        <v>1381</v>
      </c>
      <c r="AJ26" s="113">
        <f>+Data!AJ134</f>
        <v>1402</v>
      </c>
      <c r="AK26" s="113">
        <f>+Data!AK134</f>
        <v>1400</v>
      </c>
      <c r="AL26" s="113">
        <f>+Data!AL134</f>
        <v>1377</v>
      </c>
      <c r="AM26" s="112">
        <f>+Data!AM134</f>
        <v>5560</v>
      </c>
      <c r="AN26" s="113">
        <f>+Data!AN134</f>
        <v>1326</v>
      </c>
      <c r="AO26" s="113">
        <f>+Data!AO134</f>
        <v>1379</v>
      </c>
      <c r="AP26" s="113">
        <f>+Data!AP134</f>
        <v>1420</v>
      </c>
      <c r="AQ26" s="113">
        <f>+Data!AQ134</f>
        <v>1483</v>
      </c>
      <c r="AR26" s="112">
        <f>+Data!AR134</f>
        <v>5608</v>
      </c>
      <c r="AS26" s="113">
        <f>+Data!AS134</f>
        <v>1138</v>
      </c>
      <c r="AT26" s="113">
        <f>+Data!AT134</f>
        <v>1171</v>
      </c>
      <c r="AU26" s="113">
        <f>+Data!AU134</f>
        <v>1187</v>
      </c>
      <c r="AV26" s="392">
        <f>+Data!AV134</f>
        <v>1264</v>
      </c>
      <c r="AW26" s="112">
        <f>+Data!AW134</f>
        <v>4760</v>
      </c>
      <c r="AX26" s="113">
        <f>+Data!AX134</f>
        <v>1236</v>
      </c>
      <c r="AY26" s="113">
        <f>+Data!AY134</f>
        <v>1254</v>
      </c>
      <c r="AZ26" s="113">
        <f>+Data!AZ134</f>
        <v>2670</v>
      </c>
      <c r="BA26" s="198">
        <f>+Data!BA134</f>
        <v>3174</v>
      </c>
      <c r="BB26" s="112">
        <f>+Data!BB134</f>
        <v>8334</v>
      </c>
      <c r="BC26" s="113">
        <f>+Data!BC134</f>
        <v>3263</v>
      </c>
      <c r="BD26" s="113">
        <f>+Data!BD134</f>
        <v>3321</v>
      </c>
      <c r="BE26" s="113">
        <f>+Data!BE134</f>
        <v>3312</v>
      </c>
      <c r="BF26" s="113">
        <f>+Data!BF134</f>
        <v>3451</v>
      </c>
      <c r="BG26" s="112">
        <f>+Data!BG134</f>
        <v>13347</v>
      </c>
      <c r="BH26" s="113">
        <f>+Data!BH134</f>
        <v>3450</v>
      </c>
      <c r="BI26" s="113">
        <f>+Data!BI134</f>
        <v>3636</v>
      </c>
      <c r="BJ26" s="456">
        <f>+Data!BJ134</f>
        <v>3535</v>
      </c>
      <c r="BK26" s="456">
        <f>+Data!BK134</f>
        <v>3594</v>
      </c>
      <c r="BL26" s="112">
        <f>+Data!BL134</f>
        <v>14215</v>
      </c>
      <c r="BM26" s="456">
        <f>+Data!BM134</f>
        <v>3548</v>
      </c>
      <c r="BN26" s="456">
        <f>+Data!BN134</f>
        <v>3632</v>
      </c>
      <c r="BO26" s="456">
        <f>+Data!BO134</f>
        <v>3457</v>
      </c>
      <c r="BP26" s="456">
        <f>+Data!BP134</f>
        <v>3457</v>
      </c>
      <c r="BQ26" s="112">
        <f>+Data!BQ134</f>
        <v>14094</v>
      </c>
      <c r="BR26" s="456">
        <f>+Data!BR134</f>
        <v>3505</v>
      </c>
      <c r="BS26" s="456">
        <f>+Data!BS134</f>
        <v>3716</v>
      </c>
      <c r="BT26" s="456">
        <f>+Data!BT134</f>
        <v>3646</v>
      </c>
      <c r="BU26" s="456">
        <f>+Data!BU134</f>
        <v>3598</v>
      </c>
      <c r="BV26" s="112">
        <f>+Data!BV134</f>
        <v>14465</v>
      </c>
      <c r="BW26" s="456">
        <f>+Data!BW134</f>
        <v>3611</v>
      </c>
      <c r="BX26" s="456">
        <f>+Data!BX134</f>
        <v>3640</v>
      </c>
      <c r="BY26" s="456">
        <f>+Data!BY134</f>
        <v>3637</v>
      </c>
      <c r="BZ26" s="456">
        <f>+Data!BZ134</f>
        <v>3803</v>
      </c>
      <c r="CA26" s="112">
        <f>+Data!CA134</f>
        <v>14691</v>
      </c>
      <c r="CB26" s="456">
        <f>+Data!CB134</f>
        <v>5725.75</v>
      </c>
      <c r="CC26" s="456">
        <f>+Data!CC134</f>
        <v>5870.75</v>
      </c>
      <c r="CD26" s="456">
        <f>+Data!CD134</f>
        <v>5863.75</v>
      </c>
      <c r="CE26" s="456">
        <f>+Data!CE134</f>
        <v>6808.75</v>
      </c>
      <c r="CF26" s="112">
        <f>+Data!CF134</f>
        <v>24269</v>
      </c>
      <c r="CG26" s="456">
        <f>+Data!CG134</f>
        <v>6513</v>
      </c>
      <c r="CH26" s="456">
        <f>+Data!CH134</f>
        <v>6576</v>
      </c>
      <c r="CI26" s="456">
        <f>+Data!CI134</f>
        <v>6495</v>
      </c>
      <c r="CJ26" s="456">
        <f>+Data!CJ134</f>
        <v>6444</v>
      </c>
      <c r="CK26" s="112">
        <f>+Data!CK134</f>
        <v>26028</v>
      </c>
      <c r="CL26" s="198">
        <f>Data!CL134</f>
        <v>4988.9747469454214</v>
      </c>
      <c r="CM26" s="198">
        <f>Data!CM134</f>
        <v>4980.2955810181838</v>
      </c>
      <c r="CN26" s="198">
        <f>Data!CN134</f>
        <v>4992.1459806496041</v>
      </c>
      <c r="CO26" s="198">
        <f>Data!CO134</f>
        <v>7027.5836913867915</v>
      </c>
      <c r="CP26" s="112">
        <f>SUM(CL26:CO26)</f>
        <v>21989</v>
      </c>
      <c r="CQ26" s="198">
        <f>Data!CQ134</f>
        <v>4991.4660799251005</v>
      </c>
      <c r="CR26" s="198">
        <f>Data!CR134</f>
        <v>5010.5425724552169</v>
      </c>
      <c r="CS26" s="198">
        <f>Data!CS134</f>
        <v>4998.3730858411782</v>
      </c>
      <c r="CT26" s="198">
        <f>Data!CT134</f>
        <v>6151.6182617785034</v>
      </c>
      <c r="CU26" s="112">
        <f>SUM(CQ26:CT26)</f>
        <v>21152</v>
      </c>
      <c r="CV26" s="198">
        <f>Data!CV134</f>
        <v>5476</v>
      </c>
      <c r="CW26" s="198">
        <f>Data!CW134</f>
        <v>5627</v>
      </c>
      <c r="CX26" s="198">
        <f>Data!CX134</f>
        <v>5718</v>
      </c>
      <c r="CY26" s="198">
        <f>Data!CY134</f>
        <v>6231</v>
      </c>
      <c r="CZ26" s="112">
        <f>SUM(CV26:CY26)</f>
        <v>23052</v>
      </c>
      <c r="DA26" s="198">
        <f>Data!DA134</f>
        <v>6120</v>
      </c>
      <c r="DB26" s="198">
        <f>Data!DB134</f>
        <v>6384</v>
      </c>
      <c r="DC26" s="198">
        <f>Data!DC134</f>
        <v>6629</v>
      </c>
      <c r="DD26" s="198">
        <f>Data!DD134</f>
        <v>7120</v>
      </c>
      <c r="DE26" s="112">
        <f>SUM(DA26:DD26)</f>
        <v>26253</v>
      </c>
      <c r="DF26" s="198">
        <f>Data!DF134</f>
        <v>6673</v>
      </c>
      <c r="DG26" s="198">
        <f>Data!DG134</f>
        <v>6999</v>
      </c>
      <c r="DH26" s="198">
        <f>Data!DH134</f>
        <v>7075</v>
      </c>
      <c r="DI26" s="198">
        <f>Data!DI134</f>
        <v>7537</v>
      </c>
      <c r="DJ26" s="112">
        <f>SUM(DF26:DI26)</f>
        <v>28284</v>
      </c>
      <c r="DK26" s="198">
        <f>Data!DK134</f>
        <v>7217</v>
      </c>
      <c r="DL26" s="198">
        <f>Data!DL134</f>
        <v>7622</v>
      </c>
      <c r="DM26" s="198">
        <f>Data!DM134</f>
        <v>7621</v>
      </c>
      <c r="DN26" s="69">
        <f>DI26*(1+DN83)+DN74+DN66</f>
        <v>7456.4980000000005</v>
      </c>
      <c r="DO26" s="112">
        <f>SUM(DK26:DN26)</f>
        <v>29916.498</v>
      </c>
      <c r="DP26" s="608">
        <f>DK26*(1+DP83)+DP74+DP66</f>
        <v>7162.52</v>
      </c>
      <c r="DQ26" s="608">
        <f>DL26*(1+DQ83)+DQ74+DQ66</f>
        <v>7668.0400000000009</v>
      </c>
      <c r="DR26" s="69">
        <f>DM26*(1+DR83)+DR74+DR66</f>
        <v>7990.76</v>
      </c>
      <c r="DS26" s="69">
        <f>DN26*(1+DS83)+DS74+DS66</f>
        <v>7926.2573739999998</v>
      </c>
      <c r="DT26" s="112">
        <f>SUM(DP26:DS26)</f>
        <v>30747.577374</v>
      </c>
      <c r="DU26" s="70">
        <f>DT26*(1+DU83)+DU66+DU74</f>
        <v>32530.936861692004</v>
      </c>
      <c r="DV26" s="70">
        <f>DU26*(1+DV83)+DV66+DV74</f>
        <v>34222.545578499987</v>
      </c>
    </row>
    <row r="27" spans="1:126" s="113" customFormat="1" hidden="1" outlineLevel="1">
      <c r="A27" s="92"/>
      <c r="B27" s="3"/>
      <c r="C27" s="112"/>
      <c r="D27" s="112"/>
      <c r="E27" s="112"/>
      <c r="F27" s="112"/>
      <c r="G27" s="112"/>
      <c r="H27" s="112"/>
      <c r="I27" s="112"/>
      <c r="N27" s="112"/>
      <c r="S27" s="112"/>
      <c r="X27" s="112"/>
      <c r="AC27" s="112"/>
      <c r="AH27" s="112"/>
      <c r="AM27" s="112"/>
      <c r="AR27" s="112"/>
      <c r="AV27" s="392"/>
      <c r="AW27" s="112"/>
      <c r="BA27" s="198"/>
      <c r="BB27" s="112"/>
      <c r="BG27" s="112"/>
      <c r="BJ27" s="456"/>
      <c r="BK27" s="456"/>
      <c r="BL27" s="112"/>
      <c r="BM27" s="456"/>
      <c r="BN27" s="456"/>
      <c r="BO27" s="456"/>
      <c r="BP27" s="456"/>
      <c r="BQ27" s="112"/>
      <c r="BR27" s="456"/>
      <c r="BS27" s="456"/>
      <c r="BT27" s="456"/>
      <c r="BU27" s="456"/>
      <c r="BV27" s="112"/>
      <c r="BW27" s="456"/>
      <c r="BX27" s="456"/>
      <c r="BY27" s="456"/>
      <c r="BZ27" s="456"/>
      <c r="CA27" s="112"/>
      <c r="CB27" s="456"/>
      <c r="CC27" s="456"/>
      <c r="CD27" s="456"/>
      <c r="CE27" s="456"/>
      <c r="CF27" s="112"/>
      <c r="CG27" s="456"/>
      <c r="CH27" s="456"/>
      <c r="CI27" s="456"/>
      <c r="CJ27" s="456"/>
      <c r="CK27" s="112"/>
      <c r="CL27" s="69"/>
      <c r="CM27" s="69"/>
      <c r="CN27" s="69"/>
      <c r="CO27" s="69"/>
      <c r="CP27" s="112"/>
      <c r="CQ27" s="198"/>
      <c r="CR27" s="69"/>
      <c r="CS27" s="69"/>
      <c r="CT27" s="69"/>
      <c r="CU27" s="112"/>
      <c r="CV27" s="69"/>
      <c r="CW27" s="69"/>
      <c r="CX27" s="69"/>
      <c r="CY27" s="69"/>
      <c r="CZ27" s="112"/>
      <c r="DA27" s="69"/>
      <c r="DB27" s="69"/>
      <c r="DC27" s="69"/>
      <c r="DD27" s="69"/>
      <c r="DE27" s="112"/>
      <c r="DF27" s="69"/>
      <c r="DG27" s="69"/>
      <c r="DH27" s="69"/>
      <c r="DI27" s="69"/>
      <c r="DJ27" s="112"/>
      <c r="DK27" s="69"/>
      <c r="DL27" s="69"/>
      <c r="DM27" s="69"/>
      <c r="DN27" s="69"/>
      <c r="DO27" s="112"/>
      <c r="DP27" s="69"/>
      <c r="DQ27" s="69"/>
      <c r="DR27" s="69"/>
      <c r="DS27" s="69"/>
      <c r="DT27" s="112"/>
      <c r="DU27" s="70"/>
      <c r="DV27" s="70"/>
    </row>
    <row r="28" spans="1:126" s="113" customFormat="1" hidden="1" outlineLevel="1">
      <c r="A28"/>
      <c r="B28" s="111" t="s">
        <v>72</v>
      </c>
      <c r="C28" s="2"/>
      <c r="D28" s="2"/>
      <c r="E28" s="2"/>
      <c r="F28" s="2"/>
      <c r="G28" s="2"/>
      <c r="H28" s="2"/>
      <c r="I28" s="2"/>
      <c r="J28" s="3"/>
      <c r="K28" s="3"/>
      <c r="L28" s="3"/>
      <c r="M28" s="3"/>
      <c r="N28" s="2"/>
      <c r="O28" s="3"/>
      <c r="P28" s="3"/>
      <c r="Q28" s="3"/>
      <c r="R28" s="3"/>
      <c r="S28" s="2"/>
      <c r="T28" s="3"/>
      <c r="U28" s="3"/>
      <c r="V28" s="3"/>
      <c r="W28" s="3"/>
      <c r="X28" s="2"/>
      <c r="Y28" s="3"/>
      <c r="Z28" s="3"/>
      <c r="AA28" s="3"/>
      <c r="AB28" s="3"/>
      <c r="AC28" s="2"/>
      <c r="AD28" s="3"/>
      <c r="AE28" s="3"/>
      <c r="AF28" s="3"/>
      <c r="AG28" s="3"/>
      <c r="AH28" s="2"/>
      <c r="AI28" s="3"/>
      <c r="AJ28" s="3"/>
      <c r="AK28" s="3"/>
      <c r="AL28" s="97"/>
      <c r="AM28" s="2"/>
      <c r="AN28" s="3"/>
      <c r="AO28" s="97"/>
      <c r="AP28" s="97"/>
      <c r="AQ28" s="3"/>
      <c r="AR28" s="2"/>
      <c r="AS28" s="3"/>
      <c r="AT28" s="97"/>
      <c r="AU28" s="97"/>
      <c r="AV28" s="97"/>
      <c r="AW28" s="2"/>
      <c r="AX28" s="97"/>
      <c r="AY28" s="97"/>
      <c r="AZ28" s="97"/>
      <c r="BA28" s="97"/>
      <c r="BB28" s="98"/>
      <c r="BC28" s="3"/>
      <c r="BD28" s="3"/>
      <c r="BE28" s="97"/>
      <c r="BF28" s="97"/>
      <c r="BG28" s="98"/>
      <c r="BH28" s="97"/>
      <c r="BI28" s="97"/>
      <c r="BJ28" s="97"/>
      <c r="BK28" s="97"/>
      <c r="BL28" s="98"/>
      <c r="BM28" s="97"/>
      <c r="BN28" s="97"/>
      <c r="BO28" s="97"/>
      <c r="BP28" s="97"/>
      <c r="BQ28" s="98"/>
      <c r="BR28" s="97"/>
      <c r="BS28" s="97"/>
      <c r="BT28" s="97"/>
      <c r="BU28" s="97"/>
      <c r="BV28" s="98"/>
      <c r="BW28" s="97"/>
      <c r="BX28" s="97"/>
      <c r="BY28" s="97"/>
      <c r="BZ28" s="97"/>
      <c r="CA28" s="98"/>
      <c r="CB28" s="97"/>
      <c r="CC28" s="97"/>
      <c r="CD28" s="97"/>
      <c r="CE28" s="97"/>
      <c r="CF28" s="98"/>
      <c r="CG28" s="97"/>
      <c r="CH28" s="97"/>
      <c r="CI28" s="97"/>
      <c r="CJ28" s="3"/>
      <c r="CK28" s="98"/>
      <c r="CL28" s="97"/>
      <c r="CM28" s="97"/>
      <c r="CN28" s="97"/>
      <c r="CO28" s="97"/>
      <c r="CP28" s="98"/>
      <c r="CQ28" s="3"/>
      <c r="CR28" s="97"/>
      <c r="CS28" s="97"/>
      <c r="CT28" s="97"/>
      <c r="CU28" s="98"/>
      <c r="CV28" s="97"/>
      <c r="CW28" s="97"/>
      <c r="CX28" s="97"/>
      <c r="CY28" s="97"/>
      <c r="CZ28" s="98"/>
      <c r="DA28" s="97"/>
      <c r="DB28" s="97"/>
      <c r="DC28" s="97"/>
      <c r="DD28" s="97"/>
      <c r="DE28" s="98"/>
      <c r="DF28" s="97"/>
      <c r="DG28" s="97"/>
      <c r="DH28" s="97"/>
      <c r="DI28" s="97"/>
      <c r="DJ28" s="98"/>
      <c r="DK28" s="97"/>
      <c r="DL28" s="97"/>
      <c r="DM28" s="97"/>
      <c r="DN28" s="97"/>
      <c r="DO28" s="98"/>
      <c r="DP28" s="97"/>
      <c r="DQ28" s="97"/>
      <c r="DR28" s="97"/>
      <c r="DS28" s="97"/>
      <c r="DT28" s="98"/>
      <c r="DU28" s="98"/>
      <c r="DV28" s="98"/>
    </row>
    <row r="29" spans="1:126" s="113" customFormat="1" hidden="1" outlineLevel="1">
      <c r="A29"/>
      <c r="B29" s="63" t="s">
        <v>508</v>
      </c>
      <c r="C29" s="2"/>
      <c r="D29" s="2"/>
      <c r="E29" s="2"/>
      <c r="F29" s="2"/>
      <c r="G29" s="2"/>
      <c r="H29" s="2"/>
      <c r="I29" s="2"/>
      <c r="J29" s="3"/>
      <c r="K29" s="3"/>
      <c r="L29" s="3"/>
      <c r="M29" s="3"/>
      <c r="N29" s="2"/>
      <c r="O29" s="3"/>
      <c r="P29" s="3"/>
      <c r="Q29" s="3"/>
      <c r="R29" s="3"/>
      <c r="S29" s="2"/>
      <c r="T29" s="3"/>
      <c r="U29" s="3"/>
      <c r="V29" s="3"/>
      <c r="W29" s="3"/>
      <c r="X29" s="2"/>
      <c r="Y29" s="3"/>
      <c r="Z29" s="3"/>
      <c r="AA29" s="3"/>
      <c r="AB29" s="3"/>
      <c r="AC29" s="2"/>
      <c r="AD29" s="3"/>
      <c r="AE29" s="3"/>
      <c r="AF29" s="3"/>
      <c r="AG29" s="3"/>
      <c r="AH29" s="2"/>
      <c r="AI29" s="3"/>
      <c r="AJ29" s="3"/>
      <c r="AK29" s="3"/>
      <c r="AL29" s="97"/>
      <c r="AM29" s="2"/>
      <c r="AN29" s="3"/>
      <c r="AO29" s="97"/>
      <c r="AP29" s="97"/>
      <c r="AQ29" s="3"/>
      <c r="AR29" s="2"/>
      <c r="AS29" s="3"/>
      <c r="AT29" s="97"/>
      <c r="AU29" s="97"/>
      <c r="AV29" s="97"/>
      <c r="AW29" s="2"/>
      <c r="AX29" s="97"/>
      <c r="AY29" s="97"/>
      <c r="AZ29" s="97"/>
      <c r="BA29" s="97"/>
      <c r="BB29" s="98"/>
      <c r="BC29" s="3"/>
      <c r="BD29" s="3"/>
      <c r="BE29" s="97"/>
      <c r="BF29" s="97"/>
      <c r="BG29" s="98"/>
      <c r="BH29" s="97"/>
      <c r="BI29" s="97"/>
      <c r="BJ29" s="97"/>
      <c r="BK29" s="97"/>
      <c r="BL29" s="98"/>
      <c r="BM29" s="97"/>
      <c r="BN29" s="97"/>
      <c r="BO29" s="97"/>
      <c r="BP29" s="97"/>
      <c r="BQ29" s="98"/>
      <c r="BR29" s="97"/>
      <c r="BS29" s="97"/>
      <c r="BT29" s="97"/>
      <c r="BU29" s="97"/>
      <c r="BV29" s="98"/>
      <c r="BW29" s="97"/>
      <c r="BX29" s="97"/>
      <c r="BY29" s="97"/>
      <c r="BZ29" s="97"/>
      <c r="CA29" s="98"/>
      <c r="CB29" s="97"/>
      <c r="CC29" s="97"/>
      <c r="CD29" s="97"/>
      <c r="CE29" s="97"/>
      <c r="CF29" s="98"/>
      <c r="CG29" s="632">
        <v>38</v>
      </c>
      <c r="CH29" s="632">
        <v>60</v>
      </c>
      <c r="CI29" s="632">
        <v>60</v>
      </c>
      <c r="CJ29" s="622">
        <v>60</v>
      </c>
      <c r="CK29" s="2">
        <f>SUM(CG29:CJ29)</f>
        <v>218</v>
      </c>
      <c r="CL29" s="632">
        <v>25</v>
      </c>
      <c r="CM29" s="632"/>
      <c r="CN29" s="632"/>
      <c r="CO29" s="632"/>
      <c r="CP29" s="2">
        <f>SUM(CL29:CO29)</f>
        <v>25</v>
      </c>
      <c r="CQ29" s="622"/>
      <c r="CR29" s="632"/>
      <c r="CS29" s="632"/>
      <c r="CT29" s="632"/>
      <c r="CU29" s="2"/>
      <c r="CV29" s="632"/>
      <c r="CW29" s="632"/>
      <c r="CX29" s="632"/>
      <c r="CY29" s="632"/>
      <c r="CZ29" s="2"/>
      <c r="DA29" s="632"/>
      <c r="DB29" s="632"/>
      <c r="DC29" s="632"/>
      <c r="DD29" s="632"/>
      <c r="DE29" s="2"/>
      <c r="DF29" s="632"/>
      <c r="DG29" s="632"/>
      <c r="DH29" s="632"/>
      <c r="DI29" s="632"/>
      <c r="DJ29" s="2"/>
      <c r="DK29" s="632"/>
      <c r="DL29" s="632"/>
      <c r="DM29" s="632"/>
      <c r="DN29" s="632"/>
      <c r="DO29" s="2"/>
      <c r="DP29" s="632"/>
      <c r="DQ29" s="632"/>
      <c r="DR29" s="632"/>
      <c r="DS29" s="632"/>
      <c r="DT29" s="2"/>
      <c r="DU29" s="98"/>
      <c r="DV29" s="98"/>
    </row>
    <row r="30" spans="1:126" s="113" customFormat="1" hidden="1" outlineLevel="1">
      <c r="A30"/>
      <c r="B30" s="63" t="s">
        <v>552</v>
      </c>
      <c r="C30" s="2"/>
      <c r="D30" s="2"/>
      <c r="E30" s="2"/>
      <c r="F30" s="2"/>
      <c r="G30" s="2"/>
      <c r="H30" s="2"/>
      <c r="I30" s="2"/>
      <c r="J30" s="3"/>
      <c r="K30" s="3"/>
      <c r="L30" s="3"/>
      <c r="M30" s="3"/>
      <c r="N30" s="2"/>
      <c r="O30" s="3"/>
      <c r="P30" s="3"/>
      <c r="Q30" s="3"/>
      <c r="R30" s="3"/>
      <c r="S30" s="2"/>
      <c r="T30" s="3"/>
      <c r="U30" s="3"/>
      <c r="V30" s="3"/>
      <c r="W30" s="3"/>
      <c r="X30" s="2"/>
      <c r="Y30" s="3"/>
      <c r="Z30" s="3"/>
      <c r="AA30" s="3"/>
      <c r="AB30" s="3"/>
      <c r="AC30" s="2"/>
      <c r="AD30" s="3"/>
      <c r="AE30" s="3"/>
      <c r="AF30" s="3"/>
      <c r="AG30" s="3"/>
      <c r="AH30" s="2"/>
      <c r="AI30" s="3"/>
      <c r="AJ30" s="3"/>
      <c r="AK30" s="3"/>
      <c r="AL30" s="97"/>
      <c r="AM30" s="2"/>
      <c r="AN30" s="3"/>
      <c r="AO30" s="97"/>
      <c r="AP30" s="97"/>
      <c r="AQ30" s="3"/>
      <c r="AR30" s="2"/>
      <c r="AS30" s="3"/>
      <c r="AT30" s="97"/>
      <c r="AU30" s="97"/>
      <c r="AV30" s="97"/>
      <c r="AW30" s="2"/>
      <c r="AX30" s="97"/>
      <c r="AY30" s="97"/>
      <c r="AZ30" s="97"/>
      <c r="BA30" s="97"/>
      <c r="BB30" s="98"/>
      <c r="BC30" s="3"/>
      <c r="BD30" s="3"/>
      <c r="BE30" s="97"/>
      <c r="BF30" s="97"/>
      <c r="BG30" s="98"/>
      <c r="BH30" s="97"/>
      <c r="BI30" s="97"/>
      <c r="BJ30" s="97"/>
      <c r="BK30" s="97"/>
      <c r="BL30" s="98"/>
      <c r="BM30" s="97"/>
      <c r="BN30" s="97"/>
      <c r="BO30" s="97"/>
      <c r="BP30" s="97"/>
      <c r="BQ30" s="98"/>
      <c r="BR30" s="97"/>
      <c r="BS30" s="97"/>
      <c r="BT30" s="97"/>
      <c r="BU30" s="97"/>
      <c r="BV30" s="98"/>
      <c r="BW30" s="97"/>
      <c r="BX30" s="97"/>
      <c r="BY30" s="97"/>
      <c r="BZ30" s="97"/>
      <c r="CA30" s="98"/>
      <c r="CB30" s="351">
        <f>2180*0.13</f>
        <v>283.40000000000003</v>
      </c>
      <c r="CC30" s="351">
        <f>2208*0.13</f>
        <v>287.04000000000002</v>
      </c>
      <c r="CD30" s="351">
        <f>2266*0.13</f>
        <v>294.58</v>
      </c>
      <c r="CE30" s="351">
        <f>2113*0.13</f>
        <v>274.69</v>
      </c>
      <c r="CF30" s="112">
        <f>SUM(CB30:CE30)</f>
        <v>1139.71</v>
      </c>
      <c r="CG30" s="632"/>
      <c r="CH30" s="632"/>
      <c r="CI30" s="632"/>
      <c r="CJ30" s="622"/>
      <c r="CK30" s="2"/>
      <c r="CL30" s="632"/>
      <c r="CM30" s="632"/>
      <c r="CN30" s="632"/>
      <c r="CO30" s="632"/>
      <c r="CP30" s="2"/>
      <c r="CQ30" s="622"/>
      <c r="CR30" s="632"/>
      <c r="CS30" s="632"/>
      <c r="CT30" s="632"/>
      <c r="CU30" s="2"/>
      <c r="CV30" s="632"/>
      <c r="CW30" s="632"/>
      <c r="CX30" s="632"/>
      <c r="CY30" s="632"/>
      <c r="CZ30" s="2"/>
      <c r="DA30" s="632"/>
      <c r="DB30" s="632"/>
      <c r="DC30" s="632"/>
      <c r="DD30" s="632"/>
      <c r="DE30" s="2"/>
      <c r="DF30" s="632"/>
      <c r="DG30" s="632"/>
      <c r="DH30" s="632"/>
      <c r="DI30" s="632"/>
      <c r="DJ30" s="2"/>
      <c r="DK30" s="632"/>
      <c r="DL30" s="632"/>
      <c r="DM30" s="632"/>
      <c r="DN30" s="632"/>
      <c r="DO30" s="2"/>
      <c r="DP30" s="632"/>
      <c r="DQ30" s="632"/>
      <c r="DR30" s="632"/>
      <c r="DS30" s="632"/>
      <c r="DT30" s="2"/>
      <c r="DU30" s="98"/>
      <c r="DV30" s="98"/>
    </row>
    <row r="31" spans="1:126" s="113" customFormat="1" hidden="1" outlineLevel="1">
      <c r="A31"/>
      <c r="B31" s="63" t="s">
        <v>512</v>
      </c>
      <c r="C31" s="2"/>
      <c r="D31" s="2"/>
      <c r="E31" s="2"/>
      <c r="F31" s="2"/>
      <c r="G31" s="2"/>
      <c r="H31" s="2"/>
      <c r="I31" s="2"/>
      <c r="J31" s="165"/>
      <c r="K31" s="165"/>
      <c r="L31" s="165"/>
      <c r="M31" s="165"/>
      <c r="N31" s="2"/>
      <c r="O31" s="165"/>
      <c r="P31" s="165"/>
      <c r="Q31" s="165"/>
      <c r="R31" s="165"/>
      <c r="S31" s="2"/>
      <c r="T31" s="165"/>
      <c r="U31" s="165"/>
      <c r="V31" s="165"/>
      <c r="W31" s="165"/>
      <c r="X31" s="2"/>
      <c r="Y31" s="165"/>
      <c r="Z31" s="165"/>
      <c r="AA31" s="165"/>
      <c r="AB31" s="165"/>
      <c r="AC31" s="2"/>
      <c r="AD31" s="165"/>
      <c r="AE31" s="165"/>
      <c r="AF31" s="165"/>
      <c r="AG31" s="165"/>
      <c r="AH31" s="2"/>
      <c r="AI31" s="165"/>
      <c r="AJ31" s="165"/>
      <c r="AK31" s="165"/>
      <c r="AL31" s="165"/>
      <c r="AM31" s="2"/>
      <c r="AN31" s="165"/>
      <c r="AO31" s="165"/>
      <c r="AP31" s="165"/>
      <c r="AQ31" s="165"/>
      <c r="AR31" s="2"/>
      <c r="AS31" s="165"/>
      <c r="AT31" s="165"/>
      <c r="AU31" s="165"/>
      <c r="AV31" s="165"/>
      <c r="AW31" s="2"/>
      <c r="AX31" s="165"/>
      <c r="AY31" s="165"/>
      <c r="AZ31" s="165"/>
      <c r="BA31" s="165"/>
      <c r="BB31" s="2"/>
      <c r="BC31" s="165"/>
      <c r="BD31" s="165"/>
      <c r="BE31" s="165"/>
      <c r="BF31" s="165"/>
      <c r="BG31" s="2"/>
      <c r="BH31" s="165"/>
      <c r="BI31" s="165"/>
      <c r="BJ31" s="165"/>
      <c r="BK31" s="165"/>
      <c r="BL31" s="2"/>
      <c r="BM31" s="165"/>
      <c r="BN31" s="97"/>
      <c r="BO31" s="97"/>
      <c r="BP31" s="97"/>
      <c r="BQ31" s="2"/>
      <c r="BR31" s="632">
        <f>60/4*2.5/3</f>
        <v>12.5</v>
      </c>
      <c r="BS31" s="632">
        <f>60/4</f>
        <v>15</v>
      </c>
      <c r="BT31" s="632">
        <f>60/4</f>
        <v>15</v>
      </c>
      <c r="BU31" s="632">
        <f>60/4</f>
        <v>15</v>
      </c>
      <c r="BV31" s="98">
        <f t="shared" ref="BV31:BV32" si="1">SUM(BR31:BU31)</f>
        <v>57.5</v>
      </c>
      <c r="BW31" s="632">
        <f>60/4*0.5/3</f>
        <v>2.5</v>
      </c>
      <c r="BX31" s="97"/>
      <c r="BY31" s="97"/>
      <c r="BZ31" s="97"/>
      <c r="CA31" s="98"/>
      <c r="CB31" s="632"/>
      <c r="CC31" s="97"/>
      <c r="CD31" s="97"/>
      <c r="CE31" s="97"/>
      <c r="CF31" s="98"/>
      <c r="CG31" s="97"/>
      <c r="CH31" s="97"/>
      <c r="CI31" s="97"/>
      <c r="CJ31" s="3"/>
      <c r="CK31" s="98"/>
      <c r="CL31" s="632"/>
      <c r="CM31" s="632"/>
      <c r="CN31" s="632"/>
      <c r="CO31" s="632"/>
      <c r="CP31" s="636"/>
      <c r="CQ31" s="622"/>
      <c r="CR31" s="632"/>
      <c r="CS31" s="632"/>
      <c r="CT31" s="632"/>
      <c r="CU31" s="636"/>
      <c r="CV31" s="632"/>
      <c r="CW31" s="632"/>
      <c r="CX31" s="632"/>
      <c r="CY31" s="632"/>
      <c r="CZ31" s="636"/>
      <c r="DA31" s="632"/>
      <c r="DB31" s="632"/>
      <c r="DC31" s="632"/>
      <c r="DD31" s="632"/>
      <c r="DE31" s="636"/>
      <c r="DF31" s="632"/>
      <c r="DG31" s="632"/>
      <c r="DH31" s="632"/>
      <c r="DI31" s="632"/>
      <c r="DJ31" s="636"/>
      <c r="DK31" s="632"/>
      <c r="DL31" s="632"/>
      <c r="DM31" s="632"/>
      <c r="DN31" s="632"/>
      <c r="DO31" s="636"/>
      <c r="DP31" s="632"/>
      <c r="DQ31" s="632"/>
      <c r="DR31" s="632"/>
      <c r="DS31" s="632"/>
      <c r="DT31" s="636"/>
      <c r="DU31" s="637"/>
      <c r="DV31" s="637"/>
    </row>
    <row r="32" spans="1:126" s="113" customFormat="1" hidden="1" outlineLevel="1">
      <c r="A32"/>
      <c r="B32" s="63" t="s">
        <v>513</v>
      </c>
      <c r="C32" s="2"/>
      <c r="D32" s="2"/>
      <c r="E32" s="2"/>
      <c r="F32" s="2"/>
      <c r="G32" s="2"/>
      <c r="H32" s="2"/>
      <c r="I32" s="2"/>
      <c r="J32" s="165"/>
      <c r="K32" s="165"/>
      <c r="L32" s="165"/>
      <c r="M32" s="165"/>
      <c r="N32" s="2"/>
      <c r="O32" s="165"/>
      <c r="P32" s="165"/>
      <c r="Q32" s="165"/>
      <c r="R32" s="165"/>
      <c r="S32" s="2"/>
      <c r="T32" s="165"/>
      <c r="U32" s="165"/>
      <c r="V32" s="165"/>
      <c r="W32" s="165"/>
      <c r="X32" s="2"/>
      <c r="Y32" s="165"/>
      <c r="Z32" s="165"/>
      <c r="AA32" s="165"/>
      <c r="AB32" s="165"/>
      <c r="AC32" s="2"/>
      <c r="AD32" s="165"/>
      <c r="AE32" s="165"/>
      <c r="AF32" s="165"/>
      <c r="AG32" s="165"/>
      <c r="AH32" s="2"/>
      <c r="AI32" s="165"/>
      <c r="AJ32" s="165"/>
      <c r="AK32" s="165"/>
      <c r="AL32" s="165"/>
      <c r="AM32" s="2"/>
      <c r="AN32" s="165"/>
      <c r="AO32" s="165"/>
      <c r="AP32" s="165"/>
      <c r="AQ32" s="165"/>
      <c r="AR32" s="2"/>
      <c r="AS32" s="165"/>
      <c r="AT32" s="165"/>
      <c r="AU32" s="165"/>
      <c r="AV32" s="165"/>
      <c r="AW32" s="2"/>
      <c r="AX32" s="165"/>
      <c r="AY32" s="165"/>
      <c r="AZ32" s="165"/>
      <c r="BA32" s="165"/>
      <c r="BB32" s="2"/>
      <c r="BC32" s="165"/>
      <c r="BD32" s="165"/>
      <c r="BE32" s="165"/>
      <c r="BF32" s="165"/>
      <c r="BG32" s="2"/>
      <c r="BH32" s="165"/>
      <c r="BI32" s="165"/>
      <c r="BJ32" s="165"/>
      <c r="BK32" s="165"/>
      <c r="BL32" s="2"/>
      <c r="BM32" s="165"/>
      <c r="BN32" s="632">
        <f>375*0.25/3</f>
        <v>31.25</v>
      </c>
      <c r="BO32" s="632">
        <f>375*0.25</f>
        <v>93.75</v>
      </c>
      <c r="BP32" s="632">
        <f>375*0.25</f>
        <v>93.75</v>
      </c>
      <c r="BQ32" s="98">
        <f>SUM(BM32:BP32)</f>
        <v>218.75</v>
      </c>
      <c r="BR32" s="632">
        <v>94</v>
      </c>
      <c r="BS32" s="632">
        <f>385-BQ32-BR32</f>
        <v>72.25</v>
      </c>
      <c r="BT32" s="632"/>
      <c r="BU32" s="632"/>
      <c r="BV32" s="98">
        <f t="shared" si="1"/>
        <v>166.25</v>
      </c>
      <c r="BW32" s="632"/>
      <c r="BX32" s="632"/>
      <c r="BY32" s="632"/>
      <c r="BZ32" s="632"/>
      <c r="CA32" s="98"/>
      <c r="CB32" s="632"/>
      <c r="CC32" s="632"/>
      <c r="CD32" s="632"/>
      <c r="CE32" s="632"/>
      <c r="CF32" s="98"/>
      <c r="CG32" s="632"/>
      <c r="CH32" s="632"/>
      <c r="CI32" s="632"/>
      <c r="CJ32" s="622"/>
      <c r="CK32" s="98"/>
      <c r="CL32" s="69"/>
      <c r="CM32" s="69"/>
      <c r="CN32" s="69"/>
      <c r="CO32" s="69"/>
      <c r="CP32" s="112"/>
      <c r="CQ32" s="198"/>
      <c r="CR32" s="69"/>
      <c r="CS32" s="69"/>
      <c r="CT32" s="69"/>
      <c r="CU32" s="112"/>
      <c r="CV32" s="69"/>
      <c r="CW32" s="69"/>
      <c r="CX32" s="69"/>
      <c r="CY32" s="69"/>
      <c r="CZ32" s="112"/>
      <c r="DA32" s="69"/>
      <c r="DB32" s="69"/>
      <c r="DC32" s="69"/>
      <c r="DD32" s="69"/>
      <c r="DE32" s="112"/>
      <c r="DF32" s="69"/>
      <c r="DG32" s="69"/>
      <c r="DH32" s="69"/>
      <c r="DI32" s="69"/>
      <c r="DJ32" s="112"/>
      <c r="DK32" s="69"/>
      <c r="DL32" s="69"/>
      <c r="DM32" s="69"/>
      <c r="DN32" s="69"/>
      <c r="DO32" s="112"/>
      <c r="DP32" s="69"/>
      <c r="DQ32" s="69"/>
      <c r="DR32" s="69"/>
      <c r="DS32" s="69"/>
      <c r="DT32" s="112"/>
      <c r="DU32" s="70"/>
      <c r="DV32" s="70"/>
    </row>
    <row r="33" spans="1:126" s="113" customFormat="1" hidden="1" outlineLevel="1">
      <c r="A33"/>
      <c r="B33" s="63" t="s">
        <v>509</v>
      </c>
      <c r="C33" s="2"/>
      <c r="D33" s="2"/>
      <c r="E33" s="2"/>
      <c r="F33" s="2"/>
      <c r="G33" s="2"/>
      <c r="H33" s="2"/>
      <c r="I33" s="2"/>
      <c r="J33" s="3"/>
      <c r="K33" s="3"/>
      <c r="L33" s="3"/>
      <c r="M33" s="3"/>
      <c r="N33" s="2"/>
      <c r="O33" s="3"/>
      <c r="P33" s="3"/>
      <c r="Q33" s="3"/>
      <c r="R33" s="3"/>
      <c r="S33" s="2"/>
      <c r="T33" s="3"/>
      <c r="U33" s="3"/>
      <c r="V33" s="3"/>
      <c r="W33" s="3"/>
      <c r="X33" s="2"/>
      <c r="Y33" s="3"/>
      <c r="Z33" s="3"/>
      <c r="AA33" s="3"/>
      <c r="AB33" s="3"/>
      <c r="AC33" s="2"/>
      <c r="AD33" s="3"/>
      <c r="AE33" s="3"/>
      <c r="AF33" s="3"/>
      <c r="AG33" s="3"/>
      <c r="AH33" s="2"/>
      <c r="AI33" s="3"/>
      <c r="AJ33" s="3"/>
      <c r="AK33" s="3"/>
      <c r="AL33" s="97"/>
      <c r="AM33" s="2"/>
      <c r="AN33" s="3"/>
      <c r="AO33" s="97"/>
      <c r="AP33" s="97"/>
      <c r="AQ33" s="3"/>
      <c r="AR33" s="2"/>
      <c r="AS33" s="3"/>
      <c r="AT33" s="97"/>
      <c r="AU33" s="97"/>
      <c r="AV33" s="97"/>
      <c r="AW33" s="2"/>
      <c r="AX33" s="97"/>
      <c r="AY33" s="97"/>
      <c r="AZ33" s="97"/>
      <c r="BA33" s="97"/>
      <c r="BB33" s="98"/>
      <c r="BC33" s="3"/>
      <c r="BD33" s="3"/>
      <c r="BE33" s="97"/>
      <c r="BF33" s="97"/>
      <c r="BG33" s="98"/>
      <c r="BH33" s="97"/>
      <c r="BI33" s="97"/>
      <c r="BJ33" s="97"/>
      <c r="BK33" s="632">
        <f>200/4*2/3</f>
        <v>33.333333333333336</v>
      </c>
      <c r="BL33" s="2">
        <f>SUM(BH33:BK33)</f>
        <v>33.333333333333336</v>
      </c>
      <c r="BM33" s="632">
        <v>50</v>
      </c>
      <c r="BN33" s="632">
        <v>50</v>
      </c>
      <c r="BO33" s="632">
        <v>50</v>
      </c>
      <c r="BP33" s="632">
        <v>50</v>
      </c>
      <c r="BQ33" s="98">
        <f>SUM(BM33:BP33)</f>
        <v>200</v>
      </c>
      <c r="BR33" s="632"/>
      <c r="BS33" s="632"/>
      <c r="BT33" s="632"/>
      <c r="BU33" s="632"/>
      <c r="BV33" s="98"/>
      <c r="BW33" s="632"/>
      <c r="BX33" s="632"/>
      <c r="BY33" s="632"/>
      <c r="BZ33" s="632"/>
      <c r="CA33" s="98"/>
      <c r="CB33" s="632"/>
      <c r="CC33" s="632"/>
      <c r="CD33" s="632"/>
      <c r="CE33" s="632"/>
      <c r="CF33" s="98"/>
      <c r="CG33" s="632"/>
      <c r="CH33" s="632"/>
      <c r="CI33" s="632"/>
      <c r="CJ33" s="622"/>
      <c r="CK33" s="98"/>
      <c r="CL33" s="632"/>
      <c r="CM33" s="632"/>
      <c r="CN33" s="632"/>
      <c r="CO33" s="632"/>
      <c r="CP33" s="98"/>
      <c r="CQ33" s="622"/>
      <c r="CR33" s="632"/>
      <c r="CS33" s="632"/>
      <c r="CT33" s="632"/>
      <c r="CU33" s="98"/>
      <c r="CV33" s="632"/>
      <c r="CW33" s="632"/>
      <c r="CX33" s="632"/>
      <c r="CY33" s="632"/>
      <c r="CZ33" s="98"/>
      <c r="DA33" s="632"/>
      <c r="DB33" s="632"/>
      <c r="DC33" s="632"/>
      <c r="DD33" s="632"/>
      <c r="DE33" s="98"/>
      <c r="DF33" s="632"/>
      <c r="DG33" s="632"/>
      <c r="DH33" s="632"/>
      <c r="DI33" s="632"/>
      <c r="DJ33" s="98"/>
      <c r="DK33" s="632"/>
      <c r="DL33" s="632"/>
      <c r="DM33" s="632"/>
      <c r="DN33" s="632"/>
      <c r="DO33" s="98"/>
      <c r="DP33" s="632"/>
      <c r="DQ33" s="632"/>
      <c r="DR33" s="632"/>
      <c r="DS33" s="632"/>
      <c r="DT33" s="98"/>
      <c r="DU33" s="98"/>
      <c r="DV33" s="98"/>
    </row>
    <row r="34" spans="1:126" s="113" customFormat="1" hidden="1" outlineLevel="1">
      <c r="A34"/>
      <c r="B34" s="63" t="s">
        <v>510</v>
      </c>
      <c r="C34" s="2"/>
      <c r="D34" s="2"/>
      <c r="E34" s="2"/>
      <c r="F34" s="2"/>
      <c r="G34" s="2"/>
      <c r="H34" s="2"/>
      <c r="I34" s="2"/>
      <c r="J34" s="3"/>
      <c r="K34" s="3"/>
      <c r="L34" s="3"/>
      <c r="M34" s="3"/>
      <c r="N34" s="2"/>
      <c r="O34" s="3"/>
      <c r="P34" s="3"/>
      <c r="Q34" s="3"/>
      <c r="R34" s="3"/>
      <c r="S34" s="2"/>
      <c r="T34" s="3"/>
      <c r="U34" s="3"/>
      <c r="V34" s="3"/>
      <c r="W34" s="3"/>
      <c r="X34" s="2"/>
      <c r="Y34" s="3"/>
      <c r="Z34" s="3"/>
      <c r="AA34" s="3"/>
      <c r="AB34" s="3"/>
      <c r="AC34" s="2"/>
      <c r="AD34" s="3"/>
      <c r="AE34" s="3"/>
      <c r="AF34" s="3"/>
      <c r="AG34" s="3"/>
      <c r="AH34" s="2"/>
      <c r="AI34" s="3"/>
      <c r="AJ34" s="3"/>
      <c r="AK34" s="3"/>
      <c r="AL34" s="97"/>
      <c r="AM34" s="2"/>
      <c r="AN34" s="3"/>
      <c r="AO34" s="97"/>
      <c r="AP34" s="97"/>
      <c r="AQ34" s="3"/>
      <c r="AR34" s="2"/>
      <c r="AS34" s="3"/>
      <c r="AT34" s="97"/>
      <c r="AU34" s="97"/>
      <c r="AV34" s="97"/>
      <c r="AW34" s="2"/>
      <c r="AX34" s="97"/>
      <c r="AY34" s="97"/>
      <c r="AZ34" s="97"/>
      <c r="BA34" s="632">
        <v>13.15</v>
      </c>
      <c r="BB34" s="2">
        <f>SUM(BA34)</f>
        <v>13.15</v>
      </c>
      <c r="BC34" s="632">
        <v>65.75</v>
      </c>
      <c r="BD34" s="632">
        <v>65.75</v>
      </c>
      <c r="BE34" s="632">
        <v>65.75</v>
      </c>
      <c r="BF34" s="632">
        <v>52.6</v>
      </c>
      <c r="BG34" s="2">
        <f>SUM(BC34:BF34)</f>
        <v>249.85</v>
      </c>
      <c r="BH34" s="632"/>
      <c r="BI34" s="632"/>
      <c r="BJ34" s="632"/>
      <c r="BK34" s="632"/>
      <c r="BL34" s="98"/>
      <c r="BM34" s="632"/>
      <c r="BN34" s="632"/>
      <c r="BO34" s="632"/>
      <c r="BP34" s="632"/>
      <c r="BQ34" s="98"/>
      <c r="BR34" s="632"/>
      <c r="BS34" s="632"/>
      <c r="BT34" s="632"/>
      <c r="BU34" s="632"/>
      <c r="BV34" s="98"/>
      <c r="BW34" s="632"/>
      <c r="BX34" s="632"/>
      <c r="BY34" s="632"/>
      <c r="BZ34" s="632"/>
      <c r="CA34" s="98"/>
      <c r="CB34" s="632"/>
      <c r="CC34" s="632"/>
      <c r="CD34" s="632"/>
      <c r="CE34" s="632"/>
      <c r="CF34" s="98"/>
      <c r="CG34" s="632"/>
      <c r="CH34" s="632"/>
      <c r="CI34" s="632"/>
      <c r="CJ34" s="622"/>
      <c r="CK34" s="98"/>
      <c r="CL34" s="632"/>
      <c r="CM34" s="632"/>
      <c r="CN34" s="632"/>
      <c r="CO34" s="632"/>
      <c r="CP34" s="98"/>
      <c r="CQ34" s="622"/>
      <c r="CR34" s="632"/>
      <c r="CS34" s="632"/>
      <c r="CT34" s="632"/>
      <c r="CU34" s="98"/>
      <c r="CV34" s="632"/>
      <c r="CW34" s="632"/>
      <c r="CX34" s="632"/>
      <c r="CY34" s="632"/>
      <c r="CZ34" s="98"/>
      <c r="DA34" s="632"/>
      <c r="DB34" s="632"/>
      <c r="DC34" s="632"/>
      <c r="DD34" s="632"/>
      <c r="DE34" s="98"/>
      <c r="DF34" s="632"/>
      <c r="DG34" s="632"/>
      <c r="DH34" s="632"/>
      <c r="DI34" s="632"/>
      <c r="DJ34" s="98"/>
      <c r="DK34" s="632"/>
      <c r="DL34" s="632"/>
      <c r="DM34" s="632"/>
      <c r="DN34" s="632"/>
      <c r="DO34" s="98"/>
      <c r="DP34" s="632"/>
      <c r="DQ34" s="632"/>
      <c r="DR34" s="632"/>
      <c r="DS34" s="632"/>
      <c r="DT34" s="98"/>
      <c r="DU34" s="98"/>
      <c r="DV34" s="98"/>
    </row>
    <row r="35" spans="1:126" s="113" customFormat="1" hidden="1" outlineLevel="1">
      <c r="A35"/>
      <c r="B35" s="63" t="s">
        <v>511</v>
      </c>
      <c r="C35" s="100"/>
      <c r="D35" s="100"/>
      <c r="E35" s="100"/>
      <c r="F35" s="100"/>
      <c r="G35" s="100"/>
      <c r="H35" s="100"/>
      <c r="I35" s="100"/>
      <c r="J35" s="99"/>
      <c r="K35" s="99"/>
      <c r="L35" s="99"/>
      <c r="M35" s="99"/>
      <c r="N35" s="100"/>
      <c r="O35" s="99"/>
      <c r="P35" s="99"/>
      <c r="Q35" s="99"/>
      <c r="R35" s="99"/>
      <c r="S35" s="100"/>
      <c r="T35" s="99"/>
      <c r="U35" s="99"/>
      <c r="V35" s="99"/>
      <c r="W35" s="99"/>
      <c r="X35" s="100"/>
      <c r="Y35" s="99"/>
      <c r="Z35" s="99"/>
      <c r="AA35" s="99"/>
      <c r="AB35" s="99"/>
      <c r="AC35" s="100"/>
      <c r="AD35" s="99"/>
      <c r="AE35" s="99"/>
      <c r="AF35" s="99"/>
      <c r="AG35" s="99"/>
      <c r="AH35" s="100"/>
      <c r="AI35" s="99"/>
      <c r="AJ35" s="99"/>
      <c r="AK35" s="99"/>
      <c r="AL35" s="3"/>
      <c r="AM35" s="100"/>
      <c r="AN35" s="3"/>
      <c r="AO35" s="3"/>
      <c r="AP35" s="3"/>
      <c r="AQ35" s="3"/>
      <c r="AR35" s="100"/>
      <c r="AS35" s="633">
        <f>61*2/3</f>
        <v>40.666666666666664</v>
      </c>
      <c r="AT35" s="635">
        <v>62</v>
      </c>
      <c r="AU35" s="635">
        <v>67</v>
      </c>
      <c r="AV35" s="635">
        <v>58</v>
      </c>
      <c r="AW35" s="2">
        <f>SUM(AS35:AV35)</f>
        <v>227.66666666666666</v>
      </c>
      <c r="AX35" s="635">
        <v>20</v>
      </c>
      <c r="AY35" s="635"/>
      <c r="AZ35" s="635"/>
      <c r="BA35" s="635"/>
      <c r="BB35" s="2">
        <f>SUM(AX35:BA35)</f>
        <v>20</v>
      </c>
      <c r="BC35" s="3"/>
      <c r="BD35" s="3"/>
      <c r="BE35" s="635"/>
      <c r="BF35" s="635"/>
      <c r="BG35" s="2"/>
      <c r="BH35" s="635"/>
      <c r="BI35" s="635"/>
      <c r="BJ35" s="635"/>
      <c r="BK35" s="635"/>
      <c r="BL35" s="2"/>
      <c r="BM35" s="635"/>
      <c r="BN35" s="635"/>
      <c r="BO35" s="635"/>
      <c r="BP35" s="635"/>
      <c r="BQ35" s="2"/>
      <c r="BR35" s="635"/>
      <c r="BS35" s="635"/>
      <c r="BT35" s="635"/>
      <c r="BU35" s="635"/>
      <c r="BV35" s="2"/>
      <c r="BW35" s="635"/>
      <c r="BX35" s="635"/>
      <c r="BY35" s="635"/>
      <c r="BZ35" s="635"/>
      <c r="CA35" s="2"/>
      <c r="CB35" s="635"/>
      <c r="CC35" s="635"/>
      <c r="CD35" s="635"/>
      <c r="CE35" s="635"/>
      <c r="CF35" s="2"/>
      <c r="CG35" s="635"/>
      <c r="CH35" s="635"/>
      <c r="CI35" s="635"/>
      <c r="CJ35" s="3"/>
      <c r="CK35" s="2"/>
      <c r="CL35" s="635"/>
      <c r="CM35" s="635"/>
      <c r="CN35" s="635"/>
      <c r="CO35" s="635"/>
      <c r="CP35" s="2"/>
      <c r="CQ35" s="3"/>
      <c r="CR35" s="635"/>
      <c r="CS35" s="635"/>
      <c r="CT35" s="635"/>
      <c r="CU35" s="2"/>
      <c r="CV35" s="635"/>
      <c r="CW35" s="635"/>
      <c r="CX35" s="635"/>
      <c r="CY35" s="635"/>
      <c r="CZ35" s="2"/>
      <c r="DA35" s="635"/>
      <c r="DB35" s="635"/>
      <c r="DC35" s="635"/>
      <c r="DD35" s="635"/>
      <c r="DE35" s="2"/>
      <c r="DF35" s="635"/>
      <c r="DG35" s="635"/>
      <c r="DH35" s="635"/>
      <c r="DI35" s="635"/>
      <c r="DJ35" s="2"/>
      <c r="DK35" s="635"/>
      <c r="DL35" s="635"/>
      <c r="DM35" s="635"/>
      <c r="DN35" s="635"/>
      <c r="DO35" s="2"/>
      <c r="DP35" s="635"/>
      <c r="DQ35" s="635"/>
      <c r="DR35" s="635"/>
      <c r="DS35" s="635"/>
      <c r="DT35" s="2"/>
      <c r="DU35" s="2"/>
      <c r="DV35" s="2"/>
    </row>
    <row r="36" spans="1:126" s="113" customFormat="1" hidden="1" outlineLevel="1">
      <c r="A36"/>
      <c r="B36" s="63"/>
      <c r="C36" s="100"/>
      <c r="D36" s="100"/>
      <c r="E36" s="100"/>
      <c r="F36" s="100"/>
      <c r="G36" s="100"/>
      <c r="H36" s="100"/>
      <c r="I36" s="100"/>
      <c r="J36" s="99"/>
      <c r="K36" s="99"/>
      <c r="L36" s="99"/>
      <c r="M36" s="99"/>
      <c r="N36" s="2"/>
      <c r="O36" s="99"/>
      <c r="P36" s="99"/>
      <c r="Q36" s="99"/>
      <c r="R36" s="99"/>
      <c r="S36" s="2"/>
      <c r="T36" s="99"/>
      <c r="U36" s="99"/>
      <c r="V36" s="99"/>
      <c r="W36" s="99"/>
      <c r="X36" s="634"/>
      <c r="Y36" s="99"/>
      <c r="Z36" s="99"/>
      <c r="AA36" s="99"/>
      <c r="AB36" s="99"/>
      <c r="AC36" s="100"/>
      <c r="AD36" s="99"/>
      <c r="AE36" s="99"/>
      <c r="AF36" s="99"/>
      <c r="AG36" s="99"/>
      <c r="AH36" s="100"/>
      <c r="AI36" s="99"/>
      <c r="AJ36" s="99"/>
      <c r="AK36" s="99"/>
      <c r="AL36" s="3"/>
      <c r="AM36" s="100"/>
      <c r="AN36" s="3"/>
      <c r="AO36" s="3"/>
      <c r="AP36" s="3"/>
      <c r="AQ36" s="3"/>
      <c r="AR36" s="100"/>
      <c r="AS36" s="3"/>
      <c r="AT36" s="3"/>
      <c r="AU36" s="3"/>
      <c r="AV36" s="3"/>
      <c r="AW36" s="2"/>
      <c r="AX36" s="3"/>
      <c r="AY36" s="3"/>
      <c r="AZ36" s="3"/>
      <c r="BA36" s="3"/>
      <c r="BB36" s="2"/>
      <c r="BC36" s="3"/>
      <c r="BD36" s="3"/>
      <c r="BE36" s="3"/>
      <c r="BF36" s="3"/>
      <c r="BG36" s="2"/>
      <c r="BH36" s="3"/>
      <c r="BI36" s="3"/>
      <c r="BJ36" s="3"/>
      <c r="BK36" s="3"/>
      <c r="BL36" s="2"/>
      <c r="BM36" s="3"/>
      <c r="BN36" s="3"/>
      <c r="BO36" s="3"/>
      <c r="BP36" s="3"/>
      <c r="BQ36" s="2"/>
      <c r="BR36" s="3"/>
      <c r="BS36" s="3"/>
      <c r="BT36" s="3"/>
      <c r="BU36" s="3"/>
      <c r="BV36" s="2"/>
      <c r="BW36" s="3"/>
      <c r="BX36" s="3"/>
      <c r="BY36" s="3"/>
      <c r="BZ36" s="3"/>
      <c r="CA36" s="2"/>
      <c r="CB36" s="3"/>
      <c r="CC36" s="3"/>
      <c r="CD36" s="3"/>
      <c r="CE36" s="3"/>
      <c r="CF36" s="2"/>
      <c r="CG36" s="3"/>
      <c r="CH36" s="3"/>
      <c r="CI36" s="3"/>
      <c r="CJ36" s="3"/>
      <c r="CK36" s="2"/>
      <c r="CL36" s="3"/>
      <c r="CM36" s="3"/>
      <c r="CN36" s="3"/>
      <c r="CO36" s="3"/>
      <c r="CP36" s="2"/>
      <c r="CQ36" s="3"/>
      <c r="CR36" s="3"/>
      <c r="CS36" s="3"/>
      <c r="CT36" s="3"/>
      <c r="CU36" s="2"/>
      <c r="CV36" s="3"/>
      <c r="CW36" s="3"/>
      <c r="CX36" s="3"/>
      <c r="CY36" s="3"/>
      <c r="CZ36" s="2"/>
      <c r="DA36" s="3"/>
      <c r="DB36" s="3"/>
      <c r="DC36" s="3"/>
      <c r="DD36" s="3"/>
      <c r="DE36" s="2"/>
      <c r="DF36" s="3"/>
      <c r="DG36" s="3"/>
      <c r="DH36" s="3"/>
      <c r="DI36" s="3"/>
      <c r="DJ36" s="2"/>
      <c r="DK36" s="3"/>
      <c r="DL36" s="3"/>
      <c r="DM36" s="3"/>
      <c r="DN36" s="3"/>
      <c r="DO36" s="2"/>
      <c r="DP36" s="3"/>
      <c r="DQ36" s="3"/>
      <c r="DR36" s="3"/>
      <c r="DS36" s="3"/>
      <c r="DT36" s="2"/>
      <c r="DU36" s="2"/>
      <c r="DV36" s="2"/>
    </row>
    <row r="37" spans="1:126" s="113" customFormat="1" hidden="1" outlineLevel="1">
      <c r="A37"/>
      <c r="B37" s="111" t="s">
        <v>73</v>
      </c>
      <c r="C37" s="100"/>
      <c r="D37" s="100"/>
      <c r="E37" s="100"/>
      <c r="F37" s="100"/>
      <c r="G37" s="100"/>
      <c r="H37" s="100"/>
      <c r="I37" s="100"/>
      <c r="J37" s="99"/>
      <c r="K37" s="99"/>
      <c r="L37" s="99"/>
      <c r="M37" s="99"/>
      <c r="N37" s="2"/>
      <c r="O37" s="99"/>
      <c r="P37" s="99"/>
      <c r="Q37" s="99"/>
      <c r="R37" s="99"/>
      <c r="S37" s="2"/>
      <c r="T37" s="99"/>
      <c r="U37" s="99"/>
      <c r="V37" s="99"/>
      <c r="W37" s="99"/>
      <c r="X37" s="634"/>
      <c r="Y37" s="99"/>
      <c r="Z37" s="99"/>
      <c r="AA37" s="99"/>
      <c r="AB37" s="99"/>
      <c r="AC37" s="100"/>
      <c r="AD37" s="99"/>
      <c r="AE37" s="99"/>
      <c r="AF37" s="99"/>
      <c r="AG37" s="99"/>
      <c r="AH37" s="100"/>
      <c r="AI37" s="99"/>
      <c r="AJ37" s="99"/>
      <c r="AK37" s="99"/>
      <c r="AL37" s="3"/>
      <c r="AM37" s="100"/>
      <c r="AN37" s="3"/>
      <c r="AO37" s="3"/>
      <c r="AP37" s="3"/>
      <c r="AQ37" s="3"/>
      <c r="AR37" s="100"/>
      <c r="AS37" s="3"/>
      <c r="AT37" s="3"/>
      <c r="AU37" s="3"/>
      <c r="AV37" s="3"/>
      <c r="AW37" s="2"/>
      <c r="AX37" s="3"/>
      <c r="AY37" s="3"/>
      <c r="AZ37" s="3"/>
      <c r="BA37" s="3"/>
      <c r="BB37" s="2"/>
      <c r="BC37" s="3"/>
      <c r="BD37" s="3"/>
      <c r="BE37" s="3"/>
      <c r="BF37" s="3"/>
      <c r="BG37" s="2"/>
      <c r="BH37" s="3"/>
      <c r="BI37" s="3"/>
      <c r="BJ37" s="3"/>
      <c r="BK37" s="3"/>
      <c r="BL37" s="2"/>
      <c r="BM37" s="3"/>
      <c r="BN37" s="3"/>
      <c r="BO37" s="3"/>
      <c r="BP37" s="3"/>
      <c r="BQ37" s="2"/>
      <c r="BR37" s="3"/>
      <c r="BS37" s="3"/>
      <c r="BT37" s="3"/>
      <c r="BU37" s="3"/>
      <c r="BV37" s="2"/>
      <c r="BW37" s="3"/>
      <c r="BX37" s="3"/>
      <c r="BY37" s="3"/>
      <c r="BZ37" s="3"/>
      <c r="CA37" s="2"/>
      <c r="CB37" s="3"/>
      <c r="CC37" s="3"/>
      <c r="CD37" s="3"/>
      <c r="CE37" s="3"/>
      <c r="CF37" s="2"/>
      <c r="CG37" s="3"/>
      <c r="CH37" s="3"/>
      <c r="CI37" s="3"/>
      <c r="CJ37" s="3"/>
      <c r="CK37" s="2"/>
      <c r="CL37" s="3"/>
      <c r="CM37" s="3"/>
      <c r="CN37" s="3"/>
      <c r="CO37" s="3"/>
      <c r="CP37" s="2"/>
      <c r="CQ37" s="3"/>
      <c r="CR37" s="3"/>
      <c r="CS37" s="3"/>
      <c r="CT37" s="3"/>
      <c r="CU37" s="2"/>
      <c r="CV37" s="3"/>
      <c r="CW37" s="3"/>
      <c r="CX37" s="3"/>
      <c r="CY37" s="3"/>
      <c r="CZ37" s="2"/>
      <c r="DA37" s="3"/>
      <c r="DB37" s="3"/>
      <c r="DC37" s="3"/>
      <c r="DD37" s="3"/>
      <c r="DE37" s="2"/>
      <c r="DF37" s="3"/>
      <c r="DG37" s="3"/>
      <c r="DH37" s="3"/>
      <c r="DI37" s="3"/>
      <c r="DJ37" s="2"/>
      <c r="DK37" s="3"/>
      <c r="DL37" s="3"/>
      <c r="DM37" s="3"/>
      <c r="DN37" s="3"/>
      <c r="DO37" s="2"/>
      <c r="DP37" s="3"/>
      <c r="DQ37" s="3"/>
      <c r="DR37" s="3"/>
      <c r="DS37" s="3"/>
      <c r="DT37" s="2"/>
      <c r="DU37" s="2"/>
      <c r="DV37" s="2"/>
    </row>
    <row r="38" spans="1:126" s="113" customFormat="1" hidden="1" outlineLevel="1">
      <c r="A38"/>
      <c r="B38" s="63" t="s">
        <v>636</v>
      </c>
      <c r="C38" s="100"/>
      <c r="D38" s="100"/>
      <c r="E38" s="100"/>
      <c r="F38" s="100"/>
      <c r="G38" s="100"/>
      <c r="H38" s="100"/>
      <c r="I38" s="100"/>
      <c r="J38" s="99"/>
      <c r="K38" s="99"/>
      <c r="L38" s="99"/>
      <c r="M38" s="99"/>
      <c r="N38" s="2"/>
      <c r="O38" s="99"/>
      <c r="P38" s="99"/>
      <c r="Q38" s="99"/>
      <c r="R38" s="99"/>
      <c r="S38" s="2"/>
      <c r="T38" s="99"/>
      <c r="U38" s="99"/>
      <c r="V38" s="99"/>
      <c r="W38" s="99"/>
      <c r="X38" s="634"/>
      <c r="Y38" s="99"/>
      <c r="Z38" s="99"/>
      <c r="AA38" s="99"/>
      <c r="AB38" s="99"/>
      <c r="AC38" s="100"/>
      <c r="AD38" s="99"/>
      <c r="AE38" s="99"/>
      <c r="AF38" s="99"/>
      <c r="AG38" s="99"/>
      <c r="AH38" s="100"/>
      <c r="AI38" s="99"/>
      <c r="AJ38" s="99"/>
      <c r="AK38" s="99"/>
      <c r="AL38" s="3"/>
      <c r="AM38" s="100"/>
      <c r="AN38" s="3"/>
      <c r="AO38" s="3"/>
      <c r="AP38" s="3"/>
      <c r="AQ38" s="3"/>
      <c r="AR38" s="100"/>
      <c r="AS38" s="3"/>
      <c r="AT38" s="3"/>
      <c r="AU38" s="3"/>
      <c r="AV38" s="3"/>
      <c r="AW38" s="2"/>
      <c r="AX38" s="3"/>
      <c r="AY38" s="3"/>
      <c r="AZ38" s="3"/>
      <c r="BA38" s="3"/>
      <c r="BB38" s="2"/>
      <c r="BC38" s="3"/>
      <c r="BD38" s="3"/>
      <c r="BE38" s="3"/>
      <c r="BF38" s="3"/>
      <c r="BG38" s="2"/>
      <c r="BH38" s="3"/>
      <c r="BI38" s="3"/>
      <c r="BJ38" s="3"/>
      <c r="BK38" s="3"/>
      <c r="BL38" s="2"/>
      <c r="BM38" s="3"/>
      <c r="BN38" s="3"/>
      <c r="BO38" s="3"/>
      <c r="BP38" s="3"/>
      <c r="BQ38" s="2"/>
      <c r="BR38" s="3"/>
      <c r="BS38" s="3"/>
      <c r="BT38" s="3"/>
      <c r="BU38" s="3"/>
      <c r="BV38" s="2"/>
      <c r="BW38" s="3"/>
      <c r="BX38" s="3"/>
      <c r="BY38" s="3"/>
      <c r="BZ38" s="3"/>
      <c r="CA38" s="2"/>
      <c r="CB38" s="3"/>
      <c r="CC38" s="3"/>
      <c r="CD38" s="3"/>
      <c r="CE38" s="3"/>
      <c r="CF38" s="2"/>
      <c r="CG38" s="3"/>
      <c r="CH38" s="3"/>
      <c r="CI38" s="3"/>
      <c r="CJ38" s="3"/>
      <c r="CK38" s="2"/>
      <c r="CL38" s="3"/>
      <c r="CM38" s="3"/>
      <c r="CN38" s="3"/>
      <c r="CO38" s="3"/>
      <c r="CP38" s="2"/>
      <c r="CQ38" s="3"/>
      <c r="CR38" s="3"/>
      <c r="CS38" s="3"/>
      <c r="CT38" s="3"/>
      <c r="CU38" s="2"/>
      <c r="CV38" s="3"/>
      <c r="CW38" s="3"/>
      <c r="CX38" s="3"/>
      <c r="CY38" s="3"/>
      <c r="CZ38" s="2"/>
      <c r="DA38" s="3"/>
      <c r="DB38" s="3"/>
      <c r="DC38" s="3"/>
      <c r="DD38" s="3"/>
      <c r="DE38" s="2"/>
      <c r="DF38" s="3"/>
      <c r="DG38" s="3"/>
      <c r="DH38" s="3"/>
      <c r="DI38" s="3"/>
      <c r="DJ38" s="2"/>
      <c r="DK38" s="3"/>
      <c r="DL38" s="3"/>
      <c r="DM38" s="3"/>
      <c r="DN38" s="3"/>
      <c r="DO38" s="2"/>
      <c r="DP38" s="3"/>
      <c r="DQ38" s="3"/>
      <c r="DR38" s="3"/>
      <c r="DS38" s="3"/>
      <c r="DT38" s="2"/>
      <c r="DU38" s="2"/>
      <c r="DV38" s="2"/>
    </row>
    <row r="39" spans="1:126" s="113" customFormat="1" hidden="1" outlineLevel="1">
      <c r="A39" s="92"/>
      <c r="B39" s="63" t="s">
        <v>616</v>
      </c>
      <c r="C39" s="112"/>
      <c r="D39" s="112"/>
      <c r="E39" s="112"/>
      <c r="F39" s="112"/>
      <c r="G39" s="112"/>
      <c r="H39" s="112"/>
      <c r="I39" s="112"/>
      <c r="N39" s="112"/>
      <c r="S39" s="112"/>
      <c r="X39" s="112"/>
      <c r="AC39" s="112"/>
      <c r="AH39" s="112"/>
      <c r="AM39" s="112"/>
      <c r="AR39" s="112"/>
      <c r="AV39" s="392"/>
      <c r="AW39" s="112"/>
      <c r="BA39" s="198"/>
      <c r="BB39" s="112"/>
      <c r="BG39" s="112"/>
      <c r="BJ39" s="456"/>
      <c r="BK39" s="456"/>
      <c r="BL39" s="112"/>
      <c r="BM39" s="456"/>
      <c r="BN39" s="456"/>
      <c r="BO39" s="456"/>
      <c r="BP39" s="456"/>
      <c r="BQ39" s="112"/>
      <c r="BR39" s="456"/>
      <c r="BS39" s="456"/>
      <c r="BT39" s="456"/>
      <c r="BU39" s="456"/>
      <c r="BV39" s="112"/>
      <c r="BW39" s="456"/>
      <c r="BX39" s="456"/>
      <c r="BY39" s="456"/>
      <c r="BZ39" s="456"/>
      <c r="CA39" s="112"/>
      <c r="CB39" s="456"/>
      <c r="CC39" s="456"/>
      <c r="CD39" s="456"/>
      <c r="CE39" s="456"/>
      <c r="CF39" s="112"/>
      <c r="CG39" s="456"/>
      <c r="CH39" s="456"/>
      <c r="CI39" s="456"/>
      <c r="CJ39" s="456"/>
      <c r="CK39" s="112"/>
      <c r="CL39" s="632"/>
      <c r="CM39" s="632"/>
      <c r="CN39" s="632"/>
      <c r="CO39" s="632"/>
      <c r="CP39" s="2"/>
      <c r="CQ39" s="622"/>
      <c r="CR39" s="622"/>
      <c r="CS39" s="632"/>
      <c r="CT39" s="632">
        <f>-1000/12</f>
        <v>-83.333333333333329</v>
      </c>
      <c r="CU39" s="2">
        <f>SUM(CQ39:CT39)</f>
        <v>-83.333333333333329</v>
      </c>
      <c r="CV39" s="632">
        <v>-180</v>
      </c>
      <c r="CW39" s="632">
        <v>-200</v>
      </c>
      <c r="CX39" s="632">
        <v>-200</v>
      </c>
      <c r="CY39" s="632">
        <v>-145</v>
      </c>
      <c r="CZ39" s="2">
        <f>SUM(CV39:CY39)</f>
        <v>-725</v>
      </c>
      <c r="DA39" s="632">
        <v>-180</v>
      </c>
      <c r="DB39" s="632">
        <v>-200</v>
      </c>
      <c r="DC39" s="632">
        <v>-200</v>
      </c>
      <c r="DD39" s="632">
        <v>-35</v>
      </c>
      <c r="DE39" s="2"/>
      <c r="DF39" s="632"/>
      <c r="DG39" s="632"/>
      <c r="DH39" s="632"/>
      <c r="DI39" s="632"/>
      <c r="DJ39" s="2"/>
      <c r="DK39" s="632"/>
      <c r="DL39" s="632"/>
      <c r="DM39" s="632"/>
      <c r="DN39" s="632"/>
      <c r="DO39" s="2"/>
      <c r="DP39" s="632"/>
      <c r="DQ39" s="632"/>
      <c r="DR39" s="632"/>
      <c r="DS39" s="632"/>
      <c r="DT39" s="2"/>
      <c r="DU39" s="70"/>
      <c r="DV39" s="70"/>
    </row>
    <row r="40" spans="1:126" s="113" customFormat="1" hidden="1" outlineLevel="1">
      <c r="A40" s="92"/>
      <c r="B40" s="63" t="s">
        <v>572</v>
      </c>
      <c r="C40" s="112"/>
      <c r="D40" s="112"/>
      <c r="E40" s="112"/>
      <c r="F40" s="112"/>
      <c r="G40" s="112"/>
      <c r="H40" s="112"/>
      <c r="I40" s="112"/>
      <c r="N40" s="112"/>
      <c r="S40" s="112"/>
      <c r="X40" s="112"/>
      <c r="AC40" s="112"/>
      <c r="AH40" s="112"/>
      <c r="AM40" s="112"/>
      <c r="AR40" s="112"/>
      <c r="AV40" s="392"/>
      <c r="AW40" s="112"/>
      <c r="BA40" s="198"/>
      <c r="BB40" s="112"/>
      <c r="BG40" s="112"/>
      <c r="BJ40" s="456"/>
      <c r="BK40" s="456"/>
      <c r="BL40" s="112"/>
      <c r="BM40" s="456"/>
      <c r="BN40" s="456"/>
      <c r="BO40" s="456"/>
      <c r="BP40" s="456"/>
      <c r="BQ40" s="112"/>
      <c r="BR40" s="456"/>
      <c r="BS40" s="456"/>
      <c r="BT40" s="456"/>
      <c r="BU40" s="456"/>
      <c r="BV40" s="112"/>
      <c r="BW40" s="456"/>
      <c r="BX40" s="456"/>
      <c r="BY40" s="456"/>
      <c r="BZ40" s="456"/>
      <c r="CA40" s="112"/>
      <c r="CB40" s="456"/>
      <c r="CC40" s="456"/>
      <c r="CD40" s="456"/>
      <c r="CE40" s="456"/>
      <c r="CF40" s="112"/>
      <c r="CG40" s="456"/>
      <c r="CH40" s="456"/>
      <c r="CI40" s="456"/>
      <c r="CJ40" s="456"/>
      <c r="CK40" s="112"/>
      <c r="CL40" s="632"/>
      <c r="CM40" s="632">
        <f>-120/12*2</f>
        <v>-20</v>
      </c>
      <c r="CN40" s="632">
        <v>-25</v>
      </c>
      <c r="CO40" s="632">
        <v>-30</v>
      </c>
      <c r="CP40" s="2">
        <f>SUM(CL40:CO40)</f>
        <v>-75</v>
      </c>
      <c r="CQ40" s="632">
        <f t="shared" ref="CQ40" si="2">-120/4</f>
        <v>-30</v>
      </c>
      <c r="CR40" s="632">
        <v>0</v>
      </c>
      <c r="CS40" s="632"/>
      <c r="CT40" s="632"/>
      <c r="CU40" s="2">
        <f>SUM(CQ40:CT40)</f>
        <v>-30</v>
      </c>
      <c r="CV40" s="632"/>
      <c r="CW40" s="632"/>
      <c r="CX40" s="632"/>
      <c r="CY40" s="632"/>
      <c r="CZ40" s="2"/>
      <c r="DA40" s="632"/>
      <c r="DB40" s="632"/>
      <c r="DC40" s="632"/>
      <c r="DD40" s="632"/>
      <c r="DE40" s="2"/>
      <c r="DF40" s="632"/>
      <c r="DG40" s="632"/>
      <c r="DH40" s="632"/>
      <c r="DI40" s="632"/>
      <c r="DJ40" s="2"/>
      <c r="DK40" s="632"/>
      <c r="DL40" s="632"/>
      <c r="DM40" s="632"/>
      <c r="DN40" s="632"/>
      <c r="DO40" s="2"/>
      <c r="DP40" s="632"/>
      <c r="DQ40" s="632"/>
      <c r="DR40" s="632"/>
      <c r="DS40" s="632"/>
      <c r="DT40" s="2"/>
      <c r="DU40" s="70"/>
      <c r="DV40" s="70"/>
    </row>
    <row r="41" spans="1:126" s="113" customFormat="1" hidden="1" outlineLevel="1" collapsed="1">
      <c r="A41" s="92"/>
      <c r="B41" s="180" t="s">
        <v>570</v>
      </c>
      <c r="C41" s="112"/>
      <c r="D41" s="112"/>
      <c r="E41" s="112"/>
      <c r="F41" s="112"/>
      <c r="G41" s="112"/>
      <c r="H41" s="112"/>
      <c r="I41" s="112"/>
      <c r="N41" s="112"/>
      <c r="S41" s="112"/>
      <c r="X41" s="112"/>
      <c r="AC41" s="112"/>
      <c r="AH41" s="112"/>
      <c r="AM41" s="112"/>
      <c r="AR41" s="112"/>
      <c r="AV41" s="392"/>
      <c r="AW41" s="112"/>
      <c r="BA41" s="198"/>
      <c r="BB41" s="112">
        <f>Data!BB135</f>
        <v>13158</v>
      </c>
      <c r="BC41" s="113">
        <f>Data!BC135</f>
        <v>3103</v>
      </c>
      <c r="BD41" s="113">
        <f>Data!BD135</f>
        <v>3190</v>
      </c>
      <c r="BE41" s="113">
        <f>Data!BE135</f>
        <v>3052</v>
      </c>
      <c r="BF41" s="113">
        <f>Data!BF135</f>
        <v>3071</v>
      </c>
      <c r="BG41" s="112">
        <f>Data!BG135</f>
        <v>12416</v>
      </c>
      <c r="BH41" s="113">
        <f>Data!BH135</f>
        <v>2848</v>
      </c>
      <c r="BI41" s="113">
        <f>Data!BI135</f>
        <v>3023</v>
      </c>
      <c r="BJ41" s="456">
        <f>Data!BJ135</f>
        <v>2959</v>
      </c>
      <c r="BK41" s="456">
        <f>Data!BK135</f>
        <v>3198</v>
      </c>
      <c r="BL41" s="112">
        <f>Data!BL135</f>
        <v>12028</v>
      </c>
      <c r="BM41" s="456">
        <f>Data!BM135</f>
        <v>2819</v>
      </c>
      <c r="BN41" s="456">
        <f>Data!BN135</f>
        <v>3010</v>
      </c>
      <c r="BO41" s="456">
        <f>Data!BO135</f>
        <v>2965</v>
      </c>
      <c r="BP41" s="456">
        <f>Data!BP135</f>
        <v>3113</v>
      </c>
      <c r="BQ41" s="112">
        <f>Data!BQ135</f>
        <v>11907</v>
      </c>
      <c r="BR41" s="456">
        <f>Data!BR135</f>
        <v>2943</v>
      </c>
      <c r="BS41" s="456">
        <f>Data!BS135</f>
        <v>3189</v>
      </c>
      <c r="BT41" s="456">
        <f>Data!BT135</f>
        <v>3131</v>
      </c>
      <c r="BU41" s="456">
        <f>Data!BU135</f>
        <v>3130</v>
      </c>
      <c r="BV41" s="112">
        <f>Data!BV135</f>
        <v>12393</v>
      </c>
      <c r="BW41" s="456">
        <f>Data!BW135</f>
        <v>3062</v>
      </c>
      <c r="BX41" s="456">
        <f>Data!BX135</f>
        <v>3163</v>
      </c>
      <c r="BY41" s="456">
        <f>Data!BY135</f>
        <v>3140</v>
      </c>
      <c r="BZ41" s="456">
        <f>Data!BZ135</f>
        <v>3242</v>
      </c>
      <c r="CA41" s="112">
        <f>Data!CA135</f>
        <v>12607</v>
      </c>
      <c r="CB41" s="456">
        <f>Data!CB135</f>
        <v>3150</v>
      </c>
      <c r="CC41" s="456">
        <f>Data!CC135</f>
        <v>3292</v>
      </c>
      <c r="CD41" s="456">
        <f>Data!CD135</f>
        <v>3437</v>
      </c>
      <c r="CE41" s="456">
        <f>Data!CE135</f>
        <v>3591</v>
      </c>
      <c r="CF41" s="112">
        <f>Data!CF135</f>
        <v>13470</v>
      </c>
      <c r="CG41" s="456">
        <f>Data!CG135</f>
        <v>3397</v>
      </c>
      <c r="CH41" s="456">
        <f>Data!CH135</f>
        <v>3557</v>
      </c>
      <c r="CI41" s="456">
        <f>Data!CI135</f>
        <v>3761</v>
      </c>
      <c r="CJ41" s="456">
        <f>Data!CJ135</f>
        <v>3730</v>
      </c>
      <c r="CK41" s="112">
        <f>Data!CK135</f>
        <v>14445</v>
      </c>
      <c r="CL41" s="198">
        <f>Data!CL135</f>
        <v>3676</v>
      </c>
      <c r="CM41" s="198">
        <f>Data!CM135</f>
        <v>3601</v>
      </c>
      <c r="CN41" s="198">
        <f>Data!CN135</f>
        <v>3749</v>
      </c>
      <c r="CO41" s="198">
        <f>Data!CO135</f>
        <v>3933</v>
      </c>
      <c r="CP41" s="112">
        <f>SUM(CL41:CO41)</f>
        <v>14959</v>
      </c>
      <c r="CQ41" s="198">
        <f>Data!CQ135</f>
        <v>3765</v>
      </c>
      <c r="CR41" s="198">
        <f>Data!CR135</f>
        <v>3805</v>
      </c>
      <c r="CS41" s="198">
        <f>Data!CS135</f>
        <v>3740</v>
      </c>
      <c r="CT41" s="198">
        <f>Data!CT135</f>
        <v>3870</v>
      </c>
      <c r="CU41" s="112">
        <f>SUM(CQ41:CT41)</f>
        <v>15180</v>
      </c>
      <c r="CV41" s="198">
        <f>Data!CV135</f>
        <v>3572</v>
      </c>
      <c r="CW41" s="198">
        <f>Data!CW135</f>
        <v>3570</v>
      </c>
      <c r="CX41" s="198">
        <f>Data!CX135</f>
        <v>3626</v>
      </c>
      <c r="CY41" s="198">
        <f>Data!CY135</f>
        <v>3544</v>
      </c>
      <c r="CZ41" s="112">
        <f>SUM(CV41:CY41)</f>
        <v>14312</v>
      </c>
      <c r="DA41" s="198">
        <f>Data!DA135</f>
        <v>3565</v>
      </c>
      <c r="DB41" s="198">
        <f>Data!DB135</f>
        <v>3655</v>
      </c>
      <c r="DC41" s="198">
        <f>Data!DC135</f>
        <v>0</v>
      </c>
      <c r="DD41" s="198">
        <f>Data!DD135</f>
        <v>0</v>
      </c>
      <c r="DE41" s="112">
        <f>SUM(DA41:DD41)</f>
        <v>7220</v>
      </c>
      <c r="DF41" s="198">
        <f>Data!DF135</f>
        <v>0</v>
      </c>
      <c r="DG41" s="69"/>
      <c r="DH41" s="69"/>
      <c r="DI41" s="69"/>
      <c r="DJ41" s="112">
        <f>SUM(DF41:DI41)</f>
        <v>0</v>
      </c>
      <c r="DK41" s="198">
        <f>Data!DK135</f>
        <v>0</v>
      </c>
      <c r="DL41" s="69"/>
      <c r="DM41" s="69"/>
      <c r="DN41" s="69"/>
      <c r="DO41" s="112">
        <f>SUM(DK41:DN41)</f>
        <v>0</v>
      </c>
      <c r="DP41" s="198"/>
      <c r="DQ41" s="69"/>
      <c r="DR41" s="69"/>
      <c r="DS41" s="69"/>
      <c r="DT41" s="112">
        <f>DO41*(1+DT84)+DT75+DT67</f>
        <v>0</v>
      </c>
      <c r="DU41" s="70">
        <f t="shared" ref="DU41:DV41" si="3">DT41*(1+DU84)+DU75+DU67</f>
        <v>0</v>
      </c>
      <c r="DV41" s="70">
        <f t="shared" si="3"/>
        <v>0</v>
      </c>
    </row>
    <row r="42" spans="1:126" s="113" customFormat="1" hidden="1" outlineLevel="2">
      <c r="A42" s="92"/>
      <c r="B42" s="3"/>
      <c r="C42" s="112"/>
      <c r="D42" s="112"/>
      <c r="E42" s="112"/>
      <c r="F42" s="112"/>
      <c r="G42" s="112"/>
      <c r="H42" s="112"/>
      <c r="I42" s="112"/>
      <c r="N42" s="112"/>
      <c r="S42" s="112"/>
      <c r="X42" s="112"/>
      <c r="AC42" s="112"/>
      <c r="AH42" s="112"/>
      <c r="AM42" s="112"/>
      <c r="AR42" s="112"/>
      <c r="AV42" s="392"/>
      <c r="AW42" s="112"/>
      <c r="BA42" s="198"/>
      <c r="BB42" s="112"/>
      <c r="BG42" s="112"/>
      <c r="BJ42" s="456"/>
      <c r="BK42" s="456"/>
      <c r="BL42" s="112"/>
      <c r="BM42" s="456"/>
      <c r="BN42" s="456"/>
      <c r="BO42" s="456"/>
      <c r="BP42" s="456"/>
      <c r="BQ42" s="112"/>
      <c r="BR42" s="456"/>
      <c r="BS42" s="456"/>
      <c r="BT42" s="456"/>
      <c r="BU42" s="456"/>
      <c r="BV42" s="112"/>
      <c r="BW42" s="456"/>
      <c r="BX42" s="456"/>
      <c r="BY42" s="456"/>
      <c r="BZ42" s="456"/>
      <c r="CA42" s="112"/>
      <c r="CB42" s="456"/>
      <c r="CC42" s="456"/>
      <c r="CD42" s="456"/>
      <c r="CE42" s="456"/>
      <c r="CF42" s="112"/>
      <c r="CG42" s="456"/>
      <c r="CH42" s="456"/>
      <c r="CI42" s="456"/>
      <c r="CJ42" s="456"/>
      <c r="CK42" s="112"/>
      <c r="CL42" s="69"/>
      <c r="CM42" s="69"/>
      <c r="CN42" s="69"/>
      <c r="CO42" s="69"/>
      <c r="CP42" s="112"/>
      <c r="CQ42" s="198"/>
      <c r="CR42" s="69"/>
      <c r="CS42" s="69"/>
      <c r="CT42" s="69"/>
      <c r="CU42" s="112"/>
      <c r="CV42" s="69"/>
      <c r="CW42" s="69"/>
      <c r="CX42" s="69"/>
      <c r="CY42" s="69"/>
      <c r="CZ42" s="112"/>
      <c r="DA42" s="69"/>
      <c r="DB42" s="69"/>
      <c r="DC42" s="69"/>
      <c r="DD42" s="69"/>
      <c r="DE42" s="112"/>
      <c r="DF42" s="69"/>
      <c r="DG42" s="69"/>
      <c r="DH42" s="69"/>
      <c r="DI42" s="69"/>
      <c r="DJ42" s="112"/>
      <c r="DK42" s="69"/>
      <c r="DL42" s="69"/>
      <c r="DM42" s="69"/>
      <c r="DN42" s="69"/>
      <c r="DO42" s="112"/>
      <c r="DP42" s="69"/>
      <c r="DQ42" s="69"/>
      <c r="DR42" s="69"/>
      <c r="DS42" s="69"/>
      <c r="DT42" s="112"/>
      <c r="DU42" s="70"/>
      <c r="DV42" s="70"/>
    </row>
    <row r="43" spans="1:126" s="113" customFormat="1" hidden="1" outlineLevel="2">
      <c r="A43" s="92"/>
      <c r="B43" s="111" t="s">
        <v>72</v>
      </c>
      <c r="C43" s="112"/>
      <c r="D43" s="112"/>
      <c r="E43" s="112"/>
      <c r="F43" s="112"/>
      <c r="G43" s="112"/>
      <c r="H43" s="112"/>
      <c r="I43" s="112"/>
      <c r="N43" s="112"/>
      <c r="S43" s="112"/>
      <c r="X43" s="112"/>
      <c r="AC43" s="112"/>
      <c r="AH43" s="112"/>
      <c r="AM43" s="112"/>
      <c r="AR43" s="112"/>
      <c r="AV43" s="392"/>
      <c r="AW43" s="112"/>
      <c r="BA43" s="198"/>
      <c r="BB43" s="112"/>
      <c r="BG43" s="112"/>
      <c r="BJ43" s="456"/>
      <c r="BK43" s="456"/>
      <c r="BL43" s="112"/>
      <c r="BM43" s="456"/>
      <c r="BN43" s="456"/>
      <c r="BO43" s="456"/>
      <c r="BP43" s="456"/>
      <c r="BQ43" s="112"/>
      <c r="BR43" s="456"/>
      <c r="BS43" s="456"/>
      <c r="BT43" s="456"/>
      <c r="BU43" s="456"/>
      <c r="BV43" s="112"/>
      <c r="BW43" s="456"/>
      <c r="BX43" s="456"/>
      <c r="BY43" s="456"/>
      <c r="BZ43" s="456"/>
      <c r="CA43" s="112"/>
      <c r="CB43" s="456"/>
      <c r="CC43" s="456"/>
      <c r="CD43" s="456"/>
      <c r="CE43" s="456"/>
      <c r="CF43" s="112"/>
      <c r="CG43" s="456"/>
      <c r="CH43" s="456"/>
      <c r="CI43" s="456"/>
      <c r="CJ43" s="456"/>
      <c r="CK43" s="112"/>
      <c r="CL43" s="69"/>
      <c r="CM43" s="69"/>
      <c r="CN43" s="69"/>
      <c r="CO43" s="69"/>
      <c r="CP43" s="112"/>
      <c r="CQ43" s="198"/>
      <c r="CR43" s="69"/>
      <c r="CS43" s="69"/>
      <c r="CT43" s="69"/>
      <c r="CU43" s="112"/>
      <c r="CV43" s="69"/>
      <c r="CW43" s="69"/>
      <c r="CX43" s="69"/>
      <c r="CY43" s="69"/>
      <c r="CZ43" s="112"/>
      <c r="DA43" s="69"/>
      <c r="DB43" s="69"/>
      <c r="DC43" s="69"/>
      <c r="DD43" s="69"/>
      <c r="DE43" s="112"/>
      <c r="DF43" s="69"/>
      <c r="DG43" s="69"/>
      <c r="DH43" s="69"/>
      <c r="DI43" s="69"/>
      <c r="DJ43" s="112"/>
      <c r="DK43" s="69"/>
      <c r="DL43" s="69"/>
      <c r="DM43" s="69"/>
      <c r="DN43" s="69"/>
      <c r="DO43" s="112"/>
      <c r="DP43" s="69"/>
      <c r="DQ43" s="69"/>
      <c r="DR43" s="69"/>
      <c r="DS43" s="69"/>
      <c r="DT43" s="112"/>
      <c r="DU43" s="70"/>
      <c r="DV43" s="70"/>
    </row>
    <row r="44" spans="1:126" s="113" customFormat="1" hidden="1" outlineLevel="2">
      <c r="A44"/>
      <c r="B44" s="63" t="s">
        <v>514</v>
      </c>
      <c r="C44" s="100"/>
      <c r="D44" s="100"/>
      <c r="E44" s="100"/>
      <c r="F44" s="100"/>
      <c r="G44" s="100"/>
      <c r="H44" s="100"/>
      <c r="I44" s="100"/>
      <c r="J44" s="99"/>
      <c r="K44" s="99"/>
      <c r="L44" s="99"/>
      <c r="M44" s="99"/>
      <c r="N44" s="2"/>
      <c r="O44" s="99"/>
      <c r="P44" s="99"/>
      <c r="Q44" s="99"/>
      <c r="R44" s="99"/>
      <c r="S44" s="100"/>
      <c r="T44" s="99"/>
      <c r="U44" s="99"/>
      <c r="V44" s="99"/>
      <c r="W44" s="99"/>
      <c r="X44" s="100"/>
      <c r="Y44" s="99"/>
      <c r="Z44" s="99"/>
      <c r="AA44" s="99"/>
      <c r="AB44" s="99"/>
      <c r="AC44" s="100"/>
      <c r="AD44" s="99"/>
      <c r="AE44" s="99"/>
      <c r="AF44" s="99"/>
      <c r="AG44" s="99"/>
      <c r="AH44" s="100"/>
      <c r="AI44" s="99"/>
      <c r="AJ44" s="99"/>
      <c r="AK44" s="99"/>
      <c r="AL44" s="3"/>
      <c r="AM44" s="100"/>
      <c r="AN44" s="3"/>
      <c r="AO44" s="3"/>
      <c r="AP44" s="3"/>
      <c r="AQ44" s="3"/>
      <c r="AR44" s="100"/>
      <c r="AS44" s="3"/>
      <c r="AT44" s="3"/>
      <c r="AU44" s="633">
        <f>65/4</f>
        <v>16.25</v>
      </c>
      <c r="AV44" s="633">
        <f>65/4</f>
        <v>16.25</v>
      </c>
      <c r="AW44" s="2">
        <f>SUM(AS44:AV44)</f>
        <v>32.5</v>
      </c>
      <c r="AX44" s="633">
        <f>65/4</f>
        <v>16.25</v>
      </c>
      <c r="AY44" s="633">
        <f>65/4</f>
        <v>16.25</v>
      </c>
      <c r="AZ44" s="3"/>
      <c r="BA44" s="3"/>
      <c r="BB44" s="2">
        <f>SUM(AX44:BA44)</f>
        <v>32.5</v>
      </c>
      <c r="BC44" s="3"/>
      <c r="BD44" s="3"/>
      <c r="BE44" s="3"/>
      <c r="BF44" s="3"/>
      <c r="BG44" s="2"/>
      <c r="BH44" s="633"/>
      <c r="BI44" s="633"/>
      <c r="BJ44" s="3"/>
      <c r="BK44" s="3"/>
      <c r="BL44" s="2"/>
      <c r="BM44" s="633"/>
      <c r="BN44" s="633"/>
      <c r="BO44" s="3"/>
      <c r="BP44" s="3"/>
      <c r="BQ44" s="2"/>
      <c r="BR44" s="633"/>
      <c r="BS44" s="633"/>
      <c r="BT44" s="3"/>
      <c r="BU44" s="3"/>
      <c r="BV44" s="2"/>
      <c r="BW44" s="633"/>
      <c r="BX44" s="633"/>
      <c r="BY44" s="3"/>
      <c r="BZ44" s="3"/>
      <c r="CA44" s="2"/>
      <c r="CB44" s="633"/>
      <c r="CC44" s="633"/>
      <c r="CD44" s="3"/>
      <c r="CE44" s="3"/>
      <c r="CF44" s="2"/>
      <c r="CG44" s="633"/>
      <c r="CH44" s="633"/>
      <c r="CI44" s="3"/>
      <c r="CJ44" s="3"/>
      <c r="CK44" s="2"/>
      <c r="CL44" s="633"/>
      <c r="CM44" s="633"/>
      <c r="CN44" s="3"/>
      <c r="CO44" s="3"/>
      <c r="CP44" s="2"/>
      <c r="CQ44" s="3"/>
      <c r="CR44" s="3"/>
      <c r="CS44" s="3"/>
      <c r="CT44" s="3"/>
      <c r="CU44" s="2"/>
      <c r="CV44" s="3"/>
      <c r="CW44" s="3"/>
      <c r="CX44" s="3"/>
      <c r="CY44" s="3"/>
      <c r="CZ44" s="2"/>
      <c r="DA44" s="3"/>
      <c r="DB44" s="3"/>
      <c r="DC44" s="3"/>
      <c r="DD44" s="3"/>
      <c r="DE44" s="2"/>
      <c r="DF44" s="3"/>
      <c r="DG44" s="3"/>
      <c r="DH44" s="3"/>
      <c r="DI44" s="3"/>
      <c r="DJ44" s="2"/>
      <c r="DK44" s="3"/>
      <c r="DL44" s="3"/>
      <c r="DM44" s="3"/>
      <c r="DN44" s="3"/>
      <c r="DO44" s="2"/>
      <c r="DP44" s="3"/>
      <c r="DQ44" s="3"/>
      <c r="DR44" s="3"/>
      <c r="DS44" s="3"/>
      <c r="DT44" s="2"/>
      <c r="DU44" s="2"/>
      <c r="DV44" s="2"/>
    </row>
    <row r="45" spans="1:126" s="113" customFormat="1" hidden="1" outlineLevel="2">
      <c r="A45"/>
      <c r="B45" s="63"/>
      <c r="C45" s="100"/>
      <c r="D45" s="100"/>
      <c r="E45" s="100"/>
      <c r="F45" s="100"/>
      <c r="G45" s="100"/>
      <c r="H45" s="100"/>
      <c r="I45" s="100"/>
      <c r="J45" s="99"/>
      <c r="K45" s="99"/>
      <c r="L45" s="99"/>
      <c r="M45" s="99"/>
      <c r="N45" s="2"/>
      <c r="O45" s="99"/>
      <c r="P45" s="99"/>
      <c r="Q45" s="99"/>
      <c r="R45" s="99"/>
      <c r="S45" s="100"/>
      <c r="T45" s="99"/>
      <c r="U45" s="99"/>
      <c r="V45" s="99"/>
      <c r="W45" s="99"/>
      <c r="X45" s="100"/>
      <c r="Y45" s="99"/>
      <c r="Z45" s="99"/>
      <c r="AA45" s="99"/>
      <c r="AB45" s="99"/>
      <c r="AC45" s="100"/>
      <c r="AD45" s="99"/>
      <c r="AE45" s="99"/>
      <c r="AF45" s="99"/>
      <c r="AG45" s="99"/>
      <c r="AH45" s="100"/>
      <c r="AI45" s="99"/>
      <c r="AJ45" s="99"/>
      <c r="AK45" s="99"/>
      <c r="AL45" s="3"/>
      <c r="AM45" s="100"/>
      <c r="AN45" s="3"/>
      <c r="AO45" s="3"/>
      <c r="AP45" s="3"/>
      <c r="AQ45" s="3"/>
      <c r="AR45" s="100"/>
      <c r="AS45" s="3"/>
      <c r="AT45" s="3"/>
      <c r="AU45" s="633"/>
      <c r="AV45" s="633"/>
      <c r="AW45" s="2"/>
      <c r="AX45" s="633"/>
      <c r="AY45" s="633"/>
      <c r="AZ45" s="3"/>
      <c r="BA45" s="3"/>
      <c r="BB45" s="2"/>
      <c r="BC45" s="3"/>
      <c r="BD45" s="3"/>
      <c r="BE45" s="3"/>
      <c r="BF45" s="3"/>
      <c r="BG45" s="2"/>
      <c r="BH45" s="633"/>
      <c r="BI45" s="633"/>
      <c r="BJ45" s="3"/>
      <c r="BK45" s="3"/>
      <c r="BL45" s="2"/>
      <c r="BM45" s="633"/>
      <c r="BN45" s="633"/>
      <c r="BO45" s="3"/>
      <c r="BP45" s="3"/>
      <c r="BQ45" s="2"/>
      <c r="BR45" s="633"/>
      <c r="BS45" s="633"/>
      <c r="BT45" s="3"/>
      <c r="BU45" s="3"/>
      <c r="BV45" s="2"/>
      <c r="BW45" s="633"/>
      <c r="BX45" s="633"/>
      <c r="BY45" s="3"/>
      <c r="BZ45" s="3"/>
      <c r="CA45" s="2"/>
      <c r="CB45" s="633"/>
      <c r="CC45" s="633"/>
      <c r="CD45" s="3"/>
      <c r="CE45" s="3"/>
      <c r="CF45" s="2"/>
      <c r="CG45" s="633"/>
      <c r="CH45" s="633"/>
      <c r="CI45" s="3"/>
      <c r="CJ45" s="3"/>
      <c r="CK45" s="2"/>
      <c r="CL45" s="633"/>
      <c r="CM45" s="633"/>
      <c r="CN45" s="3"/>
      <c r="CO45" s="3"/>
      <c r="CP45" s="2"/>
      <c r="CQ45" s="3"/>
      <c r="CR45" s="3"/>
      <c r="CS45" s="3"/>
      <c r="CT45" s="3"/>
      <c r="CU45" s="2"/>
      <c r="CV45" s="3"/>
      <c r="CW45" s="3"/>
      <c r="CX45" s="3"/>
      <c r="CY45" s="3"/>
      <c r="CZ45" s="2"/>
      <c r="DA45" s="3"/>
      <c r="DB45" s="3"/>
      <c r="DC45" s="3"/>
      <c r="DD45" s="3"/>
      <c r="DE45" s="2"/>
      <c r="DF45" s="3"/>
      <c r="DG45" s="3"/>
      <c r="DH45" s="3"/>
      <c r="DI45" s="3"/>
      <c r="DJ45" s="2"/>
      <c r="DK45" s="3"/>
      <c r="DL45" s="3"/>
      <c r="DM45" s="3"/>
      <c r="DN45" s="3"/>
      <c r="DO45" s="2"/>
      <c r="DP45" s="3"/>
      <c r="DQ45" s="3"/>
      <c r="DR45" s="3"/>
      <c r="DS45" s="3"/>
      <c r="DT45" s="2"/>
      <c r="DU45" s="2"/>
      <c r="DV45" s="2"/>
    </row>
    <row r="46" spans="1:126" s="113" customFormat="1" hidden="1" outlineLevel="2">
      <c r="A46"/>
      <c r="B46" s="111" t="s">
        <v>73</v>
      </c>
      <c r="C46" s="638"/>
      <c r="D46" s="639"/>
      <c r="E46" s="639"/>
      <c r="F46" s="639"/>
      <c r="G46" s="639"/>
      <c r="H46" s="639"/>
      <c r="I46" s="639"/>
      <c r="J46" s="640"/>
      <c r="K46" s="640"/>
      <c r="L46" s="640"/>
      <c r="M46" s="640"/>
      <c r="N46" s="634"/>
      <c r="O46" s="640"/>
      <c r="P46" s="640"/>
      <c r="Q46" s="640"/>
      <c r="R46" s="640"/>
      <c r="S46" s="639"/>
      <c r="T46" s="641"/>
      <c r="U46" s="641"/>
      <c r="V46" s="641"/>
      <c r="W46" s="641"/>
      <c r="X46" s="100"/>
      <c r="Y46" s="99"/>
      <c r="Z46" s="99"/>
      <c r="AA46" s="99"/>
      <c r="AB46" s="99"/>
      <c r="AC46" s="100"/>
      <c r="AD46" s="99"/>
      <c r="AE46" s="99"/>
      <c r="AF46" s="99"/>
      <c r="AG46" s="99"/>
      <c r="AH46" s="100"/>
      <c r="AI46" s="99"/>
      <c r="AJ46" s="99"/>
      <c r="AK46" s="99"/>
      <c r="AL46" s="3"/>
      <c r="AM46" s="100"/>
      <c r="AN46" s="99"/>
      <c r="AO46" s="99"/>
      <c r="AP46" s="99"/>
      <c r="AQ46" s="3"/>
      <c r="AR46" s="100"/>
      <c r="AS46" s="641"/>
      <c r="AT46" s="641"/>
      <c r="AU46" s="641"/>
      <c r="AV46" s="642"/>
      <c r="AW46" s="638"/>
      <c r="AX46" s="641"/>
      <c r="AY46" s="641"/>
      <c r="AZ46" s="641"/>
      <c r="BA46" s="642"/>
      <c r="BB46" s="643"/>
      <c r="BC46" s="641"/>
      <c r="BD46" s="641"/>
      <c r="BE46" s="641"/>
      <c r="BF46" s="642"/>
      <c r="BG46" s="643"/>
      <c r="BH46" s="641"/>
      <c r="BI46" s="641"/>
      <c r="BJ46" s="641"/>
      <c r="BK46" s="642"/>
      <c r="BL46" s="643"/>
      <c r="BM46" s="641"/>
      <c r="BN46" s="641"/>
      <c r="BO46" s="641"/>
      <c r="BP46" s="642"/>
      <c r="BQ46" s="643"/>
      <c r="BR46" s="641"/>
      <c r="BS46" s="641"/>
      <c r="BT46" s="641"/>
      <c r="BU46" s="642"/>
      <c r="BV46" s="643"/>
      <c r="BW46" s="641"/>
      <c r="BX46" s="641"/>
      <c r="BY46" s="641"/>
      <c r="BZ46" s="642"/>
      <c r="CA46" s="643"/>
      <c r="CB46" s="641"/>
      <c r="CC46" s="641"/>
      <c r="CD46" s="641"/>
      <c r="CE46" s="642"/>
      <c r="CF46" s="643"/>
      <c r="CG46" s="641"/>
      <c r="CH46" s="641"/>
      <c r="CI46" s="641"/>
      <c r="CJ46" s="642"/>
      <c r="CK46" s="643"/>
      <c r="CL46" s="641"/>
      <c r="CM46" s="641"/>
      <c r="CN46" s="641"/>
      <c r="CO46" s="642"/>
      <c r="CP46" s="643"/>
      <c r="CQ46" s="642"/>
      <c r="CR46" s="642"/>
      <c r="CS46" s="642"/>
      <c r="CT46" s="642"/>
      <c r="CU46" s="643"/>
      <c r="CV46" s="642"/>
      <c r="CW46" s="642"/>
      <c r="CX46" s="642"/>
      <c r="CY46" s="642"/>
      <c r="CZ46" s="643"/>
      <c r="DA46" s="642"/>
      <c r="DB46" s="642"/>
      <c r="DC46" s="642"/>
      <c r="DD46" s="642"/>
      <c r="DE46" s="643"/>
      <c r="DF46" s="642"/>
      <c r="DG46" s="642"/>
      <c r="DH46" s="642"/>
      <c r="DI46" s="642"/>
      <c r="DJ46" s="643"/>
      <c r="DK46" s="642"/>
      <c r="DL46" s="642"/>
      <c r="DM46" s="642"/>
      <c r="DN46" s="642"/>
      <c r="DO46" s="643"/>
      <c r="DP46" s="642"/>
      <c r="DQ46" s="642"/>
      <c r="DR46" s="642"/>
      <c r="DS46" s="642"/>
      <c r="DT46" s="643"/>
      <c r="DU46" s="643"/>
      <c r="DV46" s="643"/>
    </row>
    <row r="47" spans="1:126" s="113" customFormat="1" hidden="1" outlineLevel="2">
      <c r="A47" s="92"/>
      <c r="B47" s="63" t="s">
        <v>622</v>
      </c>
      <c r="C47" s="112"/>
      <c r="D47" s="112"/>
      <c r="E47" s="112"/>
      <c r="F47" s="112"/>
      <c r="G47" s="112"/>
      <c r="H47" s="112"/>
      <c r="I47" s="112"/>
      <c r="N47" s="112"/>
      <c r="S47" s="112"/>
      <c r="X47" s="112"/>
      <c r="AC47" s="112"/>
      <c r="AH47" s="112"/>
      <c r="AM47" s="112"/>
      <c r="AR47" s="112"/>
      <c r="AV47" s="392"/>
      <c r="AW47" s="112"/>
      <c r="BA47" s="198"/>
      <c r="BB47" s="112"/>
      <c r="BG47" s="112"/>
      <c r="BJ47" s="456"/>
      <c r="BK47" s="456"/>
      <c r="BL47" s="112"/>
      <c r="BM47" s="456"/>
      <c r="BN47" s="456"/>
      <c r="BO47" s="456"/>
      <c r="BP47" s="456"/>
      <c r="BQ47" s="112"/>
      <c r="BR47" s="456"/>
      <c r="BS47" s="456"/>
      <c r="BT47" s="456"/>
      <c r="BU47" s="456"/>
      <c r="BV47" s="112"/>
      <c r="BW47" s="456"/>
      <c r="BX47" s="456"/>
      <c r="BY47" s="456"/>
      <c r="BZ47" s="456"/>
      <c r="CA47" s="112"/>
      <c r="CB47" s="456"/>
      <c r="CC47" s="456"/>
      <c r="CD47" s="456"/>
      <c r="CE47" s="456"/>
      <c r="CF47" s="112"/>
      <c r="CG47" s="456"/>
      <c r="CH47" s="456"/>
      <c r="CI47" s="456"/>
      <c r="CJ47" s="456"/>
      <c r="CK47" s="112"/>
      <c r="CL47" s="69"/>
      <c r="CM47" s="69"/>
      <c r="CN47" s="69"/>
      <c r="CO47" s="69"/>
      <c r="CP47" s="112"/>
      <c r="CQ47" s="198"/>
      <c r="CR47" s="69"/>
      <c r="CS47" s="69"/>
      <c r="CT47" s="69"/>
      <c r="CU47" s="112"/>
      <c r="CV47" s="632"/>
      <c r="CW47" s="632">
        <v>-15</v>
      </c>
      <c r="CX47" s="632">
        <v>-15</v>
      </c>
      <c r="CY47" s="632">
        <v>-15</v>
      </c>
      <c r="CZ47" s="2">
        <f>SUM(CV47:CY47)</f>
        <v>-45</v>
      </c>
      <c r="DA47" s="632"/>
      <c r="DB47" s="632">
        <v>-15</v>
      </c>
      <c r="DC47" s="632">
        <v>-15</v>
      </c>
      <c r="DD47" s="632">
        <v>-15</v>
      </c>
      <c r="DE47" s="112"/>
      <c r="DF47" s="632"/>
      <c r="DG47" s="69"/>
      <c r="DH47" s="69"/>
      <c r="DI47" s="69"/>
      <c r="DJ47" s="112"/>
      <c r="DK47" s="632"/>
      <c r="DL47" s="69"/>
      <c r="DM47" s="69"/>
      <c r="DN47" s="69"/>
      <c r="DO47" s="112"/>
      <c r="DP47" s="632"/>
      <c r="DQ47" s="69"/>
      <c r="DR47" s="69"/>
      <c r="DS47" s="69"/>
      <c r="DT47" s="112"/>
      <c r="DU47" s="70"/>
      <c r="DV47" s="70"/>
    </row>
    <row r="48" spans="1:126" s="113" customFormat="1" hidden="1" outlineLevel="1">
      <c r="A48" s="92"/>
      <c r="B48" s="180" t="s">
        <v>569</v>
      </c>
      <c r="C48" s="112"/>
      <c r="D48" s="112"/>
      <c r="E48" s="112"/>
      <c r="F48" s="112"/>
      <c r="G48" s="112"/>
      <c r="H48" s="112"/>
      <c r="I48" s="112"/>
      <c r="N48" s="112"/>
      <c r="S48" s="112"/>
      <c r="X48" s="112"/>
      <c r="AC48" s="112"/>
      <c r="AH48" s="112"/>
      <c r="AM48" s="112"/>
      <c r="AR48" s="112"/>
      <c r="AV48" s="392"/>
      <c r="AW48" s="112"/>
      <c r="BA48" s="198"/>
      <c r="BB48" s="112">
        <f>Data!BB136</f>
        <v>13131</v>
      </c>
      <c r="BC48" s="113">
        <f>Data!BC136</f>
        <v>3232</v>
      </c>
      <c r="BD48" s="113">
        <f>Data!BD136</f>
        <v>3411</v>
      </c>
      <c r="BE48" s="113">
        <f>Data!BE136</f>
        <v>3238</v>
      </c>
      <c r="BF48" s="113">
        <f>Data!BF136</f>
        <v>3207</v>
      </c>
      <c r="BG48" s="112">
        <f>Data!BG136</f>
        <v>13088</v>
      </c>
      <c r="BH48" s="113">
        <f>Data!BH136</f>
        <v>3055</v>
      </c>
      <c r="BI48" s="113">
        <f>Data!BI136</f>
        <v>3088</v>
      </c>
      <c r="BJ48" s="456">
        <f>Data!BJ136</f>
        <v>2905</v>
      </c>
      <c r="BK48" s="456">
        <f>Data!BK136</f>
        <v>3346</v>
      </c>
      <c r="BL48" s="112">
        <f>Data!BL136</f>
        <v>12394</v>
      </c>
      <c r="BM48" s="456">
        <f>Data!BM136</f>
        <v>2780</v>
      </c>
      <c r="BN48" s="456">
        <f>Data!BN136</f>
        <v>3124</v>
      </c>
      <c r="BO48" s="456">
        <f>Data!BO136</f>
        <v>3062</v>
      </c>
      <c r="BP48" s="456">
        <f>Data!BP136</f>
        <v>3437</v>
      </c>
      <c r="BQ48" s="112">
        <f>Data!BQ136</f>
        <v>12403</v>
      </c>
      <c r="BR48" s="456">
        <f>Data!BR136</f>
        <v>3057</v>
      </c>
      <c r="BS48" s="456">
        <f>Data!BS136</f>
        <v>3055</v>
      </c>
      <c r="BT48" s="456">
        <f>Data!BT136</f>
        <v>3134</v>
      </c>
      <c r="BU48" s="456">
        <f>Data!BU136</f>
        <v>3301</v>
      </c>
      <c r="BV48" s="112">
        <f>Data!BV136</f>
        <v>12547</v>
      </c>
      <c r="BW48" s="456">
        <f>Data!BW136</f>
        <v>3154</v>
      </c>
      <c r="BX48" s="456">
        <f>Data!BX136</f>
        <v>3363</v>
      </c>
      <c r="BY48" s="456">
        <f>Data!BY136</f>
        <v>3336</v>
      </c>
      <c r="BZ48" s="456">
        <f>Data!BZ136</f>
        <v>3738</v>
      </c>
      <c r="CA48" s="112">
        <f>Data!CA136</f>
        <v>13591</v>
      </c>
      <c r="CB48" s="456">
        <f>Data!CB136</f>
        <v>3337</v>
      </c>
      <c r="CC48" s="456">
        <f>Data!CC136</f>
        <v>3565</v>
      </c>
      <c r="CD48" s="456">
        <f>Data!CD136</f>
        <v>3575</v>
      </c>
      <c r="CE48" s="456">
        <f>Data!CE136</f>
        <v>4001</v>
      </c>
      <c r="CF48" s="112">
        <f>Data!CF136</f>
        <v>14478</v>
      </c>
      <c r="CG48" s="456">
        <f>Data!CG136</f>
        <v>3519</v>
      </c>
      <c r="CH48" s="456">
        <f>Data!CH136</f>
        <v>3804</v>
      </c>
      <c r="CI48" s="456">
        <f>Data!CI136</f>
        <v>3882</v>
      </c>
      <c r="CJ48" s="456">
        <f>Data!CJ136</f>
        <v>4289</v>
      </c>
      <c r="CK48" s="112">
        <f>Data!CK136</f>
        <v>15494</v>
      </c>
      <c r="CL48" s="198">
        <f>Data!CL136</f>
        <v>3741</v>
      </c>
      <c r="CM48" s="198">
        <f>Data!CM136</f>
        <v>3712</v>
      </c>
      <c r="CN48" s="198">
        <f>Data!CN136</f>
        <v>3706</v>
      </c>
      <c r="CO48" s="198">
        <f>Data!CO136</f>
        <v>4184</v>
      </c>
      <c r="CP48" s="112">
        <f>SUM(CL48:CO48)</f>
        <v>15343</v>
      </c>
      <c r="CQ48" s="198">
        <f>Data!CQ136</f>
        <v>3793</v>
      </c>
      <c r="CR48" s="198">
        <f>Data!CR136</f>
        <v>3985</v>
      </c>
      <c r="CS48" s="198">
        <f>Data!CS136</f>
        <v>3902</v>
      </c>
      <c r="CT48" s="198">
        <f>Data!CT136</f>
        <v>3859</v>
      </c>
      <c r="CU48" s="112">
        <f>SUM(CQ48:CT48)</f>
        <v>15539</v>
      </c>
      <c r="CV48" s="198">
        <f>Data!CV136</f>
        <v>3527</v>
      </c>
      <c r="CW48" s="198">
        <f>Data!CW136</f>
        <v>3558</v>
      </c>
      <c r="CX48" s="198">
        <f>Data!CX136</f>
        <v>3678</v>
      </c>
      <c r="CY48" s="198">
        <f>Data!CY136</f>
        <v>4100</v>
      </c>
      <c r="CZ48" s="112">
        <f>SUM(CV48:CY48)</f>
        <v>14863</v>
      </c>
      <c r="DA48" s="198">
        <f>Data!DA136</f>
        <v>3671</v>
      </c>
      <c r="DB48" s="198">
        <f>Data!DB136</f>
        <v>4000</v>
      </c>
      <c r="DC48" s="198">
        <f>Data!DC136</f>
        <v>0</v>
      </c>
      <c r="DD48" s="198">
        <f>Data!DD136</f>
        <v>0</v>
      </c>
      <c r="DE48" s="112">
        <f>SUM(DA48:DD48)</f>
        <v>7671</v>
      </c>
      <c r="DF48" s="198">
        <f>Data!DF136</f>
        <v>0</v>
      </c>
      <c r="DG48" s="69"/>
      <c r="DH48" s="69"/>
      <c r="DI48" s="69"/>
      <c r="DJ48" s="112">
        <f>SUM(DF48:DI48)</f>
        <v>0</v>
      </c>
      <c r="DK48" s="198">
        <f>Data!DK136</f>
        <v>0</v>
      </c>
      <c r="DL48" s="69"/>
      <c r="DM48" s="69"/>
      <c r="DN48" s="69"/>
      <c r="DO48" s="112">
        <f>SUM(DK48:DN48)</f>
        <v>0</v>
      </c>
      <c r="DP48" s="198"/>
      <c r="DQ48" s="69"/>
      <c r="DR48" s="69"/>
      <c r="DS48" s="69"/>
      <c r="DT48" s="112">
        <f>DO48*(1+DT85)+DT76+DT68</f>
        <v>0</v>
      </c>
      <c r="DU48" s="70">
        <f t="shared" ref="DU48:DV48" si="4">DT48*(1+DU85)+DU76+DU68</f>
        <v>0</v>
      </c>
      <c r="DV48" s="70">
        <f t="shared" si="4"/>
        <v>0</v>
      </c>
    </row>
    <row r="49" spans="1:126" s="113" customFormat="1" hidden="1" outlineLevel="1">
      <c r="A49" s="92"/>
      <c r="B49" s="180"/>
      <c r="C49" s="112"/>
      <c r="D49" s="112"/>
      <c r="E49" s="112"/>
      <c r="F49" s="112"/>
      <c r="G49" s="112"/>
      <c r="H49" s="112"/>
      <c r="I49" s="112"/>
      <c r="N49" s="112"/>
      <c r="S49" s="112"/>
      <c r="X49" s="112"/>
      <c r="AC49" s="112"/>
      <c r="AH49" s="112"/>
      <c r="AM49" s="112"/>
      <c r="AR49" s="112"/>
      <c r="AV49" s="392"/>
      <c r="AW49" s="112"/>
      <c r="BA49" s="198"/>
      <c r="BB49" s="112"/>
      <c r="BG49" s="112"/>
      <c r="BJ49" s="456"/>
      <c r="BK49" s="456"/>
      <c r="BL49" s="112"/>
      <c r="BM49" s="456"/>
      <c r="BN49" s="456"/>
      <c r="BO49" s="456"/>
      <c r="BP49" s="456"/>
      <c r="BQ49" s="112"/>
      <c r="BR49" s="456"/>
      <c r="BS49" s="456"/>
      <c r="BT49" s="456"/>
      <c r="BU49" s="456"/>
      <c r="BV49" s="112"/>
      <c r="BW49" s="456"/>
      <c r="BX49" s="456"/>
      <c r="BY49" s="456"/>
      <c r="BZ49" s="456"/>
      <c r="CA49" s="112"/>
      <c r="CB49" s="456"/>
      <c r="CC49" s="456"/>
      <c r="CD49" s="456"/>
      <c r="CE49" s="456"/>
      <c r="CF49" s="112"/>
      <c r="CG49" s="456"/>
      <c r="CH49" s="456"/>
      <c r="CI49" s="456"/>
      <c r="CJ49" s="456"/>
      <c r="CK49" s="112"/>
      <c r="CL49" s="198"/>
      <c r="CM49" s="198"/>
      <c r="CN49" s="198"/>
      <c r="CO49" s="198"/>
      <c r="CP49" s="112"/>
      <c r="CQ49" s="198"/>
      <c r="CR49" s="198"/>
      <c r="CS49" s="198"/>
      <c r="CT49" s="198"/>
      <c r="CU49" s="112"/>
      <c r="CV49" s="198"/>
      <c r="CW49" s="198"/>
      <c r="CX49" s="198"/>
      <c r="CY49" s="198"/>
      <c r="CZ49" s="112"/>
      <c r="DA49" s="198"/>
      <c r="DB49" s="198"/>
      <c r="DC49" s="198"/>
      <c r="DD49" s="198"/>
      <c r="DE49" s="112"/>
      <c r="DF49" s="198"/>
      <c r="DG49" s="69"/>
      <c r="DH49" s="69"/>
      <c r="DI49" s="69"/>
      <c r="DJ49" s="112"/>
      <c r="DK49" s="198"/>
      <c r="DL49" s="69"/>
      <c r="DM49" s="69"/>
      <c r="DN49" s="69"/>
      <c r="DO49" s="112"/>
      <c r="DP49" s="198"/>
      <c r="DQ49" s="69"/>
      <c r="DR49" s="69"/>
      <c r="DS49" s="69"/>
      <c r="DT49" s="112"/>
      <c r="DU49" s="70"/>
      <c r="DV49" s="70"/>
    </row>
    <row r="50" spans="1:126" s="113" customFormat="1" collapsed="1">
      <c r="A50" s="92"/>
      <c r="B50" s="41" t="s">
        <v>629</v>
      </c>
      <c r="C50" s="112"/>
      <c r="D50" s="112"/>
      <c r="E50" s="112"/>
      <c r="F50" s="112"/>
      <c r="G50" s="112"/>
      <c r="H50" s="112"/>
      <c r="I50" s="112"/>
      <c r="N50" s="112"/>
      <c r="S50" s="112"/>
      <c r="X50" s="112"/>
      <c r="AC50" s="112"/>
      <c r="AH50" s="112"/>
      <c r="AM50" s="112"/>
      <c r="AR50" s="112"/>
      <c r="AV50" s="392"/>
      <c r="AW50" s="112"/>
      <c r="BA50" s="198"/>
      <c r="BB50" s="112"/>
      <c r="BG50" s="112"/>
      <c r="BJ50" s="456"/>
      <c r="BK50" s="456"/>
      <c r="BL50" s="112"/>
      <c r="BM50" s="456"/>
      <c r="BN50" s="456"/>
      <c r="BO50" s="456"/>
      <c r="BP50" s="456"/>
      <c r="BQ50" s="112"/>
      <c r="BR50" s="456"/>
      <c r="BS50" s="456"/>
      <c r="BT50" s="456"/>
      <c r="BU50" s="456"/>
      <c r="BV50" s="112"/>
      <c r="BW50" s="456"/>
      <c r="BX50" s="456"/>
      <c r="BY50" s="456"/>
      <c r="BZ50" s="456"/>
      <c r="CA50" s="112"/>
      <c r="CB50" s="456"/>
      <c r="CC50" s="456"/>
      <c r="CD50" s="456"/>
      <c r="CE50" s="456"/>
      <c r="CF50" s="112"/>
      <c r="CG50" s="456"/>
      <c r="CH50" s="456"/>
      <c r="CI50" s="456"/>
      <c r="CJ50" s="456"/>
      <c r="CK50" s="112"/>
      <c r="CL50" s="198">
        <f>Data!CL137</f>
        <v>6408.2879999999996</v>
      </c>
      <c r="CM50" s="198">
        <f>Data!CM137</f>
        <v>6318.4319999999998</v>
      </c>
      <c r="CN50" s="198">
        <f>Data!CN137</f>
        <v>6441.12</v>
      </c>
      <c r="CO50" s="198">
        <f>Data!CO137</f>
        <v>7009.16</v>
      </c>
      <c r="CP50" s="112">
        <f>Data!CP137</f>
        <v>26177</v>
      </c>
      <c r="CQ50" s="198">
        <f>Data!CQ137</f>
        <v>6545.2280000000001</v>
      </c>
      <c r="CR50" s="198">
        <f>Data!CR137</f>
        <v>6746.14</v>
      </c>
      <c r="CS50" s="198">
        <f>Data!CS137</f>
        <v>6617.9719999999998</v>
      </c>
      <c r="CT50" s="198">
        <f>Data!CT137</f>
        <v>6701.66</v>
      </c>
      <c r="CU50" s="112">
        <f>Data!CU137</f>
        <v>26611</v>
      </c>
      <c r="CV50" s="198">
        <f>Data!CV137</f>
        <v>6074</v>
      </c>
      <c r="CW50" s="198">
        <f>Data!CW137</f>
        <v>6133</v>
      </c>
      <c r="CX50" s="198">
        <f>Data!CX137</f>
        <v>6308</v>
      </c>
      <c r="CY50" s="198">
        <f>Data!CY137</f>
        <v>6661</v>
      </c>
      <c r="CZ50" s="112">
        <f>SUM(CV50:CY50)</f>
        <v>25176</v>
      </c>
      <c r="DA50" s="198">
        <f>Data!DA137</f>
        <v>6292</v>
      </c>
      <c r="DB50" s="198">
        <f>Data!DB137</f>
        <v>6700</v>
      </c>
      <c r="DC50" s="198">
        <f>Data!DC137</f>
        <v>6472</v>
      </c>
      <c r="DD50" s="198">
        <f>Data!DD137</f>
        <v>6886</v>
      </c>
      <c r="DE50" s="112">
        <f>SUM(DA50:DD50)</f>
        <v>26350</v>
      </c>
      <c r="DF50" s="198">
        <f>Data!DF137</f>
        <v>6659</v>
      </c>
      <c r="DG50" s="198">
        <f>Data!DG137</f>
        <v>6581</v>
      </c>
      <c r="DH50" s="198">
        <f>Data!DH137</f>
        <v>6386</v>
      </c>
      <c r="DI50" s="198">
        <f>Data!DI137</f>
        <v>7157</v>
      </c>
      <c r="DJ50" s="112">
        <f>SUM(DF50:DI50)</f>
        <v>26783</v>
      </c>
      <c r="DK50" s="198">
        <f>Data!DK137</f>
        <v>6340</v>
      </c>
      <c r="DL50" s="198">
        <f>Data!DL137</f>
        <v>7001</v>
      </c>
      <c r="DM50" s="198">
        <f>Data!DM137</f>
        <v>7045</v>
      </c>
      <c r="DN50" s="69">
        <f t="shared" ref="DN50" si="5">DI50*(1+DN86)+DN77+DN69</f>
        <v>7328.768</v>
      </c>
      <c r="DO50" s="112">
        <f>SUM(DK50:DN50)</f>
        <v>27714.768</v>
      </c>
      <c r="DP50" s="69">
        <f>DK50*(1+DP86)+DP77+DP69</f>
        <v>6783.8</v>
      </c>
      <c r="DQ50" s="69">
        <f>DL50*(1+DQ86)+DQ77+DQ69</f>
        <v>7309.0439999999999</v>
      </c>
      <c r="DR50" s="69">
        <f t="shared" ref="DR50" si="6">DM50*(1+DR86)+DR77+DR69</f>
        <v>7404.2949999999992</v>
      </c>
      <c r="DS50" s="69">
        <f t="shared" ref="DS50" si="7">DN50*(1+DS86)+DS77+DS69</f>
        <v>7739.1790080000001</v>
      </c>
      <c r="DT50" s="112">
        <f>SUM(DP50:DS50)</f>
        <v>29236.318007999998</v>
      </c>
      <c r="DU50" s="70">
        <f t="shared" ref="DU50:DV50" si="8">DT50*(1+DU86)+DU77+DU69</f>
        <v>30785.842862423997</v>
      </c>
      <c r="DV50" s="70">
        <f t="shared" si="8"/>
        <v>32355.920848407619</v>
      </c>
    </row>
    <row r="51" spans="1:126" s="113" customFormat="1" hidden="1" outlineLevel="1">
      <c r="A51" s="92"/>
      <c r="B51" s="41"/>
      <c r="C51" s="112"/>
      <c r="D51" s="112"/>
      <c r="E51" s="112"/>
      <c r="F51" s="112"/>
      <c r="G51" s="112"/>
      <c r="H51" s="112"/>
      <c r="I51" s="112"/>
      <c r="N51" s="112"/>
      <c r="S51" s="112"/>
      <c r="X51" s="112"/>
      <c r="AC51" s="112"/>
      <c r="AH51" s="112"/>
      <c r="AM51" s="112"/>
      <c r="AR51" s="112"/>
      <c r="AV51" s="392"/>
      <c r="AW51" s="112"/>
      <c r="BA51" s="198"/>
      <c r="BB51" s="112"/>
      <c r="BG51" s="112"/>
      <c r="BJ51" s="456"/>
      <c r="BK51" s="456"/>
      <c r="BL51" s="112"/>
      <c r="BM51" s="456"/>
      <c r="BN51" s="456"/>
      <c r="BO51" s="456"/>
      <c r="BP51" s="456"/>
      <c r="BQ51" s="112"/>
      <c r="BR51" s="456"/>
      <c r="BS51" s="456"/>
      <c r="BT51" s="456"/>
      <c r="BU51" s="456"/>
      <c r="BV51" s="112"/>
      <c r="BW51" s="456"/>
      <c r="BX51" s="456"/>
      <c r="BY51" s="456"/>
      <c r="BZ51" s="456"/>
      <c r="CA51" s="112"/>
      <c r="CB51" s="456"/>
      <c r="CC51" s="456"/>
      <c r="CD51" s="456"/>
      <c r="CE51" s="456"/>
      <c r="CF51" s="112"/>
      <c r="CG51" s="456"/>
      <c r="CH51" s="456"/>
      <c r="CI51" s="456"/>
      <c r="CJ51" s="456"/>
      <c r="CK51" s="112"/>
      <c r="CL51" s="198"/>
      <c r="CM51" s="198"/>
      <c r="CN51" s="198"/>
      <c r="CO51" s="198"/>
      <c r="CP51" s="112"/>
      <c r="CQ51" s="198"/>
      <c r="CR51" s="198"/>
      <c r="CS51" s="198"/>
      <c r="CT51" s="198"/>
      <c r="CU51" s="112"/>
      <c r="CV51" s="198"/>
      <c r="CW51" s="198"/>
      <c r="CX51" s="198"/>
      <c r="CY51" s="198"/>
      <c r="CZ51" s="112"/>
      <c r="DA51" s="198"/>
      <c r="DB51" s="198"/>
      <c r="DC51" s="198"/>
      <c r="DD51" s="198"/>
      <c r="DE51" s="112"/>
      <c r="DF51" s="198"/>
      <c r="DG51" s="69"/>
      <c r="DH51" s="69"/>
      <c r="DI51" s="69"/>
      <c r="DJ51" s="112"/>
      <c r="DK51" s="198"/>
      <c r="DL51" s="69"/>
      <c r="DM51" s="69"/>
      <c r="DN51" s="69"/>
      <c r="DO51" s="112"/>
      <c r="DP51" s="198"/>
      <c r="DQ51" s="69"/>
      <c r="DR51" s="69"/>
      <c r="DS51" s="69"/>
      <c r="DT51" s="112"/>
      <c r="DU51" s="70"/>
      <c r="DV51" s="70"/>
    </row>
    <row r="52" spans="1:126" s="113" customFormat="1" hidden="1" outlineLevel="1">
      <c r="A52" s="92"/>
      <c r="B52" s="837" t="s">
        <v>72</v>
      </c>
      <c r="C52" s="112"/>
      <c r="D52" s="112"/>
      <c r="E52" s="112"/>
      <c r="F52" s="112"/>
      <c r="G52" s="112"/>
      <c r="H52" s="112"/>
      <c r="I52" s="112"/>
      <c r="N52" s="112"/>
      <c r="S52" s="112"/>
      <c r="X52" s="112"/>
      <c r="AC52" s="112"/>
      <c r="AH52" s="112"/>
      <c r="AM52" s="112"/>
      <c r="AR52" s="112"/>
      <c r="AV52" s="392"/>
      <c r="AW52" s="112"/>
      <c r="BA52" s="198"/>
      <c r="BB52" s="112"/>
      <c r="BG52" s="112"/>
      <c r="BJ52" s="456"/>
      <c r="BK52" s="456"/>
      <c r="BL52" s="112"/>
      <c r="BM52" s="456"/>
      <c r="BN52" s="456"/>
      <c r="BO52" s="456"/>
      <c r="BP52" s="456"/>
      <c r="BQ52" s="112"/>
      <c r="BR52" s="456"/>
      <c r="BS52" s="456"/>
      <c r="BT52" s="456"/>
      <c r="BU52" s="456"/>
      <c r="BV52" s="112"/>
      <c r="BW52" s="456"/>
      <c r="BX52" s="456"/>
      <c r="BY52" s="456"/>
      <c r="BZ52" s="456"/>
      <c r="CA52" s="112"/>
      <c r="CB52" s="456"/>
      <c r="CC52" s="456"/>
      <c r="CD52" s="456"/>
      <c r="CE52" s="456"/>
      <c r="CF52" s="112"/>
      <c r="CG52" s="456"/>
      <c r="CH52" s="456"/>
      <c r="CI52" s="456"/>
      <c r="CJ52" s="456"/>
      <c r="CK52" s="112"/>
      <c r="CL52" s="198"/>
      <c r="CM52" s="198"/>
      <c r="CN52" s="198"/>
      <c r="CO52" s="198"/>
      <c r="CP52" s="112"/>
      <c r="CQ52" s="198"/>
      <c r="CR52" s="198"/>
      <c r="CS52" s="198"/>
      <c r="CT52" s="198"/>
      <c r="CU52" s="112"/>
      <c r="CV52" s="198"/>
      <c r="CW52" s="198"/>
      <c r="CX52" s="198"/>
      <c r="CY52" s="198"/>
      <c r="CZ52" s="112"/>
      <c r="DA52" s="198"/>
      <c r="DB52" s="198"/>
      <c r="DC52" s="198"/>
      <c r="DD52" s="198"/>
      <c r="DE52" s="112"/>
      <c r="DF52" s="198"/>
      <c r="DG52" s="69"/>
      <c r="DH52" s="69"/>
      <c r="DI52" s="69"/>
      <c r="DJ52" s="112"/>
      <c r="DK52" s="198"/>
      <c r="DL52" s="69"/>
      <c r="DM52" s="69"/>
      <c r="DN52" s="69"/>
      <c r="DO52" s="112"/>
      <c r="DP52" s="198"/>
      <c r="DQ52" s="69"/>
      <c r="DR52" s="69"/>
      <c r="DS52" s="69"/>
      <c r="DT52" s="112"/>
      <c r="DU52" s="70"/>
      <c r="DV52" s="70"/>
    </row>
    <row r="53" spans="1:126" s="113" customFormat="1" hidden="1" outlineLevel="1">
      <c r="A53" s="92"/>
      <c r="B53" s="41"/>
      <c r="C53" s="112"/>
      <c r="D53" s="112"/>
      <c r="E53" s="112"/>
      <c r="F53" s="112"/>
      <c r="G53" s="112"/>
      <c r="H53" s="112"/>
      <c r="I53" s="112"/>
      <c r="N53" s="112"/>
      <c r="S53" s="112"/>
      <c r="X53" s="112"/>
      <c r="AC53" s="112"/>
      <c r="AH53" s="112"/>
      <c r="AM53" s="112"/>
      <c r="AR53" s="112"/>
      <c r="AV53" s="392"/>
      <c r="AW53" s="112"/>
      <c r="BA53" s="198"/>
      <c r="BB53" s="112"/>
      <c r="BG53" s="112"/>
      <c r="BJ53" s="456"/>
      <c r="BK53" s="456"/>
      <c r="BL53" s="112"/>
      <c r="BM53" s="456"/>
      <c r="BN53" s="456"/>
      <c r="BO53" s="456"/>
      <c r="BP53" s="456"/>
      <c r="BQ53" s="112"/>
      <c r="BR53" s="456"/>
      <c r="BS53" s="456"/>
      <c r="BT53" s="456"/>
      <c r="BU53" s="456"/>
      <c r="BV53" s="112"/>
      <c r="BW53" s="456"/>
      <c r="BX53" s="456"/>
      <c r="BY53" s="456"/>
      <c r="BZ53" s="456"/>
      <c r="CA53" s="112"/>
      <c r="CB53" s="456"/>
      <c r="CC53" s="456"/>
      <c r="CD53" s="456"/>
      <c r="CE53" s="456"/>
      <c r="CF53" s="112"/>
      <c r="CG53" s="456"/>
      <c r="CH53" s="456"/>
      <c r="CI53" s="456"/>
      <c r="CJ53" s="456"/>
      <c r="CK53" s="112"/>
      <c r="CL53" s="198"/>
      <c r="CM53" s="198"/>
      <c r="CN53" s="198"/>
      <c r="CO53" s="198"/>
      <c r="CP53" s="112"/>
      <c r="CQ53" s="198"/>
      <c r="CR53" s="198"/>
      <c r="CS53" s="198"/>
      <c r="CT53" s="198"/>
      <c r="CU53" s="112"/>
      <c r="CV53" s="198"/>
      <c r="CW53" s="198"/>
      <c r="CX53" s="198"/>
      <c r="CY53" s="198"/>
      <c r="CZ53" s="112"/>
      <c r="DA53" s="198"/>
      <c r="DB53" s="198"/>
      <c r="DC53" s="198"/>
      <c r="DD53" s="198"/>
      <c r="DE53" s="112"/>
      <c r="DF53" s="198"/>
      <c r="DG53" s="69"/>
      <c r="DH53" s="69"/>
      <c r="DI53" s="69"/>
      <c r="DJ53" s="112"/>
      <c r="DK53" s="198"/>
      <c r="DL53" s="69"/>
      <c r="DM53" s="69"/>
      <c r="DN53" s="69"/>
      <c r="DO53" s="112"/>
      <c r="DP53" s="198"/>
      <c r="DQ53" s="69"/>
      <c r="DR53" s="69"/>
      <c r="DS53" s="69"/>
      <c r="DT53" s="112"/>
      <c r="DU53" s="70"/>
      <c r="DV53" s="70"/>
    </row>
    <row r="54" spans="1:126" s="113" customFormat="1" hidden="1" outlineLevel="1">
      <c r="A54" s="92"/>
      <c r="B54" s="41"/>
      <c r="C54" s="112"/>
      <c r="D54" s="112"/>
      <c r="E54" s="112"/>
      <c r="F54" s="112"/>
      <c r="G54" s="112"/>
      <c r="H54" s="112"/>
      <c r="I54" s="112"/>
      <c r="N54" s="112"/>
      <c r="S54" s="112"/>
      <c r="X54" s="112"/>
      <c r="AC54" s="112"/>
      <c r="AH54" s="112"/>
      <c r="AM54" s="112"/>
      <c r="AR54" s="112"/>
      <c r="AV54" s="392"/>
      <c r="AW54" s="112"/>
      <c r="BA54" s="198"/>
      <c r="BB54" s="112"/>
      <c r="BG54" s="112"/>
      <c r="BJ54" s="456"/>
      <c r="BK54" s="456"/>
      <c r="BL54" s="112"/>
      <c r="BM54" s="456"/>
      <c r="BN54" s="456"/>
      <c r="BO54" s="456"/>
      <c r="BP54" s="456"/>
      <c r="BQ54" s="112"/>
      <c r="BR54" s="456"/>
      <c r="BS54" s="456"/>
      <c r="BT54" s="456"/>
      <c r="BU54" s="456"/>
      <c r="BV54" s="112"/>
      <c r="BW54" s="456"/>
      <c r="BX54" s="456"/>
      <c r="BY54" s="456"/>
      <c r="BZ54" s="456"/>
      <c r="CA54" s="112"/>
      <c r="CB54" s="456"/>
      <c r="CC54" s="456"/>
      <c r="CD54" s="456"/>
      <c r="CE54" s="456"/>
      <c r="CF54" s="112"/>
      <c r="CG54" s="456"/>
      <c r="CH54" s="456"/>
      <c r="CI54" s="456"/>
      <c r="CJ54" s="456"/>
      <c r="CK54" s="112"/>
      <c r="CL54" s="198"/>
      <c r="CM54" s="198"/>
      <c r="CN54" s="198"/>
      <c r="CO54" s="198"/>
      <c r="CP54" s="112"/>
      <c r="CQ54" s="198"/>
      <c r="CR54" s="198"/>
      <c r="CS54" s="198"/>
      <c r="CT54" s="198"/>
      <c r="CU54" s="112"/>
      <c r="CV54" s="198"/>
      <c r="CW54" s="198"/>
      <c r="CX54" s="198"/>
      <c r="CY54" s="198"/>
      <c r="CZ54" s="112"/>
      <c r="DA54" s="198"/>
      <c r="DB54" s="198"/>
      <c r="DC54" s="198"/>
      <c r="DD54" s="198"/>
      <c r="DE54" s="112"/>
      <c r="DF54" s="198"/>
      <c r="DG54" s="69"/>
      <c r="DH54" s="69"/>
      <c r="DI54" s="69"/>
      <c r="DJ54" s="112"/>
      <c r="DK54" s="198"/>
      <c r="DL54" s="69"/>
      <c r="DM54" s="69"/>
      <c r="DN54" s="69"/>
      <c r="DO54" s="112"/>
      <c r="DP54" s="198"/>
      <c r="DQ54" s="69"/>
      <c r="DR54" s="69"/>
      <c r="DS54" s="69"/>
      <c r="DT54" s="112"/>
      <c r="DU54" s="70"/>
      <c r="DV54" s="70"/>
    </row>
    <row r="55" spans="1:126" s="113" customFormat="1" hidden="1" outlineLevel="1">
      <c r="A55" s="92"/>
      <c r="B55" s="41"/>
      <c r="C55" s="112"/>
      <c r="D55" s="112"/>
      <c r="E55" s="112"/>
      <c r="F55" s="112"/>
      <c r="G55" s="112"/>
      <c r="H55" s="112"/>
      <c r="I55" s="112"/>
      <c r="N55" s="112"/>
      <c r="S55" s="112"/>
      <c r="X55" s="112"/>
      <c r="AC55" s="112"/>
      <c r="AH55" s="112"/>
      <c r="AM55" s="112"/>
      <c r="AR55" s="112"/>
      <c r="AV55" s="392"/>
      <c r="AW55" s="112"/>
      <c r="BA55" s="198"/>
      <c r="BB55" s="112"/>
      <c r="BG55" s="112"/>
      <c r="BJ55" s="456"/>
      <c r="BK55" s="456"/>
      <c r="BL55" s="112"/>
      <c r="BM55" s="456"/>
      <c r="BN55" s="456"/>
      <c r="BO55" s="456"/>
      <c r="BP55" s="456"/>
      <c r="BQ55" s="112"/>
      <c r="BR55" s="456"/>
      <c r="BS55" s="456"/>
      <c r="BT55" s="456"/>
      <c r="BU55" s="456"/>
      <c r="BV55" s="112"/>
      <c r="BW55" s="456"/>
      <c r="BX55" s="456"/>
      <c r="BY55" s="456"/>
      <c r="BZ55" s="456"/>
      <c r="CA55" s="112"/>
      <c r="CB55" s="456"/>
      <c r="CC55" s="456"/>
      <c r="CD55" s="456"/>
      <c r="CE55" s="456"/>
      <c r="CF55" s="112"/>
      <c r="CG55" s="456"/>
      <c r="CH55" s="456"/>
      <c r="CI55" s="456"/>
      <c r="CJ55" s="456"/>
      <c r="CK55" s="112"/>
      <c r="CL55" s="198"/>
      <c r="CM55" s="198"/>
      <c r="CN55" s="198"/>
      <c r="CO55" s="198"/>
      <c r="CP55" s="112"/>
      <c r="CQ55" s="198"/>
      <c r="CR55" s="198"/>
      <c r="CS55" s="198"/>
      <c r="CT55" s="198"/>
      <c r="CU55" s="112"/>
      <c r="CV55" s="198"/>
      <c r="CW55" s="198"/>
      <c r="CX55" s="198"/>
      <c r="CY55" s="198"/>
      <c r="CZ55" s="112"/>
      <c r="DA55" s="198"/>
      <c r="DB55" s="198"/>
      <c r="DC55" s="198"/>
      <c r="DD55" s="198"/>
      <c r="DE55" s="112"/>
      <c r="DF55" s="198"/>
      <c r="DG55" s="69"/>
      <c r="DH55" s="69"/>
      <c r="DI55" s="69"/>
      <c r="DJ55" s="112"/>
      <c r="DK55" s="198"/>
      <c r="DL55" s="69"/>
      <c r="DM55" s="69"/>
      <c r="DN55" s="69"/>
      <c r="DO55" s="112"/>
      <c r="DP55" s="198"/>
      <c r="DQ55" s="69"/>
      <c r="DR55" s="69"/>
      <c r="DS55" s="69"/>
      <c r="DT55" s="112"/>
      <c r="DU55" s="70"/>
      <c r="DV55" s="70"/>
    </row>
    <row r="56" spans="1:126" s="113" customFormat="1" hidden="1" outlineLevel="1">
      <c r="A56" s="92"/>
      <c r="B56" s="837" t="s">
        <v>169</v>
      </c>
      <c r="C56" s="112"/>
      <c r="D56" s="112"/>
      <c r="E56" s="112"/>
      <c r="F56" s="112"/>
      <c r="G56" s="112"/>
      <c r="H56" s="112"/>
      <c r="I56" s="112"/>
      <c r="N56" s="112"/>
      <c r="S56" s="112"/>
      <c r="X56" s="112"/>
      <c r="AC56" s="112"/>
      <c r="AH56" s="112"/>
      <c r="AM56" s="112"/>
      <c r="AR56" s="112"/>
      <c r="AV56" s="392"/>
      <c r="AW56" s="112"/>
      <c r="BA56" s="198"/>
      <c r="BB56" s="112"/>
      <c r="BG56" s="112"/>
      <c r="BJ56" s="456"/>
      <c r="BK56" s="456"/>
      <c r="BL56" s="112"/>
      <c r="BM56" s="456"/>
      <c r="BN56" s="456"/>
      <c r="BO56" s="456"/>
      <c r="BP56" s="456"/>
      <c r="BQ56" s="112"/>
      <c r="BR56" s="456"/>
      <c r="BS56" s="456"/>
      <c r="BT56" s="456"/>
      <c r="BU56" s="456"/>
      <c r="BV56" s="112"/>
      <c r="BW56" s="456"/>
      <c r="BX56" s="456"/>
      <c r="BY56" s="456"/>
      <c r="BZ56" s="456"/>
      <c r="CA56" s="112"/>
      <c r="CB56" s="456"/>
      <c r="CC56" s="456"/>
      <c r="CD56" s="456"/>
      <c r="CE56" s="456"/>
      <c r="CF56" s="112"/>
      <c r="CG56" s="456"/>
      <c r="CH56" s="456"/>
      <c r="CI56" s="456"/>
      <c r="CJ56" s="456"/>
      <c r="CK56" s="112"/>
      <c r="CL56" s="198"/>
      <c r="CM56" s="198"/>
      <c r="CN56" s="198"/>
      <c r="CO56" s="198"/>
      <c r="CP56" s="112"/>
      <c r="CQ56" s="198"/>
      <c r="CR56" s="198"/>
      <c r="CS56" s="198"/>
      <c r="CT56" s="198"/>
      <c r="CU56" s="112"/>
      <c r="CV56" s="198"/>
      <c r="CW56" s="198"/>
      <c r="CX56" s="198"/>
      <c r="CY56" s="198"/>
      <c r="CZ56" s="112"/>
      <c r="DA56" s="198"/>
      <c r="DB56" s="198"/>
      <c r="DC56" s="198"/>
      <c r="DD56" s="198"/>
      <c r="DE56" s="112"/>
      <c r="DF56" s="198"/>
      <c r="DG56" s="69"/>
      <c r="DH56" s="69"/>
      <c r="DI56" s="69"/>
      <c r="DJ56" s="112"/>
      <c r="DK56" s="198"/>
      <c r="DL56" s="69"/>
      <c r="DM56" s="69"/>
      <c r="DN56" s="69"/>
      <c r="DO56" s="112"/>
      <c r="DP56" s="198"/>
      <c r="DQ56" s="69"/>
      <c r="DR56" s="69"/>
      <c r="DS56" s="69"/>
      <c r="DT56" s="112"/>
      <c r="DU56" s="70"/>
      <c r="DV56" s="70"/>
    </row>
    <row r="57" spans="1:126" s="113" customFormat="1" hidden="1" outlineLevel="1">
      <c r="A57" s="92"/>
      <c r="B57" s="40" t="s">
        <v>637</v>
      </c>
      <c r="C57" s="112"/>
      <c r="D57" s="112"/>
      <c r="E57" s="112"/>
      <c r="F57" s="112"/>
      <c r="G57" s="112"/>
      <c r="H57" s="112"/>
      <c r="I57" s="112"/>
      <c r="N57" s="112"/>
      <c r="S57" s="112"/>
      <c r="X57" s="112"/>
      <c r="AC57" s="112"/>
      <c r="AH57" s="112"/>
      <c r="AM57" s="112"/>
      <c r="AR57" s="112"/>
      <c r="AV57" s="392"/>
      <c r="AW57" s="112"/>
      <c r="BA57" s="198"/>
      <c r="BB57" s="112"/>
      <c r="BG57" s="112"/>
      <c r="BJ57" s="456"/>
      <c r="BK57" s="456"/>
      <c r="BL57" s="112"/>
      <c r="BM57" s="456"/>
      <c r="BN57" s="456"/>
      <c r="BO57" s="456"/>
      <c r="BP57" s="456"/>
      <c r="BQ57" s="112"/>
      <c r="BR57" s="456"/>
      <c r="BS57" s="456"/>
      <c r="BT57" s="456"/>
      <c r="BU57" s="456"/>
      <c r="BV57" s="112"/>
      <c r="BW57" s="456"/>
      <c r="BX57" s="456"/>
      <c r="BY57" s="456"/>
      <c r="BZ57" s="456"/>
      <c r="CA57" s="112"/>
      <c r="CB57" s="456"/>
      <c r="CC57" s="456"/>
      <c r="CD57" s="456"/>
      <c r="CE57" s="456"/>
      <c r="CF57" s="112"/>
      <c r="CG57" s="456"/>
      <c r="CH57" s="456"/>
      <c r="CI57" s="456"/>
      <c r="CJ57" s="456"/>
      <c r="CK57" s="112"/>
      <c r="CL57" s="198"/>
      <c r="CM57" s="198"/>
      <c r="CN57" s="198"/>
      <c r="CO57" s="198"/>
      <c r="CP57" s="112"/>
      <c r="CQ57" s="198"/>
      <c r="CR57" s="198"/>
      <c r="CS57" s="198"/>
      <c r="CT57" s="198"/>
      <c r="CU57" s="112"/>
      <c r="CV57" s="198"/>
      <c r="CW57" s="198"/>
      <c r="CX57" s="198"/>
      <c r="CY57" s="198"/>
      <c r="CZ57" s="112"/>
      <c r="DA57" s="198"/>
      <c r="DB57" s="198"/>
      <c r="DC57" s="198"/>
      <c r="DD57" s="198"/>
      <c r="DE57" s="112"/>
      <c r="DF57" s="198"/>
      <c r="DG57" s="69">
        <v>-360</v>
      </c>
      <c r="DH57" s="69">
        <v>-390</v>
      </c>
      <c r="DI57" s="69">
        <v>-350</v>
      </c>
      <c r="DJ57" s="112">
        <f>+SUM(DF57:DI57)</f>
        <v>-1100</v>
      </c>
      <c r="DK57" s="69">
        <v>-350</v>
      </c>
      <c r="DL57" s="69">
        <v>0</v>
      </c>
      <c r="DM57" s="69"/>
      <c r="DN57" s="69"/>
      <c r="DO57" s="112">
        <f>+SUM(DK57:DN57)</f>
        <v>-350</v>
      </c>
      <c r="DP57" s="69"/>
      <c r="DQ57" s="69"/>
      <c r="DR57" s="69"/>
      <c r="DS57" s="69"/>
      <c r="DT57" s="112"/>
      <c r="DU57" s="70"/>
      <c r="DV57" s="70"/>
    </row>
    <row r="58" spans="1:126" s="113" customFormat="1" hidden="1" outlineLevel="1">
      <c r="A58" s="92"/>
      <c r="B58" s="41"/>
      <c r="C58" s="112"/>
      <c r="D58" s="112"/>
      <c r="E58" s="112"/>
      <c r="F58" s="112"/>
      <c r="G58" s="112"/>
      <c r="H58" s="112"/>
      <c r="I58" s="112"/>
      <c r="N58" s="112"/>
      <c r="S58" s="112"/>
      <c r="X58" s="112"/>
      <c r="AC58" s="112"/>
      <c r="AH58" s="112"/>
      <c r="AM58" s="112"/>
      <c r="AR58" s="112"/>
      <c r="AV58" s="392"/>
      <c r="AW58" s="112"/>
      <c r="BA58" s="198"/>
      <c r="BB58" s="112"/>
      <c r="BG58" s="112"/>
      <c r="BJ58" s="456"/>
      <c r="BK58" s="456"/>
      <c r="BL58" s="112"/>
      <c r="BM58" s="456"/>
      <c r="BN58" s="456"/>
      <c r="BO58" s="456"/>
      <c r="BP58" s="456"/>
      <c r="BQ58" s="112"/>
      <c r="BR58" s="456"/>
      <c r="BS58" s="456"/>
      <c r="BT58" s="456"/>
      <c r="BU58" s="456"/>
      <c r="BV58" s="112"/>
      <c r="BW58" s="456"/>
      <c r="BX58" s="456"/>
      <c r="BY58" s="456"/>
      <c r="BZ58" s="456"/>
      <c r="CA58" s="112"/>
      <c r="CB58" s="456"/>
      <c r="CC58" s="456"/>
      <c r="CD58" s="456"/>
      <c r="CE58" s="456"/>
      <c r="CF58" s="112"/>
      <c r="CG58" s="456"/>
      <c r="CH58" s="456"/>
      <c r="CI58" s="456"/>
      <c r="CJ58" s="456"/>
      <c r="CK58" s="112"/>
      <c r="CL58" s="198"/>
      <c r="CM58" s="198"/>
      <c r="CN58" s="198"/>
      <c r="CO58" s="198"/>
      <c r="CP58" s="112"/>
      <c r="CQ58" s="198"/>
      <c r="CR58" s="198"/>
      <c r="CS58" s="198"/>
      <c r="CT58" s="198"/>
      <c r="CU58" s="112"/>
      <c r="CV58" s="198"/>
      <c r="CW58" s="198"/>
      <c r="CX58" s="198"/>
      <c r="CY58" s="198"/>
      <c r="CZ58" s="112"/>
      <c r="DA58" s="198"/>
      <c r="DB58" s="198"/>
      <c r="DC58" s="198"/>
      <c r="DD58" s="198"/>
      <c r="DE58" s="112"/>
      <c r="DF58" s="198"/>
      <c r="DG58" s="69"/>
      <c r="DH58" s="69"/>
      <c r="DI58" s="69"/>
      <c r="DJ58" s="112"/>
      <c r="DK58" s="198"/>
      <c r="DL58" s="69"/>
      <c r="DM58" s="69"/>
      <c r="DN58" s="69"/>
      <c r="DO58" s="112"/>
      <c r="DP58" s="198"/>
      <c r="DQ58" s="69"/>
      <c r="DR58" s="69"/>
      <c r="DS58" s="69"/>
      <c r="DT58" s="112"/>
      <c r="DU58" s="70"/>
      <c r="DV58" s="70"/>
    </row>
    <row r="59" spans="1:126" s="113" customFormat="1" hidden="1" outlineLevel="1">
      <c r="A59" s="92"/>
      <c r="B59" s="41"/>
      <c r="C59" s="112"/>
      <c r="D59" s="112"/>
      <c r="E59" s="112"/>
      <c r="F59" s="112"/>
      <c r="G59" s="112"/>
      <c r="H59" s="112"/>
      <c r="I59" s="112"/>
      <c r="N59" s="112"/>
      <c r="S59" s="112"/>
      <c r="X59" s="112"/>
      <c r="AC59" s="112"/>
      <c r="AH59" s="112"/>
      <c r="AM59" s="112"/>
      <c r="AR59" s="112"/>
      <c r="AV59" s="392"/>
      <c r="AW59" s="112"/>
      <c r="BA59" s="198"/>
      <c r="BB59" s="112"/>
      <c r="BG59" s="112"/>
      <c r="BJ59" s="456"/>
      <c r="BK59" s="456"/>
      <c r="BL59" s="112"/>
      <c r="BM59" s="456"/>
      <c r="BN59" s="456"/>
      <c r="BO59" s="456"/>
      <c r="BP59" s="456"/>
      <c r="BQ59" s="112"/>
      <c r="BR59" s="456"/>
      <c r="BS59" s="456"/>
      <c r="BT59" s="456"/>
      <c r="BU59" s="456"/>
      <c r="BV59" s="112"/>
      <c r="BW59" s="456"/>
      <c r="BX59" s="456"/>
      <c r="BY59" s="456"/>
      <c r="BZ59" s="456"/>
      <c r="CA59" s="112"/>
      <c r="CB59" s="456"/>
      <c r="CC59" s="456"/>
      <c r="CD59" s="456"/>
      <c r="CE59" s="456"/>
      <c r="CF59" s="112"/>
      <c r="CG59" s="456"/>
      <c r="CH59" s="456"/>
      <c r="CI59" s="456"/>
      <c r="CJ59" s="456"/>
      <c r="CK59" s="112"/>
      <c r="CL59" s="198"/>
      <c r="CM59" s="198"/>
      <c r="CN59" s="198"/>
      <c r="CO59" s="198"/>
      <c r="CP59" s="112"/>
      <c r="CQ59" s="198"/>
      <c r="CR59" s="198"/>
      <c r="CS59" s="198"/>
      <c r="CT59" s="198"/>
      <c r="CU59" s="112"/>
      <c r="CV59" s="198"/>
      <c r="CW59" s="198"/>
      <c r="CX59" s="198"/>
      <c r="CY59" s="198"/>
      <c r="CZ59" s="112"/>
      <c r="DA59" s="198"/>
      <c r="DB59" s="198"/>
      <c r="DC59" s="198"/>
      <c r="DD59" s="198"/>
      <c r="DE59" s="112"/>
      <c r="DF59" s="198"/>
      <c r="DG59" s="69"/>
      <c r="DH59" s="69"/>
      <c r="DI59" s="69"/>
      <c r="DJ59" s="112"/>
      <c r="DK59" s="198"/>
      <c r="DL59" s="69"/>
      <c r="DM59" s="69"/>
      <c r="DN59" s="69"/>
      <c r="DO59" s="112"/>
      <c r="DP59" s="198"/>
      <c r="DQ59" s="69"/>
      <c r="DR59" s="69"/>
      <c r="DS59" s="69"/>
      <c r="DT59" s="112"/>
      <c r="DU59" s="70"/>
      <c r="DV59" s="70"/>
    </row>
    <row r="60" spans="1:126" s="113" customFormat="1" hidden="1" outlineLevel="1">
      <c r="A60" s="92"/>
      <c r="B60" s="41"/>
      <c r="C60" s="112"/>
      <c r="D60" s="112"/>
      <c r="E60" s="112"/>
      <c r="F60" s="112"/>
      <c r="G60" s="112"/>
      <c r="H60" s="112"/>
      <c r="I60" s="112"/>
      <c r="N60" s="112"/>
      <c r="S60" s="112"/>
      <c r="X60" s="112"/>
      <c r="AC60" s="112"/>
      <c r="AH60" s="112"/>
      <c r="AM60" s="112"/>
      <c r="AR60" s="112"/>
      <c r="AV60" s="392"/>
      <c r="AW60" s="112"/>
      <c r="BA60" s="198"/>
      <c r="BB60" s="112"/>
      <c r="BG60" s="112"/>
      <c r="BJ60" s="456"/>
      <c r="BK60" s="456"/>
      <c r="BL60" s="112"/>
      <c r="BM60" s="456"/>
      <c r="BN60" s="456"/>
      <c r="BO60" s="456"/>
      <c r="BP60" s="456"/>
      <c r="BQ60" s="112"/>
      <c r="BR60" s="456"/>
      <c r="BS60" s="456"/>
      <c r="BT60" s="456"/>
      <c r="BU60" s="456"/>
      <c r="BV60" s="112"/>
      <c r="BW60" s="456"/>
      <c r="BX60" s="456"/>
      <c r="BY60" s="456"/>
      <c r="BZ60" s="456"/>
      <c r="CA60" s="112"/>
      <c r="CB60" s="456"/>
      <c r="CC60" s="456"/>
      <c r="CD60" s="456"/>
      <c r="CE60" s="456"/>
      <c r="CF60" s="112"/>
      <c r="CG60" s="456"/>
      <c r="CH60" s="456"/>
      <c r="CI60" s="456"/>
      <c r="CJ60" s="456"/>
      <c r="CK60" s="112"/>
      <c r="CL60" s="198"/>
      <c r="CM60" s="198"/>
      <c r="CN60" s="198"/>
      <c r="CO60" s="198"/>
      <c r="CP60" s="112"/>
      <c r="CQ60" s="198"/>
      <c r="CR60" s="198"/>
      <c r="CS60" s="198"/>
      <c r="CT60" s="198"/>
      <c r="CU60" s="112"/>
      <c r="CV60" s="198"/>
      <c r="CW60" s="198"/>
      <c r="CX60" s="198"/>
      <c r="CY60" s="198"/>
      <c r="CZ60" s="112"/>
      <c r="DA60" s="198"/>
      <c r="DB60" s="198"/>
      <c r="DC60" s="198"/>
      <c r="DD60" s="198"/>
      <c r="DE60" s="112"/>
      <c r="DF60" s="198"/>
      <c r="DG60" s="69"/>
      <c r="DH60" s="69"/>
      <c r="DI60" s="69"/>
      <c r="DJ60" s="112"/>
      <c r="DK60" s="198"/>
      <c r="DL60" s="69"/>
      <c r="DM60" s="69"/>
      <c r="DN60" s="69"/>
      <c r="DO60" s="112"/>
      <c r="DP60" s="198"/>
      <c r="DQ60" s="69"/>
      <c r="DR60" s="69"/>
      <c r="DS60" s="69"/>
      <c r="DT60" s="112"/>
      <c r="DU60" s="70"/>
      <c r="DV60" s="70"/>
    </row>
    <row r="61" spans="1:126" s="92" customFormat="1" collapsed="1">
      <c r="B61" s="41" t="s">
        <v>229</v>
      </c>
      <c r="C61" s="112"/>
      <c r="D61" s="112"/>
      <c r="E61" s="112"/>
      <c r="F61" s="112"/>
      <c r="G61" s="112"/>
      <c r="H61" s="112"/>
      <c r="I61" s="112"/>
      <c r="J61" s="113"/>
      <c r="K61" s="113"/>
      <c r="L61" s="113"/>
      <c r="M61" s="113"/>
      <c r="N61" s="112"/>
      <c r="O61" s="113"/>
      <c r="P61" s="113"/>
      <c r="Q61" s="113"/>
      <c r="R61" s="113"/>
      <c r="S61" s="112"/>
      <c r="T61" s="113"/>
      <c r="U61" s="113"/>
      <c r="V61" s="113"/>
      <c r="W61" s="113"/>
      <c r="X61" s="112"/>
      <c r="Y61" s="113"/>
      <c r="Z61" s="113"/>
      <c r="AA61" s="113"/>
      <c r="AB61" s="113"/>
      <c r="AC61" s="112"/>
      <c r="AD61" s="113"/>
      <c r="AE61" s="113"/>
      <c r="AF61" s="113"/>
      <c r="AG61" s="113"/>
      <c r="AH61" s="112"/>
      <c r="AI61" s="113"/>
      <c r="AJ61" s="113"/>
      <c r="AK61" s="113"/>
      <c r="AL61" s="113"/>
      <c r="AM61" s="112"/>
      <c r="AN61" s="113"/>
      <c r="AO61" s="113"/>
      <c r="AP61" s="113"/>
      <c r="AQ61" s="113"/>
      <c r="AR61" s="112"/>
      <c r="AS61" s="113"/>
      <c r="AT61" s="113"/>
      <c r="AU61" s="113"/>
      <c r="AV61" s="113"/>
      <c r="AW61" s="112"/>
      <c r="AX61" s="113"/>
      <c r="AY61" s="113"/>
      <c r="AZ61" s="113"/>
      <c r="BA61" s="446"/>
      <c r="BB61" s="112">
        <f>Data!BB138</f>
        <v>-2402</v>
      </c>
      <c r="BC61" s="113">
        <f>Data!BC138</f>
        <v>-622</v>
      </c>
      <c r="BD61" s="113">
        <f>Data!BD138</f>
        <v>-672</v>
      </c>
      <c r="BE61" s="113">
        <f>Data!BE138</f>
        <v>-650</v>
      </c>
      <c r="BF61" s="113">
        <f>Data!BF138</f>
        <v>-622</v>
      </c>
      <c r="BG61" s="112">
        <f>Data!BG138</f>
        <v>-2566</v>
      </c>
      <c r="BH61" s="113">
        <f>Data!BH138</f>
        <v>-596</v>
      </c>
      <c r="BI61" s="113">
        <f>Data!BI138</f>
        <v>-625</v>
      </c>
      <c r="BJ61" s="456">
        <f>Data!BJ138</f>
        <v>-618</v>
      </c>
      <c r="BK61" s="456">
        <f>Data!BK138</f>
        <v>-636</v>
      </c>
      <c r="BL61" s="112">
        <f>Data!BL138</f>
        <v>-2505</v>
      </c>
      <c r="BM61" s="456">
        <f>Data!BM138</f>
        <v>-514</v>
      </c>
      <c r="BN61" s="456">
        <f>Data!BN138</f>
        <v>-505</v>
      </c>
      <c r="BO61" s="456">
        <f>Data!BO138</f>
        <v>-469</v>
      </c>
      <c r="BP61" s="456">
        <f>Data!BP138</f>
        <v>-434</v>
      </c>
      <c r="BQ61" s="112">
        <f>Data!BQ138</f>
        <v>-1922</v>
      </c>
      <c r="BR61" s="456">
        <f>Data!BR138</f>
        <v>-416</v>
      </c>
      <c r="BS61" s="456">
        <f>Data!BS138</f>
        <v>-420</v>
      </c>
      <c r="BT61" s="456">
        <f>Data!BT138</f>
        <v>-458</v>
      </c>
      <c r="BU61" s="456">
        <f>Data!BU138</f>
        <v>-436</v>
      </c>
      <c r="BV61" s="112">
        <f>Data!BV138</f>
        <v>-1730</v>
      </c>
      <c r="BW61" s="456">
        <f>Data!BW138</f>
        <v>-466</v>
      </c>
      <c r="BX61" s="456">
        <f>Data!BX138</f>
        <v>-518</v>
      </c>
      <c r="BY61" s="456">
        <f>Data!BY138</f>
        <v>-482</v>
      </c>
      <c r="BZ61" s="456">
        <f>Data!BZ138</f>
        <v>-551</v>
      </c>
      <c r="CA61" s="112">
        <f>Data!CA138</f>
        <v>-2017</v>
      </c>
      <c r="CB61" s="456">
        <f>Data!CB138</f>
        <v>-586</v>
      </c>
      <c r="CC61" s="456">
        <f>Data!CC138</f>
        <v>-653</v>
      </c>
      <c r="CD61" s="456">
        <f>Data!CD138</f>
        <v>-592</v>
      </c>
      <c r="CE61" s="456">
        <f>Data!CE138</f>
        <v>-611</v>
      </c>
      <c r="CF61" s="112">
        <f>Data!CF138</f>
        <v>-2442</v>
      </c>
      <c r="CG61" s="456">
        <f>Data!CG138</f>
        <v>-625</v>
      </c>
      <c r="CH61" s="456">
        <f>Data!CH138</f>
        <v>-675</v>
      </c>
      <c r="CI61" s="456">
        <f>Data!CI138</f>
        <v>-671</v>
      </c>
      <c r="CJ61" s="456">
        <f>Data!CJ138</f>
        <v>-661</v>
      </c>
      <c r="CK61" s="112">
        <f>Data!CK138</f>
        <v>-2632</v>
      </c>
      <c r="CL61" s="198">
        <f>Data!CL138</f>
        <v>-367.2627469454211</v>
      </c>
      <c r="CM61" s="198">
        <f>Data!CM138</f>
        <v>-372.72758101818329</v>
      </c>
      <c r="CN61" s="198">
        <f>Data!CN138</f>
        <v>-365.26598064960433</v>
      </c>
      <c r="CO61" s="198">
        <f>Data!CO138</f>
        <v>315.2563086132086</v>
      </c>
      <c r="CP61" s="112">
        <f>SUM(CL61:CO61)</f>
        <v>-790</v>
      </c>
      <c r="CQ61" s="812">
        <f>Data!CQ138</f>
        <v>-315.69407992510077</v>
      </c>
      <c r="CR61" s="812">
        <f>Data!CR138</f>
        <v>-303.68257245521772</v>
      </c>
      <c r="CS61" s="812">
        <f>Data!CS138</f>
        <v>-311.34508584117742</v>
      </c>
      <c r="CT61" s="812">
        <f>Data!CT138</f>
        <v>-594.27826177850397</v>
      </c>
      <c r="CU61" s="112">
        <f>SUM(CQ61:CT61)</f>
        <v>-1525</v>
      </c>
      <c r="CV61" s="812">
        <f>Data!CV138</f>
        <v>-363</v>
      </c>
      <c r="CW61" s="812">
        <f>Data!CW138</f>
        <v>-415</v>
      </c>
      <c r="CX61" s="812">
        <f>Data!CX138</f>
        <v>-455</v>
      </c>
      <c r="CY61" s="812">
        <f>Data!CY138</f>
        <v>-451</v>
      </c>
      <c r="CZ61" s="112">
        <f>SUM(CV61:CY61)</f>
        <v>-1684</v>
      </c>
      <c r="DA61" s="812">
        <f>Data!DA138</f>
        <v>-428</v>
      </c>
      <c r="DB61" s="812">
        <f>Data!DB138</f>
        <v>-470</v>
      </c>
      <c r="DC61" s="812">
        <f>Data!DC138</f>
        <v>-563</v>
      </c>
      <c r="DD61" s="812">
        <f>Data!DD138</f>
        <v>-518</v>
      </c>
      <c r="DE61" s="112">
        <f>SUM(DA61:DD61)</f>
        <v>-1979</v>
      </c>
      <c r="DF61" s="812">
        <f>Data!DF138</f>
        <v>-483</v>
      </c>
      <c r="DG61" s="812">
        <f>Data!DG138</f>
        <v>-591</v>
      </c>
      <c r="DH61" s="812">
        <f>Data!DH138</f>
        <v>-611</v>
      </c>
      <c r="DI61" s="812">
        <f>Data!DI138</f>
        <v>-640</v>
      </c>
      <c r="DJ61" s="112">
        <f>SUM(DF61:DI61)</f>
        <v>-2325</v>
      </c>
      <c r="DK61" s="812">
        <f>Data!DK138</f>
        <v>-617</v>
      </c>
      <c r="DL61" s="812">
        <f>Data!DL138</f>
        <v>-673</v>
      </c>
      <c r="DM61" s="812">
        <f>Data!DM138</f>
        <v>-611</v>
      </c>
      <c r="DN61" s="351">
        <v>-700</v>
      </c>
      <c r="DO61" s="112">
        <f>SUM(DK61:DN61)</f>
        <v>-2601</v>
      </c>
      <c r="DP61" s="351">
        <v>-600</v>
      </c>
      <c r="DQ61" s="351">
        <v>-650</v>
      </c>
      <c r="DR61" s="351">
        <v>-700</v>
      </c>
      <c r="DS61" s="351">
        <v>-750</v>
      </c>
      <c r="DT61" s="112">
        <f>SUM(DP61:DS61)</f>
        <v>-2700</v>
      </c>
      <c r="DU61" s="395">
        <v>-2750</v>
      </c>
      <c r="DV61" s="395">
        <v>-2800</v>
      </c>
    </row>
    <row r="62" spans="1:126" s="54" customFormat="1">
      <c r="B62" s="116" t="s">
        <v>132</v>
      </c>
      <c r="C62" s="117">
        <f>Data!C139</f>
        <v>23357</v>
      </c>
      <c r="D62" s="117">
        <f>Data!D139</f>
        <v>29845</v>
      </c>
      <c r="E62" s="117">
        <f>Data!E139</f>
        <v>30961</v>
      </c>
      <c r="F62" s="117">
        <f>Data!F139</f>
        <v>28895</v>
      </c>
      <c r="G62" s="117">
        <f>Data!G139</f>
        <v>29531</v>
      </c>
      <c r="H62" s="117">
        <f>Data!H139</f>
        <v>27209</v>
      </c>
      <c r="I62" s="117">
        <f>Data!I139</f>
        <v>28710</v>
      </c>
      <c r="J62" s="118">
        <f>Data!J139</f>
        <v>7727</v>
      </c>
      <c r="K62" s="118">
        <f>Data!K139</f>
        <v>8010</v>
      </c>
      <c r="L62" s="118">
        <f>Data!L139</f>
        <v>7997</v>
      </c>
      <c r="M62" s="118">
        <f>Data!M139</f>
        <v>9014</v>
      </c>
      <c r="N62" s="117">
        <f>Data!N139</f>
        <v>32748</v>
      </c>
      <c r="O62" s="118">
        <f>Data!O139</f>
        <v>7955</v>
      </c>
      <c r="P62" s="118">
        <f>Data!P139</f>
        <v>8867</v>
      </c>
      <c r="Q62" s="118">
        <f>Data!Q139</f>
        <v>8763</v>
      </c>
      <c r="R62" s="118">
        <f>Data!R139</f>
        <v>9895</v>
      </c>
      <c r="S62" s="117">
        <f>Data!S139</f>
        <v>35480</v>
      </c>
      <c r="T62" s="118">
        <f>Data!T139</f>
        <v>8891</v>
      </c>
      <c r="U62" s="118">
        <f>Data!U139</f>
        <v>9761</v>
      </c>
      <c r="V62" s="118">
        <f>Data!V139</f>
        <v>9675</v>
      </c>
      <c r="W62" s="118">
        <f>Data!W139</f>
        <v>8045</v>
      </c>
      <c r="X62" s="117">
        <f>Data!X139</f>
        <v>36372</v>
      </c>
      <c r="Y62" s="118">
        <f>Data!Y139</f>
        <v>9096</v>
      </c>
      <c r="Z62" s="118">
        <f>Data!Z139</f>
        <v>9863</v>
      </c>
      <c r="AA62" s="118">
        <f>Data!AA139</f>
        <v>9766</v>
      </c>
      <c r="AB62" s="118">
        <f>Data!AB139</f>
        <v>11220</v>
      </c>
      <c r="AC62" s="117">
        <f>Data!AC139</f>
        <v>39945</v>
      </c>
      <c r="AD62" s="118">
        <f>Data!AD139</f>
        <v>10225</v>
      </c>
      <c r="AE62" s="118">
        <f>Data!AE139</f>
        <v>11009</v>
      </c>
      <c r="AF62" s="118">
        <f>Data!AF139</f>
        <v>10725</v>
      </c>
      <c r="AG62" s="118">
        <f>Data!AG139</f>
        <v>10841</v>
      </c>
      <c r="AH62" s="117">
        <f>Data!AH139</f>
        <v>42800</v>
      </c>
      <c r="AI62" s="118">
        <f>Data!AI139</f>
        <v>10361</v>
      </c>
      <c r="AJ62" s="118">
        <f>Data!AJ139</f>
        <v>10550</v>
      </c>
      <c r="AK62" s="118">
        <f>Data!AK139</f>
        <v>10580</v>
      </c>
      <c r="AL62" s="118">
        <f>Data!AL139</f>
        <v>10967</v>
      </c>
      <c r="AM62" s="117">
        <f>Data!AM139</f>
        <v>42458</v>
      </c>
      <c r="AN62" s="118">
        <f>Data!AN139</f>
        <v>10127</v>
      </c>
      <c r="AO62" s="118">
        <f>Data!AO139</f>
        <v>10537</v>
      </c>
      <c r="AP62" s="118">
        <f>Data!AP139</f>
        <v>10844</v>
      </c>
      <c r="AQ62" s="118">
        <f>Data!AQ139</f>
        <v>11862</v>
      </c>
      <c r="AR62" s="117">
        <f>Data!AR139</f>
        <v>43370</v>
      </c>
      <c r="AS62" s="118">
        <f>Data!AS139</f>
        <v>9988</v>
      </c>
      <c r="AT62" s="118">
        <f>Data!AT139</f>
        <v>10573</v>
      </c>
      <c r="AU62" s="118">
        <f>Data!AU139</f>
        <v>10307</v>
      </c>
      <c r="AV62" s="118">
        <f>Data!AV139</f>
        <v>11087</v>
      </c>
      <c r="AW62" s="117">
        <f>Data!AW139</f>
        <v>41955</v>
      </c>
      <c r="AX62" s="118">
        <f>Data!AX139</f>
        <v>10123</v>
      </c>
      <c r="AY62" s="118">
        <f>Data!AY139</f>
        <v>10553</v>
      </c>
      <c r="AZ62" s="118">
        <f>Data!AZ139</f>
        <v>12107</v>
      </c>
      <c r="BA62" s="118">
        <f>Data!BA139</f>
        <v>13319</v>
      </c>
      <c r="BB62" s="117">
        <f t="shared" ref="BB62:CO62" si="9">BB14+BB26+BB41+BB48+BB61</f>
        <v>46185</v>
      </c>
      <c r="BC62" s="118">
        <f t="shared" si="9"/>
        <v>12378</v>
      </c>
      <c r="BD62" s="118">
        <f t="shared" si="9"/>
        <v>12874</v>
      </c>
      <c r="BE62" s="118">
        <f t="shared" si="9"/>
        <v>12338</v>
      </c>
      <c r="BF62" s="118">
        <f t="shared" si="9"/>
        <v>13196</v>
      </c>
      <c r="BG62" s="117">
        <f t="shared" si="9"/>
        <v>50786</v>
      </c>
      <c r="BH62" s="118">
        <f t="shared" si="9"/>
        <v>12086</v>
      </c>
      <c r="BI62" s="118">
        <f t="shared" si="9"/>
        <v>12714</v>
      </c>
      <c r="BJ62" s="118">
        <f t="shared" si="9"/>
        <v>12345</v>
      </c>
      <c r="BK62" s="118">
        <f t="shared" si="9"/>
        <v>13525</v>
      </c>
      <c r="BL62" s="117">
        <f t="shared" si="9"/>
        <v>50640</v>
      </c>
      <c r="BM62" s="118">
        <f t="shared" si="9"/>
        <v>11965</v>
      </c>
      <c r="BN62" s="118">
        <f t="shared" si="9"/>
        <v>12938</v>
      </c>
      <c r="BO62" s="118">
        <f t="shared" si="9"/>
        <v>12249</v>
      </c>
      <c r="BP62" s="118">
        <f t="shared" si="9"/>
        <v>13412</v>
      </c>
      <c r="BQ62" s="117">
        <f t="shared" si="9"/>
        <v>50564</v>
      </c>
      <c r="BR62" s="118">
        <f t="shared" si="9"/>
        <v>12677</v>
      </c>
      <c r="BS62" s="118">
        <f t="shared" si="9"/>
        <v>13353</v>
      </c>
      <c r="BT62" s="118">
        <f t="shared" si="9"/>
        <v>12954</v>
      </c>
      <c r="BU62" s="118">
        <f t="shared" si="9"/>
        <v>13585</v>
      </c>
      <c r="BV62" s="117">
        <f t="shared" si="9"/>
        <v>52569</v>
      </c>
      <c r="BW62" s="118">
        <f t="shared" si="9"/>
        <v>13119</v>
      </c>
      <c r="BX62" s="118">
        <f t="shared" si="9"/>
        <v>13718</v>
      </c>
      <c r="BY62" s="118">
        <f t="shared" si="9"/>
        <v>13887</v>
      </c>
      <c r="BZ62" s="118">
        <f t="shared" si="9"/>
        <v>14693</v>
      </c>
      <c r="CA62" s="117">
        <f t="shared" si="9"/>
        <v>55417</v>
      </c>
      <c r="CB62" s="118">
        <f t="shared" si="9"/>
        <v>15955.75</v>
      </c>
      <c r="CC62" s="118">
        <f t="shared" si="9"/>
        <v>16810.75</v>
      </c>
      <c r="CD62" s="118">
        <f t="shared" si="9"/>
        <v>17072.75</v>
      </c>
      <c r="CE62" s="118">
        <f t="shared" si="9"/>
        <v>19332.75</v>
      </c>
      <c r="CF62" s="117">
        <f t="shared" si="9"/>
        <v>69172</v>
      </c>
      <c r="CG62" s="118">
        <f t="shared" si="9"/>
        <v>17622</v>
      </c>
      <c r="CH62" s="118">
        <f t="shared" si="9"/>
        <v>18416</v>
      </c>
      <c r="CI62" s="118">
        <f t="shared" si="9"/>
        <v>18752</v>
      </c>
      <c r="CJ62" s="118">
        <f t="shared" si="9"/>
        <v>19447</v>
      </c>
      <c r="CK62" s="117">
        <f t="shared" si="9"/>
        <v>74237</v>
      </c>
      <c r="CL62" s="118">
        <f t="shared" si="9"/>
        <v>17391.712000000003</v>
      </c>
      <c r="CM62" s="118">
        <f t="shared" si="9"/>
        <v>15407.568000000001</v>
      </c>
      <c r="CN62" s="118">
        <f t="shared" si="9"/>
        <v>15575.88</v>
      </c>
      <c r="CO62" s="118">
        <f t="shared" si="9"/>
        <v>20349.839999999997</v>
      </c>
      <c r="CP62" s="117">
        <f>SUM(CP14,CP26,CP50,CP61)</f>
        <v>64600</v>
      </c>
      <c r="CQ62" s="118">
        <f>CQ14+CQ26+CQ41+CQ48+CQ61</f>
        <v>16263.771999999999</v>
      </c>
      <c r="CR62" s="118">
        <f>CR14+CR26+CR41+CR48+CR61</f>
        <v>16776.86</v>
      </c>
      <c r="CS62" s="118">
        <f>CS14+CS26+CS41+CS48+CS61</f>
        <v>17054.028000000002</v>
      </c>
      <c r="CT62" s="118">
        <f>CT14+CT26+CT41+CT48+CT61</f>
        <v>18401.339999999997</v>
      </c>
      <c r="CU62" s="117">
        <f t="shared" ref="CU62:DV62" si="10">SUM(CU14,CU26,CU50,CU61)</f>
        <v>64388</v>
      </c>
      <c r="CV62" s="118">
        <f t="shared" si="10"/>
        <v>15716</v>
      </c>
      <c r="CW62" s="118">
        <f t="shared" si="10"/>
        <v>16314</v>
      </c>
      <c r="CX62" s="118">
        <f t="shared" si="10"/>
        <v>16951</v>
      </c>
      <c r="CY62" s="118">
        <f t="shared" si="10"/>
        <v>18093</v>
      </c>
      <c r="CZ62" s="117">
        <f t="shared" si="10"/>
        <v>67074</v>
      </c>
      <c r="DA62" s="118">
        <f t="shared" si="10"/>
        <v>17214</v>
      </c>
      <c r="DB62" s="118">
        <f t="shared" si="10"/>
        <v>18315</v>
      </c>
      <c r="DC62" s="118">
        <f t="shared" si="10"/>
        <v>13464</v>
      </c>
      <c r="DD62" s="118">
        <f t="shared" si="10"/>
        <v>19927</v>
      </c>
      <c r="DE62" s="117">
        <f t="shared" si="10"/>
        <v>68920</v>
      </c>
      <c r="DF62" s="118">
        <f t="shared" si="10"/>
        <v>19305</v>
      </c>
      <c r="DG62" s="118">
        <f t="shared" si="10"/>
        <v>19791</v>
      </c>
      <c r="DH62" s="118">
        <f t="shared" si="10"/>
        <v>20089</v>
      </c>
      <c r="DI62" s="118">
        <f t="shared" si="10"/>
        <v>21623</v>
      </c>
      <c r="DJ62" s="117">
        <f t="shared" si="10"/>
        <v>80808</v>
      </c>
      <c r="DK62" s="118">
        <f t="shared" si="10"/>
        <v>20306</v>
      </c>
      <c r="DL62" s="118">
        <f t="shared" si="10"/>
        <v>21581</v>
      </c>
      <c r="DM62" s="118">
        <f t="shared" si="10"/>
        <v>22478</v>
      </c>
      <c r="DN62" s="118">
        <f t="shared" si="10"/>
        <v>22600.391</v>
      </c>
      <c r="DO62" s="117">
        <f t="shared" si="10"/>
        <v>86965.391000000003</v>
      </c>
      <c r="DP62" s="118">
        <f t="shared" si="10"/>
        <v>21412.09</v>
      </c>
      <c r="DQ62" s="118">
        <f t="shared" si="10"/>
        <v>22660.136000000002</v>
      </c>
      <c r="DR62" s="118">
        <f t="shared" si="10"/>
        <v>23884.547999999999</v>
      </c>
      <c r="DS62" s="118">
        <f t="shared" si="10"/>
        <v>24230.983132000001</v>
      </c>
      <c r="DT62" s="117">
        <f t="shared" si="10"/>
        <v>92187.757131999999</v>
      </c>
      <c r="DU62" s="117">
        <f t="shared" si="10"/>
        <v>98332.758137616009</v>
      </c>
      <c r="DV62" s="117">
        <f t="shared" si="10"/>
        <v>104225.82930776612</v>
      </c>
    </row>
    <row r="63" spans="1:126" s="92" customFormat="1" hidden="1" outlineLevel="1">
      <c r="C63" s="91"/>
      <c r="D63" s="91"/>
      <c r="E63" s="91"/>
      <c r="F63" s="91"/>
      <c r="G63" s="91"/>
      <c r="H63" s="91"/>
      <c r="I63" s="91"/>
      <c r="N63" s="91"/>
      <c r="S63" s="91"/>
      <c r="X63" s="91"/>
      <c r="AC63" s="91"/>
      <c r="AH63" s="91"/>
      <c r="AM63" s="91"/>
      <c r="AR63" s="91"/>
      <c r="AW63" s="91"/>
      <c r="BB63" s="91"/>
      <c r="BG63" s="91"/>
      <c r="BL63" s="91"/>
      <c r="BQ63" s="91"/>
      <c r="BV63" s="91"/>
      <c r="CA63" s="91"/>
      <c r="CF63" s="91"/>
      <c r="CK63" s="91"/>
      <c r="CP63" s="91"/>
      <c r="CU63" s="91"/>
      <c r="CZ63" s="91"/>
      <c r="DE63" s="91"/>
      <c r="DJ63" s="91"/>
      <c r="DO63" s="91"/>
      <c r="DT63" s="91"/>
      <c r="DU63" s="91"/>
      <c r="DV63" s="91"/>
    </row>
    <row r="64" spans="1:126" s="92" customFormat="1" hidden="1" outlineLevel="1">
      <c r="B64" s="54" t="s">
        <v>74</v>
      </c>
      <c r="C64" s="91"/>
      <c r="D64" s="91"/>
      <c r="E64" s="91"/>
      <c r="F64" s="91"/>
      <c r="G64" s="91"/>
      <c r="H64" s="91"/>
      <c r="I64" s="91"/>
      <c r="N64" s="91"/>
      <c r="S64" s="91"/>
      <c r="X64" s="91"/>
      <c r="AC64" s="91"/>
      <c r="AH64" s="91"/>
      <c r="AM64" s="91"/>
      <c r="AR64" s="91"/>
      <c r="AW64" s="91"/>
      <c r="BB64" s="91"/>
      <c r="BG64" s="91"/>
      <c r="BL64" s="91"/>
      <c r="BQ64" s="91"/>
      <c r="BV64" s="91"/>
      <c r="CA64" s="91"/>
      <c r="CF64" s="91"/>
      <c r="CK64" s="91"/>
      <c r="CP64" s="91"/>
      <c r="CU64" s="91"/>
      <c r="CZ64" s="91"/>
      <c r="DE64" s="91"/>
      <c r="DJ64" s="91"/>
      <c r="DO64" s="91"/>
      <c r="DT64" s="91"/>
      <c r="DU64" s="91"/>
      <c r="DV64" s="91"/>
    </row>
    <row r="65" spans="2:126" s="92" customFormat="1" hidden="1" outlineLevel="1">
      <c r="B65" s="92" t="s">
        <v>194</v>
      </c>
      <c r="C65" s="112">
        <f t="shared" ref="C65:AH65" si="11">SUM(C9:C10)</f>
        <v>0</v>
      </c>
      <c r="D65" s="112">
        <f t="shared" si="11"/>
        <v>0</v>
      </c>
      <c r="E65" s="112">
        <f t="shared" si="11"/>
        <v>0</v>
      </c>
      <c r="F65" s="112">
        <f t="shared" si="11"/>
        <v>0</v>
      </c>
      <c r="G65" s="112">
        <f t="shared" si="11"/>
        <v>0</v>
      </c>
      <c r="H65" s="112">
        <f t="shared" si="11"/>
        <v>0</v>
      </c>
      <c r="I65" s="112">
        <f t="shared" si="11"/>
        <v>0</v>
      </c>
      <c r="J65" s="113">
        <f t="shared" si="11"/>
        <v>0</v>
      </c>
      <c r="K65" s="113">
        <f t="shared" si="11"/>
        <v>0</v>
      </c>
      <c r="L65" s="113">
        <f t="shared" si="11"/>
        <v>0</v>
      </c>
      <c r="M65" s="113">
        <f t="shared" si="11"/>
        <v>0</v>
      </c>
      <c r="N65" s="112">
        <f t="shared" si="11"/>
        <v>0</v>
      </c>
      <c r="O65" s="113">
        <f t="shared" si="11"/>
        <v>0</v>
      </c>
      <c r="P65" s="113">
        <f t="shared" si="11"/>
        <v>0</v>
      </c>
      <c r="Q65" s="113">
        <f t="shared" si="11"/>
        <v>0</v>
      </c>
      <c r="R65" s="113">
        <f t="shared" si="11"/>
        <v>0</v>
      </c>
      <c r="S65" s="112">
        <f t="shared" si="11"/>
        <v>0</v>
      </c>
      <c r="T65" s="113">
        <f t="shared" si="11"/>
        <v>0</v>
      </c>
      <c r="U65" s="113">
        <f t="shared" si="11"/>
        <v>0</v>
      </c>
      <c r="V65" s="113">
        <f t="shared" si="11"/>
        <v>0</v>
      </c>
      <c r="W65" s="113">
        <f t="shared" si="11"/>
        <v>0</v>
      </c>
      <c r="X65" s="112">
        <f t="shared" si="11"/>
        <v>0</v>
      </c>
      <c r="Y65" s="113">
        <f t="shared" si="11"/>
        <v>0</v>
      </c>
      <c r="Z65" s="113">
        <f t="shared" si="11"/>
        <v>0</v>
      </c>
      <c r="AA65" s="113">
        <f t="shared" si="11"/>
        <v>0</v>
      </c>
      <c r="AB65" s="113">
        <f t="shared" si="11"/>
        <v>0</v>
      </c>
      <c r="AC65" s="112">
        <f t="shared" si="11"/>
        <v>0</v>
      </c>
      <c r="AD65" s="113">
        <f t="shared" si="11"/>
        <v>0</v>
      </c>
      <c r="AE65" s="113">
        <f t="shared" si="11"/>
        <v>0</v>
      </c>
      <c r="AF65" s="113">
        <f t="shared" si="11"/>
        <v>0</v>
      </c>
      <c r="AG65" s="113">
        <f t="shared" si="11"/>
        <v>0</v>
      </c>
      <c r="AH65" s="112">
        <f t="shared" si="11"/>
        <v>0</v>
      </c>
      <c r="AI65" s="113">
        <f t="shared" ref="AI65:AY65" si="12">SUM(AI9:AI10)</f>
        <v>0</v>
      </c>
      <c r="AJ65" s="113">
        <f t="shared" si="12"/>
        <v>0</v>
      </c>
      <c r="AK65" s="113">
        <f t="shared" si="12"/>
        <v>0</v>
      </c>
      <c r="AL65" s="113">
        <f t="shared" si="12"/>
        <v>0</v>
      </c>
      <c r="AM65" s="112">
        <f t="shared" si="12"/>
        <v>0</v>
      </c>
      <c r="AN65" s="113">
        <f t="shared" si="12"/>
        <v>0</v>
      </c>
      <c r="AO65" s="113">
        <f t="shared" si="12"/>
        <v>0</v>
      </c>
      <c r="AP65" s="113">
        <f t="shared" si="12"/>
        <v>0</v>
      </c>
      <c r="AQ65" s="113">
        <f t="shared" si="12"/>
        <v>0</v>
      </c>
      <c r="AR65" s="112">
        <f t="shared" si="12"/>
        <v>0</v>
      </c>
      <c r="AS65" s="113">
        <f t="shared" si="12"/>
        <v>0</v>
      </c>
      <c r="AT65" s="113">
        <f t="shared" si="12"/>
        <v>0</v>
      </c>
      <c r="AU65" s="113">
        <f t="shared" si="12"/>
        <v>0</v>
      </c>
      <c r="AV65" s="113">
        <f t="shared" si="12"/>
        <v>0</v>
      </c>
      <c r="AW65" s="112">
        <f t="shared" si="12"/>
        <v>0</v>
      </c>
      <c r="AX65" s="113">
        <f t="shared" si="12"/>
        <v>0</v>
      </c>
      <c r="AY65" s="113">
        <f t="shared" si="12"/>
        <v>0</v>
      </c>
      <c r="AZ65" s="113">
        <f>SUM(AZ$8:AZ10)</f>
        <v>550</v>
      </c>
      <c r="BA65" s="113">
        <f>SUM(BA$8:BA10)</f>
        <v>550</v>
      </c>
      <c r="BB65" s="112">
        <f>SUM(BB$8:BB10)</f>
        <v>1100</v>
      </c>
      <c r="BC65" s="113">
        <f>SUM(BC$8:BC10)</f>
        <v>550</v>
      </c>
      <c r="BD65" s="113">
        <f>SUM(BD$8:BD10)</f>
        <v>375</v>
      </c>
      <c r="BE65" s="113">
        <f>SUM(BE$8:BE10)</f>
        <v>0</v>
      </c>
      <c r="BF65" s="113">
        <f>SUM(BF$8:BF10)</f>
        <v>0</v>
      </c>
      <c r="BG65" s="112">
        <f>SUM(BG$8:BG10)</f>
        <v>925</v>
      </c>
      <c r="BH65" s="113">
        <f>SUM(BH$8:BH10)</f>
        <v>0</v>
      </c>
      <c r="BI65" s="113">
        <f>SUM(BI$8:BI10)</f>
        <v>0</v>
      </c>
      <c r="BJ65" s="113">
        <f>SUM(BJ$8:BJ10)</f>
        <v>0</v>
      </c>
      <c r="BK65" s="113">
        <f>SUM(BK$8:BK10)</f>
        <v>0</v>
      </c>
      <c r="BL65" s="112">
        <f>SUM(BL$8:BL10)</f>
        <v>0</v>
      </c>
      <c r="BM65" s="113">
        <f>SUM(BM$8:BM10)</f>
        <v>0</v>
      </c>
      <c r="BN65" s="113">
        <f>SUM(BN$8:BN10)</f>
        <v>0</v>
      </c>
      <c r="BO65" s="113">
        <f>SUM(BO$8:BO10)</f>
        <v>0</v>
      </c>
      <c r="BP65" s="113">
        <f>SUM(BP$8:BP10)</f>
        <v>0</v>
      </c>
      <c r="BQ65" s="112">
        <f>SUM(BQ$8:BQ10)</f>
        <v>0</v>
      </c>
      <c r="BR65" s="113">
        <f>SUM(BR$8:BR10)</f>
        <v>0</v>
      </c>
      <c r="BS65" s="113">
        <f>SUM(BS$8:BS10)</f>
        <v>0</v>
      </c>
      <c r="BT65" s="113">
        <f>SUM(BT$8:BT10)</f>
        <v>0</v>
      </c>
      <c r="BU65" s="113">
        <f>SUM(BU$8:BU10)</f>
        <v>0</v>
      </c>
      <c r="BV65" s="112">
        <f>SUM(BV$8:BV10)</f>
        <v>0</v>
      </c>
      <c r="BW65" s="113">
        <f>SUM(BW$8:BW10)</f>
        <v>0</v>
      </c>
      <c r="BX65" s="113">
        <f>SUM(BX$8:BX10)</f>
        <v>0</v>
      </c>
      <c r="BY65" s="113">
        <f>SUM(BY$8:BY10)</f>
        <v>0</v>
      </c>
      <c r="BZ65" s="113">
        <f>SUM(BZ$8:BZ10)</f>
        <v>0</v>
      </c>
      <c r="CA65" s="112">
        <f>SUM(CA$8:CA10)</f>
        <v>0</v>
      </c>
      <c r="CB65" s="113">
        <f>SUM(CB$8:CB10)</f>
        <v>0</v>
      </c>
      <c r="CC65" s="113">
        <f>SUM(CC$8:CC10)</f>
        <v>0</v>
      </c>
      <c r="CD65" s="113">
        <f>SUM(CD$8:CD10)</f>
        <v>0</v>
      </c>
      <c r="CE65" s="113">
        <f>SUM(CE$8:CE10)</f>
        <v>0</v>
      </c>
      <c r="CF65" s="112">
        <f>SUM(CF$8:CF10)</f>
        <v>0</v>
      </c>
      <c r="CG65" s="113">
        <f>SUM(CG$8:CG10)</f>
        <v>0</v>
      </c>
      <c r="CH65" s="113">
        <f>SUM(CH$8:CH10)</f>
        <v>0</v>
      </c>
      <c r="CI65" s="113">
        <f>SUM(CI$8:CI10)</f>
        <v>0</v>
      </c>
      <c r="CJ65" s="113">
        <f>SUM(CJ$8:CJ10)</f>
        <v>0</v>
      </c>
      <c r="CK65" s="112">
        <f>SUM(CK$8:CK10)</f>
        <v>0</v>
      </c>
      <c r="CL65" s="113">
        <f>SUM(CL$8:CL10)</f>
        <v>0</v>
      </c>
      <c r="CM65" s="113">
        <f>SUM(CM$8:CM10)</f>
        <v>0</v>
      </c>
      <c r="CN65" s="113">
        <f>SUM(CN$8:CN10)</f>
        <v>0</v>
      </c>
      <c r="CO65" s="113">
        <f>SUM(CO$8:CO10)</f>
        <v>0</v>
      </c>
      <c r="CP65" s="112">
        <f>SUM(CP$8:CP10)</f>
        <v>0</v>
      </c>
      <c r="CQ65" s="113">
        <f>SUM(CQ$8:CQ10)</f>
        <v>0</v>
      </c>
      <c r="CR65" s="113">
        <f>SUM(CR$8:CR10)</f>
        <v>0</v>
      </c>
      <c r="CS65" s="113">
        <f>SUM(CS$8:CS10)</f>
        <v>0</v>
      </c>
      <c r="CT65" s="113">
        <f>SUM(CT$8:CT10)</f>
        <v>0</v>
      </c>
      <c r="CU65" s="112">
        <f>SUM(CU$8:CU10)</f>
        <v>0</v>
      </c>
      <c r="CV65" s="113">
        <f>SUM(CV$8:CV10)</f>
        <v>0</v>
      </c>
      <c r="CW65" s="113">
        <f>SUM(CW$8:CW10)</f>
        <v>0</v>
      </c>
      <c r="CX65" s="113">
        <f>SUM(CX$8:CX10)</f>
        <v>0</v>
      </c>
      <c r="CY65" s="113">
        <f>SUM(CY$8:CY10)</f>
        <v>0</v>
      </c>
      <c r="CZ65" s="112">
        <f>SUM(CZ$8:CZ10)</f>
        <v>0</v>
      </c>
      <c r="DA65" s="113">
        <f>SUM(DA$8:DA10)</f>
        <v>0</v>
      </c>
      <c r="DB65" s="113">
        <f>SUM(DB$8:DB10)</f>
        <v>0</v>
      </c>
      <c r="DC65" s="113">
        <f>SUM(DC$8:DC10)</f>
        <v>0</v>
      </c>
      <c r="DD65" s="113">
        <f>SUM(DD$8:DD10)</f>
        <v>0</v>
      </c>
      <c r="DE65" s="112">
        <f>SUM(DE$8:DE10)</f>
        <v>0</v>
      </c>
      <c r="DF65" s="113">
        <f>SUM(DF$8:DF10)</f>
        <v>0</v>
      </c>
      <c r="DG65" s="113">
        <f>SUM(DG$8:DG10)</f>
        <v>0</v>
      </c>
      <c r="DH65" s="113">
        <f>SUM(DH$8:DH10)</f>
        <v>0</v>
      </c>
      <c r="DI65" s="113">
        <f>SUM(DI$8:DI10)</f>
        <v>0</v>
      </c>
      <c r="DJ65" s="112">
        <f>SUM(DJ$8:DJ10)</f>
        <v>0</v>
      </c>
      <c r="DK65" s="113">
        <f>SUM(DK$8:DK10)</f>
        <v>0</v>
      </c>
      <c r="DL65" s="113">
        <f>SUM(DL$8:DL10)</f>
        <v>0</v>
      </c>
      <c r="DM65" s="113">
        <f>SUM(DM$8:DM10)</f>
        <v>0</v>
      </c>
      <c r="DN65" s="113">
        <f>SUM(DN$8:DN10)</f>
        <v>0</v>
      </c>
      <c r="DO65" s="112">
        <f>SUM(DO$8:DO10)</f>
        <v>0</v>
      </c>
      <c r="DP65" s="113">
        <f>SUM(DP$8:DP10)</f>
        <v>0</v>
      </c>
      <c r="DQ65" s="113">
        <f>SUM(DQ$8:DQ10)</f>
        <v>0</v>
      </c>
      <c r="DR65" s="113">
        <f>SUM(DR$8:DR10)</f>
        <v>0</v>
      </c>
      <c r="DS65" s="113">
        <f>SUM(DS$8:DS10)</f>
        <v>0</v>
      </c>
      <c r="DT65" s="112">
        <f>SUM(DT$8:DT10)</f>
        <v>0</v>
      </c>
      <c r="DU65" s="112">
        <f>SUM(DU$8:DU10)</f>
        <v>0</v>
      </c>
      <c r="DV65" s="112">
        <f>SUM(DV$8:DV10)</f>
        <v>0</v>
      </c>
    </row>
    <row r="66" spans="2:126" s="92" customFormat="1" hidden="1" outlineLevel="1">
      <c r="B66" s="92" t="s">
        <v>472</v>
      </c>
      <c r="C66" s="112">
        <f t="shared" ref="C66:AH66" si="13">SUM(C18:C19)</f>
        <v>0</v>
      </c>
      <c r="D66" s="112">
        <f t="shared" si="13"/>
        <v>0</v>
      </c>
      <c r="E66" s="112">
        <f t="shared" si="13"/>
        <v>0</v>
      </c>
      <c r="F66" s="112">
        <f t="shared" si="13"/>
        <v>0</v>
      </c>
      <c r="G66" s="112">
        <f t="shared" si="13"/>
        <v>0</v>
      </c>
      <c r="H66" s="112">
        <f t="shared" si="13"/>
        <v>0</v>
      </c>
      <c r="I66" s="112">
        <f t="shared" si="13"/>
        <v>0</v>
      </c>
      <c r="J66" s="113">
        <f t="shared" si="13"/>
        <v>0</v>
      </c>
      <c r="K66" s="113">
        <f t="shared" si="13"/>
        <v>0</v>
      </c>
      <c r="L66" s="113">
        <f t="shared" si="13"/>
        <v>0</v>
      </c>
      <c r="M66" s="113">
        <f t="shared" si="13"/>
        <v>0</v>
      </c>
      <c r="N66" s="112">
        <f t="shared" si="13"/>
        <v>0</v>
      </c>
      <c r="O66" s="113">
        <f t="shared" si="13"/>
        <v>0</v>
      </c>
      <c r="P66" s="113">
        <f t="shared" si="13"/>
        <v>0</v>
      </c>
      <c r="Q66" s="113">
        <f t="shared" si="13"/>
        <v>0</v>
      </c>
      <c r="R66" s="113">
        <f t="shared" si="13"/>
        <v>0</v>
      </c>
      <c r="S66" s="112">
        <f t="shared" si="13"/>
        <v>0</v>
      </c>
      <c r="T66" s="113">
        <f t="shared" si="13"/>
        <v>0</v>
      </c>
      <c r="U66" s="113">
        <f t="shared" si="13"/>
        <v>0</v>
      </c>
      <c r="V66" s="113">
        <f t="shared" si="13"/>
        <v>0</v>
      </c>
      <c r="W66" s="113">
        <f t="shared" si="13"/>
        <v>0</v>
      </c>
      <c r="X66" s="112">
        <f t="shared" si="13"/>
        <v>0</v>
      </c>
      <c r="Y66" s="113">
        <f t="shared" si="13"/>
        <v>0</v>
      </c>
      <c r="Z66" s="113">
        <f t="shared" si="13"/>
        <v>0</v>
      </c>
      <c r="AA66" s="113">
        <f t="shared" si="13"/>
        <v>0</v>
      </c>
      <c r="AB66" s="113">
        <f t="shared" si="13"/>
        <v>0</v>
      </c>
      <c r="AC66" s="112">
        <f t="shared" si="13"/>
        <v>0</v>
      </c>
      <c r="AD66" s="113">
        <f t="shared" si="13"/>
        <v>0</v>
      </c>
      <c r="AE66" s="113">
        <f t="shared" si="13"/>
        <v>0</v>
      </c>
      <c r="AF66" s="113">
        <f t="shared" si="13"/>
        <v>0</v>
      </c>
      <c r="AG66" s="113">
        <f t="shared" si="13"/>
        <v>0</v>
      </c>
      <c r="AH66" s="112">
        <f t="shared" si="13"/>
        <v>0</v>
      </c>
      <c r="AI66" s="113">
        <f t="shared" ref="AI66:AY66" si="14">SUM(AI18:AI19)</f>
        <v>0</v>
      </c>
      <c r="AJ66" s="113">
        <f t="shared" si="14"/>
        <v>0</v>
      </c>
      <c r="AK66" s="113">
        <f t="shared" si="14"/>
        <v>0</v>
      </c>
      <c r="AL66" s="113">
        <f t="shared" si="14"/>
        <v>0</v>
      </c>
      <c r="AM66" s="112">
        <f t="shared" si="14"/>
        <v>0</v>
      </c>
      <c r="AN66" s="113">
        <f t="shared" si="14"/>
        <v>0</v>
      </c>
      <c r="AO66" s="113">
        <f t="shared" si="14"/>
        <v>0</v>
      </c>
      <c r="AP66" s="113">
        <f t="shared" si="14"/>
        <v>0</v>
      </c>
      <c r="AQ66" s="113">
        <f t="shared" si="14"/>
        <v>0</v>
      </c>
      <c r="AR66" s="112">
        <f t="shared" si="14"/>
        <v>0</v>
      </c>
      <c r="AS66" s="113">
        <f t="shared" si="14"/>
        <v>0</v>
      </c>
      <c r="AT66" s="113">
        <f t="shared" si="14"/>
        <v>0</v>
      </c>
      <c r="AU66" s="113">
        <f t="shared" si="14"/>
        <v>0</v>
      </c>
      <c r="AV66" s="113">
        <f t="shared" si="14"/>
        <v>0</v>
      </c>
      <c r="AW66" s="112">
        <f t="shared" si="14"/>
        <v>0</v>
      </c>
      <c r="AX66" s="113">
        <f t="shared" si="14"/>
        <v>0</v>
      </c>
      <c r="AY66" s="113">
        <f t="shared" si="14"/>
        <v>0</v>
      </c>
      <c r="AZ66" s="113">
        <f>SUM(AZ$16:AZ19)</f>
        <v>1300</v>
      </c>
      <c r="BA66" s="113">
        <f>SUM(BA$16:BA19)</f>
        <v>1525</v>
      </c>
      <c r="BB66" s="112">
        <f>SUM(BB$16:BB19)</f>
        <v>2825</v>
      </c>
      <c r="BC66" s="113">
        <f>SUM(BC$16:BC19)</f>
        <v>1800</v>
      </c>
      <c r="BD66" s="113">
        <f>SUM(BD$16:BD19)</f>
        <v>1800</v>
      </c>
      <c r="BE66" s="113">
        <f>SUM(BE$16:BE19)</f>
        <v>500</v>
      </c>
      <c r="BF66" s="113">
        <f>SUM(BF$16:BF19)</f>
        <v>500</v>
      </c>
      <c r="BG66" s="112">
        <f>SUM(BG$16:BG19)</f>
        <v>4600</v>
      </c>
      <c r="BH66" s="113">
        <f>SUM(BH$16:BH19)</f>
        <v>0</v>
      </c>
      <c r="BI66" s="113">
        <f>SUM(BI$16:BI19)</f>
        <v>0</v>
      </c>
      <c r="BJ66" s="113">
        <f>SUM(BJ$16:BJ19)</f>
        <v>0</v>
      </c>
      <c r="BK66" s="113">
        <f>SUM(BK$16:BK19)</f>
        <v>0</v>
      </c>
      <c r="BL66" s="112">
        <f>SUM(BL$16:BL19)</f>
        <v>0</v>
      </c>
      <c r="BM66" s="113">
        <f>SUM(BM$16:BM19)</f>
        <v>0</v>
      </c>
      <c r="BN66" s="113">
        <f>SUM(BN$16:BN19)</f>
        <v>0</v>
      </c>
      <c r="BO66" s="113">
        <f>SUM(BO$16:BO19)</f>
        <v>0</v>
      </c>
      <c r="BP66" s="113">
        <f>SUM(BP$16:BP19)</f>
        <v>0</v>
      </c>
      <c r="BQ66" s="112">
        <f>SUM(BQ$16:BQ19)</f>
        <v>0</v>
      </c>
      <c r="BR66" s="113">
        <f>SUM(BR$16:BR19)</f>
        <v>0</v>
      </c>
      <c r="BS66" s="113">
        <f>SUM(BS$16:BS19)</f>
        <v>0</v>
      </c>
      <c r="BT66" s="113">
        <f>SUM(BT$16:BT19)</f>
        <v>0</v>
      </c>
      <c r="BU66" s="113">
        <f>SUM(BU$16:BU19)</f>
        <v>0</v>
      </c>
      <c r="BV66" s="112">
        <f>SUM(BV$16:BV19)</f>
        <v>0</v>
      </c>
      <c r="BW66" s="113">
        <f>SUM(BW$16:BW19)</f>
        <v>0</v>
      </c>
      <c r="BX66" s="113">
        <f>SUM(BX$16:BX19)</f>
        <v>0</v>
      </c>
      <c r="BY66" s="113">
        <f>SUM(BY$16:BY19)</f>
        <v>0</v>
      </c>
      <c r="BZ66" s="113">
        <f>SUM(BZ$16:BZ19)</f>
        <v>0</v>
      </c>
      <c r="CA66" s="112">
        <f>SUM(CA$16:CA19)</f>
        <v>0</v>
      </c>
      <c r="CB66" s="113">
        <f>SUM(CB$16:CB19)</f>
        <v>1896.6</v>
      </c>
      <c r="CC66" s="113">
        <f>SUM(CC$16:CC19)</f>
        <v>1920.96</v>
      </c>
      <c r="CD66" s="113">
        <f>SUM(CD$16:CD19)</f>
        <v>1971.42</v>
      </c>
      <c r="CE66" s="113">
        <f>SUM(CE$16:CE19)</f>
        <v>1838.31</v>
      </c>
      <c r="CF66" s="112">
        <f>SUM(CF$16:CF19)</f>
        <v>7627.2899999999991</v>
      </c>
      <c r="CG66" s="113">
        <f>SUM(CG$16:CG19)</f>
        <v>0</v>
      </c>
      <c r="CH66" s="113">
        <f>SUM(CH$16:CH19)</f>
        <v>0</v>
      </c>
      <c r="CI66" s="113">
        <f>SUM(CI$16:CI19)</f>
        <v>0</v>
      </c>
      <c r="CJ66" s="113">
        <f>SUM(CJ$16:CJ19)</f>
        <v>0</v>
      </c>
      <c r="CK66" s="112">
        <f>SUM(CK$16:CK19)</f>
        <v>0</v>
      </c>
      <c r="CL66" s="113">
        <f>SUM(CL$16:CL19)</f>
        <v>0</v>
      </c>
      <c r="CM66" s="113">
        <f>SUM(CM$16:CM19)</f>
        <v>0</v>
      </c>
      <c r="CN66" s="113">
        <f>SUM(CN$16:CN19)</f>
        <v>0</v>
      </c>
      <c r="CO66" s="113">
        <f>SUM(CO$16:CO19)</f>
        <v>0</v>
      </c>
      <c r="CP66" s="112">
        <f>SUM(CP$16:CP19)</f>
        <v>0</v>
      </c>
      <c r="CQ66" s="113">
        <f>SUM(CQ$16:CQ19)</f>
        <v>0</v>
      </c>
      <c r="CR66" s="113">
        <f>SUM(CR$16:CR19)</f>
        <v>0</v>
      </c>
      <c r="CS66" s="113">
        <f>SUM(CS$16:CS19)</f>
        <v>0</v>
      </c>
      <c r="CT66" s="113">
        <f>SUM(CT$16:CT19)</f>
        <v>0</v>
      </c>
      <c r="CU66" s="112">
        <f>SUM(CU$16:CU19)</f>
        <v>0</v>
      </c>
      <c r="CV66" s="113">
        <f>SUM(CV$16:CV19)</f>
        <v>0</v>
      </c>
      <c r="CW66" s="113">
        <f>SUM(CW$16:CW19)</f>
        <v>0</v>
      </c>
      <c r="CX66" s="113">
        <f>SUM(CX$16:CX19)</f>
        <v>0</v>
      </c>
      <c r="CY66" s="113">
        <f>SUM(CY$16:CY19)</f>
        <v>0</v>
      </c>
      <c r="CZ66" s="112">
        <f>SUM(CZ$16:CZ19)</f>
        <v>0</v>
      </c>
      <c r="DA66" s="113">
        <f>SUM(DA$16:DA19)</f>
        <v>0</v>
      </c>
      <c r="DB66" s="113">
        <f>SUM(DB$16:DB19)</f>
        <v>0</v>
      </c>
      <c r="DC66" s="113">
        <f>SUM(DC$16:DC19)</f>
        <v>0</v>
      </c>
      <c r="DD66" s="113">
        <f>SUM(DD$16:DD19)</f>
        <v>0</v>
      </c>
      <c r="DE66" s="112">
        <f>SUM(DE$16:DE19)</f>
        <v>0</v>
      </c>
      <c r="DF66" s="113">
        <f>SUM(DF$16:DF19)</f>
        <v>0</v>
      </c>
      <c r="DG66" s="113">
        <f>SUM(DG$16:DG19)</f>
        <v>0</v>
      </c>
      <c r="DH66" s="113">
        <f>SUM(DH$16:DH19)</f>
        <v>0</v>
      </c>
      <c r="DI66" s="113">
        <f>SUM(DI$16:DI19)</f>
        <v>0</v>
      </c>
      <c r="DJ66" s="112">
        <f>SUM(DJ$16:DJ19)</f>
        <v>0</v>
      </c>
      <c r="DK66" s="113">
        <f>SUM(DK$16:DK19)</f>
        <v>0</v>
      </c>
      <c r="DL66" s="113">
        <f>SUM(DL$16:DL19)</f>
        <v>0</v>
      </c>
      <c r="DM66" s="113">
        <f>SUM(DM$16:DM19)</f>
        <v>0</v>
      </c>
      <c r="DN66" s="113">
        <f>SUM(DN$16:DN19)</f>
        <v>0</v>
      </c>
      <c r="DO66" s="112">
        <f>SUM(DO$16:DO19)</f>
        <v>0</v>
      </c>
      <c r="DP66" s="113">
        <f>SUM(DP$16:DP19)</f>
        <v>0</v>
      </c>
      <c r="DQ66" s="113">
        <f>SUM(DQ$16:DQ19)</f>
        <v>0</v>
      </c>
      <c r="DR66" s="113">
        <f>SUM(DR$16:DR19)</f>
        <v>0</v>
      </c>
      <c r="DS66" s="113">
        <f>SUM(DS$16:DS19)</f>
        <v>0</v>
      </c>
      <c r="DT66" s="112">
        <f>SUM(DT$16:DT19)</f>
        <v>0</v>
      </c>
      <c r="DU66" s="112">
        <f>SUM(DU$16:DU19)</f>
        <v>0</v>
      </c>
      <c r="DV66" s="112">
        <f>SUM(DV$16:DV19)</f>
        <v>0</v>
      </c>
    </row>
    <row r="67" spans="2:126" s="92" customFormat="1" hidden="1" outlineLevel="2">
      <c r="B67" s="180" t="s">
        <v>570</v>
      </c>
      <c r="C67" s="112"/>
      <c r="D67" s="112"/>
      <c r="E67" s="112"/>
      <c r="F67" s="112"/>
      <c r="G67" s="112"/>
      <c r="H67" s="112"/>
      <c r="I67" s="112"/>
      <c r="J67" s="113"/>
      <c r="K67" s="113"/>
      <c r="L67" s="113"/>
      <c r="M67" s="113"/>
      <c r="N67" s="112"/>
      <c r="O67" s="113"/>
      <c r="P67" s="113"/>
      <c r="Q67" s="113"/>
      <c r="R67" s="113"/>
      <c r="S67" s="112"/>
      <c r="T67" s="113"/>
      <c r="U67" s="113"/>
      <c r="V67" s="113"/>
      <c r="W67" s="113"/>
      <c r="X67" s="112"/>
      <c r="Y67" s="113"/>
      <c r="Z67" s="113"/>
      <c r="AA67" s="113"/>
      <c r="AB67" s="113"/>
      <c r="AC67" s="112"/>
      <c r="AD67" s="113"/>
      <c r="AE67" s="113"/>
      <c r="AF67" s="113"/>
      <c r="AG67" s="113"/>
      <c r="AH67" s="112"/>
      <c r="AI67" s="113"/>
      <c r="AJ67" s="113"/>
      <c r="AK67" s="113"/>
      <c r="AL67" s="113"/>
      <c r="AM67" s="112"/>
      <c r="AN67" s="113"/>
      <c r="AO67" s="113"/>
      <c r="AP67" s="113"/>
      <c r="AQ67" s="113"/>
      <c r="AR67" s="112"/>
      <c r="AS67" s="113"/>
      <c r="AT67" s="113"/>
      <c r="AU67" s="113"/>
      <c r="AV67" s="113"/>
      <c r="AW67" s="112"/>
      <c r="AX67" s="113">
        <f>SUM(AX$28:AX36)</f>
        <v>20</v>
      </c>
      <c r="AY67" s="113">
        <f>SUM(AY$28:AY36)</f>
        <v>0</v>
      </c>
      <c r="AZ67" s="113">
        <f>SUM(AZ$28:AZ36)</f>
        <v>0</v>
      </c>
      <c r="BA67" s="113">
        <f>SUM(BA$28:BA36)</f>
        <v>13.15</v>
      </c>
      <c r="BB67" s="112">
        <f>SUM(BB$28:BB36)</f>
        <v>33.15</v>
      </c>
      <c r="BC67" s="113">
        <f>SUM(BC$28:BC36)</f>
        <v>65.75</v>
      </c>
      <c r="BD67" s="113">
        <f>SUM(BD$28:BD36)</f>
        <v>65.75</v>
      </c>
      <c r="BE67" s="113">
        <f>SUM(BE$28:BE36)</f>
        <v>65.75</v>
      </c>
      <c r="BF67" s="113">
        <f>SUM(BF$28:BF36)</f>
        <v>52.6</v>
      </c>
      <c r="BG67" s="112">
        <f>SUM(BG$28:BG36)</f>
        <v>249.85</v>
      </c>
      <c r="BH67" s="113">
        <f>SUM(BH$28:BH36)</f>
        <v>0</v>
      </c>
      <c r="BI67" s="113">
        <f>SUM(BI$28:BI36)</f>
        <v>0</v>
      </c>
      <c r="BJ67" s="113">
        <f>SUM(BJ$28:BJ36)</f>
        <v>0</v>
      </c>
      <c r="BK67" s="113">
        <f>SUM(BK$28:BK36)</f>
        <v>33.333333333333336</v>
      </c>
      <c r="BL67" s="112">
        <f>SUM(BL$28:BL36)</f>
        <v>33.333333333333336</v>
      </c>
      <c r="BM67" s="113">
        <f>SUM(BM$28:BM36)</f>
        <v>50</v>
      </c>
      <c r="BN67" s="113">
        <f>SUM(BN$28:BN36)</f>
        <v>81.25</v>
      </c>
      <c r="BO67" s="113">
        <f>SUM(BO$28:BO36)</f>
        <v>143.75</v>
      </c>
      <c r="BP67" s="113">
        <f>SUM(BP$28:BP36)</f>
        <v>143.75</v>
      </c>
      <c r="BQ67" s="112">
        <f>SUM(BQ$28:BQ36)</f>
        <v>418.75</v>
      </c>
      <c r="BR67" s="113">
        <f>SUM(BR$28:BR36)</f>
        <v>106.5</v>
      </c>
      <c r="BS67" s="113">
        <f>SUM(BS$28:BS36)</f>
        <v>87.25</v>
      </c>
      <c r="BT67" s="113">
        <f>SUM(BT$28:BT36)</f>
        <v>15</v>
      </c>
      <c r="BU67" s="113">
        <f>SUM(BU$28:BU36)</f>
        <v>15</v>
      </c>
      <c r="BV67" s="112">
        <f>SUM(BV$28:BV36)</f>
        <v>223.75</v>
      </c>
      <c r="BW67" s="113">
        <f>SUM(BW$28:BW36)</f>
        <v>2.5</v>
      </c>
      <c r="BX67" s="113">
        <f>SUM(BX$28:BX36)</f>
        <v>0</v>
      </c>
      <c r="BY67" s="113">
        <f>SUM(BY$28:BY36)</f>
        <v>0</v>
      </c>
      <c r="BZ67" s="113">
        <f>SUM(BZ$28:BZ36)</f>
        <v>0</v>
      </c>
      <c r="CA67" s="112">
        <f>SUM(CA$28:CA36)</f>
        <v>0</v>
      </c>
      <c r="CB67" s="113">
        <f>SUM(CB$28:CB36)</f>
        <v>283.40000000000003</v>
      </c>
      <c r="CC67" s="113">
        <f>SUM(CC$28:CC36)</f>
        <v>287.04000000000002</v>
      </c>
      <c r="CD67" s="113">
        <f>SUM(CD$28:CD36)</f>
        <v>294.58</v>
      </c>
      <c r="CE67" s="113">
        <f>SUM(CE$28:CE36)</f>
        <v>274.69</v>
      </c>
      <c r="CF67" s="112">
        <f>SUM(CF$28:CF36)</f>
        <v>1139.71</v>
      </c>
      <c r="CG67" s="113">
        <f>SUM(CG$28:CG36)</f>
        <v>38</v>
      </c>
      <c r="CH67" s="113">
        <f>SUM(CH$28:CH36)</f>
        <v>60</v>
      </c>
      <c r="CI67" s="113">
        <f>SUM(CI$28:CI36)</f>
        <v>60</v>
      </c>
      <c r="CJ67" s="113">
        <f>SUM(CJ$28:CJ36)</f>
        <v>60</v>
      </c>
      <c r="CK67" s="112">
        <f>SUM(CK$28:CK36)</f>
        <v>218</v>
      </c>
      <c r="CL67" s="113">
        <f>SUM(CL$28:CL36)</f>
        <v>25</v>
      </c>
      <c r="CM67" s="113">
        <f>SUM(CM$28:CM36)</f>
        <v>0</v>
      </c>
      <c r="CN67" s="113">
        <f>SUM(CN$28:CN36)</f>
        <v>0</v>
      </c>
      <c r="CO67" s="113">
        <f>SUM(CO$28:CO36)</f>
        <v>0</v>
      </c>
      <c r="CP67" s="112">
        <f>SUM(CP$28:CP36)</f>
        <v>25</v>
      </c>
      <c r="CQ67" s="113">
        <f>SUM(CQ$28:CQ36)</f>
        <v>0</v>
      </c>
      <c r="CR67" s="113">
        <f>SUM(CR$28:CR36)</f>
        <v>0</v>
      </c>
      <c r="CS67" s="113">
        <f>SUM(CS$28:CS36)</f>
        <v>0</v>
      </c>
      <c r="CT67" s="113">
        <f>SUM(CT$28:CT36)</f>
        <v>0</v>
      </c>
      <c r="CU67" s="112">
        <f>SUM(CU$28:CU36)</f>
        <v>0</v>
      </c>
      <c r="CV67" s="113">
        <f>SUM(CV$28:CV36)</f>
        <v>0</v>
      </c>
      <c r="CW67" s="113">
        <f>SUM(CW$28:CW36)</f>
        <v>0</v>
      </c>
      <c r="CX67" s="113">
        <f>SUM(CX$28:CX36)</f>
        <v>0</v>
      </c>
      <c r="CY67" s="113">
        <f>SUM(CY$28:CY36)</f>
        <v>0</v>
      </c>
      <c r="CZ67" s="112">
        <f>SUM(CZ$28:CZ36)</f>
        <v>0</v>
      </c>
      <c r="DA67" s="113">
        <f>SUM(DA$28:DA36)</f>
        <v>0</v>
      </c>
      <c r="DB67" s="113">
        <f>SUM(DB$28:DB36)</f>
        <v>0</v>
      </c>
      <c r="DC67" s="113">
        <f>SUM(DC$28:DC36)</f>
        <v>0</v>
      </c>
      <c r="DD67" s="113">
        <f>SUM(DD$28:DD36)</f>
        <v>0</v>
      </c>
      <c r="DE67" s="112">
        <f>SUM(DE$28:DE36)</f>
        <v>0</v>
      </c>
      <c r="DF67" s="113">
        <f>SUM(DF$28:DF36)</f>
        <v>0</v>
      </c>
      <c r="DG67" s="113">
        <f>SUM(DG$28:DG36)</f>
        <v>0</v>
      </c>
      <c r="DH67" s="113">
        <f>SUM(DH$28:DH36)</f>
        <v>0</v>
      </c>
      <c r="DI67" s="113">
        <f>SUM(DI$28:DI36)</f>
        <v>0</v>
      </c>
      <c r="DJ67" s="112">
        <f>SUM(DJ$28:DJ36)</f>
        <v>0</v>
      </c>
      <c r="DK67" s="113">
        <f>SUM(DK$28:DK36)</f>
        <v>0</v>
      </c>
      <c r="DL67" s="113">
        <f>SUM(DL$28:DL36)</f>
        <v>0</v>
      </c>
      <c r="DM67" s="113">
        <f>SUM(DM$28:DM36)</f>
        <v>0</v>
      </c>
      <c r="DN67" s="113">
        <f>SUM(DN$28:DN36)</f>
        <v>0</v>
      </c>
      <c r="DO67" s="112">
        <f>SUM(DO$28:DO36)</f>
        <v>0</v>
      </c>
      <c r="DP67" s="113">
        <f>SUM(DP$28:DP36)</f>
        <v>0</v>
      </c>
      <c r="DQ67" s="113">
        <f>SUM(DQ$28:DQ36)</f>
        <v>0</v>
      </c>
      <c r="DR67" s="113">
        <f>SUM(DR$28:DR36)</f>
        <v>0</v>
      </c>
      <c r="DS67" s="113">
        <f>SUM(DS$28:DS36)</f>
        <v>0</v>
      </c>
      <c r="DT67" s="112">
        <f>SUM(DT$28:DT36)</f>
        <v>0</v>
      </c>
      <c r="DU67" s="195">
        <f>SUM(DU$28:DU36)</f>
        <v>0</v>
      </c>
      <c r="DV67" s="195">
        <f>SUM(DV$28:DV36)</f>
        <v>0</v>
      </c>
    </row>
    <row r="68" spans="2:126" s="92" customFormat="1" hidden="1" outlineLevel="2">
      <c r="B68" s="180" t="s">
        <v>569</v>
      </c>
      <c r="C68" s="112"/>
      <c r="D68" s="112"/>
      <c r="E68" s="112"/>
      <c r="F68" s="112"/>
      <c r="G68" s="112"/>
      <c r="H68" s="112"/>
      <c r="I68" s="112"/>
      <c r="J68" s="113"/>
      <c r="K68" s="113"/>
      <c r="L68" s="113"/>
      <c r="M68" s="113"/>
      <c r="N68" s="112"/>
      <c r="O68" s="113"/>
      <c r="P68" s="113"/>
      <c r="Q68" s="113"/>
      <c r="R68" s="113"/>
      <c r="S68" s="112"/>
      <c r="T68" s="113"/>
      <c r="U68" s="113"/>
      <c r="V68" s="113"/>
      <c r="W68" s="113"/>
      <c r="X68" s="112"/>
      <c r="Y68" s="113"/>
      <c r="Z68" s="113"/>
      <c r="AA68" s="113"/>
      <c r="AB68" s="113"/>
      <c r="AC68" s="112"/>
      <c r="AD68" s="113"/>
      <c r="AE68" s="113"/>
      <c r="AF68" s="113"/>
      <c r="AG68" s="113"/>
      <c r="AH68" s="112"/>
      <c r="AI68" s="113"/>
      <c r="AJ68" s="113"/>
      <c r="AK68" s="113"/>
      <c r="AL68" s="113"/>
      <c r="AM68" s="112"/>
      <c r="AN68" s="113"/>
      <c r="AO68" s="113"/>
      <c r="AP68" s="113"/>
      <c r="AQ68" s="113"/>
      <c r="AR68" s="112"/>
      <c r="AS68" s="113"/>
      <c r="AT68" s="113"/>
      <c r="AU68" s="113"/>
      <c r="AV68" s="113"/>
      <c r="AW68" s="112"/>
      <c r="AX68" s="113">
        <f>SUM(AX$43:AX45)</f>
        <v>16.25</v>
      </c>
      <c r="AY68" s="113">
        <f>SUM(AY$43:AY45)</f>
        <v>16.25</v>
      </c>
      <c r="AZ68" s="113">
        <f>SUM(AZ$43:AZ45)</f>
        <v>0</v>
      </c>
      <c r="BA68" s="113">
        <f>SUM(BA$43:BA45)</f>
        <v>0</v>
      </c>
      <c r="BB68" s="112">
        <f>SUM(BB$43:BB45)</f>
        <v>32.5</v>
      </c>
      <c r="BC68" s="113">
        <f>SUM(BC$43:BC45)</f>
        <v>0</v>
      </c>
      <c r="BD68" s="113">
        <f>SUM(BD$43:BD45)</f>
        <v>0</v>
      </c>
      <c r="BE68" s="113">
        <f>SUM(BE$43:BE45)</f>
        <v>0</v>
      </c>
      <c r="BF68" s="113">
        <f>SUM(BF$43:BF45)</f>
        <v>0</v>
      </c>
      <c r="BG68" s="112">
        <f>SUM(BG$43:BG45)</f>
        <v>0</v>
      </c>
      <c r="BH68" s="113">
        <f>SUM(BH$43:BH45)</f>
        <v>0</v>
      </c>
      <c r="BI68" s="113">
        <f>SUM(BI$43:BI45)</f>
        <v>0</v>
      </c>
      <c r="BJ68" s="113">
        <f>SUM(BJ$43:BJ45)</f>
        <v>0</v>
      </c>
      <c r="BK68" s="113">
        <f>SUM(BK$43:BK45)</f>
        <v>0</v>
      </c>
      <c r="BL68" s="112">
        <f>SUM(BL$43:BL45)</f>
        <v>0</v>
      </c>
      <c r="BM68" s="113">
        <f>SUM(BM$43:BM45)</f>
        <v>0</v>
      </c>
      <c r="BN68" s="113">
        <f>SUM(BN$43:BN45)</f>
        <v>0</v>
      </c>
      <c r="BO68" s="113">
        <f>SUM(BO$43:BO45)</f>
        <v>0</v>
      </c>
      <c r="BP68" s="113">
        <f>SUM(BP$43:BP45)</f>
        <v>0</v>
      </c>
      <c r="BQ68" s="112">
        <f>SUM(BQ$43:BQ45)</f>
        <v>0</v>
      </c>
      <c r="BR68" s="113">
        <f>SUM(BR$43:BR45)</f>
        <v>0</v>
      </c>
      <c r="BS68" s="113">
        <f>SUM(BS$43:BS45)</f>
        <v>0</v>
      </c>
      <c r="BT68" s="113">
        <f>SUM(BT$43:BT45)</f>
        <v>0</v>
      </c>
      <c r="BU68" s="113">
        <f>SUM(BU$43:BU45)</f>
        <v>0</v>
      </c>
      <c r="BV68" s="112">
        <f>SUM(BV$43:BV45)</f>
        <v>0</v>
      </c>
      <c r="BW68" s="113">
        <f>SUM(BW$43:BW45)</f>
        <v>0</v>
      </c>
      <c r="BX68" s="113">
        <f>SUM(BX$43:BX45)</f>
        <v>0</v>
      </c>
      <c r="BY68" s="113">
        <f>SUM(BY$43:BY45)</f>
        <v>0</v>
      </c>
      <c r="BZ68" s="113">
        <f>SUM(BZ$43:BZ45)</f>
        <v>0</v>
      </c>
      <c r="CA68" s="112">
        <f>SUM(CA$43:CA45)</f>
        <v>0</v>
      </c>
      <c r="CB68" s="113">
        <f>SUM(CB$43:CB45)</f>
        <v>0</v>
      </c>
      <c r="CC68" s="113">
        <f>SUM(CC$43:CC45)</f>
        <v>0</v>
      </c>
      <c r="CD68" s="113">
        <f>SUM(CD$43:CD45)</f>
        <v>0</v>
      </c>
      <c r="CE68" s="113">
        <f>SUM(CE$43:CE45)</f>
        <v>0</v>
      </c>
      <c r="CF68" s="112">
        <f>SUM(CF$43:CF45)</f>
        <v>0</v>
      </c>
      <c r="CG68" s="113">
        <f>SUM(CG$43:CG45)</f>
        <v>0</v>
      </c>
      <c r="CH68" s="113">
        <f>SUM(CH$43:CH45)</f>
        <v>0</v>
      </c>
      <c r="CI68" s="113">
        <f>SUM(CI$43:CI45)</f>
        <v>0</v>
      </c>
      <c r="CJ68" s="113">
        <f>SUM(CJ$43:CJ45)</f>
        <v>0</v>
      </c>
      <c r="CK68" s="112">
        <f>SUM(CK$43:CK45)</f>
        <v>0</v>
      </c>
      <c r="CL68" s="113">
        <f>SUM(CL$43:CL45)</f>
        <v>0</v>
      </c>
      <c r="CM68" s="113">
        <f>SUM(CM$43:CM45)</f>
        <v>0</v>
      </c>
      <c r="CN68" s="113">
        <f>SUM(CN$43:CN45)</f>
        <v>0</v>
      </c>
      <c r="CO68" s="113">
        <f>SUM(CO$43:CO45)</f>
        <v>0</v>
      </c>
      <c r="CP68" s="112">
        <f>SUM(CP$43:CP45)</f>
        <v>0</v>
      </c>
      <c r="CQ68" s="113">
        <f>SUM(CQ$43:CQ45)</f>
        <v>0</v>
      </c>
      <c r="CR68" s="113">
        <f>SUM(CR$43:CR45)</f>
        <v>0</v>
      </c>
      <c r="CS68" s="113">
        <f>SUM(CS$43:CS45)</f>
        <v>0</v>
      </c>
      <c r="CT68" s="113">
        <f>SUM(CT$43:CT45)</f>
        <v>0</v>
      </c>
      <c r="CU68" s="112">
        <f>SUM(CU$43:CU45)</f>
        <v>0</v>
      </c>
      <c r="CV68" s="113">
        <f>SUM(CV$43:CV45)</f>
        <v>0</v>
      </c>
      <c r="CW68" s="113">
        <f>SUM(CW$43:CW45)</f>
        <v>0</v>
      </c>
      <c r="CX68" s="113">
        <f>SUM(CX$43:CX45)</f>
        <v>0</v>
      </c>
      <c r="CY68" s="113">
        <f>SUM(CY$43:CY45)</f>
        <v>0</v>
      </c>
      <c r="CZ68" s="112">
        <f>SUM(CZ$43:CZ45)</f>
        <v>0</v>
      </c>
      <c r="DA68" s="113">
        <f>SUM(DA$43:DA45)</f>
        <v>0</v>
      </c>
      <c r="DB68" s="113">
        <f>SUM(DB$43:DB45)</f>
        <v>0</v>
      </c>
      <c r="DC68" s="113">
        <f>SUM(DC$43:DC45)</f>
        <v>0</v>
      </c>
      <c r="DD68" s="113">
        <f>SUM(DD$43:DD45)</f>
        <v>0</v>
      </c>
      <c r="DE68" s="112">
        <f>SUM(DE$43:DE45)</f>
        <v>0</v>
      </c>
      <c r="DF68" s="113">
        <f>SUM(DF$43:DF45)</f>
        <v>0</v>
      </c>
      <c r="DG68" s="113">
        <f>SUM(DG$43:DG45)</f>
        <v>0</v>
      </c>
      <c r="DH68" s="113">
        <f>SUM(DH$43:DH45)</f>
        <v>0</v>
      </c>
      <c r="DI68" s="113">
        <f>SUM(DI$43:DI45)</f>
        <v>0</v>
      </c>
      <c r="DJ68" s="112">
        <f>SUM(DJ$43:DJ45)</f>
        <v>0</v>
      </c>
      <c r="DK68" s="113">
        <f>SUM(DK$43:DK45)</f>
        <v>0</v>
      </c>
      <c r="DL68" s="113">
        <f>SUM(DL$43:DL45)</f>
        <v>0</v>
      </c>
      <c r="DM68" s="113">
        <f>SUM(DM$43:DM45)</f>
        <v>0</v>
      </c>
      <c r="DN68" s="113">
        <f>SUM(DN$43:DN45)</f>
        <v>0</v>
      </c>
      <c r="DO68" s="112">
        <f>SUM(DO$43:DO45)</f>
        <v>0</v>
      </c>
      <c r="DP68" s="113">
        <f>SUM(DP$43:DP45)</f>
        <v>0</v>
      </c>
      <c r="DQ68" s="113">
        <f>SUM(DQ$43:DQ45)</f>
        <v>0</v>
      </c>
      <c r="DR68" s="113">
        <f>SUM(DR$43:DR45)</f>
        <v>0</v>
      </c>
      <c r="DS68" s="113">
        <f>SUM(DS$43:DS45)</f>
        <v>0</v>
      </c>
      <c r="DT68" s="112">
        <f>SUM(DT$43:DT45)</f>
        <v>0</v>
      </c>
      <c r="DU68" s="195">
        <f>SUM(DU$43:DU45)</f>
        <v>0</v>
      </c>
      <c r="DV68" s="195">
        <f>SUM(DV$43:DV45)</f>
        <v>0</v>
      </c>
    </row>
    <row r="69" spans="2:126" s="92" customFormat="1" hidden="1" outlineLevel="1">
      <c r="B69" s="41" t="s">
        <v>629</v>
      </c>
      <c r="C69" s="112"/>
      <c r="D69" s="112"/>
      <c r="E69" s="112"/>
      <c r="F69" s="112"/>
      <c r="G69" s="112"/>
      <c r="H69" s="112"/>
      <c r="I69" s="112"/>
      <c r="J69" s="113"/>
      <c r="K69" s="113"/>
      <c r="L69" s="113"/>
      <c r="M69" s="113"/>
      <c r="N69" s="112"/>
      <c r="O69" s="113"/>
      <c r="P69" s="113"/>
      <c r="Q69" s="113"/>
      <c r="R69" s="113"/>
      <c r="S69" s="112"/>
      <c r="T69" s="113"/>
      <c r="U69" s="113"/>
      <c r="V69" s="113"/>
      <c r="W69" s="113"/>
      <c r="X69" s="112"/>
      <c r="Y69" s="113"/>
      <c r="Z69" s="113"/>
      <c r="AA69" s="113"/>
      <c r="AB69" s="113"/>
      <c r="AC69" s="112"/>
      <c r="AD69" s="113"/>
      <c r="AE69" s="113"/>
      <c r="AF69" s="113"/>
      <c r="AG69" s="113"/>
      <c r="AH69" s="112"/>
      <c r="AI69" s="113"/>
      <c r="AJ69" s="113"/>
      <c r="AK69" s="113"/>
      <c r="AL69" s="113"/>
      <c r="AM69" s="112"/>
      <c r="AN69" s="113"/>
      <c r="AO69" s="113"/>
      <c r="AP69" s="113"/>
      <c r="AQ69" s="113"/>
      <c r="AR69" s="112"/>
      <c r="AS69" s="113"/>
      <c r="AT69" s="113"/>
      <c r="AU69" s="113"/>
      <c r="AV69" s="113"/>
      <c r="AW69" s="112"/>
      <c r="AX69" s="113"/>
      <c r="AY69" s="113"/>
      <c r="AZ69" s="113"/>
      <c r="BA69" s="113"/>
      <c r="BB69" s="112"/>
      <c r="BC69" s="113"/>
      <c r="BD69" s="113"/>
      <c r="BE69" s="113"/>
      <c r="BF69" s="113"/>
      <c r="BG69" s="112"/>
      <c r="BH69" s="113"/>
      <c r="BI69" s="113"/>
      <c r="BJ69" s="113"/>
      <c r="BK69" s="113"/>
      <c r="BL69" s="112"/>
      <c r="BM69" s="113"/>
      <c r="BN69" s="113"/>
      <c r="BO69" s="113"/>
      <c r="BP69" s="113"/>
      <c r="BQ69" s="112"/>
      <c r="BR69" s="113"/>
      <c r="BS69" s="113"/>
      <c r="BT69" s="113"/>
      <c r="BU69" s="113"/>
      <c r="BV69" s="112"/>
      <c r="BW69" s="113"/>
      <c r="BX69" s="113"/>
      <c r="BY69" s="113"/>
      <c r="BZ69" s="113"/>
      <c r="CA69" s="112"/>
      <c r="CB69" s="113"/>
      <c r="CC69" s="113"/>
      <c r="CD69" s="113"/>
      <c r="CE69" s="113"/>
      <c r="CF69" s="112"/>
      <c r="CG69" s="113"/>
      <c r="CH69" s="113"/>
      <c r="CI69" s="113"/>
      <c r="CJ69" s="113"/>
      <c r="CK69" s="112"/>
      <c r="CL69" s="113"/>
      <c r="CM69" s="113"/>
      <c r="CN69" s="113"/>
      <c r="CO69" s="113"/>
      <c r="CP69" s="112"/>
      <c r="CQ69" s="113"/>
      <c r="CR69" s="113"/>
      <c r="CS69" s="113"/>
      <c r="CT69" s="113"/>
      <c r="CU69" s="112"/>
      <c r="CV69" s="113"/>
      <c r="CW69" s="113"/>
      <c r="CX69" s="113"/>
      <c r="CY69" s="113"/>
      <c r="CZ69" s="112"/>
      <c r="DA69" s="113"/>
      <c r="DB69" s="113"/>
      <c r="DC69" s="113"/>
      <c r="DD69" s="113"/>
      <c r="DE69" s="112"/>
      <c r="DF69" s="113">
        <f>+SUM(DF52:DF54)</f>
        <v>0</v>
      </c>
      <c r="DG69" s="113">
        <f t="shared" ref="DG69:DU69" si="15">+SUM(DG52:DG54)</f>
        <v>0</v>
      </c>
      <c r="DH69" s="113">
        <f t="shared" si="15"/>
        <v>0</v>
      </c>
      <c r="DI69" s="113">
        <f t="shared" si="15"/>
        <v>0</v>
      </c>
      <c r="DJ69" s="112">
        <f t="shared" si="15"/>
        <v>0</v>
      </c>
      <c r="DK69" s="113">
        <f>+SUM(DK52:DK54)</f>
        <v>0</v>
      </c>
      <c r="DL69" s="113">
        <f t="shared" ref="DL69:DO69" si="16">+SUM(DL52:DL54)</f>
        <v>0</v>
      </c>
      <c r="DM69" s="113">
        <f t="shared" si="16"/>
        <v>0</v>
      </c>
      <c r="DN69" s="113">
        <f t="shared" si="16"/>
        <v>0</v>
      </c>
      <c r="DO69" s="112">
        <f t="shared" si="16"/>
        <v>0</v>
      </c>
      <c r="DP69" s="113">
        <f>+SUM(DP52:DP54)</f>
        <v>0</v>
      </c>
      <c r="DQ69" s="113">
        <f t="shared" ref="DQ69:DT69" si="17">+SUM(DQ52:DQ54)</f>
        <v>0</v>
      </c>
      <c r="DR69" s="113">
        <f t="shared" si="17"/>
        <v>0</v>
      </c>
      <c r="DS69" s="113">
        <f t="shared" si="17"/>
        <v>0</v>
      </c>
      <c r="DT69" s="112">
        <f t="shared" si="17"/>
        <v>0</v>
      </c>
      <c r="DU69" s="112">
        <f t="shared" si="15"/>
        <v>0</v>
      </c>
      <c r="DV69" s="112">
        <f t="shared" ref="DV69" si="18">+SUM(DV52:DV54)</f>
        <v>0</v>
      </c>
    </row>
    <row r="70" spans="2:126" s="92" customFormat="1" hidden="1" outlineLevel="1">
      <c r="B70" s="44" t="s">
        <v>235</v>
      </c>
      <c r="C70" s="117">
        <f t="shared" ref="C70:AQ70" si="19">SUM(C65:C66)</f>
        <v>0</v>
      </c>
      <c r="D70" s="117">
        <f t="shared" si="19"/>
        <v>0</v>
      </c>
      <c r="E70" s="117">
        <f t="shared" si="19"/>
        <v>0</v>
      </c>
      <c r="F70" s="117">
        <f t="shared" si="19"/>
        <v>0</v>
      </c>
      <c r="G70" s="117">
        <f t="shared" si="19"/>
        <v>0</v>
      </c>
      <c r="H70" s="117">
        <f t="shared" si="19"/>
        <v>0</v>
      </c>
      <c r="I70" s="117">
        <f t="shared" si="19"/>
        <v>0</v>
      </c>
      <c r="J70" s="118">
        <f t="shared" si="19"/>
        <v>0</v>
      </c>
      <c r="K70" s="118">
        <f t="shared" si="19"/>
        <v>0</v>
      </c>
      <c r="L70" s="118">
        <f t="shared" si="19"/>
        <v>0</v>
      </c>
      <c r="M70" s="118">
        <f t="shared" si="19"/>
        <v>0</v>
      </c>
      <c r="N70" s="117">
        <f t="shared" si="19"/>
        <v>0</v>
      </c>
      <c r="O70" s="118">
        <f t="shared" si="19"/>
        <v>0</v>
      </c>
      <c r="P70" s="118">
        <f t="shared" si="19"/>
        <v>0</v>
      </c>
      <c r="Q70" s="118">
        <f t="shared" si="19"/>
        <v>0</v>
      </c>
      <c r="R70" s="118">
        <f t="shared" si="19"/>
        <v>0</v>
      </c>
      <c r="S70" s="117">
        <f t="shared" si="19"/>
        <v>0</v>
      </c>
      <c r="T70" s="118">
        <f t="shared" si="19"/>
        <v>0</v>
      </c>
      <c r="U70" s="118">
        <f t="shared" si="19"/>
        <v>0</v>
      </c>
      <c r="V70" s="118">
        <f t="shared" si="19"/>
        <v>0</v>
      </c>
      <c r="W70" s="118">
        <f t="shared" si="19"/>
        <v>0</v>
      </c>
      <c r="X70" s="117">
        <f t="shared" si="19"/>
        <v>0</v>
      </c>
      <c r="Y70" s="118">
        <f t="shared" si="19"/>
        <v>0</v>
      </c>
      <c r="Z70" s="118">
        <f t="shared" si="19"/>
        <v>0</v>
      </c>
      <c r="AA70" s="118">
        <f t="shared" si="19"/>
        <v>0</v>
      </c>
      <c r="AB70" s="118">
        <f t="shared" si="19"/>
        <v>0</v>
      </c>
      <c r="AC70" s="117">
        <f t="shared" si="19"/>
        <v>0</v>
      </c>
      <c r="AD70" s="118">
        <f t="shared" si="19"/>
        <v>0</v>
      </c>
      <c r="AE70" s="118">
        <f t="shared" si="19"/>
        <v>0</v>
      </c>
      <c r="AF70" s="118">
        <f t="shared" si="19"/>
        <v>0</v>
      </c>
      <c r="AG70" s="118">
        <f t="shared" si="19"/>
        <v>0</v>
      </c>
      <c r="AH70" s="117">
        <f t="shared" si="19"/>
        <v>0</v>
      </c>
      <c r="AI70" s="118">
        <f t="shared" si="19"/>
        <v>0</v>
      </c>
      <c r="AJ70" s="118">
        <f t="shared" si="19"/>
        <v>0</v>
      </c>
      <c r="AK70" s="118">
        <f t="shared" si="19"/>
        <v>0</v>
      </c>
      <c r="AL70" s="118">
        <f t="shared" si="19"/>
        <v>0</v>
      </c>
      <c r="AM70" s="117">
        <f t="shared" si="19"/>
        <v>0</v>
      </c>
      <c r="AN70" s="118">
        <f t="shared" si="19"/>
        <v>0</v>
      </c>
      <c r="AO70" s="118">
        <f t="shared" si="19"/>
        <v>0</v>
      </c>
      <c r="AP70" s="118">
        <f t="shared" si="19"/>
        <v>0</v>
      </c>
      <c r="AQ70" s="118">
        <f t="shared" si="19"/>
        <v>0</v>
      </c>
      <c r="AR70" s="117">
        <v>0</v>
      </c>
      <c r="AS70" s="118">
        <f>SUM(AS65:AS66)</f>
        <v>0</v>
      </c>
      <c r="AT70" s="118">
        <f>SUM(AT65:AT66)</f>
        <v>0</v>
      </c>
      <c r="AU70" s="118">
        <f>SUM(AU65:AU66)</f>
        <v>0</v>
      </c>
      <c r="AV70" s="118">
        <f>SUM(AV65:AV66)</f>
        <v>0</v>
      </c>
      <c r="AW70" s="117">
        <f>SUM(AW65:AW66)</f>
        <v>0</v>
      </c>
      <c r="AX70" s="118">
        <f t="shared" ref="AX70:BA70" si="20">SUM(AX65:AX68)</f>
        <v>36.25</v>
      </c>
      <c r="AY70" s="118">
        <f t="shared" si="20"/>
        <v>16.25</v>
      </c>
      <c r="AZ70" s="118">
        <f t="shared" si="20"/>
        <v>1850</v>
      </c>
      <c r="BA70" s="118">
        <f t="shared" si="20"/>
        <v>2088.15</v>
      </c>
      <c r="BB70" s="117">
        <f>SUM(BB65:BB68)</f>
        <v>3990.65</v>
      </c>
      <c r="BC70" s="118">
        <f t="shared" ref="BC70:CP70" si="21">SUM(BC65:BC68)</f>
        <v>2415.75</v>
      </c>
      <c r="BD70" s="118">
        <f t="shared" si="21"/>
        <v>2240.75</v>
      </c>
      <c r="BE70" s="118">
        <f t="shared" si="21"/>
        <v>565.75</v>
      </c>
      <c r="BF70" s="118">
        <f t="shared" si="21"/>
        <v>552.6</v>
      </c>
      <c r="BG70" s="117">
        <f t="shared" si="21"/>
        <v>5774.85</v>
      </c>
      <c r="BH70" s="118">
        <f t="shared" si="21"/>
        <v>0</v>
      </c>
      <c r="BI70" s="118">
        <f t="shared" si="21"/>
        <v>0</v>
      </c>
      <c r="BJ70" s="118">
        <f t="shared" si="21"/>
        <v>0</v>
      </c>
      <c r="BK70" s="118">
        <f t="shared" si="21"/>
        <v>33.333333333333336</v>
      </c>
      <c r="BL70" s="117">
        <f t="shared" si="21"/>
        <v>33.333333333333336</v>
      </c>
      <c r="BM70" s="118">
        <f t="shared" si="21"/>
        <v>50</v>
      </c>
      <c r="BN70" s="118">
        <f t="shared" si="21"/>
        <v>81.25</v>
      </c>
      <c r="BO70" s="118">
        <f t="shared" si="21"/>
        <v>143.75</v>
      </c>
      <c r="BP70" s="118">
        <f t="shared" si="21"/>
        <v>143.75</v>
      </c>
      <c r="BQ70" s="117">
        <f t="shared" si="21"/>
        <v>418.75</v>
      </c>
      <c r="BR70" s="118">
        <f t="shared" si="21"/>
        <v>106.5</v>
      </c>
      <c r="BS70" s="118">
        <f t="shared" si="21"/>
        <v>87.25</v>
      </c>
      <c r="BT70" s="118">
        <f t="shared" si="21"/>
        <v>15</v>
      </c>
      <c r="BU70" s="118">
        <f t="shared" si="21"/>
        <v>15</v>
      </c>
      <c r="BV70" s="117">
        <f t="shared" si="21"/>
        <v>223.75</v>
      </c>
      <c r="BW70" s="118">
        <f t="shared" si="21"/>
        <v>2.5</v>
      </c>
      <c r="BX70" s="118">
        <f t="shared" si="21"/>
        <v>0</v>
      </c>
      <c r="BY70" s="118">
        <f t="shared" si="21"/>
        <v>0</v>
      </c>
      <c r="BZ70" s="118">
        <f t="shared" si="21"/>
        <v>0</v>
      </c>
      <c r="CA70" s="117">
        <f t="shared" si="21"/>
        <v>0</v>
      </c>
      <c r="CB70" s="118">
        <f t="shared" si="21"/>
        <v>2180</v>
      </c>
      <c r="CC70" s="118">
        <f t="shared" si="21"/>
        <v>2208</v>
      </c>
      <c r="CD70" s="118">
        <f t="shared" si="21"/>
        <v>2266</v>
      </c>
      <c r="CE70" s="118">
        <f t="shared" si="21"/>
        <v>2113</v>
      </c>
      <c r="CF70" s="117">
        <f t="shared" si="21"/>
        <v>8767</v>
      </c>
      <c r="CG70" s="118">
        <f t="shared" si="21"/>
        <v>38</v>
      </c>
      <c r="CH70" s="118">
        <f t="shared" si="21"/>
        <v>60</v>
      </c>
      <c r="CI70" s="118">
        <f t="shared" si="21"/>
        <v>60</v>
      </c>
      <c r="CJ70" s="118">
        <f t="shared" si="21"/>
        <v>60</v>
      </c>
      <c r="CK70" s="117">
        <f t="shared" si="21"/>
        <v>218</v>
      </c>
      <c r="CL70" s="118">
        <f t="shared" si="21"/>
        <v>25</v>
      </c>
      <c r="CM70" s="118">
        <f t="shared" si="21"/>
        <v>0</v>
      </c>
      <c r="CN70" s="118">
        <f t="shared" si="21"/>
        <v>0</v>
      </c>
      <c r="CO70" s="118">
        <f t="shared" si="21"/>
        <v>0</v>
      </c>
      <c r="CP70" s="117">
        <f t="shared" si="21"/>
        <v>25</v>
      </c>
      <c r="CQ70" s="118">
        <f t="shared" ref="CQ70:CV70" si="22">SUM(CQ65:CQ68)</f>
        <v>0</v>
      </c>
      <c r="CR70" s="118">
        <f t="shared" si="22"/>
        <v>0</v>
      </c>
      <c r="CS70" s="118">
        <f t="shared" si="22"/>
        <v>0</v>
      </c>
      <c r="CT70" s="118">
        <f t="shared" si="22"/>
        <v>0</v>
      </c>
      <c r="CU70" s="117">
        <f t="shared" si="22"/>
        <v>0</v>
      </c>
      <c r="CV70" s="118">
        <f t="shared" si="22"/>
        <v>0</v>
      </c>
      <c r="CW70" s="118">
        <f t="shared" ref="CW70:CZ70" si="23">SUM(CW65:CW68)</f>
        <v>0</v>
      </c>
      <c r="CX70" s="118">
        <f t="shared" si="23"/>
        <v>0</v>
      </c>
      <c r="CY70" s="118">
        <f t="shared" si="23"/>
        <v>0</v>
      </c>
      <c r="CZ70" s="117">
        <f t="shared" si="23"/>
        <v>0</v>
      </c>
      <c r="DA70" s="118">
        <f t="shared" ref="DA70:DE70" si="24">SUM(DA65:DA68)</f>
        <v>0</v>
      </c>
      <c r="DB70" s="118">
        <f t="shared" si="24"/>
        <v>0</v>
      </c>
      <c r="DC70" s="118">
        <f t="shared" si="24"/>
        <v>0</v>
      </c>
      <c r="DD70" s="118">
        <f t="shared" si="24"/>
        <v>0</v>
      </c>
      <c r="DE70" s="117">
        <f t="shared" si="24"/>
        <v>0</v>
      </c>
      <c r="DF70" s="118">
        <f>SUM(DF65:DF69)</f>
        <v>0</v>
      </c>
      <c r="DG70" s="118">
        <f t="shared" ref="DG70:DU70" si="25">SUM(DG65:DG69)</f>
        <v>0</v>
      </c>
      <c r="DH70" s="118">
        <f t="shared" si="25"/>
        <v>0</v>
      </c>
      <c r="DI70" s="118">
        <f t="shared" si="25"/>
        <v>0</v>
      </c>
      <c r="DJ70" s="117">
        <f t="shared" si="25"/>
        <v>0</v>
      </c>
      <c r="DK70" s="118">
        <f>SUM(DK65:DK69)</f>
        <v>0</v>
      </c>
      <c r="DL70" s="118">
        <f t="shared" ref="DL70" si="26">SUM(DL65:DL69)</f>
        <v>0</v>
      </c>
      <c r="DM70" s="118">
        <f t="shared" ref="DM70" si="27">SUM(DM65:DM69)</f>
        <v>0</v>
      </c>
      <c r="DN70" s="118">
        <f t="shared" ref="DN70" si="28">SUM(DN65:DN69)</f>
        <v>0</v>
      </c>
      <c r="DO70" s="117">
        <f t="shared" ref="DO70" si="29">SUM(DO65:DO69)</f>
        <v>0</v>
      </c>
      <c r="DP70" s="118">
        <f>SUM(DP65:DP69)</f>
        <v>0</v>
      </c>
      <c r="DQ70" s="118">
        <f t="shared" ref="DQ70:DT70" si="30">SUM(DQ65:DQ69)</f>
        <v>0</v>
      </c>
      <c r="DR70" s="118">
        <f t="shared" si="30"/>
        <v>0</v>
      </c>
      <c r="DS70" s="118">
        <f t="shared" si="30"/>
        <v>0</v>
      </c>
      <c r="DT70" s="117">
        <f t="shared" si="30"/>
        <v>0</v>
      </c>
      <c r="DU70" s="117">
        <f t="shared" si="25"/>
        <v>0</v>
      </c>
      <c r="DV70" s="117">
        <f t="shared" ref="DV70" si="31">SUM(DV65:DV69)</f>
        <v>0</v>
      </c>
    </row>
    <row r="71" spans="2:126" s="92" customFormat="1" hidden="1" outlineLevel="1">
      <c r="C71" s="112"/>
      <c r="D71" s="112"/>
      <c r="E71" s="112"/>
      <c r="F71" s="112"/>
      <c r="G71" s="112"/>
      <c r="H71" s="112"/>
      <c r="I71" s="112"/>
      <c r="J71" s="113"/>
      <c r="K71" s="113"/>
      <c r="L71" s="113"/>
      <c r="M71" s="113"/>
      <c r="N71" s="112"/>
      <c r="O71" s="113"/>
      <c r="P71" s="113"/>
      <c r="Q71" s="113"/>
      <c r="R71" s="113"/>
      <c r="S71" s="112"/>
      <c r="T71" s="113"/>
      <c r="U71" s="113"/>
      <c r="V71" s="113"/>
      <c r="W71" s="113"/>
      <c r="X71" s="112"/>
      <c r="Y71" s="113"/>
      <c r="Z71" s="113"/>
      <c r="AA71" s="113"/>
      <c r="AB71" s="113"/>
      <c r="AC71" s="112"/>
      <c r="AD71" s="113"/>
      <c r="AE71" s="113"/>
      <c r="AF71" s="113"/>
      <c r="AG71" s="113"/>
      <c r="AH71" s="112"/>
      <c r="AI71" s="113"/>
      <c r="AJ71" s="113"/>
      <c r="AK71" s="113"/>
      <c r="AL71" s="113"/>
      <c r="AM71" s="112"/>
      <c r="AN71" s="113"/>
      <c r="AO71" s="113"/>
      <c r="AP71" s="113"/>
      <c r="AQ71" s="113"/>
      <c r="AR71" s="112"/>
      <c r="AS71" s="113"/>
      <c r="AT71" s="113"/>
      <c r="AU71" s="113"/>
      <c r="AV71" s="113"/>
      <c r="AW71" s="112"/>
      <c r="AX71" s="113"/>
      <c r="AY71" s="113"/>
      <c r="AZ71" s="113"/>
      <c r="BA71" s="113"/>
      <c r="BB71" s="112"/>
      <c r="BC71" s="113"/>
      <c r="BD71" s="113"/>
      <c r="BE71" s="113"/>
      <c r="BF71" s="113"/>
      <c r="BG71" s="112"/>
      <c r="BH71" s="113"/>
      <c r="BI71" s="113"/>
      <c r="BJ71" s="113"/>
      <c r="BK71" s="113"/>
      <c r="BL71" s="112"/>
      <c r="BM71" s="113"/>
      <c r="BN71" s="113"/>
      <c r="BO71" s="113"/>
      <c r="BP71" s="113"/>
      <c r="BQ71" s="112"/>
      <c r="BR71" s="113"/>
      <c r="BS71" s="113"/>
      <c r="BT71" s="113"/>
      <c r="BU71" s="113"/>
      <c r="BV71" s="112"/>
      <c r="BW71" s="113"/>
      <c r="BX71" s="113"/>
      <c r="BY71" s="113"/>
      <c r="BZ71" s="113"/>
      <c r="CA71" s="112"/>
      <c r="CB71" s="113"/>
      <c r="CC71" s="113"/>
      <c r="CD71" s="113"/>
      <c r="CE71" s="113"/>
      <c r="CF71" s="112"/>
      <c r="CG71" s="113"/>
      <c r="CH71" s="113"/>
      <c r="CI71" s="113"/>
      <c r="CJ71" s="113"/>
      <c r="CK71" s="112"/>
      <c r="CL71" s="113"/>
      <c r="CM71" s="113"/>
      <c r="CN71" s="113"/>
      <c r="CO71" s="113"/>
      <c r="CP71" s="112"/>
      <c r="CQ71" s="113"/>
      <c r="CR71" s="113"/>
      <c r="CS71" s="113"/>
      <c r="CT71" s="113"/>
      <c r="CU71" s="112"/>
      <c r="CV71" s="113"/>
      <c r="CW71" s="113"/>
      <c r="CX71" s="113"/>
      <c r="CY71" s="113"/>
      <c r="CZ71" s="112"/>
      <c r="DA71" s="113"/>
      <c r="DB71" s="113"/>
      <c r="DC71" s="113"/>
      <c r="DD71" s="113"/>
      <c r="DE71" s="112"/>
      <c r="DF71" s="113"/>
      <c r="DG71" s="113"/>
      <c r="DH71" s="113"/>
      <c r="DI71" s="113"/>
      <c r="DJ71" s="112"/>
      <c r="DK71" s="113"/>
      <c r="DL71" s="113"/>
      <c r="DM71" s="113"/>
      <c r="DN71" s="113"/>
      <c r="DO71" s="112"/>
      <c r="DP71" s="113"/>
      <c r="DQ71" s="113"/>
      <c r="DR71" s="113"/>
      <c r="DS71" s="113"/>
      <c r="DT71" s="112"/>
      <c r="DU71" s="112"/>
      <c r="DV71" s="112"/>
    </row>
    <row r="72" spans="2:126" s="92" customFormat="1" hidden="1" outlineLevel="1">
      <c r="B72" s="54" t="s">
        <v>75</v>
      </c>
      <c r="C72" s="112"/>
      <c r="D72" s="112"/>
      <c r="E72" s="112"/>
      <c r="F72" s="112"/>
      <c r="G72" s="112"/>
      <c r="H72" s="112"/>
      <c r="I72" s="112"/>
      <c r="J72" s="113"/>
      <c r="K72" s="113"/>
      <c r="L72" s="113"/>
      <c r="M72" s="113"/>
      <c r="N72" s="112"/>
      <c r="O72" s="113"/>
      <c r="P72" s="113"/>
      <c r="Q72" s="113"/>
      <c r="R72" s="113"/>
      <c r="S72" s="112"/>
      <c r="T72" s="113"/>
      <c r="U72" s="113"/>
      <c r="V72" s="113"/>
      <c r="W72" s="113"/>
      <c r="X72" s="112"/>
      <c r="Y72" s="113"/>
      <c r="Z72" s="113"/>
      <c r="AA72" s="113"/>
      <c r="AB72" s="113"/>
      <c r="AC72" s="112"/>
      <c r="AD72" s="113"/>
      <c r="AE72" s="113"/>
      <c r="AF72" s="113"/>
      <c r="AG72" s="113"/>
      <c r="AH72" s="112"/>
      <c r="AI72" s="113"/>
      <c r="AJ72" s="113"/>
      <c r="AK72" s="113"/>
      <c r="AL72" s="113"/>
      <c r="AM72" s="112"/>
      <c r="AN72" s="113"/>
      <c r="AO72" s="113"/>
      <c r="AP72" s="113"/>
      <c r="AQ72" s="113"/>
      <c r="AR72" s="112"/>
      <c r="AS72" s="113"/>
      <c r="AT72" s="113"/>
      <c r="AU72" s="113"/>
      <c r="AV72" s="113"/>
      <c r="AW72" s="112"/>
      <c r="AX72" s="113"/>
      <c r="AY72" s="113"/>
      <c r="AZ72" s="113"/>
      <c r="BA72" s="113"/>
      <c r="BB72" s="112"/>
      <c r="BC72" s="113"/>
      <c r="BD72" s="113"/>
      <c r="BE72" s="113"/>
      <c r="BF72" s="113"/>
      <c r="BG72" s="112"/>
      <c r="BH72" s="113"/>
      <c r="BI72" s="113"/>
      <c r="BJ72" s="113"/>
      <c r="BK72" s="113"/>
      <c r="BL72" s="112"/>
      <c r="BM72" s="113"/>
      <c r="BN72" s="113"/>
      <c r="BO72" s="113"/>
      <c r="BP72" s="113"/>
      <c r="BQ72" s="112"/>
      <c r="BR72" s="113"/>
      <c r="BS72" s="113"/>
      <c r="BT72" s="113"/>
      <c r="BU72" s="113"/>
      <c r="BV72" s="112"/>
      <c r="BW72" s="113"/>
      <c r="BX72" s="113"/>
      <c r="BY72" s="113"/>
      <c r="BZ72" s="113"/>
      <c r="CA72" s="112"/>
      <c r="CB72" s="113"/>
      <c r="CC72" s="113"/>
      <c r="CD72" s="113"/>
      <c r="CE72" s="113"/>
      <c r="CF72" s="112"/>
      <c r="CG72" s="113"/>
      <c r="CH72" s="113"/>
      <c r="CI72" s="113"/>
      <c r="CJ72" s="113"/>
      <c r="CK72" s="112"/>
      <c r="CL72" s="113"/>
      <c r="CM72" s="113"/>
      <c r="CN72" s="113"/>
      <c r="CO72" s="113"/>
      <c r="CP72" s="112"/>
      <c r="CQ72" s="113"/>
      <c r="CR72" s="113"/>
      <c r="CS72" s="113"/>
      <c r="CT72" s="113"/>
      <c r="CU72" s="112"/>
      <c r="CV72" s="113"/>
      <c r="CW72" s="113"/>
      <c r="CX72" s="113"/>
      <c r="CY72" s="113"/>
      <c r="CZ72" s="112"/>
      <c r="DA72" s="113"/>
      <c r="DB72" s="113"/>
      <c r="DC72" s="113"/>
      <c r="DD72" s="113"/>
      <c r="DE72" s="112"/>
      <c r="DF72" s="113"/>
      <c r="DG72" s="113"/>
      <c r="DH72" s="113"/>
      <c r="DI72" s="113"/>
      <c r="DJ72" s="112"/>
      <c r="DK72" s="113"/>
      <c r="DL72" s="113"/>
      <c r="DM72" s="113"/>
      <c r="DN72" s="113"/>
      <c r="DO72" s="112"/>
      <c r="DP72" s="113"/>
      <c r="DQ72" s="113"/>
      <c r="DR72" s="113"/>
      <c r="DS72" s="113"/>
      <c r="DT72" s="112"/>
      <c r="DU72" s="112"/>
      <c r="DV72" s="112"/>
    </row>
    <row r="73" spans="2:126" s="92" customFormat="1" hidden="1" outlineLevel="1">
      <c r="B73" s="92" t="s">
        <v>194</v>
      </c>
      <c r="C73" s="112">
        <f t="shared" ref="C73:AH73" si="32">SUM(C11:C13)</f>
        <v>0</v>
      </c>
      <c r="D73" s="112">
        <f t="shared" si="32"/>
        <v>0</v>
      </c>
      <c r="E73" s="112">
        <f t="shared" si="32"/>
        <v>0</v>
      </c>
      <c r="F73" s="112">
        <f t="shared" si="32"/>
        <v>0</v>
      </c>
      <c r="G73" s="112">
        <f t="shared" si="32"/>
        <v>0</v>
      </c>
      <c r="H73" s="112">
        <f t="shared" si="32"/>
        <v>0</v>
      </c>
      <c r="I73" s="112">
        <f t="shared" si="32"/>
        <v>0</v>
      </c>
      <c r="J73" s="113">
        <f t="shared" si="32"/>
        <v>0</v>
      </c>
      <c r="K73" s="113">
        <f t="shared" si="32"/>
        <v>0</v>
      </c>
      <c r="L73" s="113">
        <f t="shared" si="32"/>
        <v>0</v>
      </c>
      <c r="M73" s="113">
        <f t="shared" si="32"/>
        <v>0</v>
      </c>
      <c r="N73" s="112">
        <f t="shared" si="32"/>
        <v>0</v>
      </c>
      <c r="O73" s="113">
        <f t="shared" si="32"/>
        <v>0</v>
      </c>
      <c r="P73" s="113">
        <f t="shared" si="32"/>
        <v>0</v>
      </c>
      <c r="Q73" s="113">
        <f t="shared" si="32"/>
        <v>0</v>
      </c>
      <c r="R73" s="113">
        <f t="shared" si="32"/>
        <v>0</v>
      </c>
      <c r="S73" s="112">
        <f t="shared" si="32"/>
        <v>0</v>
      </c>
      <c r="T73" s="113">
        <f t="shared" si="32"/>
        <v>0</v>
      </c>
      <c r="U73" s="113">
        <f t="shared" si="32"/>
        <v>0</v>
      </c>
      <c r="V73" s="113">
        <f t="shared" si="32"/>
        <v>0</v>
      </c>
      <c r="W73" s="113">
        <f t="shared" si="32"/>
        <v>0</v>
      </c>
      <c r="X73" s="112">
        <f t="shared" si="32"/>
        <v>0</v>
      </c>
      <c r="Y73" s="113">
        <f t="shared" si="32"/>
        <v>0</v>
      </c>
      <c r="Z73" s="113">
        <f t="shared" si="32"/>
        <v>0</v>
      </c>
      <c r="AA73" s="113">
        <f t="shared" si="32"/>
        <v>0</v>
      </c>
      <c r="AB73" s="113">
        <f t="shared" si="32"/>
        <v>0</v>
      </c>
      <c r="AC73" s="112">
        <f t="shared" si="32"/>
        <v>0</v>
      </c>
      <c r="AD73" s="113">
        <f t="shared" si="32"/>
        <v>0</v>
      </c>
      <c r="AE73" s="113">
        <f t="shared" si="32"/>
        <v>0</v>
      </c>
      <c r="AF73" s="113">
        <f t="shared" si="32"/>
        <v>0</v>
      </c>
      <c r="AG73" s="113">
        <f t="shared" si="32"/>
        <v>0</v>
      </c>
      <c r="AH73" s="112">
        <f t="shared" si="32"/>
        <v>0</v>
      </c>
      <c r="AI73" s="113">
        <f t="shared" ref="AI73:AY73" si="33">SUM(AI11:AI13)</f>
        <v>0</v>
      </c>
      <c r="AJ73" s="113">
        <f t="shared" si="33"/>
        <v>0</v>
      </c>
      <c r="AK73" s="113">
        <f t="shared" si="33"/>
        <v>0</v>
      </c>
      <c r="AL73" s="113">
        <f t="shared" si="33"/>
        <v>0</v>
      </c>
      <c r="AM73" s="112">
        <f t="shared" si="33"/>
        <v>0</v>
      </c>
      <c r="AN73" s="113">
        <f t="shared" si="33"/>
        <v>0</v>
      </c>
      <c r="AO73" s="113">
        <f t="shared" si="33"/>
        <v>0</v>
      </c>
      <c r="AP73" s="113">
        <f t="shared" si="33"/>
        <v>0</v>
      </c>
      <c r="AQ73" s="113">
        <f t="shared" si="33"/>
        <v>0</v>
      </c>
      <c r="AR73" s="112">
        <f t="shared" si="33"/>
        <v>0</v>
      </c>
      <c r="AS73" s="113">
        <f t="shared" si="33"/>
        <v>0</v>
      </c>
      <c r="AT73" s="113">
        <f t="shared" si="33"/>
        <v>0</v>
      </c>
      <c r="AU73" s="113">
        <f t="shared" si="33"/>
        <v>0</v>
      </c>
      <c r="AV73" s="113">
        <f t="shared" si="33"/>
        <v>0</v>
      </c>
      <c r="AW73" s="112">
        <f t="shared" si="33"/>
        <v>0</v>
      </c>
      <c r="AX73" s="113">
        <f t="shared" si="33"/>
        <v>0</v>
      </c>
      <c r="AY73" s="113">
        <f t="shared" si="33"/>
        <v>0</v>
      </c>
      <c r="AZ73" s="113">
        <f>SUM(AZ$11:AZ13)</f>
        <v>0</v>
      </c>
      <c r="BA73" s="113">
        <f>SUM(BA$11:BA13)</f>
        <v>0</v>
      </c>
      <c r="BB73" s="112">
        <f>SUM(BB$11:BB13)</f>
        <v>0</v>
      </c>
      <c r="BC73" s="113">
        <f>SUM(BC$11:BC13)</f>
        <v>0</v>
      </c>
      <c r="BD73" s="113">
        <f>SUM(BD$11:BD13)</f>
        <v>0</v>
      </c>
      <c r="BE73" s="113">
        <f>SUM(BE$11:BE13)</f>
        <v>0</v>
      </c>
      <c r="BF73" s="113">
        <f>SUM(BF$11:BF13)</f>
        <v>0</v>
      </c>
      <c r="BG73" s="112">
        <f>SUM(BG$11:BG13)</f>
        <v>0</v>
      </c>
      <c r="BH73" s="113">
        <f>SUM(BH$11:BH13)</f>
        <v>-68</v>
      </c>
      <c r="BI73" s="113">
        <f>SUM(BI$11:BI13)</f>
        <v>0</v>
      </c>
      <c r="BJ73" s="113">
        <f>SUM(BJ$11:BJ13)</f>
        <v>0</v>
      </c>
      <c r="BK73" s="113">
        <f>SUM(BK$11:BK13)</f>
        <v>0</v>
      </c>
      <c r="BL73" s="112">
        <f>SUM(BL$11:BL13)</f>
        <v>-68</v>
      </c>
      <c r="BM73" s="113">
        <f>SUM(BM$11:BM13)</f>
        <v>0</v>
      </c>
      <c r="BN73" s="113">
        <f>SUM(BN$11:BN13)</f>
        <v>0</v>
      </c>
      <c r="BO73" s="113">
        <f>SUM(BO$11:BO13)</f>
        <v>0</v>
      </c>
      <c r="BP73" s="113">
        <f>SUM(BP$11:BP13)</f>
        <v>0</v>
      </c>
      <c r="BQ73" s="112">
        <f>SUM(BQ$11:BQ13)</f>
        <v>0</v>
      </c>
      <c r="BR73" s="113">
        <f>SUM(BR$11:BR13)</f>
        <v>0</v>
      </c>
      <c r="BS73" s="113">
        <f>SUM(BS$11:BS13)</f>
        <v>0</v>
      </c>
      <c r="BT73" s="113">
        <f>SUM(BT$11:BT13)</f>
        <v>0</v>
      </c>
      <c r="BU73" s="113">
        <f>SUM(BU$11:BU13)</f>
        <v>0</v>
      </c>
      <c r="BV73" s="112">
        <f>SUM(BV$11:BV13)</f>
        <v>0</v>
      </c>
      <c r="BW73" s="113">
        <f>SUM(BW$11:BW13)</f>
        <v>0</v>
      </c>
      <c r="BX73" s="113">
        <f>SUM(BX$11:BX13)</f>
        <v>0</v>
      </c>
      <c r="BY73" s="113">
        <f>SUM(BY$11:BY13)</f>
        <v>0</v>
      </c>
      <c r="BZ73" s="113">
        <f>SUM(BZ$11:BZ13)</f>
        <v>0</v>
      </c>
      <c r="CA73" s="112">
        <f>SUM(CA$11:CA13)</f>
        <v>0</v>
      </c>
      <c r="CB73" s="113">
        <f>SUM(CB$11:CB13)</f>
        <v>0</v>
      </c>
      <c r="CC73" s="113">
        <f>SUM(CC$11:CC13)</f>
        <v>0</v>
      </c>
      <c r="CD73" s="113">
        <f>SUM(CD$11:CD13)</f>
        <v>0</v>
      </c>
      <c r="CE73" s="113">
        <f>SUM(CE$11:CE13)</f>
        <v>0</v>
      </c>
      <c r="CF73" s="112">
        <f>SUM(CF$11:CF13)</f>
        <v>0</v>
      </c>
      <c r="CG73" s="113">
        <f>SUM(CG$11:CG13)</f>
        <v>0</v>
      </c>
      <c r="CH73" s="113">
        <f>SUM(CH$11:CH13)</f>
        <v>0</v>
      </c>
      <c r="CI73" s="113">
        <f>SUM(CI$11:CI13)</f>
        <v>0</v>
      </c>
      <c r="CJ73" s="113">
        <f>SUM(CJ$11:CJ13)</f>
        <v>0</v>
      </c>
      <c r="CK73" s="112">
        <f>SUM(CK$11:CK13)</f>
        <v>0</v>
      </c>
      <c r="CL73" s="113">
        <f>SUM(CL$11:CL13)</f>
        <v>0</v>
      </c>
      <c r="CM73" s="113">
        <f>SUM(CM$11:CM13)</f>
        <v>0</v>
      </c>
      <c r="CN73" s="113">
        <f>SUM(CN$11:CN13)</f>
        <v>0</v>
      </c>
      <c r="CO73" s="113">
        <f>SUM(CO$11:CO13)</f>
        <v>0</v>
      </c>
      <c r="CP73" s="112">
        <f>SUM(CP$11:CP13)</f>
        <v>0</v>
      </c>
      <c r="CQ73" s="113">
        <f>SUM(CQ$11:CQ13)</f>
        <v>0</v>
      </c>
      <c r="CR73" s="113">
        <f>SUM(CR$11:CR13)</f>
        <v>0</v>
      </c>
      <c r="CS73" s="113">
        <f>SUM(CS$11:CS13)</f>
        <v>0</v>
      </c>
      <c r="CT73" s="113">
        <f>SUM(CT$11:CT13)</f>
        <v>0</v>
      </c>
      <c r="CU73" s="112">
        <f>SUM(CU$11:CU13)</f>
        <v>0</v>
      </c>
      <c r="CV73" s="113">
        <f>SUM(CV$11:CV13)</f>
        <v>-15</v>
      </c>
      <c r="CW73" s="113">
        <f>SUM(CW$11:CW13)</f>
        <v>-25</v>
      </c>
      <c r="CX73" s="113">
        <f>SUM(CX$11:CX13)</f>
        <v>0</v>
      </c>
      <c r="CY73" s="113">
        <f>SUM(CY$11:CY13)</f>
        <v>0</v>
      </c>
      <c r="CZ73" s="112">
        <f>SUM(CZ$11:CZ13)</f>
        <v>-40</v>
      </c>
      <c r="DA73" s="113">
        <f>SUM(DA$11:DA13)</f>
        <v>0</v>
      </c>
      <c r="DB73" s="113">
        <f>SUM(DB$11:DB13)</f>
        <v>0</v>
      </c>
      <c r="DC73" s="113">
        <f>SUM(DC$11:DC13)</f>
        <v>-5401</v>
      </c>
      <c r="DD73" s="113">
        <f>SUM(DD$11:DD13)</f>
        <v>0</v>
      </c>
      <c r="DE73" s="112">
        <f>SUM(DE$11:DE13)</f>
        <v>-5401</v>
      </c>
      <c r="DF73" s="113">
        <f>SUM(DF$11:DF13)</f>
        <v>0</v>
      </c>
      <c r="DG73" s="113">
        <f>SUM(DG$11:DG13)</f>
        <v>0</v>
      </c>
      <c r="DH73" s="113">
        <f>SUM(DH$11:DH13)</f>
        <v>0</v>
      </c>
      <c r="DI73" s="113">
        <f>SUM(DI$11:DI13)</f>
        <v>0</v>
      </c>
      <c r="DJ73" s="112">
        <f>SUM(DJ$11:DJ13)</f>
        <v>0</v>
      </c>
      <c r="DK73" s="113">
        <f>SUM(DK$11:DK13)</f>
        <v>0</v>
      </c>
      <c r="DL73" s="113">
        <f>SUM(DL$11:DL13)</f>
        <v>0</v>
      </c>
      <c r="DM73" s="113">
        <f>SUM(DM$11:DM13)</f>
        <v>0</v>
      </c>
      <c r="DN73" s="113">
        <f>SUM(DN$11:DN13)</f>
        <v>0</v>
      </c>
      <c r="DO73" s="112">
        <f>SUM(DO$11:DO13)</f>
        <v>0</v>
      </c>
      <c r="DP73" s="113">
        <f>SUM(DP$11:DP13)</f>
        <v>0</v>
      </c>
      <c r="DQ73" s="113">
        <f>SUM(DQ$11:DQ13)</f>
        <v>0</v>
      </c>
      <c r="DR73" s="113">
        <f>SUM(DR$11:DR13)</f>
        <v>0</v>
      </c>
      <c r="DS73" s="113">
        <f>SUM(DS$11:DS13)</f>
        <v>0</v>
      </c>
      <c r="DT73" s="112">
        <f>SUM(DT$11:DT13)</f>
        <v>0</v>
      </c>
      <c r="DU73" s="112">
        <f>SUM(DU$11:DU13)</f>
        <v>0</v>
      </c>
      <c r="DV73" s="112">
        <f>SUM(DV$11:DV13)</f>
        <v>0</v>
      </c>
    </row>
    <row r="74" spans="2:126" s="92" customFormat="1" hidden="1" outlineLevel="1">
      <c r="B74" s="92" t="s">
        <v>472</v>
      </c>
      <c r="C74" s="112">
        <f t="shared" ref="C74:AH74" si="34">SUM(C23:C25)</f>
        <v>0</v>
      </c>
      <c r="D74" s="112">
        <f t="shared" si="34"/>
        <v>0</v>
      </c>
      <c r="E74" s="112">
        <f t="shared" si="34"/>
        <v>0</v>
      </c>
      <c r="F74" s="112">
        <f t="shared" si="34"/>
        <v>0</v>
      </c>
      <c r="G74" s="112">
        <f t="shared" si="34"/>
        <v>0</v>
      </c>
      <c r="H74" s="112">
        <f t="shared" si="34"/>
        <v>0</v>
      </c>
      <c r="I74" s="112">
        <f t="shared" si="34"/>
        <v>0</v>
      </c>
      <c r="J74" s="113">
        <f t="shared" si="34"/>
        <v>0</v>
      </c>
      <c r="K74" s="113">
        <f t="shared" si="34"/>
        <v>0</v>
      </c>
      <c r="L74" s="113">
        <f t="shared" si="34"/>
        <v>0</v>
      </c>
      <c r="M74" s="113">
        <f t="shared" si="34"/>
        <v>0</v>
      </c>
      <c r="N74" s="112">
        <f t="shared" si="34"/>
        <v>0</v>
      </c>
      <c r="O74" s="113">
        <f t="shared" si="34"/>
        <v>0</v>
      </c>
      <c r="P74" s="113">
        <f t="shared" si="34"/>
        <v>0</v>
      </c>
      <c r="Q74" s="113">
        <f t="shared" si="34"/>
        <v>0</v>
      </c>
      <c r="R74" s="113">
        <f t="shared" si="34"/>
        <v>0</v>
      </c>
      <c r="S74" s="112">
        <f t="shared" si="34"/>
        <v>0</v>
      </c>
      <c r="T74" s="113">
        <f t="shared" si="34"/>
        <v>0</v>
      </c>
      <c r="U74" s="113">
        <f t="shared" si="34"/>
        <v>0</v>
      </c>
      <c r="V74" s="113">
        <f t="shared" si="34"/>
        <v>0</v>
      </c>
      <c r="W74" s="113">
        <f t="shared" si="34"/>
        <v>0</v>
      </c>
      <c r="X74" s="112">
        <f t="shared" si="34"/>
        <v>0</v>
      </c>
      <c r="Y74" s="113">
        <f t="shared" si="34"/>
        <v>0</v>
      </c>
      <c r="Z74" s="113">
        <f t="shared" si="34"/>
        <v>0</v>
      </c>
      <c r="AA74" s="113">
        <f t="shared" si="34"/>
        <v>0</v>
      </c>
      <c r="AB74" s="113">
        <f t="shared" si="34"/>
        <v>0</v>
      </c>
      <c r="AC74" s="112">
        <f t="shared" si="34"/>
        <v>0</v>
      </c>
      <c r="AD74" s="113">
        <f t="shared" si="34"/>
        <v>0</v>
      </c>
      <c r="AE74" s="113">
        <f t="shared" si="34"/>
        <v>0</v>
      </c>
      <c r="AF74" s="113">
        <f t="shared" si="34"/>
        <v>0</v>
      </c>
      <c r="AG74" s="113">
        <f t="shared" si="34"/>
        <v>0</v>
      </c>
      <c r="AH74" s="112">
        <f t="shared" si="34"/>
        <v>0</v>
      </c>
      <c r="AI74" s="113">
        <f t="shared" ref="AI74:AY74" si="35">SUM(AI23:AI25)</f>
        <v>0</v>
      </c>
      <c r="AJ74" s="113">
        <f t="shared" si="35"/>
        <v>0</v>
      </c>
      <c r="AK74" s="113">
        <f t="shared" si="35"/>
        <v>0</v>
      </c>
      <c r="AL74" s="113">
        <f t="shared" si="35"/>
        <v>0</v>
      </c>
      <c r="AM74" s="112">
        <f t="shared" si="35"/>
        <v>0</v>
      </c>
      <c r="AN74" s="113">
        <f t="shared" si="35"/>
        <v>0</v>
      </c>
      <c r="AO74" s="113">
        <f t="shared" si="35"/>
        <v>0</v>
      </c>
      <c r="AP74" s="113">
        <f t="shared" si="35"/>
        <v>0</v>
      </c>
      <c r="AQ74" s="113">
        <f t="shared" si="35"/>
        <v>0</v>
      </c>
      <c r="AR74" s="112">
        <f t="shared" si="35"/>
        <v>0</v>
      </c>
      <c r="AS74" s="113">
        <f t="shared" si="35"/>
        <v>0</v>
      </c>
      <c r="AT74" s="113">
        <f t="shared" si="35"/>
        <v>0</v>
      </c>
      <c r="AU74" s="113">
        <f t="shared" si="35"/>
        <v>0</v>
      </c>
      <c r="AV74" s="113">
        <f t="shared" si="35"/>
        <v>0</v>
      </c>
      <c r="AW74" s="112">
        <f t="shared" si="35"/>
        <v>0</v>
      </c>
      <c r="AX74" s="113">
        <f t="shared" si="35"/>
        <v>0</v>
      </c>
      <c r="AY74" s="113">
        <f t="shared" si="35"/>
        <v>0</v>
      </c>
      <c r="AZ74" s="113">
        <f>SUM(AZ$20:AZ25)</f>
        <v>-200</v>
      </c>
      <c r="BA74" s="113">
        <f>SUM(BA$20:BA25)</f>
        <v>-200</v>
      </c>
      <c r="BB74" s="112">
        <f>SUM(BB$20:BB25)</f>
        <v>-400</v>
      </c>
      <c r="BC74" s="113">
        <f>SUM(BC$20:BC25)</f>
        <v>-25</v>
      </c>
      <c r="BD74" s="113">
        <f>SUM(BD$20:BD25)</f>
        <v>-25</v>
      </c>
      <c r="BE74" s="113">
        <f>SUM(BE$20:BE25)</f>
        <v>-25</v>
      </c>
      <c r="BF74" s="113">
        <f>SUM(BF$20:BF25)</f>
        <v>-25</v>
      </c>
      <c r="BG74" s="112">
        <f>SUM(BG$20:BG25)</f>
        <v>-100</v>
      </c>
      <c r="BH74" s="113">
        <f>SUM(BH$20:BH25)</f>
        <v>0</v>
      </c>
      <c r="BI74" s="113">
        <f>SUM(BI$20:BI25)</f>
        <v>0</v>
      </c>
      <c r="BJ74" s="113">
        <f>SUM(BJ$20:BJ25)</f>
        <v>0</v>
      </c>
      <c r="BK74" s="113">
        <f>SUM(BK$20:BK25)</f>
        <v>-25</v>
      </c>
      <c r="BL74" s="112">
        <f>SUM(BL$20:BL25)</f>
        <v>-25</v>
      </c>
      <c r="BM74" s="113">
        <f>SUM(BM$20:BM25)</f>
        <v>0</v>
      </c>
      <c r="BN74" s="113">
        <f>SUM(BN$20:BN25)</f>
        <v>0</v>
      </c>
      <c r="BO74" s="113">
        <f>SUM(BO$20:BO25)</f>
        <v>0</v>
      </c>
      <c r="BP74" s="113">
        <f>SUM(BP$20:BP25)</f>
        <v>0</v>
      </c>
      <c r="BQ74" s="112">
        <f>SUM(BQ$20:BQ25)</f>
        <v>0</v>
      </c>
      <c r="BR74" s="113">
        <f>SUM(BR$20:BR25)</f>
        <v>0</v>
      </c>
      <c r="BS74" s="113">
        <f>SUM(BS$20:BS25)</f>
        <v>0</v>
      </c>
      <c r="BT74" s="113">
        <f>SUM(BT$20:BT25)</f>
        <v>0</v>
      </c>
      <c r="BU74" s="113">
        <f>SUM(BU$20:BU25)</f>
        <v>0</v>
      </c>
      <c r="BV74" s="112">
        <f>SUM(BV$20:BV25)</f>
        <v>0</v>
      </c>
      <c r="BW74" s="113">
        <f>SUM(BW$20:BW25)</f>
        <v>0</v>
      </c>
      <c r="BX74" s="113">
        <f>SUM(BX$20:BX25)</f>
        <v>0</v>
      </c>
      <c r="BY74" s="113">
        <f>SUM(BY$20:BY25)</f>
        <v>0</v>
      </c>
      <c r="BZ74" s="113">
        <f>SUM(BZ$20:BZ25)</f>
        <v>0</v>
      </c>
      <c r="CA74" s="112">
        <f>SUM(CA$20:CA25)</f>
        <v>0</v>
      </c>
      <c r="CB74" s="113">
        <f>SUM(CB$20:CB25)</f>
        <v>-40</v>
      </c>
      <c r="CC74" s="113">
        <f>SUM(CC$20:CC25)</f>
        <v>-40</v>
      </c>
      <c r="CD74" s="113">
        <f>SUM(CD$20:CD25)</f>
        <v>-40</v>
      </c>
      <c r="CE74" s="113">
        <f>SUM(CE$20:CE25)</f>
        <v>-40</v>
      </c>
      <c r="CF74" s="112">
        <f>SUM(CF$20:CF25)</f>
        <v>-160</v>
      </c>
      <c r="CG74" s="113">
        <f>SUM(CG$20:CG25)</f>
        <v>0</v>
      </c>
      <c r="CH74" s="113">
        <f>SUM(CH$20:CH25)</f>
        <v>0</v>
      </c>
      <c r="CI74" s="113">
        <f>SUM(CI$20:CI25)</f>
        <v>0</v>
      </c>
      <c r="CJ74" s="113">
        <f>SUM(CJ$20:CJ25)</f>
        <v>0</v>
      </c>
      <c r="CK74" s="112">
        <f>SUM(CK$20:CK25)</f>
        <v>0</v>
      </c>
      <c r="CL74" s="113">
        <f>SUM(CL$20:CL25)</f>
        <v>0</v>
      </c>
      <c r="CM74" s="113">
        <f>SUM(CM$20:CM25)</f>
        <v>0</v>
      </c>
      <c r="CN74" s="113">
        <f>SUM(CN$20:CN25)</f>
        <v>-65</v>
      </c>
      <c r="CO74" s="113">
        <f>SUM(CO$20:CO25)</f>
        <v>-90</v>
      </c>
      <c r="CP74" s="112">
        <f>SUM(CP$20:CP25)</f>
        <v>-155</v>
      </c>
      <c r="CQ74" s="113">
        <f>SUM(CQ$20:CQ25)</f>
        <v>-90</v>
      </c>
      <c r="CR74" s="113">
        <f>SUM(CR$20:CR25)</f>
        <v>-100</v>
      </c>
      <c r="CS74" s="113">
        <f>SUM(CS$20:CS25)</f>
        <v>-70</v>
      </c>
      <c r="CT74" s="113">
        <f>SUM(CT$20:CT25)</f>
        <v>0</v>
      </c>
      <c r="CU74" s="112">
        <f>SUM(CU$20:CU25)</f>
        <v>-260</v>
      </c>
      <c r="CV74" s="113">
        <f>SUM(CV$20:CV25)</f>
        <v>-15</v>
      </c>
      <c r="CW74" s="113">
        <f>SUM(CW$20:CW25)</f>
        <v>-20</v>
      </c>
      <c r="CX74" s="113">
        <f>SUM(CX$20:CX25)</f>
        <v>0</v>
      </c>
      <c r="CY74" s="113">
        <f>SUM(CY$20:CY25)</f>
        <v>0</v>
      </c>
      <c r="CZ74" s="112">
        <f>SUM(CZ$20:CZ25)</f>
        <v>-35</v>
      </c>
      <c r="DA74" s="113">
        <f>SUM(DA$20:DA25)</f>
        <v>-15</v>
      </c>
      <c r="DB74" s="113">
        <f>SUM(DB$20:DB25)</f>
        <v>-20</v>
      </c>
      <c r="DC74" s="113">
        <f>SUM(DC$20:DC25)</f>
        <v>57</v>
      </c>
      <c r="DD74" s="113">
        <f>SUM(DD$20:DD25)</f>
        <v>112</v>
      </c>
      <c r="DE74" s="112">
        <f>SUM(DA74:DD74)</f>
        <v>134</v>
      </c>
      <c r="DF74" s="113">
        <f>SUM(DF$20:DF25)</f>
        <v>0</v>
      </c>
      <c r="DG74" s="113">
        <f>SUM(DG$20:DG25)</f>
        <v>0</v>
      </c>
      <c r="DH74" s="113">
        <f>SUM(DH$20:DH25)</f>
        <v>30</v>
      </c>
      <c r="DI74" s="113">
        <f>SUM(DI$20:DI25)</f>
        <v>0</v>
      </c>
      <c r="DJ74" s="112">
        <f>SUM(DJ$20:DJ25)</f>
        <v>30</v>
      </c>
      <c r="DK74" s="113">
        <f>SUM(DK$20:DK25)</f>
        <v>0</v>
      </c>
      <c r="DL74" s="113">
        <f>SUM(DL$20:DL25)</f>
        <v>0</v>
      </c>
      <c r="DM74" s="113">
        <f>SUM(DM$20:DM25)</f>
        <v>-263</v>
      </c>
      <c r="DN74" s="113">
        <f>SUM(DN$20:DN25)</f>
        <v>-487.5</v>
      </c>
      <c r="DO74" s="112">
        <f>SUM(DO$20:DO25)</f>
        <v>-750.5</v>
      </c>
      <c r="DP74" s="113">
        <f>SUM(DP$20:DP25)</f>
        <v>-487.5</v>
      </c>
      <c r="DQ74" s="113">
        <f>SUM(DQ$20:DQ25)</f>
        <v>-487.5</v>
      </c>
      <c r="DR74" s="113">
        <f>SUM(DR$20:DR25)</f>
        <v>-87.5</v>
      </c>
      <c r="DS74" s="113">
        <f>SUM(DS$20:DS25)</f>
        <v>0</v>
      </c>
      <c r="DT74" s="112">
        <f>SUM(DT$20:DT25)</f>
        <v>-1062.5</v>
      </c>
      <c r="DU74" s="112">
        <f>SUM(DU$20:DU25)</f>
        <v>0</v>
      </c>
      <c r="DV74" s="112">
        <f>SUM(DV$20:DV25)</f>
        <v>0</v>
      </c>
    </row>
    <row r="75" spans="2:126" s="92" customFormat="1" hidden="1" outlineLevel="2">
      <c r="B75" s="180" t="s">
        <v>570</v>
      </c>
      <c r="C75" s="112"/>
      <c r="D75" s="112"/>
      <c r="E75" s="112"/>
      <c r="F75" s="112"/>
      <c r="G75" s="112"/>
      <c r="H75" s="112"/>
      <c r="I75" s="112"/>
      <c r="J75" s="113"/>
      <c r="K75" s="113"/>
      <c r="L75" s="113"/>
      <c r="M75" s="113"/>
      <c r="N75" s="112"/>
      <c r="O75" s="113"/>
      <c r="P75" s="113"/>
      <c r="Q75" s="113"/>
      <c r="R75" s="113"/>
      <c r="S75" s="112"/>
      <c r="T75" s="113"/>
      <c r="U75" s="113"/>
      <c r="V75" s="113"/>
      <c r="W75" s="113"/>
      <c r="X75" s="112"/>
      <c r="Y75" s="113"/>
      <c r="Z75" s="113"/>
      <c r="AA75" s="113"/>
      <c r="AB75" s="113"/>
      <c r="AC75" s="112"/>
      <c r="AD75" s="113"/>
      <c r="AE75" s="113"/>
      <c r="AF75" s="113"/>
      <c r="AG75" s="113"/>
      <c r="AH75" s="112"/>
      <c r="AI75" s="113"/>
      <c r="AJ75" s="113"/>
      <c r="AK75" s="113"/>
      <c r="AL75" s="113"/>
      <c r="AM75" s="112"/>
      <c r="AN75" s="113"/>
      <c r="AO75" s="113"/>
      <c r="AP75" s="113"/>
      <c r="AQ75" s="113"/>
      <c r="AR75" s="112"/>
      <c r="AS75" s="113"/>
      <c r="AT75" s="113"/>
      <c r="AU75" s="113"/>
      <c r="AV75" s="113"/>
      <c r="AW75" s="112"/>
      <c r="AX75" s="113">
        <f>SUM(AX$37:AX40)</f>
        <v>0</v>
      </c>
      <c r="AY75" s="113">
        <f>SUM(AY$37:AY40)</f>
        <v>0</v>
      </c>
      <c r="AZ75" s="113">
        <f>SUM(AZ$37:AZ40)</f>
        <v>0</v>
      </c>
      <c r="BA75" s="113">
        <f>SUM(BA$37:BA40)</f>
        <v>0</v>
      </c>
      <c r="BB75" s="112">
        <f>SUM(BB$37:BB40)</f>
        <v>0</v>
      </c>
      <c r="BC75" s="113">
        <f>SUM(BC$37:BC40)</f>
        <v>0</v>
      </c>
      <c r="BD75" s="113">
        <f>SUM(BD$37:BD40)</f>
        <v>0</v>
      </c>
      <c r="BE75" s="113">
        <f>SUM(BE$37:BE40)</f>
        <v>0</v>
      </c>
      <c r="BF75" s="113">
        <f>SUM(BF$37:BF40)</f>
        <v>0</v>
      </c>
      <c r="BG75" s="112">
        <f>SUM(BG$37:BG40)</f>
        <v>0</v>
      </c>
      <c r="BH75" s="113">
        <f>SUM(BH$37:BH40)</f>
        <v>0</v>
      </c>
      <c r="BI75" s="113">
        <f>SUM(BI$37:BI40)</f>
        <v>0</v>
      </c>
      <c r="BJ75" s="113">
        <f>SUM(BJ$37:BJ40)</f>
        <v>0</v>
      </c>
      <c r="BK75" s="113">
        <f>SUM(BK$37:BK40)</f>
        <v>0</v>
      </c>
      <c r="BL75" s="112">
        <f>SUM(BL$37:BL40)</f>
        <v>0</v>
      </c>
      <c r="BM75" s="113">
        <f>SUM(BM$37:BM40)</f>
        <v>0</v>
      </c>
      <c r="BN75" s="113">
        <f>SUM(BN$37:BN40)</f>
        <v>0</v>
      </c>
      <c r="BO75" s="113">
        <f>SUM(BO$37:BO40)</f>
        <v>0</v>
      </c>
      <c r="BP75" s="113">
        <f>SUM(BP$37:BP40)</f>
        <v>0</v>
      </c>
      <c r="BQ75" s="112">
        <f>SUM(BQ$37:BQ40)</f>
        <v>0</v>
      </c>
      <c r="BR75" s="113">
        <f>SUM(BR$37:BR40)</f>
        <v>0</v>
      </c>
      <c r="BS75" s="113">
        <f>SUM(BS$37:BS40)</f>
        <v>0</v>
      </c>
      <c r="BT75" s="113">
        <f>SUM(BT$37:BT40)</f>
        <v>0</v>
      </c>
      <c r="BU75" s="113">
        <f>SUM(BU$37:BU40)</f>
        <v>0</v>
      </c>
      <c r="BV75" s="112">
        <f>SUM(BV$37:BV40)</f>
        <v>0</v>
      </c>
      <c r="BW75" s="113">
        <f>SUM(BW$37:BW40)</f>
        <v>0</v>
      </c>
      <c r="BX75" s="113">
        <f>SUM(BX$37:BX40)</f>
        <v>0</v>
      </c>
      <c r="BY75" s="113">
        <f>SUM(BY$37:BY40)</f>
        <v>0</v>
      </c>
      <c r="BZ75" s="113">
        <f>SUM(BZ$37:BZ40)</f>
        <v>0</v>
      </c>
      <c r="CA75" s="112">
        <f>SUM(CA$37:CA40)</f>
        <v>0</v>
      </c>
      <c r="CB75" s="113">
        <f>SUM(CB$37:CB40)</f>
        <v>0</v>
      </c>
      <c r="CC75" s="113">
        <f>SUM(CC$37:CC40)</f>
        <v>0</v>
      </c>
      <c r="CD75" s="113">
        <f>SUM(CD$37:CD40)</f>
        <v>0</v>
      </c>
      <c r="CE75" s="113">
        <f>SUM(CE$37:CE40)</f>
        <v>0</v>
      </c>
      <c r="CF75" s="112">
        <f>SUM(CF$37:CF40)</f>
        <v>0</v>
      </c>
      <c r="CG75" s="113">
        <f>SUM(CG$37:CG40)</f>
        <v>0</v>
      </c>
      <c r="CH75" s="113">
        <f>SUM(CH$37:CH40)</f>
        <v>0</v>
      </c>
      <c r="CI75" s="113">
        <f>SUM(CI$37:CI40)</f>
        <v>0</v>
      </c>
      <c r="CJ75" s="113">
        <f>SUM(CJ$37:CJ40)</f>
        <v>0</v>
      </c>
      <c r="CK75" s="112">
        <f>SUM(CK$37:CK40)</f>
        <v>0</v>
      </c>
      <c r="CL75" s="113">
        <f>SUM(CL$37:CL40)</f>
        <v>0</v>
      </c>
      <c r="CM75" s="113">
        <f>SUM(CM$37:CM40)</f>
        <v>-20</v>
      </c>
      <c r="CN75" s="113">
        <f>SUM(CN$37:CN40)</f>
        <v>-25</v>
      </c>
      <c r="CO75" s="113">
        <f>SUM(CO$37:CO40)</f>
        <v>-30</v>
      </c>
      <c r="CP75" s="112">
        <f>SUM(CP$37:CP40)</f>
        <v>-75</v>
      </c>
      <c r="CQ75" s="113">
        <f>SUM(CQ$37:CQ40)</f>
        <v>-30</v>
      </c>
      <c r="CR75" s="113">
        <f>SUM(CR$37:CR40)</f>
        <v>0</v>
      </c>
      <c r="CS75" s="113">
        <f>SUM(CS$37:CS40)</f>
        <v>0</v>
      </c>
      <c r="CT75" s="113">
        <f>SUM(CT$37:CT40)</f>
        <v>-83.333333333333329</v>
      </c>
      <c r="CU75" s="112">
        <f>SUM(CU$37:CU40)</f>
        <v>-113.33333333333333</v>
      </c>
      <c r="CV75" s="113">
        <f>SUM(CV$37:CV40)</f>
        <v>-180</v>
      </c>
      <c r="CW75" s="113">
        <f>SUM(CW$37:CW40)</f>
        <v>-200</v>
      </c>
      <c r="CX75" s="113">
        <f>SUM(CX$37:CX40)</f>
        <v>-200</v>
      </c>
      <c r="CY75" s="113">
        <f>SUM(CY$37:CY40)</f>
        <v>-145</v>
      </c>
      <c r="CZ75" s="112">
        <f>SUM(CZ$37:CZ40)</f>
        <v>-725</v>
      </c>
      <c r="DA75" s="113">
        <f>SUM(DA$37:DA40)</f>
        <v>-180</v>
      </c>
      <c r="DB75" s="113">
        <f>SUM(DB$37:DB40)</f>
        <v>-200</v>
      </c>
      <c r="DC75" s="113">
        <f>SUM(DC$37:DC40)</f>
        <v>-200</v>
      </c>
      <c r="DD75" s="113">
        <f>SUM(DD$37:DD40)</f>
        <v>-35</v>
      </c>
      <c r="DE75" s="112">
        <f>SUM(DE$37:DE40)</f>
        <v>0</v>
      </c>
      <c r="DF75" s="113">
        <f>SUM(DF$37:DF40)</f>
        <v>0</v>
      </c>
      <c r="DG75" s="113">
        <f>SUM(DG$37:DG40)</f>
        <v>0</v>
      </c>
      <c r="DH75" s="113">
        <f>SUM(DH$37:DH40)</f>
        <v>0</v>
      </c>
      <c r="DI75" s="113">
        <f>SUM(DI$37:DI40)</f>
        <v>0</v>
      </c>
      <c r="DJ75" s="112">
        <f>SUM(DJ$37:DJ40)</f>
        <v>0</v>
      </c>
      <c r="DK75" s="113">
        <f>SUM(DK$37:DK40)</f>
        <v>0</v>
      </c>
      <c r="DL75" s="113">
        <f>SUM(DL$37:DL40)</f>
        <v>0</v>
      </c>
      <c r="DM75" s="113">
        <f>SUM(DM$37:DM40)</f>
        <v>0</v>
      </c>
      <c r="DN75" s="113">
        <f>SUM(DN$37:DN40)</f>
        <v>0</v>
      </c>
      <c r="DO75" s="112">
        <f>SUM(DO$37:DO40)</f>
        <v>0</v>
      </c>
      <c r="DP75" s="113">
        <f>SUM(DP$37:DP40)</f>
        <v>0</v>
      </c>
      <c r="DQ75" s="113">
        <f>SUM(DQ$37:DQ40)</f>
        <v>0</v>
      </c>
      <c r="DR75" s="113">
        <f>SUM(DR$37:DR40)</f>
        <v>0</v>
      </c>
      <c r="DS75" s="113">
        <f>SUM(DS$37:DS40)</f>
        <v>0</v>
      </c>
      <c r="DT75" s="112">
        <f>SUM(DT$37:DT40)</f>
        <v>0</v>
      </c>
      <c r="DU75" s="195">
        <f>SUM(DU$37:DU40)</f>
        <v>0</v>
      </c>
      <c r="DV75" s="195">
        <f>SUM(DV$37:DV40)</f>
        <v>0</v>
      </c>
    </row>
    <row r="76" spans="2:126" s="92" customFormat="1" hidden="1" outlineLevel="2">
      <c r="B76" s="180" t="s">
        <v>569</v>
      </c>
      <c r="C76" s="112"/>
      <c r="D76" s="112"/>
      <c r="E76" s="112"/>
      <c r="F76" s="112"/>
      <c r="G76" s="112"/>
      <c r="H76" s="112"/>
      <c r="I76" s="112"/>
      <c r="J76" s="113"/>
      <c r="K76" s="113"/>
      <c r="L76" s="113"/>
      <c r="M76" s="113"/>
      <c r="N76" s="112"/>
      <c r="O76" s="113"/>
      <c r="P76" s="113"/>
      <c r="Q76" s="113"/>
      <c r="R76" s="113"/>
      <c r="S76" s="112"/>
      <c r="T76" s="113"/>
      <c r="U76" s="113"/>
      <c r="V76" s="113"/>
      <c r="W76" s="113"/>
      <c r="X76" s="112"/>
      <c r="Y76" s="113"/>
      <c r="Z76" s="113"/>
      <c r="AA76" s="113"/>
      <c r="AB76" s="113"/>
      <c r="AC76" s="112"/>
      <c r="AD76" s="113"/>
      <c r="AE76" s="113"/>
      <c r="AF76" s="113"/>
      <c r="AG76" s="113"/>
      <c r="AH76" s="112"/>
      <c r="AI76" s="113"/>
      <c r="AJ76" s="113"/>
      <c r="AK76" s="113"/>
      <c r="AL76" s="113"/>
      <c r="AM76" s="112"/>
      <c r="AN76" s="113"/>
      <c r="AO76" s="113"/>
      <c r="AP76" s="113"/>
      <c r="AQ76" s="113"/>
      <c r="AR76" s="112"/>
      <c r="AS76" s="113"/>
      <c r="AT76" s="113"/>
      <c r="AU76" s="113"/>
      <c r="AV76" s="113"/>
      <c r="AW76" s="112"/>
      <c r="AX76" s="113">
        <f>SUM(AX$46:AX47)</f>
        <v>0</v>
      </c>
      <c r="AY76" s="113">
        <f>SUM(AY$46:AY47)</f>
        <v>0</v>
      </c>
      <c r="AZ76" s="113">
        <f>SUM(AZ$46:AZ47)</f>
        <v>0</v>
      </c>
      <c r="BA76" s="113">
        <f>SUM(BA$46:BA47)</f>
        <v>0</v>
      </c>
      <c r="BB76" s="112">
        <f>SUM(BB$46:BB47)</f>
        <v>0</v>
      </c>
      <c r="BC76" s="113">
        <f>SUM(BC$46:BC47)</f>
        <v>0</v>
      </c>
      <c r="BD76" s="113">
        <f>SUM(BD$46:BD47)</f>
        <v>0</v>
      </c>
      <c r="BE76" s="113">
        <f>SUM(BE$46:BE47)</f>
        <v>0</v>
      </c>
      <c r="BF76" s="113">
        <f>SUM(BF$46:BF47)</f>
        <v>0</v>
      </c>
      <c r="BG76" s="112">
        <f>SUM(BG$46:BG47)</f>
        <v>0</v>
      </c>
      <c r="BH76" s="113">
        <f>SUM(BH$46:BH47)</f>
        <v>0</v>
      </c>
      <c r="BI76" s="113">
        <f>SUM(BI$46:BI47)</f>
        <v>0</v>
      </c>
      <c r="BJ76" s="113">
        <f>SUM(BJ$46:BJ47)</f>
        <v>0</v>
      </c>
      <c r="BK76" s="113">
        <f>SUM(BK$46:BK47)</f>
        <v>0</v>
      </c>
      <c r="BL76" s="112">
        <f>SUM(BL$46:BL47)</f>
        <v>0</v>
      </c>
      <c r="BM76" s="113">
        <f>SUM(BM$46:BM47)</f>
        <v>0</v>
      </c>
      <c r="BN76" s="113">
        <f>SUM(BN$46:BN47)</f>
        <v>0</v>
      </c>
      <c r="BO76" s="113">
        <f>SUM(BO$46:BO47)</f>
        <v>0</v>
      </c>
      <c r="BP76" s="113">
        <f>SUM(BP$46:BP47)</f>
        <v>0</v>
      </c>
      <c r="BQ76" s="112">
        <f>SUM(BQ$46:BQ47)</f>
        <v>0</v>
      </c>
      <c r="BR76" s="113">
        <f>SUM(BR$46:BR47)</f>
        <v>0</v>
      </c>
      <c r="BS76" s="113">
        <f>SUM(BS$46:BS47)</f>
        <v>0</v>
      </c>
      <c r="BT76" s="113">
        <f>SUM(BT$46:BT47)</f>
        <v>0</v>
      </c>
      <c r="BU76" s="113">
        <f>SUM(BU$46:BU47)</f>
        <v>0</v>
      </c>
      <c r="BV76" s="112">
        <f>SUM(BV$46:BV47)</f>
        <v>0</v>
      </c>
      <c r="BW76" s="113">
        <f>SUM(BW$46:BW47)</f>
        <v>0</v>
      </c>
      <c r="BX76" s="113">
        <f>SUM(BX$46:BX47)</f>
        <v>0</v>
      </c>
      <c r="BY76" s="113">
        <f>SUM(BY$46:BY47)</f>
        <v>0</v>
      </c>
      <c r="BZ76" s="113">
        <f>SUM(BZ$46:BZ47)</f>
        <v>0</v>
      </c>
      <c r="CA76" s="112">
        <f>SUM(CA$46:CA47)</f>
        <v>0</v>
      </c>
      <c r="CB76" s="113">
        <f>SUM(CB$46:CB47)</f>
        <v>0</v>
      </c>
      <c r="CC76" s="113">
        <f>SUM(CC$46:CC47)</f>
        <v>0</v>
      </c>
      <c r="CD76" s="113">
        <f>SUM(CD$46:CD47)</f>
        <v>0</v>
      </c>
      <c r="CE76" s="113">
        <f>SUM(CE$46:CE47)</f>
        <v>0</v>
      </c>
      <c r="CF76" s="112">
        <f>SUM(CF$46:CF47)</f>
        <v>0</v>
      </c>
      <c r="CG76" s="113">
        <f>SUM(CG$46:CG47)</f>
        <v>0</v>
      </c>
      <c r="CH76" s="113">
        <f>SUM(CH$46:CH47)</f>
        <v>0</v>
      </c>
      <c r="CI76" s="113">
        <f>SUM(CI$46:CI47)</f>
        <v>0</v>
      </c>
      <c r="CJ76" s="113">
        <f>SUM(CJ$46:CJ47)</f>
        <v>0</v>
      </c>
      <c r="CK76" s="112">
        <f>SUM(CK$46:CK47)</f>
        <v>0</v>
      </c>
      <c r="CL76" s="113">
        <f>SUM(CL$46:CL47)</f>
        <v>0</v>
      </c>
      <c r="CM76" s="113">
        <f>SUM(CM$46:CM47)</f>
        <v>0</v>
      </c>
      <c r="CN76" s="113">
        <f>SUM(CN$46:CN47)</f>
        <v>0</v>
      </c>
      <c r="CO76" s="113">
        <f>SUM(CO$46:CO47)</f>
        <v>0</v>
      </c>
      <c r="CP76" s="112">
        <f>SUM(CP$46:CP47)</f>
        <v>0</v>
      </c>
      <c r="CQ76" s="113">
        <f>SUM(CQ$46:CQ47)</f>
        <v>0</v>
      </c>
      <c r="CR76" s="113">
        <f>SUM(CR$46:CR47)</f>
        <v>0</v>
      </c>
      <c r="CS76" s="113">
        <f>SUM(CS$46:CS47)</f>
        <v>0</v>
      </c>
      <c r="CT76" s="113">
        <f>SUM(CT$46:CT47)</f>
        <v>0</v>
      </c>
      <c r="CU76" s="112">
        <f>SUM(CU$46:CU47)</f>
        <v>0</v>
      </c>
      <c r="CV76" s="113">
        <f>SUM(CV$46:CV47)</f>
        <v>0</v>
      </c>
      <c r="CW76" s="113">
        <f>SUM(CW$46:CW47)</f>
        <v>-15</v>
      </c>
      <c r="CX76" s="113">
        <f>SUM(CX$46:CX47)</f>
        <v>-15</v>
      </c>
      <c r="CY76" s="113">
        <f>SUM(CY$46:CY47)</f>
        <v>-15</v>
      </c>
      <c r="CZ76" s="112">
        <f>SUM(CZ$46:CZ47)</f>
        <v>-45</v>
      </c>
      <c r="DA76" s="113">
        <f>SUM(DA$46:DA47)</f>
        <v>0</v>
      </c>
      <c r="DB76" s="113">
        <f>SUM(DB$46:DB47)</f>
        <v>-15</v>
      </c>
      <c r="DC76" s="113">
        <f>SUM(DC$46:DC47)</f>
        <v>-15</v>
      </c>
      <c r="DD76" s="113">
        <f>SUM(DD$46:DD47)</f>
        <v>-15</v>
      </c>
      <c r="DE76" s="112">
        <f>SUM(DE$46:DE47)</f>
        <v>0</v>
      </c>
      <c r="DF76" s="113">
        <f>SUM(DF$46:DF47)</f>
        <v>0</v>
      </c>
      <c r="DG76" s="113">
        <f>SUM(DG$46:DG47)</f>
        <v>0</v>
      </c>
      <c r="DH76" s="113">
        <f>SUM(DH$46:DH47)</f>
        <v>0</v>
      </c>
      <c r="DI76" s="113">
        <f>SUM(DI$46:DI47)</f>
        <v>0</v>
      </c>
      <c r="DJ76" s="112">
        <f>SUM(DJ$46:DJ47)</f>
        <v>0</v>
      </c>
      <c r="DK76" s="113">
        <f>SUM(DK$46:DK47)</f>
        <v>0</v>
      </c>
      <c r="DL76" s="113">
        <f>SUM(DL$46:DL47)</f>
        <v>0</v>
      </c>
      <c r="DM76" s="113">
        <f>SUM(DM$46:DM47)</f>
        <v>0</v>
      </c>
      <c r="DN76" s="113">
        <f>SUM(DN$46:DN47)</f>
        <v>0</v>
      </c>
      <c r="DO76" s="112">
        <f>SUM(DO$46:DO47)</f>
        <v>0</v>
      </c>
      <c r="DP76" s="113">
        <f>SUM(DP$46:DP47)</f>
        <v>0</v>
      </c>
      <c r="DQ76" s="113">
        <f>SUM(DQ$46:DQ47)</f>
        <v>0</v>
      </c>
      <c r="DR76" s="113">
        <f>SUM(DR$46:DR47)</f>
        <v>0</v>
      </c>
      <c r="DS76" s="113">
        <f>SUM(DS$46:DS47)</f>
        <v>0</v>
      </c>
      <c r="DT76" s="112">
        <f>SUM(DT$46:DT47)</f>
        <v>0</v>
      </c>
      <c r="DU76" s="112">
        <f>SUM(DU$46:DU47)</f>
        <v>0</v>
      </c>
      <c r="DV76" s="112">
        <f>SUM(DV$46:DV47)</f>
        <v>0</v>
      </c>
    </row>
    <row r="77" spans="2:126" s="92" customFormat="1" hidden="1" outlineLevel="1">
      <c r="B77" s="41" t="s">
        <v>629</v>
      </c>
      <c r="C77" s="112"/>
      <c r="D77" s="112"/>
      <c r="E77" s="112"/>
      <c r="F77" s="112"/>
      <c r="G77" s="112"/>
      <c r="H77" s="112"/>
      <c r="I77" s="112"/>
      <c r="J77" s="113"/>
      <c r="K77" s="113"/>
      <c r="L77" s="113"/>
      <c r="M77" s="113"/>
      <c r="N77" s="112"/>
      <c r="O77" s="113"/>
      <c r="P77" s="113"/>
      <c r="Q77" s="113"/>
      <c r="R77" s="113"/>
      <c r="S77" s="112"/>
      <c r="T77" s="113"/>
      <c r="U77" s="113"/>
      <c r="V77" s="113"/>
      <c r="W77" s="113"/>
      <c r="X77" s="112"/>
      <c r="Y77" s="113"/>
      <c r="Z77" s="113"/>
      <c r="AA77" s="113"/>
      <c r="AB77" s="113"/>
      <c r="AC77" s="112"/>
      <c r="AD77" s="113"/>
      <c r="AE77" s="113"/>
      <c r="AF77" s="113"/>
      <c r="AG77" s="113"/>
      <c r="AH77" s="112"/>
      <c r="AI77" s="113"/>
      <c r="AJ77" s="113"/>
      <c r="AK77" s="113"/>
      <c r="AL77" s="113"/>
      <c r="AM77" s="112"/>
      <c r="AN77" s="113"/>
      <c r="AO77" s="113"/>
      <c r="AP77" s="113"/>
      <c r="AQ77" s="113"/>
      <c r="AR77" s="112"/>
      <c r="AS77" s="113"/>
      <c r="AT77" s="113"/>
      <c r="AU77" s="113"/>
      <c r="AV77" s="113"/>
      <c r="AW77" s="112"/>
      <c r="AX77" s="113"/>
      <c r="AY77" s="113"/>
      <c r="AZ77" s="113"/>
      <c r="BA77" s="113"/>
      <c r="BB77" s="112"/>
      <c r="BC77" s="113"/>
      <c r="BD77" s="113"/>
      <c r="BE77" s="113"/>
      <c r="BF77" s="113"/>
      <c r="BG77" s="112"/>
      <c r="BH77" s="113"/>
      <c r="BI77" s="113"/>
      <c r="BJ77" s="113"/>
      <c r="BK77" s="113"/>
      <c r="BL77" s="112"/>
      <c r="BM77" s="113"/>
      <c r="BN77" s="113"/>
      <c r="BO77" s="113"/>
      <c r="BP77" s="113"/>
      <c r="BQ77" s="112"/>
      <c r="BR77" s="113"/>
      <c r="BS77" s="113"/>
      <c r="BT77" s="113"/>
      <c r="BU77" s="113"/>
      <c r="BV77" s="112"/>
      <c r="BW77" s="113"/>
      <c r="BX77" s="113"/>
      <c r="BY77" s="113"/>
      <c r="BZ77" s="113"/>
      <c r="CA77" s="112"/>
      <c r="CB77" s="113"/>
      <c r="CC77" s="113"/>
      <c r="CD77" s="113"/>
      <c r="CE77" s="113"/>
      <c r="CF77" s="112"/>
      <c r="CG77" s="113"/>
      <c r="CH77" s="113"/>
      <c r="CI77" s="113"/>
      <c r="CJ77" s="113"/>
      <c r="CK77" s="112"/>
      <c r="CL77" s="113"/>
      <c r="CM77" s="113"/>
      <c r="CN77" s="113"/>
      <c r="CO77" s="113"/>
      <c r="CP77" s="112"/>
      <c r="CQ77" s="113"/>
      <c r="CR77" s="113"/>
      <c r="CS77" s="113"/>
      <c r="CT77" s="113"/>
      <c r="CU77" s="112"/>
      <c r="CV77" s="113">
        <f t="shared" ref="CV77:CY77" si="36">SUM(CV75:CV76)</f>
        <v>-180</v>
      </c>
      <c r="CW77" s="113">
        <f t="shared" si="36"/>
        <v>-215</v>
      </c>
      <c r="CX77" s="113">
        <f t="shared" si="36"/>
        <v>-215</v>
      </c>
      <c r="CY77" s="113">
        <f t="shared" si="36"/>
        <v>-160</v>
      </c>
      <c r="CZ77" s="112"/>
      <c r="DA77" s="113">
        <f>SUM(DA75:DA76)</f>
        <v>-180</v>
      </c>
      <c r="DB77" s="113">
        <f>SUM(DB75:DB76)</f>
        <v>-215</v>
      </c>
      <c r="DC77" s="113"/>
      <c r="DD77" s="113">
        <f>DD39</f>
        <v>-35</v>
      </c>
      <c r="DE77" s="112">
        <f>SUM(DA77:DD77)</f>
        <v>-430</v>
      </c>
      <c r="DF77" s="113">
        <f>+SUM(DF57:DF59)</f>
        <v>0</v>
      </c>
      <c r="DG77" s="113">
        <f t="shared" ref="DG77:DU77" si="37">+SUM(DG57:DG59)</f>
        <v>-360</v>
      </c>
      <c r="DH77" s="113">
        <f t="shared" si="37"/>
        <v>-390</v>
      </c>
      <c r="DI77" s="113">
        <f t="shared" si="37"/>
        <v>-350</v>
      </c>
      <c r="DJ77" s="112">
        <f>SUM(DF77:DI77)</f>
        <v>-1100</v>
      </c>
      <c r="DK77" s="113">
        <f>+SUM(DK57:DK59)</f>
        <v>-350</v>
      </c>
      <c r="DL77" s="113">
        <f t="shared" ref="DL77:DN77" si="38">+SUM(DL57:DL59)</f>
        <v>0</v>
      </c>
      <c r="DM77" s="113">
        <f t="shared" si="38"/>
        <v>0</v>
      </c>
      <c r="DN77" s="113">
        <f t="shared" si="38"/>
        <v>0</v>
      </c>
      <c r="DO77" s="112">
        <f>SUM(DK77:DN77)</f>
        <v>-350</v>
      </c>
      <c r="DP77" s="113">
        <f>+SUM(DP57:DP59)</f>
        <v>0</v>
      </c>
      <c r="DQ77" s="113">
        <f t="shared" ref="DQ77:DS77" si="39">+SUM(DQ57:DQ59)</f>
        <v>0</v>
      </c>
      <c r="DR77" s="113">
        <f t="shared" si="39"/>
        <v>0</v>
      </c>
      <c r="DS77" s="113">
        <f t="shared" si="39"/>
        <v>0</v>
      </c>
      <c r="DT77" s="112">
        <f>SUM(DP77:DS77)</f>
        <v>0</v>
      </c>
      <c r="DU77" s="112">
        <f t="shared" si="37"/>
        <v>0</v>
      </c>
      <c r="DV77" s="112">
        <f t="shared" ref="DV77" si="40">+SUM(DV57:DV59)</f>
        <v>0</v>
      </c>
    </row>
    <row r="78" spans="2:126" s="92" customFormat="1" hidden="1" outlineLevel="1">
      <c r="B78" s="44" t="s">
        <v>235</v>
      </c>
      <c r="C78" s="117">
        <f t="shared" ref="C78:AW78" si="41">SUM(C73:C74)</f>
        <v>0</v>
      </c>
      <c r="D78" s="117">
        <f t="shared" si="41"/>
        <v>0</v>
      </c>
      <c r="E78" s="117">
        <f t="shared" si="41"/>
        <v>0</v>
      </c>
      <c r="F78" s="117">
        <f t="shared" si="41"/>
        <v>0</v>
      </c>
      <c r="G78" s="117">
        <f t="shared" si="41"/>
        <v>0</v>
      </c>
      <c r="H78" s="117">
        <f t="shared" si="41"/>
        <v>0</v>
      </c>
      <c r="I78" s="117">
        <f t="shared" si="41"/>
        <v>0</v>
      </c>
      <c r="J78" s="118">
        <f t="shared" si="41"/>
        <v>0</v>
      </c>
      <c r="K78" s="118">
        <f t="shared" si="41"/>
        <v>0</v>
      </c>
      <c r="L78" s="118">
        <f t="shared" si="41"/>
        <v>0</v>
      </c>
      <c r="M78" s="118">
        <f t="shared" si="41"/>
        <v>0</v>
      </c>
      <c r="N78" s="117">
        <f t="shared" si="41"/>
        <v>0</v>
      </c>
      <c r="O78" s="118">
        <f t="shared" si="41"/>
        <v>0</v>
      </c>
      <c r="P78" s="118">
        <f t="shared" si="41"/>
        <v>0</v>
      </c>
      <c r="Q78" s="118">
        <f t="shared" si="41"/>
        <v>0</v>
      </c>
      <c r="R78" s="118">
        <f t="shared" si="41"/>
        <v>0</v>
      </c>
      <c r="S78" s="117">
        <f t="shared" si="41"/>
        <v>0</v>
      </c>
      <c r="T78" s="118">
        <f t="shared" si="41"/>
        <v>0</v>
      </c>
      <c r="U78" s="118">
        <f t="shared" si="41"/>
        <v>0</v>
      </c>
      <c r="V78" s="118">
        <f t="shared" si="41"/>
        <v>0</v>
      </c>
      <c r="W78" s="118">
        <f t="shared" si="41"/>
        <v>0</v>
      </c>
      <c r="X78" s="117">
        <f t="shared" si="41"/>
        <v>0</v>
      </c>
      <c r="Y78" s="118">
        <f t="shared" si="41"/>
        <v>0</v>
      </c>
      <c r="Z78" s="118">
        <f t="shared" si="41"/>
        <v>0</v>
      </c>
      <c r="AA78" s="118">
        <f t="shared" si="41"/>
        <v>0</v>
      </c>
      <c r="AB78" s="118">
        <f t="shared" si="41"/>
        <v>0</v>
      </c>
      <c r="AC78" s="117">
        <f t="shared" si="41"/>
        <v>0</v>
      </c>
      <c r="AD78" s="118">
        <f t="shared" si="41"/>
        <v>0</v>
      </c>
      <c r="AE78" s="118">
        <f t="shared" si="41"/>
        <v>0</v>
      </c>
      <c r="AF78" s="118">
        <f t="shared" si="41"/>
        <v>0</v>
      </c>
      <c r="AG78" s="118">
        <f t="shared" si="41"/>
        <v>0</v>
      </c>
      <c r="AH78" s="117">
        <f t="shared" si="41"/>
        <v>0</v>
      </c>
      <c r="AI78" s="118">
        <f t="shared" si="41"/>
        <v>0</v>
      </c>
      <c r="AJ78" s="118">
        <f t="shared" si="41"/>
        <v>0</v>
      </c>
      <c r="AK78" s="118">
        <f t="shared" si="41"/>
        <v>0</v>
      </c>
      <c r="AL78" s="118">
        <f t="shared" si="41"/>
        <v>0</v>
      </c>
      <c r="AM78" s="117">
        <f t="shared" si="41"/>
        <v>0</v>
      </c>
      <c r="AN78" s="118">
        <f t="shared" si="41"/>
        <v>0</v>
      </c>
      <c r="AO78" s="118">
        <f t="shared" si="41"/>
        <v>0</v>
      </c>
      <c r="AP78" s="118">
        <f t="shared" si="41"/>
        <v>0</v>
      </c>
      <c r="AQ78" s="118">
        <f t="shared" si="41"/>
        <v>0</v>
      </c>
      <c r="AR78" s="117">
        <f t="shared" si="41"/>
        <v>0</v>
      </c>
      <c r="AS78" s="118">
        <f t="shared" si="41"/>
        <v>0</v>
      </c>
      <c r="AT78" s="118">
        <f t="shared" si="41"/>
        <v>0</v>
      </c>
      <c r="AU78" s="118">
        <f t="shared" si="41"/>
        <v>0</v>
      </c>
      <c r="AV78" s="118">
        <f t="shared" si="41"/>
        <v>0</v>
      </c>
      <c r="AW78" s="117">
        <f t="shared" si="41"/>
        <v>0</v>
      </c>
      <c r="AX78" s="118">
        <f>SUM(AX73:AX76)</f>
        <v>0</v>
      </c>
      <c r="AY78" s="118">
        <f>SUM(AY73:AY76)</f>
        <v>0</v>
      </c>
      <c r="AZ78" s="118">
        <f>SUM(AZ73:AZ76)</f>
        <v>-200</v>
      </c>
      <c r="BA78" s="118">
        <f t="shared" ref="BA78:CP78" si="42">SUM(BA73:BA76)</f>
        <v>-200</v>
      </c>
      <c r="BB78" s="117">
        <f t="shared" si="42"/>
        <v>-400</v>
      </c>
      <c r="BC78" s="118">
        <f t="shared" si="42"/>
        <v>-25</v>
      </c>
      <c r="BD78" s="118">
        <f t="shared" si="42"/>
        <v>-25</v>
      </c>
      <c r="BE78" s="118">
        <f t="shared" si="42"/>
        <v>-25</v>
      </c>
      <c r="BF78" s="118">
        <f t="shared" si="42"/>
        <v>-25</v>
      </c>
      <c r="BG78" s="117">
        <f t="shared" si="42"/>
        <v>-100</v>
      </c>
      <c r="BH78" s="118">
        <f t="shared" si="42"/>
        <v>-68</v>
      </c>
      <c r="BI78" s="118">
        <f t="shared" si="42"/>
        <v>0</v>
      </c>
      <c r="BJ78" s="118">
        <f t="shared" si="42"/>
        <v>0</v>
      </c>
      <c r="BK78" s="118">
        <f t="shared" si="42"/>
        <v>-25</v>
      </c>
      <c r="BL78" s="117">
        <f t="shared" si="42"/>
        <v>-93</v>
      </c>
      <c r="BM78" s="118">
        <f t="shared" si="42"/>
        <v>0</v>
      </c>
      <c r="BN78" s="118">
        <f t="shared" si="42"/>
        <v>0</v>
      </c>
      <c r="BO78" s="118">
        <f t="shared" si="42"/>
        <v>0</v>
      </c>
      <c r="BP78" s="118">
        <f t="shared" si="42"/>
        <v>0</v>
      </c>
      <c r="BQ78" s="117">
        <f t="shared" si="42"/>
        <v>0</v>
      </c>
      <c r="BR78" s="118">
        <f t="shared" si="42"/>
        <v>0</v>
      </c>
      <c r="BS78" s="118">
        <f t="shared" si="42"/>
        <v>0</v>
      </c>
      <c r="BT78" s="118">
        <f t="shared" si="42"/>
        <v>0</v>
      </c>
      <c r="BU78" s="118">
        <f t="shared" si="42"/>
        <v>0</v>
      </c>
      <c r="BV78" s="117">
        <f t="shared" si="42"/>
        <v>0</v>
      </c>
      <c r="BW78" s="118">
        <f t="shared" si="42"/>
        <v>0</v>
      </c>
      <c r="BX78" s="118">
        <f t="shared" si="42"/>
        <v>0</v>
      </c>
      <c r="BY78" s="118">
        <f t="shared" si="42"/>
        <v>0</v>
      </c>
      <c r="BZ78" s="118">
        <f t="shared" si="42"/>
        <v>0</v>
      </c>
      <c r="CA78" s="117">
        <f t="shared" si="42"/>
        <v>0</v>
      </c>
      <c r="CB78" s="118">
        <f t="shared" si="42"/>
        <v>-40</v>
      </c>
      <c r="CC78" s="118">
        <f t="shared" si="42"/>
        <v>-40</v>
      </c>
      <c r="CD78" s="118">
        <f t="shared" si="42"/>
        <v>-40</v>
      </c>
      <c r="CE78" s="118">
        <f t="shared" si="42"/>
        <v>-40</v>
      </c>
      <c r="CF78" s="117">
        <f t="shared" si="42"/>
        <v>-160</v>
      </c>
      <c r="CG78" s="118">
        <f t="shared" si="42"/>
        <v>0</v>
      </c>
      <c r="CH78" s="118">
        <f t="shared" si="42"/>
        <v>0</v>
      </c>
      <c r="CI78" s="118">
        <f t="shared" si="42"/>
        <v>0</v>
      </c>
      <c r="CJ78" s="118">
        <f t="shared" si="42"/>
        <v>0</v>
      </c>
      <c r="CK78" s="117">
        <f t="shared" si="42"/>
        <v>0</v>
      </c>
      <c r="CL78" s="118">
        <f t="shared" si="42"/>
        <v>0</v>
      </c>
      <c r="CM78" s="118">
        <f t="shared" si="42"/>
        <v>-20</v>
      </c>
      <c r="CN78" s="118">
        <f t="shared" si="42"/>
        <v>-90</v>
      </c>
      <c r="CO78" s="118">
        <f t="shared" si="42"/>
        <v>-120</v>
      </c>
      <c r="CP78" s="117">
        <f t="shared" si="42"/>
        <v>-230</v>
      </c>
      <c r="CQ78" s="118">
        <f t="shared" ref="CQ78:CV78" si="43">SUM(CQ73:CQ76)</f>
        <v>-120</v>
      </c>
      <c r="CR78" s="118">
        <f t="shared" si="43"/>
        <v>-100</v>
      </c>
      <c r="CS78" s="118">
        <f t="shared" si="43"/>
        <v>-70</v>
      </c>
      <c r="CT78" s="118">
        <f t="shared" si="43"/>
        <v>-83.333333333333329</v>
      </c>
      <c r="CU78" s="117">
        <f t="shared" si="43"/>
        <v>-373.33333333333331</v>
      </c>
      <c r="CV78" s="118">
        <f t="shared" si="43"/>
        <v>-210</v>
      </c>
      <c r="CW78" s="118">
        <f t="shared" ref="CW78:CZ78" si="44">SUM(CW73:CW76)</f>
        <v>-260</v>
      </c>
      <c r="CX78" s="118">
        <f t="shared" si="44"/>
        <v>-215</v>
      </c>
      <c r="CY78" s="118">
        <f t="shared" si="44"/>
        <v>-160</v>
      </c>
      <c r="CZ78" s="117">
        <f t="shared" si="44"/>
        <v>-845</v>
      </c>
      <c r="DA78" s="118">
        <f t="shared" ref="DA78:DD78" si="45">SUM(DA73:DA76)</f>
        <v>-195</v>
      </c>
      <c r="DB78" s="118">
        <f t="shared" si="45"/>
        <v>-235</v>
      </c>
      <c r="DC78" s="118">
        <f t="shared" si="45"/>
        <v>-5559</v>
      </c>
      <c r="DD78" s="118">
        <f t="shared" si="45"/>
        <v>62</v>
      </c>
      <c r="DE78" s="117">
        <f>SUM(DE73:DE77)</f>
        <v>-5697</v>
      </c>
      <c r="DF78" s="118">
        <f>SUM(DF73:DF77)</f>
        <v>0</v>
      </c>
      <c r="DG78" s="118">
        <f t="shared" ref="DG78:DU78" si="46">SUM(DG73:DG77)</f>
        <v>-360</v>
      </c>
      <c r="DH78" s="118">
        <f t="shared" si="46"/>
        <v>-360</v>
      </c>
      <c r="DI78" s="118">
        <f t="shared" si="46"/>
        <v>-350</v>
      </c>
      <c r="DJ78" s="117">
        <f t="shared" si="46"/>
        <v>-1070</v>
      </c>
      <c r="DK78" s="118">
        <f>SUM(DK73:DK77)</f>
        <v>-350</v>
      </c>
      <c r="DL78" s="118">
        <f t="shared" ref="DL78" si="47">SUM(DL73:DL77)</f>
        <v>0</v>
      </c>
      <c r="DM78" s="118">
        <f t="shared" ref="DM78" si="48">SUM(DM73:DM77)</f>
        <v>-263</v>
      </c>
      <c r="DN78" s="118">
        <f t="shared" ref="DN78" si="49">SUM(DN73:DN77)</f>
        <v>-487.5</v>
      </c>
      <c r="DO78" s="117">
        <f t="shared" ref="DO78" si="50">SUM(DO73:DO77)</f>
        <v>-1100.5</v>
      </c>
      <c r="DP78" s="118">
        <f>SUM(DP73:DP77)</f>
        <v>-487.5</v>
      </c>
      <c r="DQ78" s="118">
        <f t="shared" ref="DQ78:DT78" si="51">SUM(DQ73:DQ77)</f>
        <v>-487.5</v>
      </c>
      <c r="DR78" s="118">
        <f t="shared" si="51"/>
        <v>-87.5</v>
      </c>
      <c r="DS78" s="118">
        <f t="shared" si="51"/>
        <v>0</v>
      </c>
      <c r="DT78" s="117">
        <f t="shared" si="51"/>
        <v>-1062.5</v>
      </c>
      <c r="DU78" s="117">
        <f t="shared" si="46"/>
        <v>0</v>
      </c>
      <c r="DV78" s="117">
        <f t="shared" ref="DV78" si="52">SUM(DV73:DV77)</f>
        <v>0</v>
      </c>
    </row>
    <row r="79" spans="2:126" s="92" customFormat="1" hidden="1" outlineLevel="1">
      <c r="C79" s="91"/>
      <c r="D79" s="91"/>
      <c r="E79" s="91"/>
      <c r="F79" s="91"/>
      <c r="G79" s="91"/>
      <c r="H79" s="91"/>
      <c r="I79" s="91"/>
      <c r="N79" s="91"/>
      <c r="S79" s="91"/>
      <c r="X79" s="91"/>
      <c r="AC79" s="91"/>
      <c r="AH79" s="91"/>
      <c r="AM79" s="91"/>
      <c r="AQ79" s="68"/>
      <c r="AR79" s="91"/>
      <c r="AV79" s="68"/>
      <c r="AW79" s="91"/>
      <c r="BB79" s="91"/>
      <c r="BG79" s="91"/>
      <c r="BL79" s="91"/>
      <c r="BQ79" s="91"/>
      <c r="BV79" s="91"/>
      <c r="CA79" s="91"/>
      <c r="CF79" s="91"/>
      <c r="CG79" s="774"/>
      <c r="CH79" s="774"/>
      <c r="CI79" s="774"/>
      <c r="CJ79" s="774"/>
      <c r="CK79" s="91"/>
      <c r="CP79" s="91"/>
      <c r="CU79" s="91"/>
      <c r="CZ79" s="91"/>
      <c r="DE79" s="91"/>
      <c r="DJ79" s="91"/>
      <c r="DO79" s="91"/>
      <c r="DT79" s="91"/>
      <c r="DU79" s="91"/>
      <c r="DV79" s="91"/>
    </row>
    <row r="80" spans="2:126" s="92" customFormat="1" collapsed="1">
      <c r="C80" s="91"/>
      <c r="D80" s="91"/>
      <c r="E80" s="91"/>
      <c r="F80" s="91"/>
      <c r="G80" s="91"/>
      <c r="H80" s="91"/>
      <c r="I80" s="91"/>
      <c r="N80" s="91"/>
      <c r="S80" s="91"/>
      <c r="X80" s="91"/>
      <c r="AC80" s="91"/>
      <c r="AH80" s="91"/>
      <c r="AM80" s="91"/>
      <c r="AN80" s="68"/>
      <c r="AO80" s="68"/>
      <c r="AP80" s="68"/>
      <c r="AQ80" s="68"/>
      <c r="AR80" s="91"/>
      <c r="AS80" s="68"/>
      <c r="AT80" s="68"/>
      <c r="AU80" s="68"/>
      <c r="AV80" s="68"/>
      <c r="AW80" s="91"/>
      <c r="AX80" s="68"/>
      <c r="AY80" s="68"/>
      <c r="AZ80" s="68"/>
      <c r="BA80" s="68"/>
      <c r="BB80" s="91"/>
      <c r="BC80" s="68"/>
      <c r="BD80" s="68"/>
      <c r="BE80" s="68"/>
      <c r="BF80" s="68"/>
      <c r="BG80" s="196"/>
      <c r="BH80" s="68"/>
      <c r="BI80" s="68"/>
      <c r="BJ80" s="68"/>
      <c r="BK80" s="68"/>
      <c r="BL80" s="91"/>
      <c r="BM80" s="68"/>
      <c r="BN80" s="68"/>
      <c r="BO80" s="68"/>
      <c r="BP80" s="68"/>
      <c r="BQ80" s="91"/>
      <c r="BR80" s="68"/>
      <c r="BS80" s="68"/>
      <c r="BT80" s="68"/>
      <c r="BU80" s="68"/>
      <c r="BV80" s="91"/>
      <c r="BW80" s="68"/>
      <c r="BX80" s="68"/>
      <c r="BY80" s="68"/>
      <c r="BZ80" s="68"/>
      <c r="CA80" s="91"/>
      <c r="CB80" s="68"/>
      <c r="CC80" s="68"/>
      <c r="CD80" s="68"/>
      <c r="CE80" s="68"/>
      <c r="CF80" s="91"/>
      <c r="CG80" s="704"/>
      <c r="CH80" s="704"/>
      <c r="CI80" s="704"/>
      <c r="CJ80" s="704"/>
      <c r="CK80" s="91"/>
      <c r="CL80" s="68"/>
      <c r="CM80" s="68"/>
      <c r="CN80" s="720"/>
      <c r="CO80" s="68"/>
      <c r="CP80" s="91"/>
      <c r="CQ80" s="704"/>
      <c r="CR80" s="704"/>
      <c r="CS80" s="704"/>
      <c r="CT80" s="704"/>
      <c r="CU80" s="91"/>
      <c r="CV80" s="68"/>
      <c r="CW80" s="704"/>
      <c r="CX80" s="704"/>
      <c r="CY80" s="704"/>
      <c r="CZ80" s="91"/>
      <c r="DA80" s="704"/>
      <c r="DB80" s="704"/>
      <c r="DC80" s="704"/>
      <c r="DD80" s="704"/>
      <c r="DE80" s="91"/>
      <c r="DF80" s="704"/>
      <c r="DG80" s="704"/>
      <c r="DH80" s="704"/>
      <c r="DI80" s="704"/>
      <c r="DJ80" s="91"/>
      <c r="DK80" s="704"/>
      <c r="DL80" s="704"/>
      <c r="DM80" s="704"/>
      <c r="DN80" s="704"/>
      <c r="DO80" s="91"/>
      <c r="DP80" s="704"/>
      <c r="DQ80" s="704"/>
      <c r="DR80" s="704"/>
      <c r="DS80" s="704"/>
      <c r="DT80" s="91"/>
      <c r="DU80" s="91"/>
      <c r="DV80" s="91"/>
    </row>
    <row r="81" spans="1:126" s="398" customFormat="1">
      <c r="B81" s="182" t="s">
        <v>243</v>
      </c>
      <c r="C81" s="394"/>
      <c r="D81" s="394"/>
      <c r="E81" s="394"/>
      <c r="F81" s="394"/>
      <c r="G81" s="394"/>
      <c r="H81" s="394"/>
      <c r="I81" s="394"/>
      <c r="N81" s="394"/>
      <c r="S81" s="394"/>
      <c r="X81" s="394"/>
      <c r="AC81" s="394"/>
      <c r="AH81" s="394"/>
      <c r="AM81" s="394"/>
      <c r="AR81" s="394"/>
      <c r="AW81" s="394"/>
      <c r="BB81" s="394"/>
      <c r="BG81" s="394"/>
      <c r="BL81" s="394"/>
      <c r="BN81" s="200"/>
      <c r="BQ81" s="394"/>
      <c r="BV81" s="394"/>
      <c r="CA81" s="394"/>
      <c r="CF81" s="181"/>
      <c r="CK81" s="181"/>
      <c r="CP81" s="394"/>
      <c r="CQ81" s="373"/>
      <c r="CR81" s="373"/>
      <c r="CS81" s="373"/>
      <c r="CT81" s="373"/>
      <c r="CU81" s="815"/>
      <c r="CV81" s="373"/>
      <c r="CW81" s="373"/>
      <c r="CX81" s="373"/>
      <c r="CY81" s="373"/>
      <c r="CZ81" s="815"/>
      <c r="DA81" s="373"/>
      <c r="DB81" s="373"/>
      <c r="DC81" s="373"/>
      <c r="DD81" s="373"/>
      <c r="DE81" s="815"/>
      <c r="DF81" s="373"/>
      <c r="DG81" s="373"/>
      <c r="DH81" s="373"/>
      <c r="DI81" s="373"/>
      <c r="DJ81" s="815"/>
      <c r="DK81" s="373"/>
      <c r="DL81" s="373"/>
      <c r="DM81" s="373"/>
      <c r="DN81" s="373"/>
      <c r="DO81" s="815"/>
      <c r="DP81" s="373"/>
      <c r="DQ81" s="373"/>
      <c r="DR81" s="373"/>
      <c r="DS81" s="373"/>
      <c r="DT81" s="815"/>
      <c r="DU81" s="394"/>
      <c r="DV81" s="394"/>
    </row>
    <row r="82" spans="1:126" s="393" customFormat="1" ht="12" customHeight="1">
      <c r="B82" s="201" t="s">
        <v>194</v>
      </c>
      <c r="C82" s="226"/>
      <c r="D82" s="226"/>
      <c r="E82" s="226"/>
      <c r="F82" s="226"/>
      <c r="G82" s="226"/>
      <c r="H82" s="226"/>
      <c r="I82" s="226"/>
      <c r="N82" s="226"/>
      <c r="O82" s="402"/>
      <c r="P82" s="402"/>
      <c r="Q82" s="402"/>
      <c r="R82" s="402"/>
      <c r="S82" s="410">
        <v>0.09</v>
      </c>
      <c r="T82" s="209"/>
      <c r="U82" s="209"/>
      <c r="V82" s="209"/>
      <c r="W82" s="209"/>
      <c r="X82" s="410">
        <v>0.16</v>
      </c>
      <c r="Y82" s="209">
        <v>7.4492211838006139E-2</v>
      </c>
      <c r="Z82" s="209">
        <v>0.13371397139713981</v>
      </c>
      <c r="AA82" s="209">
        <v>9.0999999999999998E-2</v>
      </c>
      <c r="AB82" s="209">
        <v>0.05</v>
      </c>
      <c r="AC82" s="410">
        <v>0.09</v>
      </c>
      <c r="AD82" s="411">
        <v>0.16</v>
      </c>
      <c r="AE82" s="411">
        <v>0.05</v>
      </c>
      <c r="AF82" s="411">
        <v>0.02</v>
      </c>
      <c r="AG82" s="411">
        <v>0.115</v>
      </c>
      <c r="AH82" s="410">
        <v>7.0000000000000007E-2</v>
      </c>
      <c r="AI82" s="411">
        <v>-0.05</v>
      </c>
      <c r="AJ82" s="411">
        <v>-0.08</v>
      </c>
      <c r="AK82" s="411">
        <v>-0.09</v>
      </c>
      <c r="AL82" s="411">
        <v>-9.7000000000000003E-2</v>
      </c>
      <c r="AM82" s="410">
        <v>-0.08</v>
      </c>
      <c r="AN82" s="411">
        <v>-0.12</v>
      </c>
      <c r="AO82" s="411">
        <v>0.01</v>
      </c>
      <c r="AP82" s="411">
        <v>0.04</v>
      </c>
      <c r="AQ82" s="411">
        <v>0.12</v>
      </c>
      <c r="AR82" s="410">
        <v>0</v>
      </c>
      <c r="AS82" s="411">
        <v>0.1</v>
      </c>
      <c r="AT82" s="411">
        <v>0.06</v>
      </c>
      <c r="AU82" s="411">
        <v>0.01</v>
      </c>
      <c r="AV82" s="411">
        <v>0.01</v>
      </c>
      <c r="AW82" s="410">
        <v>0.04</v>
      </c>
      <c r="AX82" s="411">
        <v>0.06</v>
      </c>
      <c r="AY82" s="411">
        <v>0.05</v>
      </c>
      <c r="AZ82" s="411">
        <v>-0.01</v>
      </c>
      <c r="BA82" s="199">
        <v>-0.04</v>
      </c>
      <c r="BB82" s="413">
        <f>(BB14-BB65-BB73)/(AW14)-1</f>
        <v>1.2036818503658342E-2</v>
      </c>
      <c r="BC82" s="199">
        <v>-0.02</v>
      </c>
      <c r="BD82" s="199">
        <v>-0.06</v>
      </c>
      <c r="BE82" s="199">
        <v>0</v>
      </c>
      <c r="BF82" s="199">
        <v>0.13</v>
      </c>
      <c r="BG82" s="413">
        <f>(BG14-BG65-BG73)/(BB14)-1</f>
        <v>-2.7785734746490931E-2</v>
      </c>
      <c r="BH82" s="199">
        <v>0.04</v>
      </c>
      <c r="BI82" s="470">
        <v>0.01</v>
      </c>
      <c r="BJ82" s="470">
        <v>0.05</v>
      </c>
      <c r="BK82" s="199">
        <f>(BK14-BK65-BK73)/(BF14)-1</f>
        <v>-1.6140865737344079E-2</v>
      </c>
      <c r="BL82" s="413">
        <f>(BL14-BL65-BL73)/(BG14)-1</f>
        <v>5.1720570995104076E-3</v>
      </c>
      <c r="BM82" s="199">
        <v>0</v>
      </c>
      <c r="BN82" s="199">
        <v>0.02</v>
      </c>
      <c r="BO82" s="199">
        <v>-0.08</v>
      </c>
      <c r="BP82" s="199">
        <v>0</v>
      </c>
      <c r="BQ82" s="413">
        <f>(BQ14-BQ65-BQ73)/(BL14)-1</f>
        <v>-2.9363110008271298E-2</v>
      </c>
      <c r="BR82" s="199">
        <v>0.08</v>
      </c>
      <c r="BS82" s="461">
        <v>0.04</v>
      </c>
      <c r="BT82" s="199">
        <v>0.13</v>
      </c>
      <c r="BU82" s="199">
        <v>0</v>
      </c>
      <c r="BV82" s="413">
        <f>(BV14-BV65-BV73)/(BQ14)-1</f>
        <v>5.7662263882971132E-2</v>
      </c>
      <c r="BW82" s="199">
        <v>0.04</v>
      </c>
      <c r="BX82" s="199">
        <v>0.06</v>
      </c>
      <c r="BY82" s="199">
        <v>0.15</v>
      </c>
      <c r="BZ82" s="199">
        <v>0.11</v>
      </c>
      <c r="CA82" s="236">
        <f>(CA14-CA65-CA73)/(BV14)-1</f>
        <v>0.11085000671411316</v>
      </c>
      <c r="CB82" s="199">
        <v>0.09</v>
      </c>
      <c r="CC82" s="199">
        <v>0.12</v>
      </c>
      <c r="CD82" s="199">
        <v>0.13</v>
      </c>
      <c r="CE82" s="199">
        <v>0.13</v>
      </c>
      <c r="CF82" s="236">
        <f>(CF14-CF65-CF73)/(CA14)-1-CF90</f>
        <v>0.17237836204291335</v>
      </c>
      <c r="CG82" s="199">
        <v>0.12</v>
      </c>
      <c r="CH82" s="199">
        <v>0.09</v>
      </c>
      <c r="CI82" s="199">
        <v>0.11</v>
      </c>
      <c r="CJ82" s="199">
        <v>0.02</v>
      </c>
      <c r="CK82" s="236">
        <f>(CK14-CK65-CK73)/(CF14)-1-CK90</f>
        <v>7.758931793576318E-2</v>
      </c>
      <c r="CL82" s="199">
        <f t="shared" ref="CL82:DG82" si="53">(CL14-CL65-CL73)/(CG14)-1</f>
        <v>0.11104192611041919</v>
      </c>
      <c r="CM82" s="199">
        <f t="shared" si="53"/>
        <v>-0.32343810632518433</v>
      </c>
      <c r="CN82" s="199">
        <f t="shared" si="53"/>
        <v>-0.33888363292336798</v>
      </c>
      <c r="CO82" s="199">
        <f t="shared" si="53"/>
        <v>-0.13374667847652788</v>
      </c>
      <c r="CP82" s="236">
        <f t="shared" si="53"/>
        <v>-0.17596402258157118</v>
      </c>
      <c r="CQ82" s="199">
        <f t="shared" si="53"/>
        <v>-0.24715113020736035</v>
      </c>
      <c r="CR82" s="199">
        <f t="shared" si="53"/>
        <v>0.22741611700602227</v>
      </c>
      <c r="CS82" s="199">
        <f t="shared" si="53"/>
        <v>0.35231825987406973</v>
      </c>
      <c r="CT82" s="199">
        <f t="shared" si="53"/>
        <v>4.6012269938650263E-2</v>
      </c>
      <c r="CU82" s="236">
        <f t="shared" si="53"/>
        <v>5.3762192289828148E-2</v>
      </c>
      <c r="CV82" s="199">
        <f t="shared" si="53"/>
        <v>0.12754342431761789</v>
      </c>
      <c r="CW82" s="199">
        <f t="shared" si="53"/>
        <v>0.16682242990654195</v>
      </c>
      <c r="CX82" s="199">
        <f t="shared" si="53"/>
        <v>0.13862433862433865</v>
      </c>
      <c r="CY82" s="199">
        <f t="shared" si="53"/>
        <v>0.10498533724340176</v>
      </c>
      <c r="CZ82" s="236">
        <f t="shared" si="53"/>
        <v>0.1333333333333333</v>
      </c>
      <c r="DA82" s="199">
        <f t="shared" si="53"/>
        <v>0.15478030470302495</v>
      </c>
      <c r="DB82" s="199">
        <f t="shared" si="53"/>
        <v>0.14731334272489427</v>
      </c>
      <c r="DC82" s="199">
        <f t="shared" si="53"/>
        <v>0.17602230483271386</v>
      </c>
      <c r="DD82" s="199">
        <f t="shared" si="53"/>
        <v>0.13924274593064401</v>
      </c>
      <c r="DE82" s="236">
        <f t="shared" si="53"/>
        <v>0.15426205552849481</v>
      </c>
      <c r="DF82" s="199">
        <f t="shared" si="53"/>
        <v>0.23441682600382419</v>
      </c>
      <c r="DG82" s="199">
        <f t="shared" si="53"/>
        <v>0.1931240133309946</v>
      </c>
      <c r="DH82" s="199">
        <f>(DH14-DH65-DH73)/(DC14-DC12)-1</f>
        <v>0.14414414414414423</v>
      </c>
      <c r="DI82" s="199">
        <f>(DI14-DI65-DI73)/(DD14)-1</f>
        <v>0.17549308898897342</v>
      </c>
      <c r="DJ82" s="236">
        <f>(DJ14-DJ65-DJ73)/(DE14-DE12)-1</f>
        <v>0.18436932945098539</v>
      </c>
      <c r="DK82" s="199">
        <f>(DK14-DK65-DK73)/(DF14)-1</f>
        <v>0.14095415117719945</v>
      </c>
      <c r="DL82" s="199">
        <f>(DL14-DL65-DL73)/(DG14)-1</f>
        <v>0.1218759188473979</v>
      </c>
      <c r="DM82" s="199">
        <f>(DM14-DM65-DM73)/(DH14)-1</f>
        <v>0.16355850255560167</v>
      </c>
      <c r="DN82" s="57">
        <v>0.125</v>
      </c>
      <c r="DO82" s="236">
        <f>(DO14-DO65-DO73)/(DJ14-DJ12)-1</f>
        <v>0.13785808451507164</v>
      </c>
      <c r="DP82" s="57">
        <v>9.5000000000000001E-2</v>
      </c>
      <c r="DQ82" s="57">
        <v>9.1999999999999998E-2</v>
      </c>
      <c r="DR82" s="57">
        <v>9.0999999999999998E-2</v>
      </c>
      <c r="DS82" s="57">
        <v>9.4E-2</v>
      </c>
      <c r="DT82" s="236">
        <f>(DT14-DT65-DT73)/(DO14-DO12)-1</f>
        <v>9.2961488329856401E-2</v>
      </c>
      <c r="DU82" s="58">
        <v>8.2000000000000003E-2</v>
      </c>
      <c r="DV82" s="58">
        <v>7.0999999999999994E-2</v>
      </c>
    </row>
    <row r="83" spans="1:126" s="393" customFormat="1" ht="12" customHeight="1">
      <c r="B83" s="201" t="s">
        <v>472</v>
      </c>
      <c r="C83" s="226"/>
      <c r="D83" s="226"/>
      <c r="E83" s="226"/>
      <c r="F83" s="226"/>
      <c r="G83" s="226"/>
      <c r="H83" s="226"/>
      <c r="I83" s="226"/>
      <c r="N83" s="226"/>
      <c r="O83" s="402"/>
      <c r="P83" s="402"/>
      <c r="Q83" s="402"/>
      <c r="R83" s="402"/>
      <c r="S83" s="410">
        <v>0.06</v>
      </c>
      <c r="T83" s="209"/>
      <c r="U83" s="209"/>
      <c r="V83" s="209"/>
      <c r="W83" s="209"/>
      <c r="X83" s="410">
        <v>0.13</v>
      </c>
      <c r="Y83" s="209">
        <v>0.11400687285223367</v>
      </c>
      <c r="Z83" s="209">
        <v>7.0018735362997769E-2</v>
      </c>
      <c r="AA83" s="209">
        <v>9.9000000000000005E-2</v>
      </c>
      <c r="AB83" s="209">
        <v>0.1</v>
      </c>
      <c r="AC83" s="410">
        <v>0.09</v>
      </c>
      <c r="AD83" s="411">
        <v>7.0000000000000007E-2</v>
      </c>
      <c r="AE83" s="411">
        <v>0.14000000000000001</v>
      </c>
      <c r="AF83" s="411">
        <v>7.0000000000000007E-2</v>
      </c>
      <c r="AG83" s="411">
        <v>3.4000000000000002E-2</v>
      </c>
      <c r="AH83" s="410">
        <v>0.09</v>
      </c>
      <c r="AI83" s="411">
        <v>0</v>
      </c>
      <c r="AJ83" s="411">
        <v>-0.09</v>
      </c>
      <c r="AK83" s="411">
        <v>-0.09</v>
      </c>
      <c r="AL83" s="411">
        <v>-8.6999999999999994E-2</v>
      </c>
      <c r="AM83" s="410">
        <v>-7.0000000000000007E-2</v>
      </c>
      <c r="AN83" s="411">
        <v>-0.05</v>
      </c>
      <c r="AO83" s="411">
        <v>-0.01</v>
      </c>
      <c r="AP83" s="411">
        <v>0.04</v>
      </c>
      <c r="AQ83" s="411">
        <v>6.7316384180790875E-2</v>
      </c>
      <c r="AR83" s="410">
        <v>0.01</v>
      </c>
      <c r="AS83" s="411">
        <v>0.09</v>
      </c>
      <c r="AT83" s="411">
        <v>0.08</v>
      </c>
      <c r="AU83" s="411">
        <v>7.0000000000000007E-2</v>
      </c>
      <c r="AV83" s="411">
        <v>0.12</v>
      </c>
      <c r="AW83" s="410">
        <v>0.09</v>
      </c>
      <c r="AX83" s="411">
        <v>0.1</v>
      </c>
      <c r="AY83" s="411">
        <v>0.09</v>
      </c>
      <c r="AZ83" s="411">
        <v>0.06</v>
      </c>
      <c r="BA83" s="199">
        <v>0.04</v>
      </c>
      <c r="BB83" s="413">
        <f>(BB26-BB66+BB74)/(AW26)-1</f>
        <v>7.3319327731092399E-2</v>
      </c>
      <c r="BC83" s="199">
        <v>0</v>
      </c>
      <c r="BD83" s="199">
        <v>0.01</v>
      </c>
      <c r="BE83" s="199">
        <v>0.02</v>
      </c>
      <c r="BF83" s="199">
        <v>0.09</v>
      </c>
      <c r="BG83" s="413">
        <f>(BG26-BG66-BG74)/(BB26)-1</f>
        <v>6.1555075593952457E-2</v>
      </c>
      <c r="BH83" s="199">
        <v>0.06</v>
      </c>
      <c r="BI83" s="470">
        <v>0.09</v>
      </c>
      <c r="BJ83" s="470">
        <v>0.06</v>
      </c>
      <c r="BK83" s="199">
        <f>(BK26-BK66-BK74)/(BF26)-1</f>
        <v>4.8681541582150212E-2</v>
      </c>
      <c r="BL83" s="413">
        <f>(BL26-BL66-BL74)/(BG26)-1</f>
        <v>6.6906420918558585E-2</v>
      </c>
      <c r="BM83" s="199">
        <v>7.0000000000000007E-2</v>
      </c>
      <c r="BN83" s="199">
        <v>0.02</v>
      </c>
      <c r="BO83" s="199">
        <v>0</v>
      </c>
      <c r="BP83" s="199">
        <v>0.04</v>
      </c>
      <c r="BQ83" s="413">
        <f>(BQ26-BQ66-BQ74)/(BL26)-1</f>
        <v>-8.5121350685894992E-3</v>
      </c>
      <c r="BR83" s="199">
        <v>-0.01</v>
      </c>
      <c r="BS83" s="461">
        <v>0.02</v>
      </c>
      <c r="BT83" s="199">
        <v>0.06</v>
      </c>
      <c r="BU83" s="199">
        <v>0</v>
      </c>
      <c r="BV83" s="413">
        <f>(BV26-BV66-BV74)/(BQ26)-1</f>
        <v>2.6323258124024473E-2</v>
      </c>
      <c r="BW83" s="199">
        <v>0.05</v>
      </c>
      <c r="BX83" s="199">
        <v>-0.01</v>
      </c>
      <c r="BY83" s="199">
        <v>0</v>
      </c>
      <c r="BZ83" s="199">
        <v>0.05</v>
      </c>
      <c r="CA83" s="236">
        <f>(CA26-CA66-CA74)/(BV26)-1</f>
        <v>1.5623919806429409E-2</v>
      </c>
      <c r="CB83" s="199">
        <v>0.05</v>
      </c>
      <c r="CC83" s="199">
        <v>0.08</v>
      </c>
      <c r="CD83" s="199">
        <v>0.09</v>
      </c>
      <c r="CE83" s="199">
        <v>0.09</v>
      </c>
      <c r="CF83" s="236">
        <f>(CF26-CF66-CF74)/(CA26)-1-CF91</f>
        <v>0.14367367776189499</v>
      </c>
      <c r="CG83" s="199">
        <v>0.1</v>
      </c>
      <c r="CH83" s="199">
        <v>0.09</v>
      </c>
      <c r="CI83" s="199">
        <v>7.0000000000000007E-2</v>
      </c>
      <c r="CJ83" s="199">
        <v>0.01</v>
      </c>
      <c r="CK83" s="236">
        <f>(CK26-CK66-CK74)/(CF26)-1-CK91</f>
        <v>7.2479294573323916E-2</v>
      </c>
      <c r="CL83" s="199">
        <f t="shared" ref="CL83:DM83" si="54">(CL26-CL66-CL74)/(CG26)-1</f>
        <v>-0.23399742868947926</v>
      </c>
      <c r="CM83" s="199">
        <f t="shared" si="54"/>
        <v>-0.24265578147533706</v>
      </c>
      <c r="CN83" s="199">
        <f t="shared" si="54"/>
        <v>-0.22137860190152359</v>
      </c>
      <c r="CO83" s="199">
        <f t="shared" si="54"/>
        <v>0.10452881616803089</v>
      </c>
      <c r="CP83" s="236">
        <f t="shared" si="54"/>
        <v>-0.14922391270938984</v>
      </c>
      <c r="CQ83" s="199">
        <f t="shared" si="54"/>
        <v>1.8539146351924884E-2</v>
      </c>
      <c r="CR83" s="199">
        <f t="shared" si="54"/>
        <v>2.6152462101537655E-2</v>
      </c>
      <c r="CS83" s="199">
        <f t="shared" si="54"/>
        <v>1.526940628079454E-2</v>
      </c>
      <c r="CT83" s="199">
        <f t="shared" si="54"/>
        <v>-0.12464674461036962</v>
      </c>
      <c r="CU83" s="236">
        <f t="shared" si="54"/>
        <v>-2.624039292373459E-2</v>
      </c>
      <c r="CV83" s="199">
        <f t="shared" si="54"/>
        <v>0.10007759485413459</v>
      </c>
      <c r="CW83" s="199">
        <f t="shared" si="54"/>
        <v>0.12702365429317419</v>
      </c>
      <c r="CX83" s="199">
        <f t="shared" si="54"/>
        <v>0.14397222892330697</v>
      </c>
      <c r="CY83" s="199">
        <f t="shared" si="54"/>
        <v>1.2904204201797498E-2</v>
      </c>
      <c r="CZ83" s="236">
        <f t="shared" si="54"/>
        <v>9.1480711043872898E-2</v>
      </c>
      <c r="DA83" s="199">
        <f t="shared" si="54"/>
        <v>0.1203433162892622</v>
      </c>
      <c r="DB83" s="199">
        <f t="shared" si="54"/>
        <v>0.13808423671583436</v>
      </c>
      <c r="DC83" s="199">
        <f t="shared" si="54"/>
        <v>0.14935292060160887</v>
      </c>
      <c r="DD83" s="199">
        <f t="shared" si="54"/>
        <v>0.12469908521906592</v>
      </c>
      <c r="DE83" s="236">
        <f t="shared" si="54"/>
        <v>0.13304702411938218</v>
      </c>
      <c r="DF83" s="199">
        <f t="shared" si="54"/>
        <v>9.0359477124182908E-2</v>
      </c>
      <c r="DG83" s="199">
        <f t="shared" si="54"/>
        <v>9.6334586466165328E-2</v>
      </c>
      <c r="DH83" s="199">
        <f t="shared" si="54"/>
        <v>6.2754563282546361E-2</v>
      </c>
      <c r="DI83" s="199">
        <f t="shared" si="54"/>
        <v>5.856741573033708E-2</v>
      </c>
      <c r="DJ83" s="236">
        <f t="shared" si="54"/>
        <v>7.621986058736141E-2</v>
      </c>
      <c r="DK83" s="199">
        <f t="shared" si="54"/>
        <v>8.152255357410465E-2</v>
      </c>
      <c r="DL83" s="199">
        <f t="shared" si="54"/>
        <v>8.9012716102300438E-2</v>
      </c>
      <c r="DM83" s="199">
        <f t="shared" si="54"/>
        <v>0.11434628975265015</v>
      </c>
      <c r="DN83" s="57">
        <v>5.3999999999999999E-2</v>
      </c>
      <c r="DO83" s="236">
        <f>(DO26-DO66-DO74)/(DJ26)-1</f>
        <v>8.4252510253146617E-2</v>
      </c>
      <c r="DP83" s="57">
        <v>0.06</v>
      </c>
      <c r="DQ83" s="57">
        <v>7.0000000000000007E-2</v>
      </c>
      <c r="DR83" s="57">
        <v>0.06</v>
      </c>
      <c r="DS83" s="57">
        <v>6.3E-2</v>
      </c>
      <c r="DT83" s="236">
        <f>(DT26-DT66-DT74)/(DO26)-1</f>
        <v>6.3295489131114158E-2</v>
      </c>
      <c r="DU83" s="58">
        <v>5.8000000000000003E-2</v>
      </c>
      <c r="DV83" s="58">
        <v>5.1999999999999998E-2</v>
      </c>
    </row>
    <row r="84" spans="1:126" s="393" customFormat="1" ht="12" hidden="1" customHeight="1" outlineLevel="1">
      <c r="B84" s="180" t="s">
        <v>570</v>
      </c>
      <c r="C84" s="226"/>
      <c r="D84" s="226"/>
      <c r="E84" s="226"/>
      <c r="F84" s="226"/>
      <c r="G84" s="226"/>
      <c r="H84" s="226"/>
      <c r="I84" s="226"/>
      <c r="N84" s="226"/>
      <c r="O84" s="402"/>
      <c r="P84" s="402"/>
      <c r="Q84" s="402"/>
      <c r="R84" s="402"/>
      <c r="S84" s="410"/>
      <c r="T84" s="209"/>
      <c r="U84" s="209"/>
      <c r="V84" s="209"/>
      <c r="W84" s="209"/>
      <c r="X84" s="410"/>
      <c r="Y84" s="209"/>
      <c r="Z84" s="209"/>
      <c r="AA84" s="209"/>
      <c r="AB84" s="209"/>
      <c r="AC84" s="410"/>
      <c r="AD84" s="411"/>
      <c r="AE84" s="411"/>
      <c r="AF84" s="411"/>
      <c r="AG84" s="411"/>
      <c r="AH84" s="410"/>
      <c r="AI84" s="411"/>
      <c r="AJ84" s="411"/>
      <c r="AK84" s="411"/>
      <c r="AL84" s="411"/>
      <c r="AM84" s="410"/>
      <c r="AN84" s="411"/>
      <c r="AO84" s="411"/>
      <c r="AP84" s="411"/>
      <c r="AQ84" s="411"/>
      <c r="AR84" s="410"/>
      <c r="AS84" s="411"/>
      <c r="AT84" s="411"/>
      <c r="AU84" s="411"/>
      <c r="AV84" s="411"/>
      <c r="AW84" s="410"/>
      <c r="AX84" s="411"/>
      <c r="AY84" s="411"/>
      <c r="AZ84" s="411"/>
      <c r="BA84" s="199"/>
      <c r="BB84" s="413"/>
      <c r="BC84" s="199"/>
      <c r="BD84" s="199"/>
      <c r="BE84" s="199"/>
      <c r="BF84" s="199"/>
      <c r="BG84" s="413">
        <f t="shared" ref="BG84:CL84" si="55">(BG41-BG67-BG75)/BB41-1</f>
        <v>-7.5379996960024398E-2</v>
      </c>
      <c r="BH84" s="199">
        <f t="shared" si="55"/>
        <v>-8.217853689977439E-2</v>
      </c>
      <c r="BI84" s="470">
        <f t="shared" si="55"/>
        <v>-5.2351097178683359E-2</v>
      </c>
      <c r="BJ84" s="470">
        <f t="shared" si="55"/>
        <v>-3.0471821756225426E-2</v>
      </c>
      <c r="BK84" s="199">
        <f t="shared" si="55"/>
        <v>3.0500379897970165E-2</v>
      </c>
      <c r="BL84" s="413">
        <f t="shared" si="55"/>
        <v>-3.393470790378017E-2</v>
      </c>
      <c r="BM84" s="199">
        <f t="shared" si="55"/>
        <v>-2.7738764044943798E-2</v>
      </c>
      <c r="BN84" s="199">
        <f t="shared" si="55"/>
        <v>-3.1177638107839911E-2</v>
      </c>
      <c r="BO84" s="199">
        <f t="shared" si="55"/>
        <v>-4.6552889489692495E-2</v>
      </c>
      <c r="BP84" s="199">
        <f t="shared" si="55"/>
        <v>-7.1529080675422185E-2</v>
      </c>
      <c r="BQ84" s="413">
        <f t="shared" si="55"/>
        <v>-4.4874459594280047E-2</v>
      </c>
      <c r="BR84" s="199">
        <f t="shared" si="55"/>
        <v>6.2078751330258974E-3</v>
      </c>
      <c r="BS84" s="461">
        <f t="shared" si="55"/>
        <v>3.0481727574750872E-2</v>
      </c>
      <c r="BT84" s="199">
        <f t="shared" si="55"/>
        <v>5.0927487352445233E-2</v>
      </c>
      <c r="BU84" s="199">
        <f t="shared" si="55"/>
        <v>6.4246707356252486E-4</v>
      </c>
      <c r="BV84" s="413">
        <f t="shared" si="55"/>
        <v>2.2024859326446711E-2</v>
      </c>
      <c r="BW84" s="199">
        <f t="shared" si="55"/>
        <v>3.9585457016649617E-2</v>
      </c>
      <c r="BX84" s="199">
        <f t="shared" si="55"/>
        <v>-8.153026026967658E-3</v>
      </c>
      <c r="BY84" s="199">
        <f t="shared" si="55"/>
        <v>2.8744809964866835E-3</v>
      </c>
      <c r="BZ84" s="199">
        <f t="shared" si="55"/>
        <v>3.5782747603833931E-2</v>
      </c>
      <c r="CA84" s="236">
        <f t="shared" si="55"/>
        <v>1.7267812474784261E-2</v>
      </c>
      <c r="CB84" s="199">
        <f t="shared" si="55"/>
        <v>-6.3814500326583978E-2</v>
      </c>
      <c r="CC84" s="199">
        <f t="shared" si="55"/>
        <v>-4.9965222889661653E-2</v>
      </c>
      <c r="CD84" s="199">
        <f t="shared" si="55"/>
        <v>7.7070063694262281E-4</v>
      </c>
      <c r="CE84" s="199">
        <f t="shared" si="55"/>
        <v>2.2921036397285599E-2</v>
      </c>
      <c r="CF84" s="236">
        <f t="shared" si="55"/>
        <v>-2.1948917268184265E-2</v>
      </c>
      <c r="CG84" s="199">
        <f>(3430-CG67-CG75)/CB41-1</f>
        <v>7.6825396825396908E-2</v>
      </c>
      <c r="CH84" s="199">
        <f>(3594-CH67-CH75)/CC41-1</f>
        <v>7.3511543134872515E-2</v>
      </c>
      <c r="CI84" s="199">
        <f>(3794-CI67-CI75)/CD41-1</f>
        <v>8.6412569100960068E-2</v>
      </c>
      <c r="CJ84" s="199">
        <f>(3760-CJ67-CJ75)/CE41-1</f>
        <v>3.0353661932609244E-2</v>
      </c>
      <c r="CK84" s="236">
        <f>(14578-CK67-CK75)/CF41-1</f>
        <v>6.6072754268745371E-2</v>
      </c>
      <c r="CL84" s="199">
        <f t="shared" si="55"/>
        <v>7.47718575213423E-2</v>
      </c>
      <c r="CM84" s="199">
        <f t="shared" ref="CM84:DD84" si="56">(CM41-CM67-CM75)/CH41-1</f>
        <v>1.7992690469496697E-2</v>
      </c>
      <c r="CN84" s="199">
        <f t="shared" si="56"/>
        <v>3.4565275192768308E-3</v>
      </c>
      <c r="CO84" s="199">
        <f t="shared" si="56"/>
        <v>6.24664879356569E-2</v>
      </c>
      <c r="CP84" s="236">
        <f t="shared" si="56"/>
        <v>3.9044652128764179E-2</v>
      </c>
      <c r="CQ84" s="199">
        <f t="shared" si="56"/>
        <v>3.237214363438512E-2</v>
      </c>
      <c r="CR84" s="199">
        <f t="shared" si="56"/>
        <v>5.6650930297139634E-2</v>
      </c>
      <c r="CS84" s="199">
        <f t="shared" si="56"/>
        <v>-2.4006401707121761E-3</v>
      </c>
      <c r="CT84" s="199">
        <f t="shared" si="56"/>
        <v>5.1699296550555829E-3</v>
      </c>
      <c r="CU84" s="236">
        <f>(CU41-CU67-CU75)/CP41-1</f>
        <v>2.2349978831027073E-2</v>
      </c>
      <c r="CV84" s="199">
        <f t="shared" si="56"/>
        <v>-3.4528552456839501E-3</v>
      </c>
      <c r="CW84" s="199">
        <f t="shared" si="56"/>
        <v>-9.1984231274638839E-3</v>
      </c>
      <c r="CX84" s="199">
        <f t="shared" si="56"/>
        <v>2.2994652406417071E-2</v>
      </c>
      <c r="CY84" s="199">
        <f t="shared" si="56"/>
        <v>-4.6770025839793283E-2</v>
      </c>
      <c r="CZ84" s="236">
        <f>(CZ41-CZ67-CZ75)/CU41-1</f>
        <v>-9.4202898550724834E-3</v>
      </c>
      <c r="DA84" s="199">
        <f t="shared" si="56"/>
        <v>4.8432250839865576E-2</v>
      </c>
      <c r="DB84" s="199">
        <f t="shared" si="56"/>
        <v>7.9831932773109182E-2</v>
      </c>
      <c r="DC84" s="199">
        <f t="shared" si="56"/>
        <v>-0.94484280198565918</v>
      </c>
      <c r="DD84" s="199">
        <f t="shared" si="56"/>
        <v>-0.99012415349887128</v>
      </c>
      <c r="DE84" s="236">
        <f>(DE41-DE67-DE75)/CZ41-1</f>
        <v>-0.49552822806036889</v>
      </c>
      <c r="DF84" s="199">
        <f t="shared" ref="DF84:DH84" si="57">(DF41-DF67-DF75)/DA41-1</f>
        <v>-1</v>
      </c>
      <c r="DG84" s="199">
        <f t="shared" si="57"/>
        <v>-1</v>
      </c>
      <c r="DH84" s="199" t="e">
        <f t="shared" si="57"/>
        <v>#DIV/0!</v>
      </c>
      <c r="DI84" s="57">
        <v>4.5999999999999999E-2</v>
      </c>
      <c r="DJ84" s="236">
        <f>(DJ41-DJ67-DJ75)/DE41-1</f>
        <v>-1</v>
      </c>
      <c r="DK84" s="57">
        <v>3.5000000000000003E-2</v>
      </c>
      <c r="DL84" s="57"/>
      <c r="DM84" s="199"/>
      <c r="DN84" s="57"/>
      <c r="DO84" s="236"/>
      <c r="DP84" s="57"/>
      <c r="DQ84" s="57"/>
      <c r="DR84" s="57"/>
      <c r="DS84" s="57"/>
      <c r="DT84" s="236"/>
      <c r="DU84" s="58"/>
      <c r="DV84" s="58"/>
    </row>
    <row r="85" spans="1:126" s="393" customFormat="1" ht="12" hidden="1" customHeight="1" outlineLevel="1">
      <c r="B85" s="180" t="s">
        <v>569</v>
      </c>
      <c r="C85" s="226"/>
      <c r="D85" s="226"/>
      <c r="E85" s="226"/>
      <c r="F85" s="226"/>
      <c r="G85" s="226"/>
      <c r="H85" s="226"/>
      <c r="I85" s="226"/>
      <c r="N85" s="226"/>
      <c r="O85" s="402"/>
      <c r="P85" s="402"/>
      <c r="Q85" s="402"/>
      <c r="R85" s="402"/>
      <c r="S85" s="410"/>
      <c r="T85" s="209"/>
      <c r="U85" s="209"/>
      <c r="V85" s="209"/>
      <c r="W85" s="209"/>
      <c r="X85" s="410"/>
      <c r="Y85" s="209"/>
      <c r="Z85" s="209"/>
      <c r="AA85" s="209"/>
      <c r="AB85" s="209"/>
      <c r="AC85" s="410"/>
      <c r="AD85" s="411"/>
      <c r="AE85" s="411"/>
      <c r="AF85" s="411"/>
      <c r="AG85" s="411"/>
      <c r="AH85" s="410"/>
      <c r="AI85" s="411"/>
      <c r="AJ85" s="411"/>
      <c r="AK85" s="411"/>
      <c r="AL85" s="411"/>
      <c r="AM85" s="410"/>
      <c r="AN85" s="411"/>
      <c r="AO85" s="411"/>
      <c r="AP85" s="411"/>
      <c r="AQ85" s="411"/>
      <c r="AR85" s="410"/>
      <c r="AS85" s="411"/>
      <c r="AT85" s="411"/>
      <c r="AU85" s="411"/>
      <c r="AV85" s="411"/>
      <c r="AW85" s="410"/>
      <c r="AX85" s="411"/>
      <c r="AY85" s="411"/>
      <c r="AZ85" s="411"/>
      <c r="BA85" s="199"/>
      <c r="BB85" s="507"/>
      <c r="BC85" s="199"/>
      <c r="BD85" s="199"/>
      <c r="BE85" s="199"/>
      <c r="BF85" s="199"/>
      <c r="BG85" s="413">
        <f>(BG48-BG68-BG76)/BB48-1</f>
        <v>-3.2746934734597666E-3</v>
      </c>
      <c r="BH85" s="199">
        <f t="shared" ref="BH85:CP85" si="58">(BH48-BH68-BH76)/BC48-1</f>
        <v>-5.4764851485148536E-2</v>
      </c>
      <c r="BI85" s="470">
        <f t="shared" si="58"/>
        <v>-9.4693638229258248E-2</v>
      </c>
      <c r="BJ85" s="470">
        <f t="shared" si="58"/>
        <v>-0.10284126003705996</v>
      </c>
      <c r="BK85" s="199">
        <f t="shared" si="58"/>
        <v>4.3342687870283836E-2</v>
      </c>
      <c r="BL85" s="413">
        <f t="shared" si="58"/>
        <v>-5.3025672371638133E-2</v>
      </c>
      <c r="BM85" s="199">
        <f t="shared" si="58"/>
        <v>-9.001636661211132E-2</v>
      </c>
      <c r="BN85" s="199">
        <f t="shared" si="58"/>
        <v>1.1658031088082943E-2</v>
      </c>
      <c r="BO85" s="199">
        <f t="shared" si="58"/>
        <v>5.4044750430292554E-2</v>
      </c>
      <c r="BP85" s="199">
        <f t="shared" si="58"/>
        <v>2.7196652719665204E-2</v>
      </c>
      <c r="BQ85" s="413">
        <f t="shared" si="58"/>
        <v>7.261578182991002E-4</v>
      </c>
      <c r="BR85" s="199">
        <f t="shared" si="58"/>
        <v>9.9640287769784175E-2</v>
      </c>
      <c r="BS85" s="461">
        <f t="shared" si="58"/>
        <v>-2.208706786171577E-2</v>
      </c>
      <c r="BT85" s="199">
        <f t="shared" si="58"/>
        <v>2.3514043109079008E-2</v>
      </c>
      <c r="BU85" s="199">
        <f t="shared" si="58"/>
        <v>-3.9569391911550733E-2</v>
      </c>
      <c r="BV85" s="413">
        <f t="shared" si="58"/>
        <v>1.1610094332016541E-2</v>
      </c>
      <c r="BW85" s="199">
        <f t="shared" si="58"/>
        <v>3.1730454694144594E-2</v>
      </c>
      <c r="BX85" s="199">
        <f t="shared" si="58"/>
        <v>0.10081833060556455</v>
      </c>
      <c r="BY85" s="199">
        <f t="shared" si="58"/>
        <v>6.4454371410338274E-2</v>
      </c>
      <c r="BZ85" s="199">
        <f t="shared" si="58"/>
        <v>0.13238412602241745</v>
      </c>
      <c r="CA85" s="236">
        <f t="shared" si="58"/>
        <v>8.320714114927874E-2</v>
      </c>
      <c r="CB85" s="199">
        <f t="shared" si="58"/>
        <v>5.802155992390623E-2</v>
      </c>
      <c r="CC85" s="199">
        <f t="shared" si="58"/>
        <v>6.0065417781742569E-2</v>
      </c>
      <c r="CD85" s="199">
        <f t="shared" si="58"/>
        <v>7.1642685851319055E-2</v>
      </c>
      <c r="CE85" s="199">
        <f t="shared" si="58"/>
        <v>7.0358480470839924E-2</v>
      </c>
      <c r="CF85" s="236">
        <f t="shared" si="58"/>
        <v>6.5263777499816156E-2</v>
      </c>
      <c r="CG85" s="199">
        <f>(3556-CG68-CG76)/CB48-1</f>
        <v>6.5627809409649407E-2</v>
      </c>
      <c r="CH85" s="199">
        <f>(3851-CH68-CH76)/CC48-1</f>
        <v>8.0224403927068755E-2</v>
      </c>
      <c r="CI85" s="199">
        <f>(3920-CI68-CI76)/CD48-1</f>
        <v>9.6503496503496544E-2</v>
      </c>
      <c r="CJ85" s="199">
        <f>(4326-CJ68-CJ76)/CE48-1</f>
        <v>8.1229692576855861E-2</v>
      </c>
      <c r="CK85" s="236">
        <f>(15653-CK68-CK76)/CF48-1</f>
        <v>8.1157618455587777E-2</v>
      </c>
      <c r="CL85" s="199">
        <f t="shared" si="58"/>
        <v>6.3086104006820021E-2</v>
      </c>
      <c r="CM85" s="199">
        <f>(CM48-CM68-CM76)/CH48-1</f>
        <v>-2.4185068349106165E-2</v>
      </c>
      <c r="CN85" s="199">
        <f>(CN48-CN68-CN76)/CI48-1</f>
        <v>-4.5337454920144293E-2</v>
      </c>
      <c r="CO85" s="199">
        <f>(CO48-CO68-CO76)/CJ48-1</f>
        <v>-2.4481231056190267E-2</v>
      </c>
      <c r="CP85" s="236">
        <f t="shared" si="58"/>
        <v>-9.7457080160061604E-3</v>
      </c>
      <c r="CQ85" s="199">
        <f>(CQ48-CQ68-CQ76)/CL48-1</f>
        <v>1.3900026730820692E-2</v>
      </c>
      <c r="CR85" s="199">
        <f>(CR48-CR68-CR76)/CM48-1</f>
        <v>7.3545258620689724E-2</v>
      </c>
      <c r="CS85" s="199">
        <f>(CS48-CS68-CS76)/CN48-1</f>
        <v>5.2887209929843415E-2</v>
      </c>
      <c r="CT85" s="199">
        <f>(CT48-CT68-CT76)/CO48-1</f>
        <v>-7.767686424474185E-2</v>
      </c>
      <c r="CU85" s="236">
        <f t="shared" ref="CU85" si="59">(CU48-CU68-CU76)/CP48-1</f>
        <v>1.2774555171739532E-2</v>
      </c>
      <c r="CV85" s="199">
        <f>(CV48-CV68-CV76)/CQ48-1</f>
        <v>-7.0129185341418432E-2</v>
      </c>
      <c r="CW85" s="199">
        <f>(CW48-CW68-CW76)/CR48-1</f>
        <v>-0.10338770388958596</v>
      </c>
      <c r="CX85" s="199">
        <f>(CX48-CX68-CX76)/CS48-1</f>
        <v>-5.356227575602257E-2</v>
      </c>
      <c r="CY85" s="199">
        <f>(CY48-CY68-CY76)/CT48-1</f>
        <v>6.6338429644985819E-2</v>
      </c>
      <c r="CZ85" s="236">
        <f t="shared" ref="CZ85" si="60">(CZ48-CZ68-CZ76)/CU48-1</f>
        <v>-4.0607503700366809E-2</v>
      </c>
      <c r="DA85" s="199">
        <f t="shared" ref="DA85:DH85" si="61">(DA48-DA68-DA76)/CV48-1</f>
        <v>4.0827899064360684E-2</v>
      </c>
      <c r="DB85" s="199">
        <f t="shared" si="61"/>
        <v>0.12844294547498603</v>
      </c>
      <c r="DC85" s="199">
        <f t="shared" si="61"/>
        <v>-0.99592169657422513</v>
      </c>
      <c r="DD85" s="199">
        <f t="shared" si="61"/>
        <v>-0.99634146341463414</v>
      </c>
      <c r="DE85" s="236">
        <f t="shared" si="61"/>
        <v>-0.4838861602637422</v>
      </c>
      <c r="DF85" s="199">
        <f t="shared" si="61"/>
        <v>-1</v>
      </c>
      <c r="DG85" s="199">
        <f t="shared" si="61"/>
        <v>-1</v>
      </c>
      <c r="DH85" s="199" t="e">
        <f t="shared" si="61"/>
        <v>#DIV/0!</v>
      </c>
      <c r="DI85" s="57">
        <v>0.04</v>
      </c>
      <c r="DJ85" s="236">
        <f>(DJ48-DJ68-DJ76)/DE48-1</f>
        <v>-1</v>
      </c>
      <c r="DK85" s="57">
        <v>0.04</v>
      </c>
      <c r="DL85" s="57"/>
      <c r="DM85" s="199"/>
      <c r="DN85" s="57"/>
      <c r="DO85" s="236"/>
      <c r="DP85" s="57"/>
      <c r="DQ85" s="57"/>
      <c r="DR85" s="57"/>
      <c r="DS85" s="57"/>
      <c r="DT85" s="236"/>
      <c r="DU85" s="58"/>
      <c r="DV85" s="58"/>
    </row>
    <row r="86" spans="1:126" s="393" customFormat="1" ht="12" customHeight="1" collapsed="1">
      <c r="B86" s="41" t="s">
        <v>629</v>
      </c>
      <c r="C86" s="226"/>
      <c r="D86" s="226"/>
      <c r="E86" s="226"/>
      <c r="F86" s="226"/>
      <c r="G86" s="226"/>
      <c r="H86" s="226"/>
      <c r="I86" s="226"/>
      <c r="N86" s="226"/>
      <c r="O86" s="402"/>
      <c r="P86" s="402"/>
      <c r="Q86" s="402"/>
      <c r="R86" s="402"/>
      <c r="S86" s="410"/>
      <c r="T86" s="209"/>
      <c r="U86" s="209"/>
      <c r="V86" s="209"/>
      <c r="W86" s="209"/>
      <c r="X86" s="410"/>
      <c r="Y86" s="209"/>
      <c r="Z86" s="209"/>
      <c r="AA86" s="209"/>
      <c r="AB86" s="209"/>
      <c r="AC86" s="410"/>
      <c r="AD86" s="411"/>
      <c r="AE86" s="411"/>
      <c r="AF86" s="411"/>
      <c r="AG86" s="411"/>
      <c r="AH86" s="410"/>
      <c r="AI86" s="411"/>
      <c r="AJ86" s="411"/>
      <c r="AK86" s="411"/>
      <c r="AL86" s="411"/>
      <c r="AM86" s="410"/>
      <c r="AN86" s="411"/>
      <c r="AO86" s="411"/>
      <c r="AP86" s="411"/>
      <c r="AQ86" s="411"/>
      <c r="AR86" s="410"/>
      <c r="AS86" s="411"/>
      <c r="AT86" s="411"/>
      <c r="AU86" s="411"/>
      <c r="AV86" s="411"/>
      <c r="AW86" s="410"/>
      <c r="AX86" s="411"/>
      <c r="AY86" s="411"/>
      <c r="AZ86" s="411"/>
      <c r="BA86" s="199"/>
      <c r="BB86" s="507"/>
      <c r="BC86" s="199"/>
      <c r="BD86" s="199"/>
      <c r="BE86" s="199"/>
      <c r="BF86" s="199"/>
      <c r="BG86" s="413"/>
      <c r="BH86" s="199"/>
      <c r="BI86" s="470"/>
      <c r="BJ86" s="470"/>
      <c r="BK86" s="199"/>
      <c r="BL86" s="413"/>
      <c r="BM86" s="199"/>
      <c r="BN86" s="199"/>
      <c r="BO86" s="199"/>
      <c r="BP86" s="199"/>
      <c r="BQ86" s="413"/>
      <c r="BR86" s="199"/>
      <c r="BS86" s="461"/>
      <c r="BT86" s="199"/>
      <c r="BU86" s="199"/>
      <c r="BV86" s="413"/>
      <c r="BW86" s="199"/>
      <c r="BX86" s="199"/>
      <c r="BY86" s="199"/>
      <c r="BZ86" s="199"/>
      <c r="CA86" s="236"/>
      <c r="CB86" s="199"/>
      <c r="CC86" s="199"/>
      <c r="CD86" s="199"/>
      <c r="CE86" s="199"/>
      <c r="CF86" s="236"/>
      <c r="CG86" s="199"/>
      <c r="CH86" s="199"/>
      <c r="CI86" s="199"/>
      <c r="CJ86" s="199"/>
      <c r="CK86" s="236"/>
      <c r="CL86" s="199"/>
      <c r="CM86" s="199"/>
      <c r="CN86" s="199"/>
      <c r="CO86" s="199"/>
      <c r="CP86" s="236"/>
      <c r="CQ86" s="199"/>
      <c r="CR86" s="199"/>
      <c r="CS86" s="199"/>
      <c r="CT86" s="199"/>
      <c r="CU86" s="236"/>
      <c r="CV86" s="199"/>
      <c r="CW86" s="199"/>
      <c r="CX86" s="199"/>
      <c r="CY86" s="199"/>
      <c r="CZ86" s="236"/>
      <c r="DA86" s="199">
        <f t="shared" ref="DA86:DM86" si="62">(DA50-DA69-DA77)/CV50-1</f>
        <v>6.5525189331577138E-2</v>
      </c>
      <c r="DB86" s="199">
        <f t="shared" si="62"/>
        <v>0.12750692972444155</v>
      </c>
      <c r="DC86" s="199">
        <f t="shared" si="62"/>
        <v>2.5998731769181882E-2</v>
      </c>
      <c r="DD86" s="199">
        <f t="shared" si="62"/>
        <v>3.903317820147123E-2</v>
      </c>
      <c r="DE86" s="236">
        <f t="shared" si="62"/>
        <v>6.3711471242453133E-2</v>
      </c>
      <c r="DF86" s="199">
        <f t="shared" si="62"/>
        <v>5.832803560076294E-2</v>
      </c>
      <c r="DG86" s="199">
        <f t="shared" si="62"/>
        <v>3.5970149253731432E-2</v>
      </c>
      <c r="DH86" s="199">
        <f t="shared" si="62"/>
        <v>4.6971569839307836E-2</v>
      </c>
      <c r="DI86" s="199">
        <f t="shared" si="62"/>
        <v>9.0182979959337883E-2</v>
      </c>
      <c r="DJ86" s="236">
        <f>(DJ50-DJ69-DJ77)/DE50-1</f>
        <v>5.8178368121442059E-2</v>
      </c>
      <c r="DK86" s="199">
        <f t="shared" si="62"/>
        <v>4.6553536567051079E-3</v>
      </c>
      <c r="DL86" s="199">
        <f t="shared" si="62"/>
        <v>6.3820088132502617E-2</v>
      </c>
      <c r="DM86" s="199">
        <f t="shared" si="62"/>
        <v>0.10319448794237385</v>
      </c>
      <c r="DN86" s="57">
        <v>2.4E-2</v>
      </c>
      <c r="DO86" s="236">
        <f>(DO50-DO69-DO77)/DJ50-1</f>
        <v>4.7857521562185035E-2</v>
      </c>
      <c r="DP86" s="57">
        <v>7.0000000000000007E-2</v>
      </c>
      <c r="DQ86" s="57">
        <v>4.3999999999999997E-2</v>
      </c>
      <c r="DR86" s="57">
        <v>5.0999999999999997E-2</v>
      </c>
      <c r="DS86" s="57">
        <v>5.6000000000000001E-2</v>
      </c>
      <c r="DT86" s="236">
        <f>(DT50-DT69-DT77)/DO50-1</f>
        <v>5.4900333569452897E-2</v>
      </c>
      <c r="DU86" s="58">
        <v>5.2999999999999999E-2</v>
      </c>
      <c r="DV86" s="58">
        <v>5.0999999999999997E-2</v>
      </c>
    </row>
    <row r="87" spans="1:126" s="92" customFormat="1" ht="12" customHeight="1">
      <c r="A87" s="3" t="s">
        <v>29</v>
      </c>
      <c r="B87" s="43" t="s">
        <v>235</v>
      </c>
      <c r="C87" s="245"/>
      <c r="D87" s="134"/>
      <c r="E87" s="134"/>
      <c r="F87" s="134"/>
      <c r="G87" s="134"/>
      <c r="H87" s="134"/>
      <c r="I87" s="134"/>
      <c r="J87" s="414"/>
      <c r="K87" s="414"/>
      <c r="L87" s="414"/>
      <c r="M87" s="414"/>
      <c r="N87" s="134"/>
      <c r="O87" s="387"/>
      <c r="P87" s="387"/>
      <c r="Q87" s="387"/>
      <c r="R87" s="387"/>
      <c r="S87" s="415"/>
      <c r="T87" s="416"/>
      <c r="U87" s="416"/>
      <c r="V87" s="416"/>
      <c r="W87" s="416"/>
      <c r="X87" s="415"/>
      <c r="Y87" s="416"/>
      <c r="Z87" s="416"/>
      <c r="AA87" s="416"/>
      <c r="AB87" s="416"/>
      <c r="AC87" s="415"/>
      <c r="AD87" s="417"/>
      <c r="AE87" s="417"/>
      <c r="AF87" s="417"/>
      <c r="AG87" s="417"/>
      <c r="AH87" s="418"/>
      <c r="AI87" s="417"/>
      <c r="AJ87" s="417"/>
      <c r="AK87" s="417"/>
      <c r="AL87" s="417"/>
      <c r="AM87" s="418"/>
      <c r="AN87" s="417"/>
      <c r="AO87" s="417"/>
      <c r="AP87" s="417"/>
      <c r="AQ87" s="417"/>
      <c r="AR87" s="418"/>
      <c r="AS87" s="417"/>
      <c r="AT87" s="417"/>
      <c r="AU87" s="417"/>
      <c r="AV87" s="417"/>
      <c r="AW87" s="418"/>
      <c r="AX87" s="417"/>
      <c r="AY87" s="417"/>
      <c r="AZ87" s="417"/>
      <c r="BA87" s="416"/>
      <c r="BB87" s="421"/>
      <c r="BC87" s="416">
        <v>-0.02</v>
      </c>
      <c r="BD87" s="416">
        <v>0</v>
      </c>
      <c r="BE87" s="416">
        <v>0.01</v>
      </c>
      <c r="BF87" s="416">
        <v>0.04</v>
      </c>
      <c r="BG87" s="415">
        <f>(BG62-BG70-BG78)/(BB62)-1</f>
        <v>-2.3251055537512166E-2</v>
      </c>
      <c r="BH87" s="416">
        <f t="shared" ref="BH87:CP87" si="63">(BH62-BH70-BH78)/(BC62)-1</f>
        <v>-1.8096623040879001E-2</v>
      </c>
      <c r="BI87" s="469">
        <f t="shared" si="63"/>
        <v>-1.2428149759204588E-2</v>
      </c>
      <c r="BJ87" s="416">
        <f t="shared" si="63"/>
        <v>5.6735289349973961E-4</v>
      </c>
      <c r="BK87" s="416">
        <f t="shared" si="63"/>
        <v>2.4300293018086228E-2</v>
      </c>
      <c r="BL87" s="415">
        <f t="shared" si="63"/>
        <v>-1.6999435539978291E-3</v>
      </c>
      <c r="BM87" s="416">
        <f t="shared" si="63"/>
        <v>-1.4148601687903328E-2</v>
      </c>
      <c r="BN87" s="416">
        <f t="shared" si="63"/>
        <v>1.1227780399559517E-2</v>
      </c>
      <c r="BO87" s="416">
        <f t="shared" si="63"/>
        <v>-1.9420818144997964E-2</v>
      </c>
      <c r="BP87" s="416">
        <f t="shared" si="63"/>
        <v>-1.898336414048063E-2</v>
      </c>
      <c r="BQ87" s="415">
        <f t="shared" si="63"/>
        <v>-9.7699447077409518E-3</v>
      </c>
      <c r="BR87" s="416">
        <f t="shared" si="63"/>
        <v>5.0605933974091188E-2</v>
      </c>
      <c r="BS87" s="416">
        <f t="shared" si="63"/>
        <v>2.5332354305147575E-2</v>
      </c>
      <c r="BT87" s="416">
        <f t="shared" si="63"/>
        <v>5.6331129071760966E-2</v>
      </c>
      <c r="BU87" s="416">
        <f t="shared" si="63"/>
        <v>1.178049507903367E-2</v>
      </c>
      <c r="BV87" s="415">
        <f t="shared" si="63"/>
        <v>3.5227632307570644E-2</v>
      </c>
      <c r="BW87" s="416">
        <f t="shared" si="63"/>
        <v>3.4669085745838935E-2</v>
      </c>
      <c r="BX87" s="416">
        <f t="shared" si="63"/>
        <v>2.7334681345016154E-2</v>
      </c>
      <c r="BY87" s="416">
        <f t="shared" si="63"/>
        <v>7.2024085224640988E-2</v>
      </c>
      <c r="BZ87" s="416">
        <f t="shared" si="63"/>
        <v>8.1560544718439543E-2</v>
      </c>
      <c r="CA87" s="415">
        <f t="shared" si="63"/>
        <v>5.4176415758336649E-2</v>
      </c>
      <c r="CB87" s="416">
        <f t="shared" si="63"/>
        <v>5.3109993139720979E-2</v>
      </c>
      <c r="CC87" s="416">
        <f t="shared" si="63"/>
        <v>6.7411430237644065E-2</v>
      </c>
      <c r="CD87" s="416">
        <f t="shared" si="63"/>
        <v>6.9111399150284525E-2</v>
      </c>
      <c r="CE87" s="416">
        <f t="shared" si="63"/>
        <v>0.17469203021847135</v>
      </c>
      <c r="CF87" s="415">
        <f t="shared" si="63"/>
        <v>9.2895681830485133E-2</v>
      </c>
      <c r="CG87" s="416">
        <f>(CG62+70-CG70-CG78)/(CB62)-1</f>
        <v>0.10643498425332565</v>
      </c>
      <c r="CH87" s="416">
        <f>(CH62+84-CH70-CH78)/(CC62)-1</f>
        <v>9.6917151227637E-2</v>
      </c>
      <c r="CI87" s="416">
        <f>(CI62+71-CI70-CI78)/(CD62)-1</f>
        <v>9.9002796854636754E-2</v>
      </c>
      <c r="CJ87" s="416">
        <f>(CJ62+67-CJ70-CJ78)/(CE62)-1</f>
        <v>6.2717409577013328E-3</v>
      </c>
      <c r="CK87" s="415">
        <f>(CK62+292-CK70-CK78)/(CF62)-1</f>
        <v>7.4293066558723142E-2</v>
      </c>
      <c r="CL87" s="416">
        <f t="shared" si="63"/>
        <v>-1.4486891385767642E-2</v>
      </c>
      <c r="CM87" s="416">
        <f>(CM62-CM70-CM78+400)/(CH62)-1</f>
        <v>-0.14055343179843605</v>
      </c>
      <c r="CN87" s="416">
        <f t="shared" si="63"/>
        <v>-0.16457551194539255</v>
      </c>
      <c r="CO87" s="416">
        <f t="shared" si="63"/>
        <v>5.2596287345091586E-2</v>
      </c>
      <c r="CP87" s="415">
        <f t="shared" si="63"/>
        <v>-0.12705254792084808</v>
      </c>
      <c r="CQ87" s="416">
        <f t="shared" ref="CQ87" si="64">(CQ62-CQ70-CQ78)/(CL62)-1</f>
        <v>-5.7955191530310812E-2</v>
      </c>
      <c r="CR87" s="416">
        <f>(CR62-CR70-CR78)/(CM62)-1</f>
        <v>9.5361707960659237E-2</v>
      </c>
      <c r="CS87" s="416">
        <f t="shared" ref="CS87" si="65">(CS62-CS70-CS78)/(CN62)-1</f>
        <v>9.9393934724715471E-2</v>
      </c>
      <c r="CT87" s="416">
        <f t="shared" ref="CT87:CU87" si="66">(CT62-CT70-CT78)/(CO62)-1</f>
        <v>-9.1655102284178613E-2</v>
      </c>
      <c r="CU87" s="415">
        <f t="shared" si="66"/>
        <v>2.4974200206397956E-3</v>
      </c>
      <c r="CV87" s="416">
        <f t="shared" ref="CV87:CX87" si="67">(CV62-CV70-CV78)/(CQ62)-1</f>
        <v>-2.0768367879234861E-2</v>
      </c>
      <c r="CW87" s="416">
        <f t="shared" si="67"/>
        <v>-1.2091654815025055E-2</v>
      </c>
      <c r="CX87" s="416">
        <f t="shared" si="67"/>
        <v>6.5657215996126617E-3</v>
      </c>
      <c r="CY87" s="416">
        <f t="shared" ref="CY87" si="68">(CY62-CY70-CY78)/(CT62)-1</f>
        <v>-8.061369443746802E-3</v>
      </c>
      <c r="CZ87" s="415">
        <f t="shared" ref="CZ87" si="69">(CZ62-CZ70-CZ78)/(CU62)-1</f>
        <v>5.4839411070385813E-2</v>
      </c>
      <c r="DA87" s="416">
        <f t="shared" ref="DA87" si="70">(DA62-DA70-DA78)/(CV62)-1</f>
        <v>0.1077246118605244</v>
      </c>
      <c r="DB87" s="416">
        <f t="shared" ref="DB87" si="71">(DB62-DB70-DB78)/(CW62)-1</f>
        <v>0.13706019369866373</v>
      </c>
      <c r="DC87" s="416">
        <f t="shared" ref="DC87" si="72">(DC62-DC70-DC78)/(CX62)-1</f>
        <v>0.12223467642027019</v>
      </c>
      <c r="DD87" s="416">
        <f t="shared" ref="DD87:DF87" si="73">(DD62-DD70-DD78)/(CY62)-1</f>
        <v>9.7938429226772872E-2</v>
      </c>
      <c r="DE87" s="415">
        <f t="shared" si="73"/>
        <v>0.1124578823389093</v>
      </c>
      <c r="DF87" s="416">
        <f t="shared" si="73"/>
        <v>0.12147089578250259</v>
      </c>
      <c r="DG87" s="416">
        <f t="shared" ref="DG87" si="74">(DG62-DG70-DG78)/(DB62)-1</f>
        <v>0.10024570024570023</v>
      </c>
      <c r="DH87" s="416">
        <f>(DH62-DH70-DH78)/(DC62-DC12)-1</f>
        <v>8.3965014577259467E-2</v>
      </c>
      <c r="DI87" s="416">
        <f t="shared" ref="DI87" si="75">(DI62-DI70-DI78)/(DD62)-1</f>
        <v>0.10267476288452859</v>
      </c>
      <c r="DJ87" s="415">
        <f>(DJ62-DJ70-DJ78)/(DE62-DC12)-1</f>
        <v>0.10168054789359671</v>
      </c>
      <c r="DK87" s="416">
        <f t="shared" ref="DK87" si="76">(DK62-DK70-DK78)/(DF62)-1</f>
        <v>6.9981869981869949E-2</v>
      </c>
      <c r="DL87" s="416">
        <f t="shared" ref="DL87:DM87" si="77">(DL62-DL70-DL78)/(DG62)-1</f>
        <v>9.0445151836693549E-2</v>
      </c>
      <c r="DM87" s="416">
        <f t="shared" si="77"/>
        <v>0.13201254417840613</v>
      </c>
      <c r="DN87" s="416">
        <f t="shared" ref="DN87" si="78">(DN62-DN70-DN78)/(DI62)-1</f>
        <v>6.7746889885769823E-2</v>
      </c>
      <c r="DO87" s="415">
        <f>(DO62-DO70-DO78)/(DJ62-DH12)-1</f>
        <v>8.9816490941490912E-2</v>
      </c>
      <c r="DP87" s="416">
        <f t="shared" ref="DP87" si="79">(DP62-DP70-DP78)/(DK62)-1</f>
        <v>7.8478774746380431E-2</v>
      </c>
      <c r="DQ87" s="416">
        <f t="shared" ref="DQ87" si="80">(DQ62-DQ70-DQ78)/(DL62)-1</f>
        <v>7.2593299661739552E-2</v>
      </c>
      <c r="DR87" s="416">
        <f>(DR62-DR70-DR78)/(DM62-DM12)-1</f>
        <v>6.6467123409555962E-2</v>
      </c>
      <c r="DS87" s="416">
        <f t="shared" ref="DS87" si="81">(DS62-DS70-DS78)/(DN62)-1</f>
        <v>7.2148846097397135E-2</v>
      </c>
      <c r="DT87" s="415">
        <f>(DT62-DT70-DT78)/(DO62-DM12)-1</f>
        <v>7.2268589374823833E-2</v>
      </c>
      <c r="DU87" s="415">
        <f t="shared" ref="DU87:DV87" si="82">(DU62-DU70-DU78)/(DT62)-1</f>
        <v>6.6657452104157633E-2</v>
      </c>
      <c r="DV87" s="415">
        <f t="shared" si="82"/>
        <v>5.9929887880321608E-2</v>
      </c>
    </row>
    <row r="88" spans="1:126" s="398" customFormat="1">
      <c r="B88" s="401"/>
      <c r="C88" s="394"/>
      <c r="D88" s="394"/>
      <c r="E88" s="394"/>
      <c r="F88" s="394"/>
      <c r="G88" s="394"/>
      <c r="H88" s="394"/>
      <c r="I88" s="394"/>
      <c r="N88" s="394"/>
      <c r="S88" s="410"/>
      <c r="T88" s="412"/>
      <c r="U88" s="412"/>
      <c r="V88" s="412"/>
      <c r="W88" s="412"/>
      <c r="X88" s="410"/>
      <c r="Y88" s="412"/>
      <c r="Z88" s="412"/>
      <c r="AA88" s="412"/>
      <c r="AB88" s="412"/>
      <c r="AC88" s="410"/>
      <c r="AD88" s="412"/>
      <c r="AE88" s="412"/>
      <c r="AF88" s="412"/>
      <c r="AG88" s="412"/>
      <c r="AH88" s="410"/>
      <c r="AI88" s="412"/>
      <c r="AJ88" s="412"/>
      <c r="AK88" s="412"/>
      <c r="AL88" s="412"/>
      <c r="AM88" s="410"/>
      <c r="AN88" s="412"/>
      <c r="AO88" s="412"/>
      <c r="AP88" s="412"/>
      <c r="AQ88" s="412"/>
      <c r="AR88" s="410"/>
      <c r="AS88" s="412"/>
      <c r="AT88" s="412"/>
      <c r="AU88" s="412"/>
      <c r="AV88" s="412"/>
      <c r="AW88" s="410"/>
      <c r="AX88" s="412"/>
      <c r="AY88" s="412"/>
      <c r="AZ88" s="412"/>
      <c r="BA88" s="412"/>
      <c r="BB88" s="410"/>
      <c r="BC88" s="412"/>
      <c r="BD88" s="412"/>
      <c r="BE88" s="412"/>
      <c r="BF88" s="412"/>
      <c r="BG88" s="410"/>
      <c r="BH88" s="412"/>
      <c r="BI88" s="412"/>
      <c r="BJ88" s="412"/>
      <c r="BK88" s="412"/>
      <c r="BL88" s="410"/>
      <c r="BM88" s="412"/>
      <c r="BN88" s="412"/>
      <c r="BO88" s="412"/>
      <c r="BP88" s="412"/>
      <c r="BQ88" s="410"/>
      <c r="BR88" s="412"/>
      <c r="BS88" s="412"/>
      <c r="BT88" s="412"/>
      <c r="BU88" s="412"/>
      <c r="BV88" s="410"/>
      <c r="BW88" s="412"/>
      <c r="BX88" s="412"/>
      <c r="BY88" s="412"/>
      <c r="BZ88" s="412"/>
      <c r="CA88" s="410"/>
      <c r="CB88" s="412"/>
      <c r="CC88" s="412"/>
      <c r="CD88" s="412"/>
      <c r="CE88" s="412"/>
      <c r="CF88" s="410"/>
      <c r="CG88" s="412"/>
      <c r="CH88" s="412"/>
      <c r="CI88" s="412"/>
      <c r="CJ88" s="412"/>
      <c r="CK88" s="410"/>
      <c r="CL88" s="412"/>
      <c r="CM88" s="412"/>
      <c r="CN88" s="412"/>
      <c r="CO88" s="412"/>
      <c r="CP88" s="410"/>
      <c r="CQ88" s="412"/>
      <c r="CR88" s="412"/>
      <c r="CS88" s="412"/>
      <c r="CT88" s="412"/>
      <c r="CU88" s="410"/>
      <c r="CV88" s="412"/>
      <c r="CW88" s="412"/>
      <c r="CX88" s="412"/>
      <c r="CY88" s="412"/>
      <c r="CZ88" s="410"/>
      <c r="DA88" s="412"/>
      <c r="DB88" s="412"/>
      <c r="DC88" s="412"/>
      <c r="DD88" s="412"/>
      <c r="DE88" s="410"/>
      <c r="DF88" s="412"/>
      <c r="DG88" s="412"/>
      <c r="DH88" s="412"/>
      <c r="DI88" s="412"/>
      <c r="DJ88" s="410"/>
      <c r="DK88" s="412"/>
      <c r="DL88" s="412"/>
      <c r="DM88" s="412"/>
      <c r="DN88" s="412"/>
      <c r="DO88" s="410"/>
      <c r="DP88" s="412"/>
      <c r="DQ88" s="412"/>
      <c r="DR88" s="412"/>
      <c r="DS88" s="412"/>
      <c r="DT88" s="410"/>
      <c r="DU88" s="410"/>
      <c r="DV88" s="410"/>
    </row>
    <row r="89" spans="1:126" s="398" customFormat="1" hidden="1" outlineLevel="1">
      <c r="B89" s="182" t="s">
        <v>328</v>
      </c>
      <c r="C89" s="394"/>
      <c r="D89" s="394"/>
      <c r="E89" s="394"/>
      <c r="F89" s="394"/>
      <c r="G89" s="394"/>
      <c r="H89" s="394"/>
      <c r="I89" s="394"/>
      <c r="N89" s="394"/>
      <c r="S89" s="410"/>
      <c r="T89" s="412"/>
      <c r="U89" s="412"/>
      <c r="V89" s="412"/>
      <c r="W89" s="412"/>
      <c r="X89" s="410"/>
      <c r="Y89" s="412"/>
      <c r="Z89" s="412"/>
      <c r="AA89" s="412"/>
      <c r="AB89" s="412"/>
      <c r="AC89" s="410"/>
      <c r="AD89" s="412"/>
      <c r="AE89" s="412"/>
      <c r="AF89" s="412"/>
      <c r="AG89" s="412"/>
      <c r="AH89" s="410"/>
      <c r="AI89" s="412"/>
      <c r="AJ89" s="412"/>
      <c r="AK89" s="412"/>
      <c r="AL89" s="412"/>
      <c r="AM89" s="410"/>
      <c r="AN89" s="412"/>
      <c r="AO89" s="412"/>
      <c r="AP89" s="412"/>
      <c r="AQ89" s="412"/>
      <c r="AR89" s="410"/>
      <c r="AS89" s="412"/>
      <c r="AT89" s="412"/>
      <c r="AU89" s="412"/>
      <c r="AV89" s="412"/>
      <c r="AW89" s="410"/>
      <c r="AX89" s="412"/>
      <c r="AY89" s="412"/>
      <c r="AZ89" s="412"/>
      <c r="BA89" s="412"/>
      <c r="BB89" s="410"/>
      <c r="BC89" s="412"/>
      <c r="BD89" s="412"/>
      <c r="BE89" s="412"/>
      <c r="BF89" s="412"/>
      <c r="BG89" s="410"/>
      <c r="BH89" s="412"/>
      <c r="BI89" s="412"/>
      <c r="BJ89" s="412"/>
      <c r="BK89" s="412"/>
      <c r="BL89" s="410"/>
      <c r="BM89" s="412"/>
      <c r="BN89" s="412"/>
      <c r="BO89" s="412"/>
      <c r="BP89" s="412"/>
      <c r="BQ89" s="410"/>
      <c r="BR89" s="412"/>
      <c r="BS89" s="412"/>
      <c r="BT89" s="412"/>
      <c r="BU89" s="412"/>
      <c r="BV89" s="410"/>
      <c r="BW89" s="412"/>
      <c r="BX89" s="412"/>
      <c r="BY89" s="412"/>
      <c r="BZ89" s="412"/>
      <c r="CA89" s="410"/>
      <c r="CB89" s="412"/>
      <c r="CC89" s="412"/>
      <c r="CD89" s="412"/>
      <c r="CE89" s="412"/>
      <c r="CF89" s="410"/>
      <c r="CG89" s="412"/>
      <c r="CH89" s="412"/>
      <c r="CI89" s="412"/>
      <c r="CJ89" s="412"/>
      <c r="CK89" s="410"/>
      <c r="CL89" s="412"/>
      <c r="CM89" s="412"/>
      <c r="CN89" s="412"/>
      <c r="CO89" s="412"/>
      <c r="CP89" s="410"/>
      <c r="CQ89" s="412"/>
      <c r="CR89" s="412"/>
      <c r="CS89" s="412"/>
      <c r="CT89" s="412"/>
      <c r="CU89" s="410"/>
      <c r="CV89" s="412"/>
      <c r="CW89" s="412"/>
      <c r="CX89" s="412"/>
      <c r="CY89" s="412"/>
      <c r="CZ89" s="410"/>
      <c r="DA89" s="412"/>
      <c r="DB89" s="412"/>
      <c r="DC89" s="412"/>
      <c r="DD89" s="412"/>
      <c r="DE89" s="410"/>
      <c r="DF89" s="412"/>
      <c r="DG89" s="412"/>
      <c r="DH89" s="412"/>
      <c r="DI89" s="412"/>
      <c r="DJ89" s="410"/>
      <c r="DK89" s="412"/>
      <c r="DL89" s="412"/>
      <c r="DM89" s="412"/>
      <c r="DN89" s="412"/>
      <c r="DO89" s="410"/>
      <c r="DP89" s="412"/>
      <c r="DQ89" s="412"/>
      <c r="DR89" s="412"/>
      <c r="DS89" s="412"/>
      <c r="DT89" s="410"/>
      <c r="DU89" s="410"/>
      <c r="DV89" s="410"/>
    </row>
    <row r="90" spans="1:126" s="398" customFormat="1" hidden="1" outlineLevel="1">
      <c r="B90" s="65" t="s">
        <v>194</v>
      </c>
      <c r="C90" s="394"/>
      <c r="D90" s="394"/>
      <c r="E90" s="394"/>
      <c r="F90" s="394"/>
      <c r="G90" s="394"/>
      <c r="H90" s="394"/>
      <c r="I90" s="394"/>
      <c r="N90" s="394"/>
      <c r="O90" s="402"/>
      <c r="P90" s="402"/>
      <c r="Q90" s="402"/>
      <c r="R90" s="402"/>
      <c r="S90" s="410"/>
      <c r="T90" s="209"/>
      <c r="U90" s="209"/>
      <c r="V90" s="209"/>
      <c r="W90" s="209"/>
      <c r="X90" s="410">
        <v>0</v>
      </c>
      <c r="Y90" s="209">
        <v>0</v>
      </c>
      <c r="Z90" s="209">
        <v>3.0000000000000001E-3</v>
      </c>
      <c r="AA90" s="209">
        <v>0</v>
      </c>
      <c r="AB90" s="209">
        <v>0</v>
      </c>
      <c r="AC90" s="410">
        <v>1.5226781857452243E-3</v>
      </c>
      <c r="AD90" s="411">
        <v>0</v>
      </c>
      <c r="AE90" s="411">
        <v>0</v>
      </c>
      <c r="AF90" s="411">
        <v>0</v>
      </c>
      <c r="AG90" s="411">
        <v>0</v>
      </c>
      <c r="AH90" s="410">
        <v>0</v>
      </c>
      <c r="AI90" s="411">
        <v>0</v>
      </c>
      <c r="AJ90" s="411">
        <v>0</v>
      </c>
      <c r="AK90" s="411">
        <v>-0.02</v>
      </c>
      <c r="AL90" s="411">
        <v>4.4435461388347142E-3</v>
      </c>
      <c r="AM90" s="410">
        <v>-0.02</v>
      </c>
      <c r="AN90" s="411">
        <v>0.03</v>
      </c>
      <c r="AO90" s="411">
        <v>0.04</v>
      </c>
      <c r="AP90" s="411">
        <v>0.04</v>
      </c>
      <c r="AQ90" s="411">
        <v>0</v>
      </c>
      <c r="AR90" s="410">
        <v>0.04</v>
      </c>
      <c r="AS90" s="411">
        <v>-0.01</v>
      </c>
      <c r="AT90" s="411">
        <v>-0.01</v>
      </c>
      <c r="AU90" s="411">
        <v>0</v>
      </c>
      <c r="AV90" s="411">
        <v>0</v>
      </c>
      <c r="AW90" s="410">
        <v>0</v>
      </c>
      <c r="AX90" s="411">
        <v>0</v>
      </c>
      <c r="AY90" s="411">
        <v>0</v>
      </c>
      <c r="AZ90" s="411">
        <v>0</v>
      </c>
      <c r="BA90" s="397">
        <v>0</v>
      </c>
      <c r="BB90" s="410">
        <v>0</v>
      </c>
      <c r="BC90" s="397">
        <v>0</v>
      </c>
      <c r="BD90" s="397">
        <v>0</v>
      </c>
      <c r="BE90" s="397">
        <v>0</v>
      </c>
      <c r="BF90" s="397">
        <v>0</v>
      </c>
      <c r="BG90" s="410">
        <v>0</v>
      </c>
      <c r="BH90" s="412">
        <v>0</v>
      </c>
      <c r="BI90" s="412">
        <v>-0.01</v>
      </c>
      <c r="BJ90" s="412">
        <v>-0.01</v>
      </c>
      <c r="BK90" s="412">
        <v>-0.01</v>
      </c>
      <c r="BL90" s="410">
        <v>-0.01</v>
      </c>
      <c r="BM90" s="412">
        <v>-0.01</v>
      </c>
      <c r="BN90" s="412">
        <v>-0.01</v>
      </c>
      <c r="BO90" s="412">
        <v>-0.01</v>
      </c>
      <c r="BP90" s="412">
        <v>-0.01</v>
      </c>
      <c r="BQ90" s="410">
        <v>-0.01</v>
      </c>
      <c r="BR90" s="412">
        <v>0</v>
      </c>
      <c r="BS90" s="412">
        <v>0</v>
      </c>
      <c r="BT90" s="412">
        <v>0.01</v>
      </c>
      <c r="BU90" s="412">
        <v>0.01</v>
      </c>
      <c r="BV90" s="410">
        <v>0</v>
      </c>
      <c r="BW90" s="412">
        <v>0.01</v>
      </c>
      <c r="BX90" s="412">
        <v>0.01</v>
      </c>
      <c r="BY90" s="412">
        <v>0.02</v>
      </c>
      <c r="BZ90" s="412">
        <v>0.01</v>
      </c>
      <c r="CA90" s="410">
        <v>0.01</v>
      </c>
      <c r="CB90" s="412">
        <v>0.01</v>
      </c>
      <c r="CC90" s="412">
        <v>0</v>
      </c>
      <c r="CD90" s="412">
        <v>0</v>
      </c>
      <c r="CE90" s="412">
        <v>-0.01</v>
      </c>
      <c r="CF90" s="410">
        <v>0</v>
      </c>
      <c r="CG90" s="412">
        <v>-0.01</v>
      </c>
      <c r="CH90" s="412">
        <v>0</v>
      </c>
      <c r="CI90" s="412">
        <v>-0.01</v>
      </c>
      <c r="CJ90" s="412">
        <v>0</v>
      </c>
      <c r="CK90" s="410">
        <v>0</v>
      </c>
      <c r="CL90" s="412"/>
      <c r="CM90" s="412"/>
      <c r="CN90" s="412"/>
      <c r="CO90" s="412"/>
      <c r="CP90" s="410"/>
      <c r="CQ90" s="412"/>
      <c r="CR90" s="412"/>
      <c r="CS90" s="412"/>
      <c r="CT90" s="412"/>
      <c r="CU90" s="410"/>
      <c r="CV90" s="412"/>
      <c r="CW90" s="412"/>
      <c r="CX90" s="412"/>
      <c r="CY90" s="412"/>
      <c r="CZ90" s="410"/>
      <c r="DA90" s="412"/>
      <c r="DB90" s="412"/>
      <c r="DC90" s="412"/>
      <c r="DD90" s="412"/>
      <c r="DE90" s="410"/>
      <c r="DF90" s="412"/>
      <c r="DG90" s="412"/>
      <c r="DH90" s="412"/>
      <c r="DI90" s="412"/>
      <c r="DJ90" s="410"/>
      <c r="DK90" s="412"/>
      <c r="DL90" s="412"/>
      <c r="DM90" s="412"/>
      <c r="DN90" s="412"/>
      <c r="DO90" s="410"/>
      <c r="DP90" s="412"/>
      <c r="DQ90" s="412"/>
      <c r="DR90" s="412"/>
      <c r="DS90" s="412"/>
      <c r="DT90" s="410"/>
      <c r="DU90" s="410"/>
      <c r="DV90" s="410"/>
    </row>
    <row r="91" spans="1:126" s="398" customFormat="1" hidden="1" outlineLevel="1">
      <c r="B91" s="65" t="s">
        <v>472</v>
      </c>
      <c r="C91" s="394"/>
      <c r="D91" s="394"/>
      <c r="E91" s="394"/>
      <c r="F91" s="394"/>
      <c r="G91" s="394"/>
      <c r="H91" s="394"/>
      <c r="I91" s="394"/>
      <c r="N91" s="394"/>
      <c r="O91" s="402"/>
      <c r="P91" s="402"/>
      <c r="Q91" s="402"/>
      <c r="R91" s="402"/>
      <c r="S91" s="410"/>
      <c r="T91" s="209"/>
      <c r="U91" s="209"/>
      <c r="V91" s="209"/>
      <c r="W91" s="209"/>
      <c r="X91" s="410">
        <v>0</v>
      </c>
      <c r="Y91" s="209">
        <v>0.01</v>
      </c>
      <c r="Z91" s="209">
        <v>2.1999999999999999E-2</v>
      </c>
      <c r="AA91" s="209">
        <v>0.02</v>
      </c>
      <c r="AB91" s="209">
        <v>0</v>
      </c>
      <c r="AC91" s="410">
        <v>0.02</v>
      </c>
      <c r="AD91" s="411">
        <v>0.03</v>
      </c>
      <c r="AE91" s="411">
        <v>0.04</v>
      </c>
      <c r="AF91" s="411">
        <v>0.02</v>
      </c>
      <c r="AG91" s="411">
        <v>-1.4174132764982039E-2</v>
      </c>
      <c r="AH91" s="410">
        <v>0.01</v>
      </c>
      <c r="AI91" s="411">
        <v>-0.03</v>
      </c>
      <c r="AJ91" s="411">
        <v>-0.03</v>
      </c>
      <c r="AK91" s="411">
        <v>-0.01</v>
      </c>
      <c r="AL91" s="411">
        <v>1.6368749120939292E-2</v>
      </c>
      <c r="AM91" s="410">
        <v>-0.01</v>
      </c>
      <c r="AN91" s="411">
        <v>0.01</v>
      </c>
      <c r="AO91" s="411">
        <v>-0.01</v>
      </c>
      <c r="AP91" s="411">
        <v>-0.01</v>
      </c>
      <c r="AQ91" s="411">
        <v>-0.01</v>
      </c>
      <c r="AR91" s="410">
        <v>0</v>
      </c>
      <c r="AS91" s="411">
        <v>0</v>
      </c>
      <c r="AT91" s="411">
        <v>0.03</v>
      </c>
      <c r="AU91" s="411">
        <v>0.02</v>
      </c>
      <c r="AV91" s="411">
        <v>0</v>
      </c>
      <c r="AW91" s="410">
        <v>0.01</v>
      </c>
      <c r="AX91" s="411">
        <v>0</v>
      </c>
      <c r="AY91" s="411">
        <v>-0.01</v>
      </c>
      <c r="AZ91" s="411">
        <v>-0.02</v>
      </c>
      <c r="BA91" s="397">
        <v>0</v>
      </c>
      <c r="BB91" s="410">
        <v>-0.01</v>
      </c>
      <c r="BC91" s="397">
        <v>0</v>
      </c>
      <c r="BD91" s="397">
        <v>0</v>
      </c>
      <c r="BE91" s="397">
        <v>0</v>
      </c>
      <c r="BF91" s="397">
        <v>0</v>
      </c>
      <c r="BG91" s="410">
        <v>0</v>
      </c>
      <c r="BH91" s="412">
        <v>0</v>
      </c>
      <c r="BI91" s="412">
        <v>0</v>
      </c>
      <c r="BJ91" s="412">
        <v>0.01</v>
      </c>
      <c r="BK91" s="412">
        <v>-0.01</v>
      </c>
      <c r="BL91" s="410">
        <v>0.01</v>
      </c>
      <c r="BM91" s="412">
        <v>-0.03</v>
      </c>
      <c r="BN91" s="412">
        <v>-0.02</v>
      </c>
      <c r="BO91" s="412">
        <v>-0.01</v>
      </c>
      <c r="BP91" s="412">
        <v>-0.01</v>
      </c>
      <c r="BQ91" s="410">
        <v>-0.02</v>
      </c>
      <c r="BR91" s="412">
        <v>0</v>
      </c>
      <c r="BS91" s="412">
        <v>0</v>
      </c>
      <c r="BT91" s="412">
        <v>-0.01</v>
      </c>
      <c r="BU91" s="412">
        <v>-0.01</v>
      </c>
      <c r="BV91" s="410">
        <v>0</v>
      </c>
      <c r="BW91" s="412">
        <v>-0.01</v>
      </c>
      <c r="BX91" s="412">
        <v>0</v>
      </c>
      <c r="BY91" s="412">
        <v>0</v>
      </c>
      <c r="BZ91" s="412">
        <v>0.01</v>
      </c>
      <c r="CA91" s="410">
        <v>0</v>
      </c>
      <c r="CB91" s="412">
        <v>0.01</v>
      </c>
      <c r="CC91" s="412">
        <v>0.01</v>
      </c>
      <c r="CD91" s="412">
        <v>0</v>
      </c>
      <c r="CE91" s="412">
        <v>0</v>
      </c>
      <c r="CF91" s="410">
        <v>0</v>
      </c>
      <c r="CG91" s="412">
        <v>0</v>
      </c>
      <c r="CH91" s="412">
        <v>0</v>
      </c>
      <c r="CI91" s="412">
        <v>-0.01</v>
      </c>
      <c r="CJ91" s="412">
        <v>0</v>
      </c>
      <c r="CK91" s="410">
        <v>0</v>
      </c>
      <c r="CL91" s="412"/>
      <c r="CM91" s="412"/>
      <c r="CN91" s="412"/>
      <c r="CO91" s="412"/>
      <c r="CP91" s="410"/>
      <c r="CQ91" s="412"/>
      <c r="CR91" s="412"/>
      <c r="CS91" s="412"/>
      <c r="CT91" s="412"/>
      <c r="CU91" s="410"/>
      <c r="CV91" s="412"/>
      <c r="CW91" s="412"/>
      <c r="CX91" s="412"/>
      <c r="CY91" s="412"/>
      <c r="CZ91" s="410"/>
      <c r="DA91" s="412"/>
      <c r="DB91" s="412"/>
      <c r="DC91" s="412"/>
      <c r="DD91" s="412"/>
      <c r="DE91" s="410"/>
      <c r="DF91" s="412"/>
      <c r="DG91" s="412"/>
      <c r="DH91" s="412"/>
      <c r="DI91" s="412"/>
      <c r="DJ91" s="410"/>
      <c r="DK91" s="412"/>
      <c r="DL91" s="412"/>
      <c r="DM91" s="412"/>
      <c r="DN91" s="412"/>
      <c r="DO91" s="410"/>
      <c r="DP91" s="412"/>
      <c r="DQ91" s="412"/>
      <c r="DR91" s="412"/>
      <c r="DS91" s="412"/>
      <c r="DT91" s="410"/>
      <c r="DU91" s="410"/>
      <c r="DV91" s="410"/>
    </row>
    <row r="92" spans="1:126" s="92" customFormat="1" hidden="1" outlineLevel="1">
      <c r="B92" s="43" t="s">
        <v>132</v>
      </c>
      <c r="C92" s="245"/>
      <c r="D92" s="134"/>
      <c r="E92" s="134"/>
      <c r="F92" s="134"/>
      <c r="G92" s="134"/>
      <c r="H92" s="134"/>
      <c r="I92" s="134"/>
      <c r="J92" s="414"/>
      <c r="K92" s="414"/>
      <c r="L92" s="414"/>
      <c r="M92" s="414"/>
      <c r="N92" s="134"/>
      <c r="O92" s="414"/>
      <c r="P92" s="414"/>
      <c r="Q92" s="414"/>
      <c r="R92" s="414"/>
      <c r="S92" s="415"/>
      <c r="T92" s="416">
        <v>-1.9E-2</v>
      </c>
      <c r="U92" s="416">
        <v>-2E-3</v>
      </c>
      <c r="V92" s="416">
        <v>1.4E-2</v>
      </c>
      <c r="W92" s="416">
        <v>1.7999999999999999E-2</v>
      </c>
      <c r="X92" s="415"/>
      <c r="Y92" s="416"/>
      <c r="Z92" s="416"/>
      <c r="AA92" s="416"/>
      <c r="AB92" s="416"/>
      <c r="AC92" s="415"/>
      <c r="AD92" s="417"/>
      <c r="AE92" s="417"/>
      <c r="AF92" s="417"/>
      <c r="AG92" s="417"/>
      <c r="AH92" s="418"/>
      <c r="AI92" s="417"/>
      <c r="AJ92" s="417"/>
      <c r="AK92" s="417"/>
      <c r="AL92" s="417"/>
      <c r="AM92" s="418"/>
      <c r="AN92" s="417"/>
      <c r="AO92" s="417"/>
      <c r="AP92" s="417"/>
      <c r="AQ92" s="417"/>
      <c r="AR92" s="418"/>
      <c r="AS92" s="417"/>
      <c r="AT92" s="417"/>
      <c r="AU92" s="417"/>
      <c r="AV92" s="417"/>
      <c r="AW92" s="418"/>
      <c r="AX92" s="417"/>
      <c r="AY92" s="417"/>
      <c r="AZ92" s="417"/>
      <c r="BA92" s="416"/>
      <c r="BB92" s="415"/>
      <c r="BC92" s="416"/>
      <c r="BD92" s="416"/>
      <c r="BE92" s="416"/>
      <c r="BF92" s="416"/>
      <c r="BG92" s="415"/>
      <c r="BH92" s="416"/>
      <c r="BI92" s="416"/>
      <c r="BJ92" s="416"/>
      <c r="BK92" s="416"/>
      <c r="BL92" s="415"/>
      <c r="BM92" s="416"/>
      <c r="BN92" s="416"/>
      <c r="BO92" s="416"/>
      <c r="BP92" s="416"/>
      <c r="BQ92" s="415"/>
      <c r="BR92" s="416"/>
      <c r="BS92" s="416"/>
      <c r="BT92" s="416"/>
      <c r="BU92" s="416"/>
      <c r="BV92" s="415"/>
      <c r="BW92" s="416"/>
      <c r="BX92" s="416"/>
      <c r="BY92" s="416"/>
      <c r="BZ92" s="416"/>
      <c r="CA92" s="415"/>
      <c r="CB92" s="416"/>
      <c r="CC92" s="416"/>
      <c r="CD92" s="416"/>
      <c r="CE92" s="416"/>
      <c r="CF92" s="415"/>
      <c r="CG92" s="416"/>
      <c r="CH92" s="416"/>
      <c r="CI92" s="416"/>
      <c r="CJ92" s="416"/>
      <c r="CK92" s="415"/>
      <c r="CL92" s="416"/>
      <c r="CM92" s="416"/>
      <c r="CN92" s="416"/>
      <c r="CO92" s="416"/>
      <c r="CP92" s="415"/>
      <c r="CQ92" s="416"/>
      <c r="CR92" s="416"/>
      <c r="CS92" s="416"/>
      <c r="CT92" s="416"/>
      <c r="CU92" s="415"/>
      <c r="CV92" s="416"/>
      <c r="CW92" s="416"/>
      <c r="CX92" s="416"/>
      <c r="CY92" s="416"/>
      <c r="CZ92" s="415"/>
      <c r="DA92" s="416"/>
      <c r="DB92" s="416"/>
      <c r="DC92" s="416"/>
      <c r="DD92" s="416"/>
      <c r="DE92" s="415"/>
      <c r="DF92" s="416"/>
      <c r="DG92" s="416"/>
      <c r="DH92" s="416"/>
      <c r="DI92" s="416"/>
      <c r="DJ92" s="415"/>
      <c r="DK92" s="416"/>
      <c r="DL92" s="416"/>
      <c r="DM92" s="416"/>
      <c r="DN92" s="416"/>
      <c r="DO92" s="415"/>
      <c r="DP92" s="416"/>
      <c r="DQ92" s="416"/>
      <c r="DR92" s="416"/>
      <c r="DS92" s="416"/>
      <c r="DT92" s="415"/>
      <c r="DU92" s="415"/>
      <c r="DV92" s="415"/>
    </row>
    <row r="93" spans="1:126" s="92" customFormat="1" hidden="1" outlineLevel="1">
      <c r="B93" s="401"/>
      <c r="C93" s="404"/>
      <c r="D93" s="230"/>
      <c r="E93" s="230"/>
      <c r="F93" s="230"/>
      <c r="G93" s="230"/>
      <c r="H93" s="230"/>
      <c r="I93" s="230"/>
      <c r="J93" s="231"/>
      <c r="K93" s="231"/>
      <c r="L93" s="231"/>
      <c r="M93" s="231"/>
      <c r="N93" s="230"/>
      <c r="O93" s="231"/>
      <c r="P93" s="231"/>
      <c r="Q93" s="231"/>
      <c r="R93" s="231"/>
      <c r="S93" s="413"/>
      <c r="T93" s="209"/>
      <c r="U93" s="209"/>
      <c r="V93" s="209"/>
      <c r="W93" s="209"/>
      <c r="X93" s="413"/>
      <c r="Y93" s="209"/>
      <c r="Z93" s="209"/>
      <c r="AA93" s="209"/>
      <c r="AB93" s="209"/>
      <c r="AC93" s="413"/>
      <c r="AD93" s="411"/>
      <c r="AE93" s="411"/>
      <c r="AF93" s="411"/>
      <c r="AG93" s="411"/>
      <c r="AH93" s="410"/>
      <c r="AI93" s="411"/>
      <c r="AJ93" s="411"/>
      <c r="AK93" s="411"/>
      <c r="AL93" s="411"/>
      <c r="AM93" s="410"/>
      <c r="AN93" s="411"/>
      <c r="AO93" s="411"/>
      <c r="AP93" s="411"/>
      <c r="AQ93" s="411"/>
      <c r="AR93" s="410"/>
      <c r="AS93" s="411"/>
      <c r="AT93" s="411"/>
      <c r="AU93" s="411"/>
      <c r="AV93" s="411"/>
      <c r="AW93" s="413"/>
      <c r="AX93" s="209"/>
      <c r="AY93" s="209"/>
      <c r="AZ93" s="209"/>
      <c r="BA93" s="209"/>
      <c r="BB93" s="413"/>
      <c r="BC93" s="209"/>
      <c r="BD93" s="209"/>
      <c r="BE93" s="209"/>
      <c r="BF93" s="209"/>
      <c r="BG93" s="413"/>
      <c r="BH93" s="209"/>
      <c r="BI93" s="209"/>
      <c r="BJ93" s="209"/>
      <c r="BK93" s="209"/>
      <c r="BL93" s="413"/>
      <c r="BM93" s="209"/>
      <c r="BN93" s="209"/>
      <c r="BO93" s="209"/>
      <c r="BP93" s="209"/>
      <c r="BQ93" s="413"/>
      <c r="BR93" s="209"/>
      <c r="BS93" s="209"/>
      <c r="BT93" s="209"/>
      <c r="BU93" s="209"/>
      <c r="BV93" s="413"/>
      <c r="BW93" s="209"/>
      <c r="BX93" s="209"/>
      <c r="BY93" s="209"/>
      <c r="BZ93" s="209"/>
      <c r="CA93" s="413"/>
      <c r="CB93" s="209"/>
      <c r="CC93" s="209"/>
      <c r="CD93" s="209"/>
      <c r="CE93" s="209"/>
      <c r="CF93" s="413"/>
      <c r="CG93" s="209"/>
      <c r="CH93" s="209"/>
      <c r="CI93" s="209"/>
      <c r="CJ93" s="209"/>
      <c r="CK93" s="413"/>
      <c r="CL93" s="209"/>
      <c r="CM93" s="209"/>
      <c r="CN93" s="209"/>
      <c r="CO93" s="209"/>
      <c r="CP93" s="413"/>
      <c r="CQ93" s="209"/>
      <c r="CR93" s="209"/>
      <c r="CS93" s="209"/>
      <c r="CT93" s="209"/>
      <c r="CU93" s="413"/>
      <c r="CV93" s="209"/>
      <c r="CW93" s="209"/>
      <c r="CX93" s="209"/>
      <c r="CY93" s="209"/>
      <c r="CZ93" s="413"/>
      <c r="DA93" s="209"/>
      <c r="DB93" s="209"/>
      <c r="DC93" s="209"/>
      <c r="DD93" s="209"/>
      <c r="DE93" s="413"/>
      <c r="DF93" s="209"/>
      <c r="DG93" s="209"/>
      <c r="DH93" s="209"/>
      <c r="DI93" s="209"/>
      <c r="DJ93" s="413"/>
      <c r="DK93" s="209"/>
      <c r="DL93" s="209"/>
      <c r="DM93" s="209"/>
      <c r="DN93" s="209"/>
      <c r="DO93" s="413"/>
      <c r="DP93" s="209"/>
      <c r="DQ93" s="209"/>
      <c r="DR93" s="209"/>
      <c r="DS93" s="209"/>
      <c r="DT93" s="413"/>
      <c r="DU93" s="413"/>
      <c r="DV93" s="413"/>
    </row>
    <row r="94" spans="1:126" s="92" customFormat="1" hidden="1" outlineLevel="1">
      <c r="B94" s="182" t="s">
        <v>396</v>
      </c>
      <c r="C94" s="394"/>
      <c r="D94" s="394"/>
      <c r="E94" s="394"/>
      <c r="F94" s="394"/>
      <c r="G94" s="394"/>
      <c r="H94" s="394"/>
      <c r="I94" s="394"/>
      <c r="J94" s="398"/>
      <c r="K94" s="398"/>
      <c r="L94" s="398"/>
      <c r="M94" s="398"/>
      <c r="N94" s="394"/>
      <c r="O94" s="398"/>
      <c r="P94" s="398"/>
      <c r="Q94" s="398"/>
      <c r="R94" s="398"/>
      <c r="S94" s="410"/>
      <c r="T94" s="412"/>
      <c r="U94" s="412"/>
      <c r="V94" s="412"/>
      <c r="W94" s="412"/>
      <c r="X94" s="410"/>
      <c r="Y94" s="412"/>
      <c r="Z94" s="412"/>
      <c r="AA94" s="412"/>
      <c r="AB94" s="412"/>
      <c r="AC94" s="410"/>
      <c r="AD94" s="412"/>
      <c r="AE94" s="412"/>
      <c r="AF94" s="412"/>
      <c r="AG94" s="412"/>
      <c r="AH94" s="410"/>
      <c r="AI94" s="412"/>
      <c r="AJ94" s="412"/>
      <c r="AK94" s="412"/>
      <c r="AL94" s="412"/>
      <c r="AM94" s="410"/>
      <c r="AN94" s="412"/>
      <c r="AO94" s="412"/>
      <c r="AP94" s="412"/>
      <c r="AQ94" s="412"/>
      <c r="AR94" s="410"/>
      <c r="AS94" s="412"/>
      <c r="AT94" s="412"/>
      <c r="AU94" s="412"/>
      <c r="AV94" s="412"/>
      <c r="AW94" s="410"/>
      <c r="AX94" s="412"/>
      <c r="AY94" s="412"/>
      <c r="AZ94" s="412"/>
      <c r="BA94" s="412"/>
      <c r="BB94" s="410"/>
      <c r="BC94" s="412"/>
      <c r="BD94" s="412"/>
      <c r="BE94" s="412"/>
      <c r="BF94" s="412"/>
      <c r="BG94" s="410"/>
      <c r="BH94" s="412"/>
      <c r="BI94" s="412"/>
      <c r="BJ94" s="412"/>
      <c r="BK94" s="412"/>
      <c r="BL94" s="410"/>
      <c r="BM94" s="412"/>
      <c r="BN94" s="412"/>
      <c r="BO94" s="209"/>
      <c r="BP94" s="209"/>
      <c r="BQ94" s="413"/>
      <c r="BR94" s="209"/>
      <c r="BS94" s="209"/>
      <c r="BT94" s="209"/>
      <c r="BU94" s="209"/>
      <c r="BV94" s="413"/>
      <c r="BW94" s="209"/>
      <c r="BX94" s="209"/>
      <c r="BY94" s="209"/>
      <c r="BZ94" s="209"/>
      <c r="CA94" s="413"/>
      <c r="CB94" s="209"/>
      <c r="CC94" s="209"/>
      <c r="CD94" s="209"/>
      <c r="CE94" s="209"/>
      <c r="CF94" s="413"/>
      <c r="CG94" s="209"/>
      <c r="CH94" s="209"/>
      <c r="CI94" s="209"/>
      <c r="CJ94" s="209"/>
      <c r="CK94" s="413"/>
      <c r="CL94" s="209"/>
      <c r="CM94" s="209"/>
      <c r="CN94" s="209"/>
      <c r="CO94" s="209"/>
      <c r="CP94" s="413"/>
      <c r="CQ94" s="209"/>
      <c r="CR94" s="209"/>
      <c r="CS94" s="209"/>
      <c r="CT94" s="209"/>
      <c r="CU94" s="413"/>
      <c r="CV94" s="209"/>
      <c r="CW94" s="209"/>
      <c r="CX94" s="209"/>
      <c r="CY94" s="209"/>
      <c r="CZ94" s="413"/>
      <c r="DA94" s="209"/>
      <c r="DB94" s="209"/>
      <c r="DC94" s="209"/>
      <c r="DD94" s="209"/>
      <c r="DE94" s="413"/>
      <c r="DF94" s="209"/>
      <c r="DG94" s="209"/>
      <c r="DH94" s="209"/>
      <c r="DI94" s="209"/>
      <c r="DJ94" s="413"/>
      <c r="DK94" s="209"/>
      <c r="DL94" s="209"/>
      <c r="DM94" s="209"/>
      <c r="DN94" s="209"/>
      <c r="DO94" s="413"/>
      <c r="DP94" s="209"/>
      <c r="DQ94" s="209"/>
      <c r="DR94" s="209"/>
      <c r="DS94" s="209"/>
      <c r="DT94" s="413"/>
      <c r="DU94" s="413"/>
      <c r="DV94" s="413"/>
    </row>
    <row r="95" spans="1:126" s="92" customFormat="1" hidden="1" outlineLevel="1">
      <c r="B95" s="65" t="s">
        <v>194</v>
      </c>
      <c r="C95" s="394"/>
      <c r="D95" s="394"/>
      <c r="E95" s="394"/>
      <c r="F95" s="394"/>
      <c r="G95" s="394"/>
      <c r="H95" s="394"/>
      <c r="I95" s="394"/>
      <c r="J95" s="398"/>
      <c r="K95" s="398"/>
      <c r="L95" s="398"/>
      <c r="M95" s="398"/>
      <c r="N95" s="394"/>
      <c r="O95" s="402"/>
      <c r="P95" s="402"/>
      <c r="Q95" s="402"/>
      <c r="R95" s="402"/>
      <c r="S95" s="410"/>
      <c r="T95" s="209"/>
      <c r="U95" s="209"/>
      <c r="V95" s="209"/>
      <c r="W95" s="209"/>
      <c r="X95" s="410"/>
      <c r="Y95" s="209"/>
      <c r="Z95" s="209"/>
      <c r="AA95" s="209"/>
      <c r="AB95" s="209"/>
      <c r="AC95" s="410"/>
      <c r="AD95" s="411"/>
      <c r="AE95" s="411"/>
      <c r="AF95" s="411"/>
      <c r="AG95" s="411"/>
      <c r="AH95" s="410"/>
      <c r="AI95" s="411"/>
      <c r="AJ95" s="411"/>
      <c r="AK95" s="411"/>
      <c r="AL95" s="411"/>
      <c r="AM95" s="410"/>
      <c r="AN95" s="411"/>
      <c r="AO95" s="411"/>
      <c r="AP95" s="411"/>
      <c r="AQ95" s="411"/>
      <c r="AR95" s="410"/>
      <c r="AS95" s="411"/>
      <c r="AT95" s="411"/>
      <c r="AU95" s="411"/>
      <c r="AV95" s="411"/>
      <c r="AW95" s="410"/>
      <c r="AX95" s="411"/>
      <c r="AY95" s="411"/>
      <c r="AZ95" s="411"/>
      <c r="BA95" s="397"/>
      <c r="BB95" s="410"/>
      <c r="BC95" s="397"/>
      <c r="BD95" s="397"/>
      <c r="BE95" s="397"/>
      <c r="BF95" s="397"/>
      <c r="BG95" s="410">
        <f t="shared" ref="BG95:CK95" si="83">BG82+BG90</f>
        <v>-2.7785734746490931E-2</v>
      </c>
      <c r="BH95" s="412">
        <f t="shared" si="83"/>
        <v>0.04</v>
      </c>
      <c r="BI95" s="412">
        <f t="shared" si="83"/>
        <v>0</v>
      </c>
      <c r="BJ95" s="412">
        <f t="shared" si="83"/>
        <v>0.04</v>
      </c>
      <c r="BK95" s="412">
        <f t="shared" si="83"/>
        <v>-2.6140865737344081E-2</v>
      </c>
      <c r="BL95" s="410">
        <f t="shared" si="83"/>
        <v>-4.8279429004895926E-3</v>
      </c>
      <c r="BM95" s="412">
        <f t="shared" si="83"/>
        <v>-0.01</v>
      </c>
      <c r="BN95" s="412">
        <f t="shared" si="83"/>
        <v>0.01</v>
      </c>
      <c r="BO95" s="412">
        <f t="shared" si="83"/>
        <v>-0.09</v>
      </c>
      <c r="BP95" s="209">
        <f t="shared" si="83"/>
        <v>-0.01</v>
      </c>
      <c r="BQ95" s="413">
        <f t="shared" si="83"/>
        <v>-3.93631100082713E-2</v>
      </c>
      <c r="BR95" s="209">
        <f t="shared" si="83"/>
        <v>0.08</v>
      </c>
      <c r="BS95" s="209">
        <f t="shared" si="83"/>
        <v>0.04</v>
      </c>
      <c r="BT95" s="209">
        <f t="shared" si="83"/>
        <v>0.14000000000000001</v>
      </c>
      <c r="BU95" s="209">
        <f t="shared" si="83"/>
        <v>0.01</v>
      </c>
      <c r="BV95" s="413">
        <f t="shared" si="83"/>
        <v>5.7662263882971132E-2</v>
      </c>
      <c r="BW95" s="209">
        <f t="shared" si="83"/>
        <v>0.05</v>
      </c>
      <c r="BX95" s="209">
        <f t="shared" si="83"/>
        <v>6.9999999999999993E-2</v>
      </c>
      <c r="BY95" s="209">
        <f t="shared" si="83"/>
        <v>0.16999999999999998</v>
      </c>
      <c r="BZ95" s="209">
        <f t="shared" si="83"/>
        <v>0.12</v>
      </c>
      <c r="CA95" s="413">
        <f t="shared" si="83"/>
        <v>0.12085000671411315</v>
      </c>
      <c r="CB95" s="209">
        <f t="shared" si="83"/>
        <v>9.9999999999999992E-2</v>
      </c>
      <c r="CC95" s="209">
        <f t="shared" si="83"/>
        <v>0.12</v>
      </c>
      <c r="CD95" s="209">
        <f t="shared" si="83"/>
        <v>0.13</v>
      </c>
      <c r="CE95" s="209">
        <f t="shared" si="83"/>
        <v>0.12000000000000001</v>
      </c>
      <c r="CF95" s="413">
        <f t="shared" si="83"/>
        <v>0.17237836204291335</v>
      </c>
      <c r="CG95" s="209">
        <f t="shared" si="83"/>
        <v>0.11</v>
      </c>
      <c r="CH95" s="209">
        <f t="shared" si="83"/>
        <v>0.09</v>
      </c>
      <c r="CI95" s="209">
        <f t="shared" si="83"/>
        <v>0.1</v>
      </c>
      <c r="CJ95" s="209">
        <f t="shared" si="83"/>
        <v>0.02</v>
      </c>
      <c r="CK95" s="413">
        <f t="shared" si="83"/>
        <v>7.758931793576318E-2</v>
      </c>
      <c r="CL95" s="209"/>
      <c r="CM95" s="209"/>
      <c r="CN95" s="209"/>
      <c r="CO95" s="209"/>
      <c r="CP95" s="413"/>
      <c r="CQ95" s="209"/>
      <c r="CR95" s="209"/>
      <c r="CS95" s="209"/>
      <c r="CT95" s="209"/>
      <c r="CU95" s="413"/>
      <c r="CV95" s="209"/>
      <c r="CW95" s="209"/>
      <c r="CX95" s="209"/>
      <c r="CY95" s="209"/>
      <c r="CZ95" s="413"/>
      <c r="DA95" s="209"/>
      <c r="DB95" s="209"/>
      <c r="DC95" s="209"/>
      <c r="DD95" s="209"/>
      <c r="DE95" s="413"/>
      <c r="DF95" s="209"/>
      <c r="DG95" s="209"/>
      <c r="DH95" s="209"/>
      <c r="DI95" s="209"/>
      <c r="DJ95" s="413"/>
      <c r="DK95" s="209"/>
      <c r="DL95" s="209"/>
      <c r="DM95" s="209"/>
      <c r="DN95" s="209"/>
      <c r="DO95" s="413"/>
      <c r="DP95" s="209"/>
      <c r="DQ95" s="209"/>
      <c r="DR95" s="209"/>
      <c r="DS95" s="209"/>
      <c r="DT95" s="413"/>
      <c r="DU95" s="413"/>
      <c r="DV95" s="413"/>
    </row>
    <row r="96" spans="1:126" s="92" customFormat="1" hidden="1" outlineLevel="1">
      <c r="B96" s="65" t="s">
        <v>472</v>
      </c>
      <c r="C96" s="394"/>
      <c r="D96" s="394"/>
      <c r="E96" s="394"/>
      <c r="F96" s="394"/>
      <c r="G96" s="394"/>
      <c r="H96" s="394"/>
      <c r="I96" s="394"/>
      <c r="J96" s="398"/>
      <c r="K96" s="398"/>
      <c r="L96" s="398"/>
      <c r="M96" s="398"/>
      <c r="N96" s="394"/>
      <c r="O96" s="402"/>
      <c r="P96" s="402"/>
      <c r="Q96" s="402"/>
      <c r="R96" s="402"/>
      <c r="S96" s="410"/>
      <c r="T96" s="209"/>
      <c r="U96" s="209"/>
      <c r="V96" s="209"/>
      <c r="W96" s="209"/>
      <c r="X96" s="410"/>
      <c r="Y96" s="209"/>
      <c r="Z96" s="209"/>
      <c r="AA96" s="209"/>
      <c r="AB96" s="209"/>
      <c r="AC96" s="410"/>
      <c r="AD96" s="411"/>
      <c r="AE96" s="411"/>
      <c r="AF96" s="411"/>
      <c r="AG96" s="411"/>
      <c r="AH96" s="410"/>
      <c r="AI96" s="411"/>
      <c r="AJ96" s="411"/>
      <c r="AK96" s="411"/>
      <c r="AL96" s="411"/>
      <c r="AM96" s="410"/>
      <c r="AN96" s="411"/>
      <c r="AO96" s="411"/>
      <c r="AP96" s="411"/>
      <c r="AQ96" s="411"/>
      <c r="AR96" s="410"/>
      <c r="AS96" s="411"/>
      <c r="AT96" s="411"/>
      <c r="AU96" s="411"/>
      <c r="AV96" s="411"/>
      <c r="AW96" s="410"/>
      <c r="AX96" s="411"/>
      <c r="AY96" s="411"/>
      <c r="AZ96" s="411"/>
      <c r="BA96" s="397"/>
      <c r="BB96" s="410"/>
      <c r="BC96" s="397"/>
      <c r="BD96" s="397"/>
      <c r="BE96" s="397"/>
      <c r="BF96" s="397"/>
      <c r="BG96" s="410">
        <f t="shared" ref="BG96:CK96" si="84">BG83+BG91</f>
        <v>6.1555075593952457E-2</v>
      </c>
      <c r="BH96" s="412">
        <f t="shared" si="84"/>
        <v>0.06</v>
      </c>
      <c r="BI96" s="412">
        <f t="shared" si="84"/>
        <v>0.09</v>
      </c>
      <c r="BJ96" s="412">
        <f t="shared" si="84"/>
        <v>6.9999999999999993E-2</v>
      </c>
      <c r="BK96" s="412">
        <f t="shared" si="84"/>
        <v>3.868154158215021E-2</v>
      </c>
      <c r="BL96" s="410">
        <f t="shared" si="84"/>
        <v>7.690642091855858E-2</v>
      </c>
      <c r="BM96" s="412">
        <f t="shared" si="84"/>
        <v>4.0000000000000008E-2</v>
      </c>
      <c r="BN96" s="412">
        <f t="shared" si="84"/>
        <v>0</v>
      </c>
      <c r="BO96" s="412">
        <f t="shared" si="84"/>
        <v>-0.01</v>
      </c>
      <c r="BP96" s="209">
        <f t="shared" si="84"/>
        <v>0.03</v>
      </c>
      <c r="BQ96" s="413">
        <f t="shared" si="84"/>
        <v>-2.85121350685895E-2</v>
      </c>
      <c r="BR96" s="209">
        <f t="shared" si="84"/>
        <v>-0.01</v>
      </c>
      <c r="BS96" s="209">
        <f t="shared" si="84"/>
        <v>0.02</v>
      </c>
      <c r="BT96" s="209">
        <f t="shared" si="84"/>
        <v>4.9999999999999996E-2</v>
      </c>
      <c r="BU96" s="209">
        <f t="shared" si="84"/>
        <v>-0.01</v>
      </c>
      <c r="BV96" s="413">
        <f t="shared" si="84"/>
        <v>2.6323258124024473E-2</v>
      </c>
      <c r="BW96" s="209">
        <f t="shared" si="84"/>
        <v>0.04</v>
      </c>
      <c r="BX96" s="209">
        <f t="shared" si="84"/>
        <v>-0.01</v>
      </c>
      <c r="BY96" s="209">
        <f t="shared" si="84"/>
        <v>0</v>
      </c>
      <c r="BZ96" s="209">
        <f t="shared" si="84"/>
        <v>6.0000000000000005E-2</v>
      </c>
      <c r="CA96" s="413">
        <f t="shared" si="84"/>
        <v>1.5623919806429409E-2</v>
      </c>
      <c r="CB96" s="209">
        <f t="shared" si="84"/>
        <v>6.0000000000000005E-2</v>
      </c>
      <c r="CC96" s="209">
        <f t="shared" si="84"/>
        <v>0.09</v>
      </c>
      <c r="CD96" s="209">
        <f t="shared" si="84"/>
        <v>0.09</v>
      </c>
      <c r="CE96" s="209">
        <f t="shared" si="84"/>
        <v>0.09</v>
      </c>
      <c r="CF96" s="413">
        <f t="shared" si="84"/>
        <v>0.14367367776189499</v>
      </c>
      <c r="CG96" s="209">
        <f t="shared" si="84"/>
        <v>0.1</v>
      </c>
      <c r="CH96" s="209">
        <f t="shared" si="84"/>
        <v>0.09</v>
      </c>
      <c r="CI96" s="209">
        <f t="shared" si="84"/>
        <v>6.0000000000000005E-2</v>
      </c>
      <c r="CJ96" s="209">
        <f t="shared" si="84"/>
        <v>0.01</v>
      </c>
      <c r="CK96" s="413">
        <f t="shared" si="84"/>
        <v>7.2479294573323916E-2</v>
      </c>
      <c r="CL96" s="209"/>
      <c r="CM96" s="209"/>
      <c r="CN96" s="209"/>
      <c r="CO96" s="209"/>
      <c r="CP96" s="413"/>
      <c r="CQ96" s="209"/>
      <c r="CR96" s="209"/>
      <c r="CS96" s="209"/>
      <c r="CT96" s="209"/>
      <c r="CU96" s="413"/>
      <c r="CV96" s="209"/>
      <c r="CW96" s="209"/>
      <c r="CX96" s="209"/>
      <c r="CY96" s="209"/>
      <c r="CZ96" s="413"/>
      <c r="DA96" s="209"/>
      <c r="DB96" s="209"/>
      <c r="DC96" s="209"/>
      <c r="DD96" s="209"/>
      <c r="DE96" s="413"/>
      <c r="DF96" s="209"/>
      <c r="DG96" s="209"/>
      <c r="DH96" s="209"/>
      <c r="DI96" s="209"/>
      <c r="DJ96" s="413"/>
      <c r="DK96" s="209"/>
      <c r="DL96" s="209"/>
      <c r="DM96" s="209"/>
      <c r="DN96" s="209"/>
      <c r="DO96" s="413"/>
      <c r="DP96" s="209"/>
      <c r="DQ96" s="209"/>
      <c r="DR96" s="209"/>
      <c r="DS96" s="209"/>
      <c r="DT96" s="413"/>
      <c r="DU96" s="413"/>
      <c r="DV96" s="413"/>
    </row>
    <row r="97" spans="1:126" s="92" customFormat="1" hidden="1" outlineLevel="1">
      <c r="B97" s="43" t="s">
        <v>132</v>
      </c>
      <c r="C97" s="245"/>
      <c r="D97" s="134"/>
      <c r="E97" s="134"/>
      <c r="F97" s="134"/>
      <c r="G97" s="134"/>
      <c r="H97" s="134"/>
      <c r="I97" s="134"/>
      <c r="J97" s="414"/>
      <c r="K97" s="414"/>
      <c r="L97" s="414"/>
      <c r="M97" s="414"/>
      <c r="N97" s="134"/>
      <c r="O97" s="414"/>
      <c r="P97" s="414"/>
      <c r="Q97" s="414"/>
      <c r="R97" s="414"/>
      <c r="S97" s="415"/>
      <c r="T97" s="416"/>
      <c r="U97" s="416"/>
      <c r="V97" s="416"/>
      <c r="W97" s="416"/>
      <c r="X97" s="415"/>
      <c r="Y97" s="416"/>
      <c r="Z97" s="416"/>
      <c r="AA97" s="416"/>
      <c r="AB97" s="416"/>
      <c r="AC97" s="415"/>
      <c r="AD97" s="417"/>
      <c r="AE97" s="417"/>
      <c r="AF97" s="417"/>
      <c r="AG97" s="417"/>
      <c r="AH97" s="418"/>
      <c r="AI97" s="417"/>
      <c r="AJ97" s="417"/>
      <c r="AK97" s="417"/>
      <c r="AL97" s="417"/>
      <c r="AM97" s="418"/>
      <c r="AN97" s="417"/>
      <c r="AO97" s="417"/>
      <c r="AP97" s="417"/>
      <c r="AQ97" s="417"/>
      <c r="AR97" s="418"/>
      <c r="AS97" s="417"/>
      <c r="AT97" s="417"/>
      <c r="AU97" s="417"/>
      <c r="AV97" s="417"/>
      <c r="AW97" s="418"/>
      <c r="AX97" s="417"/>
      <c r="AY97" s="417"/>
      <c r="AZ97" s="417"/>
      <c r="BA97" s="416"/>
      <c r="BB97" s="415"/>
      <c r="BC97" s="416"/>
      <c r="BD97" s="416"/>
      <c r="BE97" s="416"/>
      <c r="BF97" s="416"/>
      <c r="BG97" s="415"/>
      <c r="BH97" s="416">
        <f>0.05+BH92</f>
        <v>0.05</v>
      </c>
      <c r="BI97" s="416">
        <f>0.04+BI92</f>
        <v>0.04</v>
      </c>
      <c r="BJ97" s="416">
        <f>0.04+BJ92</f>
        <v>0.04</v>
      </c>
      <c r="BK97" s="416">
        <f>BK87+BK92</f>
        <v>2.4300293018086228E-2</v>
      </c>
      <c r="BL97" s="415"/>
      <c r="BM97" s="416"/>
      <c r="BN97" s="416"/>
      <c r="BO97" s="416"/>
      <c r="BP97" s="416"/>
      <c r="BQ97" s="415"/>
      <c r="BR97" s="416"/>
      <c r="BS97" s="416"/>
      <c r="BT97" s="416"/>
      <c r="BU97" s="416"/>
      <c r="BV97" s="415"/>
      <c r="BW97" s="416"/>
      <c r="BX97" s="416"/>
      <c r="BY97" s="416"/>
      <c r="BZ97" s="416"/>
      <c r="CA97" s="415"/>
      <c r="CB97" s="416"/>
      <c r="CC97" s="416"/>
      <c r="CD97" s="416"/>
      <c r="CE97" s="416"/>
      <c r="CF97" s="415"/>
      <c r="CG97" s="416"/>
      <c r="CH97" s="416"/>
      <c r="CI97" s="416"/>
      <c r="CJ97" s="416"/>
      <c r="CK97" s="415"/>
      <c r="CL97" s="416"/>
      <c r="CM97" s="416"/>
      <c r="CN97" s="416"/>
      <c r="CO97" s="416"/>
      <c r="CP97" s="415"/>
      <c r="CQ97" s="416"/>
      <c r="CR97" s="416"/>
      <c r="CS97" s="416"/>
      <c r="CT97" s="416"/>
      <c r="CU97" s="415"/>
      <c r="CV97" s="416"/>
      <c r="CW97" s="416"/>
      <c r="CX97" s="416"/>
      <c r="CY97" s="416"/>
      <c r="CZ97" s="415"/>
      <c r="DA97" s="416"/>
      <c r="DB97" s="416"/>
      <c r="DC97" s="416"/>
      <c r="DD97" s="416"/>
      <c r="DE97" s="415"/>
      <c r="DF97" s="416"/>
      <c r="DG97" s="416"/>
      <c r="DH97" s="416"/>
      <c r="DI97" s="416"/>
      <c r="DJ97" s="415"/>
      <c r="DK97" s="416"/>
      <c r="DL97" s="416"/>
      <c r="DM97" s="416"/>
      <c r="DN97" s="416"/>
      <c r="DO97" s="415"/>
      <c r="DP97" s="416"/>
      <c r="DQ97" s="416"/>
      <c r="DR97" s="416"/>
      <c r="DS97" s="416"/>
      <c r="DT97" s="415"/>
      <c r="DU97" s="415"/>
      <c r="DV97" s="415"/>
    </row>
    <row r="98" spans="1:126" s="92" customFormat="1" hidden="1" outlineLevel="1">
      <c r="B98" s="401"/>
      <c r="C98" s="404"/>
      <c r="D98" s="230"/>
      <c r="E98" s="230"/>
      <c r="F98" s="230"/>
      <c r="G98" s="230"/>
      <c r="H98" s="230"/>
      <c r="I98" s="230"/>
      <c r="J98" s="231"/>
      <c r="K98" s="231"/>
      <c r="L98" s="231"/>
      <c r="M98" s="231"/>
      <c r="N98" s="230"/>
      <c r="O98" s="231"/>
      <c r="P98" s="231"/>
      <c r="Q98" s="231"/>
      <c r="R98" s="231"/>
      <c r="S98" s="413"/>
      <c r="T98" s="209"/>
      <c r="U98" s="209"/>
      <c r="V98" s="209"/>
      <c r="W98" s="209"/>
      <c r="X98" s="413"/>
      <c r="Y98" s="209"/>
      <c r="Z98" s="209"/>
      <c r="AA98" s="209"/>
      <c r="AB98" s="209"/>
      <c r="AC98" s="413"/>
      <c r="AD98" s="411"/>
      <c r="AE98" s="411"/>
      <c r="AF98" s="411"/>
      <c r="AG98" s="411"/>
      <c r="AH98" s="410"/>
      <c r="AI98" s="411"/>
      <c r="AJ98" s="411"/>
      <c r="AK98" s="411"/>
      <c r="AL98" s="411"/>
      <c r="AM98" s="410"/>
      <c r="AN98" s="411"/>
      <c r="AO98" s="411"/>
      <c r="AP98" s="411"/>
      <c r="AQ98" s="411"/>
      <c r="AR98" s="410"/>
      <c r="AS98" s="411"/>
      <c r="AT98" s="411"/>
      <c r="AU98" s="411"/>
      <c r="AV98" s="411"/>
      <c r="AW98" s="413"/>
      <c r="AX98" s="209"/>
      <c r="AY98" s="209"/>
      <c r="AZ98" s="209"/>
      <c r="BA98" s="209"/>
      <c r="BB98" s="413"/>
      <c r="BC98" s="209"/>
      <c r="BD98" s="209"/>
      <c r="BE98" s="209"/>
      <c r="BF98" s="209"/>
      <c r="BG98" s="413"/>
      <c r="BH98" s="209"/>
      <c r="BI98" s="209"/>
      <c r="BJ98" s="209"/>
      <c r="BK98" s="209"/>
      <c r="BL98" s="413"/>
      <c r="BM98" s="209"/>
      <c r="BN98" s="209"/>
      <c r="BO98" s="209"/>
      <c r="BP98" s="209"/>
      <c r="BQ98" s="413"/>
      <c r="BR98" s="209"/>
      <c r="BS98" s="209"/>
      <c r="BT98" s="209"/>
      <c r="BU98" s="209"/>
      <c r="BV98" s="413"/>
      <c r="BW98" s="209"/>
      <c r="BX98" s="209"/>
      <c r="BY98" s="209"/>
      <c r="BZ98" s="209"/>
      <c r="CA98" s="413"/>
      <c r="CB98" s="209"/>
      <c r="CC98" s="209"/>
      <c r="CD98" s="209"/>
      <c r="CE98" s="209"/>
      <c r="CF98" s="413"/>
      <c r="CG98" s="209"/>
      <c r="CH98" s="209"/>
      <c r="CI98" s="209"/>
      <c r="CJ98" s="209"/>
      <c r="CK98" s="413"/>
      <c r="CL98" s="209"/>
      <c r="CM98" s="209"/>
      <c r="CN98" s="209"/>
      <c r="CO98" s="209"/>
      <c r="CP98" s="413"/>
      <c r="CQ98" s="209"/>
      <c r="CR98" s="209"/>
      <c r="CS98" s="209"/>
      <c r="CT98" s="209"/>
      <c r="CU98" s="413"/>
      <c r="CV98" s="209"/>
      <c r="CW98" s="209"/>
      <c r="CX98" s="209"/>
      <c r="CY98" s="209"/>
      <c r="CZ98" s="413"/>
      <c r="DA98" s="209"/>
      <c r="DB98" s="209"/>
      <c r="DC98" s="209"/>
      <c r="DD98" s="209"/>
      <c r="DE98" s="413"/>
      <c r="DF98" s="209"/>
      <c r="DG98" s="209"/>
      <c r="DH98" s="209"/>
      <c r="DI98" s="209"/>
      <c r="DJ98" s="413"/>
      <c r="DK98" s="209"/>
      <c r="DL98" s="209"/>
      <c r="DM98" s="209"/>
      <c r="DN98" s="209"/>
      <c r="DO98" s="413"/>
      <c r="DP98" s="209"/>
      <c r="DQ98" s="209"/>
      <c r="DR98" s="209"/>
      <c r="DS98" s="209"/>
      <c r="DT98" s="413"/>
      <c r="DU98" s="413"/>
      <c r="DV98" s="413"/>
    </row>
    <row r="99" spans="1:126" s="92" customFormat="1" collapsed="1">
      <c r="B99" s="54" t="s">
        <v>78</v>
      </c>
      <c r="C99" s="91"/>
      <c r="D99" s="91"/>
      <c r="E99" s="91"/>
      <c r="F99" s="91"/>
      <c r="G99" s="91"/>
      <c r="H99" s="91"/>
      <c r="I99" s="91"/>
      <c r="N99" s="91"/>
      <c r="S99" s="413"/>
      <c r="T99" s="397"/>
      <c r="U99" s="397"/>
      <c r="V99" s="397"/>
      <c r="W99" s="397"/>
      <c r="X99" s="413"/>
      <c r="Y99" s="397"/>
      <c r="Z99" s="397"/>
      <c r="AA99" s="397"/>
      <c r="AB99" s="397"/>
      <c r="AC99" s="413"/>
      <c r="AD99" s="412"/>
      <c r="AE99" s="412"/>
      <c r="AF99" s="412"/>
      <c r="AG99" s="412"/>
      <c r="AH99" s="410"/>
      <c r="AI99" s="412"/>
      <c r="AJ99" s="412"/>
      <c r="AK99" s="412"/>
      <c r="AL99" s="412"/>
      <c r="AM99" s="410"/>
      <c r="AN99" s="412"/>
      <c r="AO99" s="412"/>
      <c r="AP99" s="412"/>
      <c r="AQ99" s="412"/>
      <c r="AR99" s="410"/>
      <c r="AS99" s="412"/>
      <c r="AT99" s="412"/>
      <c r="AU99" s="412"/>
      <c r="AV99" s="412"/>
      <c r="AW99" s="413"/>
      <c r="AX99" s="397"/>
      <c r="AY99" s="397"/>
      <c r="AZ99" s="397"/>
      <c r="BA99" s="397"/>
      <c r="BB99" s="413"/>
      <c r="BC99" s="397"/>
      <c r="BD99" s="397"/>
      <c r="BE99" s="397"/>
      <c r="BF99" s="397"/>
      <c r="BG99" s="413"/>
      <c r="BH99" s="397"/>
      <c r="BI99" s="397"/>
      <c r="BJ99" s="397"/>
      <c r="BK99" s="397"/>
      <c r="BL99" s="413"/>
      <c r="BM99" s="397"/>
      <c r="BN99" s="397"/>
      <c r="BO99" s="397"/>
      <c r="BP99" s="397"/>
      <c r="BQ99" s="413"/>
      <c r="BR99" s="397"/>
      <c r="BS99" s="397"/>
      <c r="BT99" s="397"/>
      <c r="BU99" s="397"/>
      <c r="BV99" s="413"/>
      <c r="BW99" s="397"/>
      <c r="BX99" s="397"/>
      <c r="BY99" s="397"/>
      <c r="BZ99" s="397"/>
      <c r="CA99" s="413"/>
      <c r="CB99" s="397"/>
      <c r="CC99" s="397"/>
      <c r="CD99" s="397"/>
      <c r="CE99" s="397"/>
      <c r="CF99" s="413"/>
      <c r="CG99" s="397"/>
      <c r="CH99" s="397"/>
      <c r="CI99" s="397"/>
      <c r="CJ99" s="397"/>
      <c r="CK99" s="413"/>
      <c r="CL99" s="397"/>
      <c r="CM99" s="397"/>
      <c r="CN99" s="397"/>
      <c r="CO99" s="397"/>
      <c r="CP99" s="413"/>
      <c r="CQ99" s="397"/>
      <c r="CR99" s="397"/>
      <c r="CS99" s="397"/>
      <c r="CT99" s="397"/>
      <c r="CU99" s="413"/>
      <c r="CV99" s="397"/>
      <c r="CW99" s="397"/>
      <c r="CX99" s="397"/>
      <c r="CY99" s="397"/>
      <c r="CZ99" s="413"/>
      <c r="DA99" s="397"/>
      <c r="DB99" s="397"/>
      <c r="DC99" s="397"/>
      <c r="DD99" s="397"/>
      <c r="DE99" s="413"/>
      <c r="DF99" s="397"/>
      <c r="DG99" s="397"/>
      <c r="DH99" s="397"/>
      <c r="DI99" s="397"/>
      <c r="DJ99" s="413"/>
      <c r="DK99" s="397"/>
      <c r="DL99" s="397"/>
      <c r="DM99" s="397"/>
      <c r="DN99" s="397"/>
      <c r="DO99" s="413"/>
      <c r="DP99" s="397"/>
      <c r="DQ99" s="397"/>
      <c r="DR99" s="397"/>
      <c r="DS99" s="397"/>
      <c r="DT99" s="413"/>
      <c r="DU99" s="413"/>
      <c r="DV99" s="413"/>
    </row>
    <row r="100" spans="1:126" s="92" customFormat="1">
      <c r="B100" s="115" t="s">
        <v>194</v>
      </c>
      <c r="C100" s="119"/>
      <c r="D100" s="120">
        <f t="shared" ref="D100:I100" si="85">D14/C14-1</f>
        <v>6.4036746825182345E-2</v>
      </c>
      <c r="E100" s="120">
        <f t="shared" si="85"/>
        <v>-2.5647536820721184E-2</v>
      </c>
      <c r="F100" s="120">
        <f t="shared" si="85"/>
        <v>-4.0135522543653934E-2</v>
      </c>
      <c r="G100" s="120">
        <f t="shared" si="85"/>
        <v>4.24925332609285E-2</v>
      </c>
      <c r="H100" s="120">
        <f t="shared" si="85"/>
        <v>-4.427659851543142E-3</v>
      </c>
      <c r="I100" s="120">
        <f t="shared" si="85"/>
        <v>-2.1059516023544833E-2</v>
      </c>
      <c r="J100" s="129"/>
      <c r="K100" s="129"/>
      <c r="L100" s="129"/>
      <c r="M100" s="129"/>
      <c r="N100" s="120">
        <f t="shared" ref="N100:AS100" si="86">N14/I14-1</f>
        <v>0.10649385355424901</v>
      </c>
      <c r="O100" s="127">
        <f t="shared" si="86"/>
        <v>3.8164002062919034E-2</v>
      </c>
      <c r="P100" s="127">
        <f t="shared" si="86"/>
        <v>9.2788461538461542E-2</v>
      </c>
      <c r="Q100" s="127">
        <f t="shared" si="86"/>
        <v>0.14952380952380961</v>
      </c>
      <c r="R100" s="127">
        <f t="shared" si="86"/>
        <v>0.20027752081406103</v>
      </c>
      <c r="S100" s="413">
        <f t="shared" si="86"/>
        <v>0.12244897959183665</v>
      </c>
      <c r="T100" s="209">
        <f t="shared" si="86"/>
        <v>0.27570789865871825</v>
      </c>
      <c r="U100" s="209">
        <f t="shared" si="86"/>
        <v>0.19973603167619891</v>
      </c>
      <c r="V100" s="209">
        <f t="shared" si="86"/>
        <v>0.147887323943662</v>
      </c>
      <c r="W100" s="209">
        <f t="shared" si="86"/>
        <v>0.17379576107899797</v>
      </c>
      <c r="X100" s="413">
        <f t="shared" si="86"/>
        <v>0.19548144163528769</v>
      </c>
      <c r="Y100" s="209">
        <f t="shared" si="86"/>
        <v>7.7492211838006142E-2</v>
      </c>
      <c r="Z100" s="209">
        <f t="shared" si="86"/>
        <v>0.13971397139713981</v>
      </c>
      <c r="AA100" s="209">
        <f t="shared" si="86"/>
        <v>9.5633345362684974E-2</v>
      </c>
      <c r="AB100" s="209">
        <f t="shared" si="86"/>
        <v>0.37065003282994091</v>
      </c>
      <c r="AC100" s="413">
        <f t="shared" si="86"/>
        <v>0.17764578833693312</v>
      </c>
      <c r="AD100" s="411">
        <f t="shared" si="86"/>
        <v>0.25189736176364286</v>
      </c>
      <c r="AE100" s="411">
        <f t="shared" si="86"/>
        <v>0.14832689832689838</v>
      </c>
      <c r="AF100" s="411">
        <f t="shared" si="86"/>
        <v>0.12681159420289845</v>
      </c>
      <c r="AG100" s="411">
        <f t="shared" si="86"/>
        <v>-0.18682634730538927</v>
      </c>
      <c r="AH100" s="410">
        <f t="shared" si="86"/>
        <v>5.8306587192419324E-2</v>
      </c>
      <c r="AI100" s="411">
        <f t="shared" si="86"/>
        <v>-8.1986143187066984E-2</v>
      </c>
      <c r="AJ100" s="411">
        <f t="shared" si="86"/>
        <v>-0.12832726253852622</v>
      </c>
      <c r="AK100" s="411">
        <f t="shared" si="86"/>
        <v>-0.11400175387313649</v>
      </c>
      <c r="AL100" s="411">
        <f t="shared" si="86"/>
        <v>-9.5729013254786444E-2</v>
      </c>
      <c r="AM100" s="410">
        <f t="shared" si="86"/>
        <v>-0.1052061520687414</v>
      </c>
      <c r="AN100" s="411">
        <f t="shared" si="86"/>
        <v>-0.10660377358490569</v>
      </c>
      <c r="AO100" s="411">
        <f t="shared" si="86"/>
        <v>5.4001928640308616E-2</v>
      </c>
      <c r="AP100" s="411">
        <f t="shared" si="86"/>
        <v>6.5654899373144282E-2</v>
      </c>
      <c r="AQ100" s="411">
        <f t="shared" si="86"/>
        <v>0.16775244299674275</v>
      </c>
      <c r="AR100" s="410">
        <f t="shared" si="86"/>
        <v>4.3818592640413101E-2</v>
      </c>
      <c r="AS100" s="411">
        <f t="shared" si="86"/>
        <v>1.1263639563533934E-2</v>
      </c>
      <c r="AT100" s="411">
        <f t="shared" ref="AT100:BY100" si="87">AT14/AO14-1</f>
        <v>-9.1491308325708509E-4</v>
      </c>
      <c r="AU100" s="411">
        <f t="shared" si="87"/>
        <v>-4.6130030959752322E-2</v>
      </c>
      <c r="AV100" s="411">
        <f t="shared" si="87"/>
        <v>-2.9009762900976344E-2</v>
      </c>
      <c r="AW100" s="413">
        <f t="shared" si="87"/>
        <v>-1.7317356010823293E-2</v>
      </c>
      <c r="AX100" s="209">
        <f t="shared" si="87"/>
        <v>6.2304211625478612E-2</v>
      </c>
      <c r="AY100" s="209">
        <f t="shared" si="87"/>
        <v>5.2197802197802234E-2</v>
      </c>
      <c r="AZ100" s="422">
        <f t="shared" si="87"/>
        <v>0.16001298279779297</v>
      </c>
      <c r="BA100" s="209">
        <f t="shared" si="87"/>
        <v>0.11778224648089619</v>
      </c>
      <c r="BB100" s="413">
        <f t="shared" si="87"/>
        <v>9.8576036503815523E-2</v>
      </c>
      <c r="BC100" s="457">
        <f t="shared" si="87"/>
        <v>0.1146788990825689</v>
      </c>
      <c r="BD100" s="209">
        <f t="shared" si="87"/>
        <v>5.1348999129678052E-2</v>
      </c>
      <c r="BE100" s="209">
        <f t="shared" si="87"/>
        <v>-5.2602126468942356E-2</v>
      </c>
      <c r="BF100" s="209">
        <f t="shared" si="87"/>
        <v>5.088666152659993E-2</v>
      </c>
      <c r="BG100" s="413">
        <f t="shared" si="87"/>
        <v>3.8456029790890911E-2</v>
      </c>
      <c r="BH100" s="209">
        <f t="shared" si="87"/>
        <v>-2.1457965902410336E-2</v>
      </c>
      <c r="BI100" s="457">
        <f t="shared" si="87"/>
        <v>-8.8300220750552327E-3</v>
      </c>
      <c r="BJ100" s="209">
        <f t="shared" si="87"/>
        <v>5.2569403425871242E-2</v>
      </c>
      <c r="BK100" s="209">
        <f t="shared" si="87"/>
        <v>-1.6140865737344079E-2</v>
      </c>
      <c r="BL100" s="413">
        <f t="shared" si="87"/>
        <v>4.8272532928761436E-4</v>
      </c>
      <c r="BM100" s="209">
        <f t="shared" si="87"/>
        <v>9.0117152297986003E-4</v>
      </c>
      <c r="BN100" s="209">
        <f t="shared" si="87"/>
        <v>2.3663697104677084E-2</v>
      </c>
      <c r="BO100" s="209">
        <f t="shared" si="87"/>
        <v>-9.259259259259256E-2</v>
      </c>
      <c r="BP100" s="209">
        <f t="shared" si="87"/>
        <v>-4.5737012179965175E-2</v>
      </c>
      <c r="BQ100" s="413">
        <f t="shared" si="87"/>
        <v>-2.9363110008271298E-2</v>
      </c>
      <c r="BR100" s="209">
        <f t="shared" si="87"/>
        <v>7.6830732292917148E-2</v>
      </c>
      <c r="BS100" s="209">
        <f t="shared" si="87"/>
        <v>3.6986673918955715E-2</v>
      </c>
      <c r="BT100" s="209">
        <f t="shared" si="87"/>
        <v>8.2560296846011072E-2</v>
      </c>
      <c r="BU100" s="209">
        <f t="shared" si="87"/>
        <v>3.9854128679343681E-2</v>
      </c>
      <c r="BV100" s="413">
        <f t="shared" si="87"/>
        <v>5.7662263882971132E-2</v>
      </c>
      <c r="BW100" s="209">
        <f t="shared" si="87"/>
        <v>4.7380156075808255E-2</v>
      </c>
      <c r="BX100" s="209">
        <f t="shared" si="87"/>
        <v>6.7400996590611051E-2</v>
      </c>
      <c r="BY100" s="209">
        <f t="shared" si="87"/>
        <v>0.21565267066552418</v>
      </c>
      <c r="BZ100" s="209">
        <f t="shared" ref="BZ100:DE100" si="88">BZ14/BU14-1</f>
        <v>0.11748496993987967</v>
      </c>
      <c r="CA100" s="413">
        <f t="shared" si="88"/>
        <v>0.11085000671411316</v>
      </c>
      <c r="CB100" s="209">
        <f t="shared" si="88"/>
        <v>0.15194252261841412</v>
      </c>
      <c r="CC100" s="209">
        <f t="shared" si="88"/>
        <v>0.16363636363636358</v>
      </c>
      <c r="CD100" s="209">
        <f t="shared" si="88"/>
        <v>0.12523496240601495</v>
      </c>
      <c r="CE100" s="209">
        <f t="shared" si="88"/>
        <v>0.24254651423447648</v>
      </c>
      <c r="CF100" s="413">
        <f t="shared" si="88"/>
        <v>0.17237836204291335</v>
      </c>
      <c r="CG100" s="209">
        <f t="shared" si="88"/>
        <v>0.11295911295911298</v>
      </c>
      <c r="CH100" s="209">
        <f t="shared" si="88"/>
        <v>8.8260135135135087E-2</v>
      </c>
      <c r="CI100" s="209">
        <f t="shared" si="88"/>
        <v>0.10357068281478399</v>
      </c>
      <c r="CJ100" s="209">
        <f t="shared" si="88"/>
        <v>1.8401587587948853E-2</v>
      </c>
      <c r="CK100" s="413">
        <f t="shared" si="88"/>
        <v>7.758931793576318E-2</v>
      </c>
      <c r="CL100" s="209">
        <f t="shared" si="88"/>
        <v>0.11104192611041919</v>
      </c>
      <c r="CM100" s="209">
        <f t="shared" si="88"/>
        <v>-0.32343810632518433</v>
      </c>
      <c r="CN100" s="209">
        <f t="shared" si="88"/>
        <v>-0.33888363292336798</v>
      </c>
      <c r="CO100" s="209">
        <f t="shared" si="88"/>
        <v>-0.13374667847652788</v>
      </c>
      <c r="CP100" s="413">
        <f t="shared" si="88"/>
        <v>-0.17596402258157118</v>
      </c>
      <c r="CQ100" s="209">
        <f t="shared" si="88"/>
        <v>-0.24715113020736035</v>
      </c>
      <c r="CR100" s="209">
        <f t="shared" si="88"/>
        <v>0.22741611700602227</v>
      </c>
      <c r="CS100" s="209">
        <f t="shared" si="88"/>
        <v>0.35231825987406973</v>
      </c>
      <c r="CT100" s="209">
        <f t="shared" si="88"/>
        <v>4.6012269938650263E-2</v>
      </c>
      <c r="CU100" s="413">
        <f t="shared" si="88"/>
        <v>5.3762192289828148E-2</v>
      </c>
      <c r="CV100" s="209">
        <f t="shared" si="88"/>
        <v>0.12382133995037226</v>
      </c>
      <c r="CW100" s="209">
        <f t="shared" si="88"/>
        <v>0.16098130841121505</v>
      </c>
      <c r="CX100" s="209">
        <f t="shared" si="88"/>
        <v>0.13862433862433865</v>
      </c>
      <c r="CY100" s="209">
        <f t="shared" si="88"/>
        <v>0.10498533724340176</v>
      </c>
      <c r="CZ100" s="413">
        <f t="shared" si="88"/>
        <v>0.13112947658402208</v>
      </c>
      <c r="DA100" s="209">
        <f t="shared" si="88"/>
        <v>0.15478030470302495</v>
      </c>
      <c r="DB100" s="209">
        <f t="shared" si="88"/>
        <v>0.14731334272489427</v>
      </c>
      <c r="DC100" s="209">
        <f t="shared" si="88"/>
        <v>-0.82788104089219328</v>
      </c>
      <c r="DD100" s="209">
        <f t="shared" si="88"/>
        <v>0.13924274593064401</v>
      </c>
      <c r="DE100" s="413">
        <f t="shared" si="88"/>
        <v>-0.10881636629322944</v>
      </c>
      <c r="DF100" s="209">
        <f t="shared" ref="DF100:DG100" si="89">DF14/DA14-1</f>
        <v>0.23441682600382419</v>
      </c>
      <c r="DG100" s="209">
        <f t="shared" si="89"/>
        <v>0.1931240133309946</v>
      </c>
      <c r="DH100" s="209">
        <f>DH14/(DC14)-1</f>
        <v>6.8174946004319654</v>
      </c>
      <c r="DI100" s="209">
        <f>DI14/DD14-1</f>
        <v>0.17549308898897342</v>
      </c>
      <c r="DJ100" s="413">
        <f>DJ14/(DE14)-1</f>
        <v>0.53399650196764314</v>
      </c>
      <c r="DK100" s="209">
        <f>DK14/DF14-1</f>
        <v>0.14095415117719945</v>
      </c>
      <c r="DL100" s="209">
        <f>DL14/DG14-1</f>
        <v>0.1218759188473979</v>
      </c>
      <c r="DM100" s="209">
        <f>DM14/(DH14)-1</f>
        <v>0.16355850255560167</v>
      </c>
      <c r="DN100" s="209">
        <f>DN14/DI14-1</f>
        <v>0.125</v>
      </c>
      <c r="DO100" s="413">
        <f>DO14/(DJ14)-1</f>
        <v>0.13785808451507164</v>
      </c>
      <c r="DP100" s="209">
        <f>DP14/DK14-1</f>
        <v>9.4999999999999973E-2</v>
      </c>
      <c r="DQ100" s="209">
        <f>DQ14/DL14-1</f>
        <v>9.2000000000000304E-2</v>
      </c>
      <c r="DR100" s="209">
        <f>DR14/(DM14)-1</f>
        <v>9.099999999999997E-2</v>
      </c>
      <c r="DS100" s="209">
        <f>DS14/DN14-1</f>
        <v>9.4000000000000083E-2</v>
      </c>
      <c r="DT100" s="413">
        <f>DT14/(DO14)-1</f>
        <v>9.2961488329856401E-2</v>
      </c>
      <c r="DU100" s="413">
        <f>DU14/DT14-1</f>
        <v>8.2000000000000073E-2</v>
      </c>
      <c r="DV100" s="413">
        <f>DV14/DU14-1</f>
        <v>7.0999999999999952E-2</v>
      </c>
    </row>
    <row r="101" spans="1:126" s="92" customFormat="1">
      <c r="B101" s="3" t="s">
        <v>472</v>
      </c>
      <c r="C101" s="119"/>
      <c r="D101" s="120">
        <f t="shared" ref="D101:I101" si="90">D26/C26-1</f>
        <v>3.1027104136947203E-2</v>
      </c>
      <c r="E101" s="120">
        <f t="shared" si="90"/>
        <v>0.31788308543756494</v>
      </c>
      <c r="F101" s="120">
        <f t="shared" si="90"/>
        <v>0.31023622047244093</v>
      </c>
      <c r="G101" s="120">
        <f t="shared" si="90"/>
        <v>6.0096153846153744E-2</v>
      </c>
      <c r="H101" s="120">
        <f t="shared" si="90"/>
        <v>-0.3475056689342404</v>
      </c>
      <c r="I101" s="120">
        <f t="shared" si="90"/>
        <v>4.1992470315667552E-2</v>
      </c>
      <c r="J101" s="129"/>
      <c r="K101" s="129"/>
      <c r="L101" s="129"/>
      <c r="M101" s="129"/>
      <c r="N101" s="120">
        <f t="shared" ref="N101:AS101" si="91">N26/I26-1</f>
        <v>8.9772095608671387E-2</v>
      </c>
      <c r="O101" s="127">
        <f t="shared" si="91"/>
        <v>0.1101511879049677</v>
      </c>
      <c r="P101" s="127">
        <f t="shared" si="91"/>
        <v>0.20427807486631022</v>
      </c>
      <c r="Q101" s="127">
        <f t="shared" si="91"/>
        <v>9.8979591836734659E-2</v>
      </c>
      <c r="R101" s="127">
        <f t="shared" si="91"/>
        <v>6.5740740740740655E-2</v>
      </c>
      <c r="S101" s="413">
        <f t="shared" si="91"/>
        <v>0.11757204794695242</v>
      </c>
      <c r="T101" s="209">
        <f t="shared" si="91"/>
        <v>0.13229571984435795</v>
      </c>
      <c r="U101" s="209">
        <f t="shared" si="91"/>
        <v>0.13765541740674947</v>
      </c>
      <c r="V101" s="209">
        <f t="shared" si="91"/>
        <v>0.16341689879294341</v>
      </c>
      <c r="W101" s="209">
        <f t="shared" si="91"/>
        <v>0.12684622067767148</v>
      </c>
      <c r="X101" s="413">
        <f t="shared" si="91"/>
        <v>0.13989046097672286</v>
      </c>
      <c r="Y101" s="209">
        <f t="shared" si="91"/>
        <v>0.12800687285223367</v>
      </c>
      <c r="Z101" s="209">
        <f t="shared" si="91"/>
        <v>9.6018735362997765E-2</v>
      </c>
      <c r="AA101" s="209">
        <f t="shared" si="91"/>
        <v>0.13886671987230637</v>
      </c>
      <c r="AB101" s="209">
        <f t="shared" si="91"/>
        <v>0.15034695451040858</v>
      </c>
      <c r="AC101" s="413">
        <f t="shared" si="91"/>
        <v>0.1283283283283283</v>
      </c>
      <c r="AD101" s="411">
        <f t="shared" si="91"/>
        <v>0.11271896420411265</v>
      </c>
      <c r="AE101" s="411">
        <f t="shared" si="91"/>
        <v>0.17521367521367526</v>
      </c>
      <c r="AF101" s="411">
        <f t="shared" si="91"/>
        <v>7.3580939032936277E-2</v>
      </c>
      <c r="AG101" s="411">
        <f t="shared" si="91"/>
        <v>-5.3619302949061698E-3</v>
      </c>
      <c r="AH101" s="410">
        <f t="shared" si="91"/>
        <v>8.7118523775727486E-2</v>
      </c>
      <c r="AI101" s="411">
        <f t="shared" si="91"/>
        <v>-5.4757015742642023E-2</v>
      </c>
      <c r="AJ101" s="411">
        <f t="shared" si="91"/>
        <v>-0.15030303030303027</v>
      </c>
      <c r="AK101" s="411">
        <f t="shared" si="91"/>
        <v>-8.6161879895561344E-2</v>
      </c>
      <c r="AL101" s="411">
        <f t="shared" si="91"/>
        <v>-7.2102425876010789E-2</v>
      </c>
      <c r="AM101" s="410">
        <f t="shared" si="91"/>
        <v>-9.2541211033132065E-2</v>
      </c>
      <c r="AN101" s="411">
        <f t="shared" si="91"/>
        <v>-3.9826212889210733E-2</v>
      </c>
      <c r="AO101" s="411">
        <f t="shared" si="91"/>
        <v>-1.6405135520684788E-2</v>
      </c>
      <c r="AP101" s="411">
        <f t="shared" si="91"/>
        <v>1.4285714285714235E-2</v>
      </c>
      <c r="AQ101" s="411">
        <f t="shared" si="91"/>
        <v>7.6978939724037687E-2</v>
      </c>
      <c r="AR101" s="410">
        <f t="shared" si="91"/>
        <v>8.6330935251799357E-3</v>
      </c>
      <c r="AS101" s="411">
        <f t="shared" si="91"/>
        <v>-0.14177978883861242</v>
      </c>
      <c r="AT101" s="411">
        <f t="shared" ref="AT101:BY101" si="92">AT26/AO26-1</f>
        <v>-0.15083393763596809</v>
      </c>
      <c r="AU101" s="411">
        <f t="shared" si="92"/>
        <v>-0.16408450704225352</v>
      </c>
      <c r="AV101" s="411">
        <f t="shared" si="92"/>
        <v>-0.14767363452461224</v>
      </c>
      <c r="AW101" s="413">
        <f t="shared" si="92"/>
        <v>-0.15121255349500717</v>
      </c>
      <c r="AX101" s="209">
        <f t="shared" si="92"/>
        <v>8.6115992970122957E-2</v>
      </c>
      <c r="AY101" s="209">
        <f t="shared" si="92"/>
        <v>7.087959009393674E-2</v>
      </c>
      <c r="AZ101" s="422">
        <f t="shared" si="92"/>
        <v>1.249368155012637</v>
      </c>
      <c r="BA101" s="209">
        <f t="shared" si="92"/>
        <v>1.5110759493670884</v>
      </c>
      <c r="BB101" s="413">
        <f t="shared" si="92"/>
        <v>0.75084033613445378</v>
      </c>
      <c r="BC101" s="457">
        <f t="shared" si="92"/>
        <v>1.6399676375404533</v>
      </c>
      <c r="BD101" s="209">
        <f t="shared" si="92"/>
        <v>1.6483253588516749</v>
      </c>
      <c r="BE101" s="209">
        <f t="shared" si="92"/>
        <v>0.24044943820224729</v>
      </c>
      <c r="BF101" s="209">
        <f t="shared" si="92"/>
        <v>8.7271581600504078E-2</v>
      </c>
      <c r="BG101" s="413">
        <f t="shared" si="92"/>
        <v>0.60151187904967607</v>
      </c>
      <c r="BH101" s="209">
        <f t="shared" si="92"/>
        <v>5.7309224639901846E-2</v>
      </c>
      <c r="BI101" s="457">
        <f t="shared" si="92"/>
        <v>9.4850948509485056E-2</v>
      </c>
      <c r="BJ101" s="209">
        <f t="shared" si="92"/>
        <v>6.7330917874396157E-2</v>
      </c>
      <c r="BK101" s="209">
        <f t="shared" si="92"/>
        <v>4.1437264560996834E-2</v>
      </c>
      <c r="BL101" s="413">
        <f t="shared" si="92"/>
        <v>6.5033340825653596E-2</v>
      </c>
      <c r="BM101" s="209">
        <f t="shared" si="92"/>
        <v>2.8405797101449304E-2</v>
      </c>
      <c r="BN101" s="209">
        <f t="shared" si="92"/>
        <v>-1.1001100110010764E-3</v>
      </c>
      <c r="BO101" s="209">
        <f t="shared" si="92"/>
        <v>-2.2065063649222116E-2</v>
      </c>
      <c r="BP101" s="209">
        <f t="shared" si="92"/>
        <v>-3.8119087367835314E-2</v>
      </c>
      <c r="BQ101" s="413">
        <f t="shared" si="92"/>
        <v>-8.5121350685894992E-3</v>
      </c>
      <c r="BR101" s="209">
        <f t="shared" si="92"/>
        <v>-1.2119503945885013E-2</v>
      </c>
      <c r="BS101" s="209">
        <f t="shared" si="92"/>
        <v>2.312775330396466E-2</v>
      </c>
      <c r="BT101" s="209">
        <f t="shared" si="92"/>
        <v>5.4671680647960574E-2</v>
      </c>
      <c r="BU101" s="209">
        <f t="shared" si="92"/>
        <v>4.0786809372288069E-2</v>
      </c>
      <c r="BV101" s="413">
        <f t="shared" si="92"/>
        <v>2.6323258124024473E-2</v>
      </c>
      <c r="BW101" s="209">
        <f t="shared" si="92"/>
        <v>3.0242510699001413E-2</v>
      </c>
      <c r="BX101" s="209">
        <f t="shared" si="92"/>
        <v>-2.0452099031216364E-2</v>
      </c>
      <c r="BY101" s="209">
        <f t="shared" si="92"/>
        <v>-2.4684585847504215E-3</v>
      </c>
      <c r="BZ101" s="209">
        <f t="shared" ref="BZ101:DE101" si="93">BZ26/BU26-1</f>
        <v>5.697609783212898E-2</v>
      </c>
      <c r="CA101" s="413">
        <f t="shared" si="93"/>
        <v>1.5623919806429409E-2</v>
      </c>
      <c r="CB101" s="209">
        <f t="shared" si="93"/>
        <v>0.58564109664912767</v>
      </c>
      <c r="CC101" s="209">
        <f t="shared" si="93"/>
        <v>0.61284340659340653</v>
      </c>
      <c r="CD101" s="209">
        <f t="shared" si="93"/>
        <v>0.61224910640637886</v>
      </c>
      <c r="CE101" s="209">
        <f t="shared" si="93"/>
        <v>0.7903628714173021</v>
      </c>
      <c r="CF101" s="413">
        <f t="shared" si="93"/>
        <v>0.65196378735280103</v>
      </c>
      <c r="CG101" s="209">
        <f t="shared" si="93"/>
        <v>0.1374929048596254</v>
      </c>
      <c r="CH101" s="209">
        <f t="shared" si="93"/>
        <v>0.12012945535067932</v>
      </c>
      <c r="CI101" s="209">
        <f t="shared" si="93"/>
        <v>0.10765295246216167</v>
      </c>
      <c r="CJ101" s="209">
        <f t="shared" si="93"/>
        <v>-5.3570772902515107E-2</v>
      </c>
      <c r="CK101" s="413">
        <f t="shared" si="93"/>
        <v>7.2479294573323916E-2</v>
      </c>
      <c r="CL101" s="209">
        <f t="shared" si="93"/>
        <v>-0.23399742868947926</v>
      </c>
      <c r="CM101" s="209">
        <f t="shared" si="93"/>
        <v>-0.24265578147533706</v>
      </c>
      <c r="CN101" s="209">
        <f t="shared" si="93"/>
        <v>-0.23138630013093087</v>
      </c>
      <c r="CO101" s="209">
        <f t="shared" si="93"/>
        <v>9.0562335721103615E-2</v>
      </c>
      <c r="CP101" s="413">
        <f t="shared" si="93"/>
        <v>-0.15517903795912091</v>
      </c>
      <c r="CQ101" s="209">
        <f t="shared" si="93"/>
        <v>4.9936772704750609E-4</v>
      </c>
      <c r="CR101" s="209">
        <f t="shared" si="93"/>
        <v>6.0733325853823406E-3</v>
      </c>
      <c r="CS101" s="209">
        <f t="shared" si="93"/>
        <v>1.247380428319067E-3</v>
      </c>
      <c r="CT101" s="209">
        <f t="shared" si="93"/>
        <v>-0.12464674461036962</v>
      </c>
      <c r="CU101" s="413">
        <f t="shared" si="93"/>
        <v>-3.8064486788848995E-2</v>
      </c>
      <c r="CV101" s="209">
        <f t="shared" si="93"/>
        <v>9.707246574781303E-2</v>
      </c>
      <c r="CW101" s="209">
        <f t="shared" si="93"/>
        <v>0.12303207060522237</v>
      </c>
      <c r="CX101" s="209">
        <f t="shared" si="93"/>
        <v>0.14397222892330697</v>
      </c>
      <c r="CY101" s="209">
        <f t="shared" si="93"/>
        <v>1.2904204201797498E-2</v>
      </c>
      <c r="CZ101" s="413">
        <f t="shared" si="93"/>
        <v>8.9826021180030358E-2</v>
      </c>
      <c r="DA101" s="209">
        <f t="shared" si="93"/>
        <v>0.11760409057706345</v>
      </c>
      <c r="DB101" s="209">
        <f t="shared" si="93"/>
        <v>0.13452994490847692</v>
      </c>
      <c r="DC101" s="209">
        <f t="shared" si="93"/>
        <v>0.15932144106330881</v>
      </c>
      <c r="DD101" s="209">
        <f t="shared" si="93"/>
        <v>0.14267372813352597</v>
      </c>
      <c r="DE101" s="413">
        <f t="shared" si="93"/>
        <v>0.13885996876626749</v>
      </c>
      <c r="DF101" s="209">
        <f t="shared" ref="DF101:DT101" si="94">DF26/DA26-1</f>
        <v>9.0359477124182908E-2</v>
      </c>
      <c r="DG101" s="209">
        <f t="shared" si="94"/>
        <v>9.6334586466165328E-2</v>
      </c>
      <c r="DH101" s="209">
        <f t="shared" si="94"/>
        <v>6.7280132750037636E-2</v>
      </c>
      <c r="DI101" s="209">
        <f t="shared" si="94"/>
        <v>5.856741573033708E-2</v>
      </c>
      <c r="DJ101" s="413">
        <f t="shared" si="94"/>
        <v>7.7362587132899119E-2</v>
      </c>
      <c r="DK101" s="209">
        <f t="shared" si="94"/>
        <v>8.152255357410465E-2</v>
      </c>
      <c r="DL101" s="209">
        <f t="shared" si="94"/>
        <v>8.9012716102300438E-2</v>
      </c>
      <c r="DM101" s="209">
        <f t="shared" si="94"/>
        <v>7.7173144876325095E-2</v>
      </c>
      <c r="DN101" s="209">
        <f t="shared" si="94"/>
        <v>-1.0680907522886973E-2</v>
      </c>
      <c r="DO101" s="413">
        <f t="shared" si="94"/>
        <v>5.7718073822655924E-2</v>
      </c>
      <c r="DP101" s="209">
        <f t="shared" si="94"/>
        <v>-7.5488430095607129E-3</v>
      </c>
      <c r="DQ101" s="209">
        <f t="shared" si="94"/>
        <v>6.0404093413803928E-3</v>
      </c>
      <c r="DR101" s="209">
        <f t="shared" si="94"/>
        <v>4.851856711717617E-2</v>
      </c>
      <c r="DS101" s="209">
        <f t="shared" si="94"/>
        <v>6.2999999999999945E-2</v>
      </c>
      <c r="DT101" s="413">
        <f t="shared" si="94"/>
        <v>2.7779968564502378E-2</v>
      </c>
      <c r="DU101" s="413">
        <f>DU26/DT26-1</f>
        <v>5.8000000000000052E-2</v>
      </c>
      <c r="DV101" s="413">
        <f>DV26/DU26-1</f>
        <v>5.2000000000000046E-2</v>
      </c>
    </row>
    <row r="102" spans="1:126" s="92" customFormat="1" hidden="1" outlineLevel="1">
      <c r="B102" s="180" t="s">
        <v>570</v>
      </c>
      <c r="C102" s="119"/>
      <c r="D102" s="120"/>
      <c r="E102" s="120"/>
      <c r="F102" s="120"/>
      <c r="G102" s="120"/>
      <c r="H102" s="120"/>
      <c r="I102" s="120"/>
      <c r="J102" s="129"/>
      <c r="K102" s="129"/>
      <c r="L102" s="129"/>
      <c r="M102" s="129"/>
      <c r="N102" s="120"/>
      <c r="O102" s="127"/>
      <c r="P102" s="127"/>
      <c r="Q102" s="127"/>
      <c r="R102" s="127"/>
      <c r="S102" s="413"/>
      <c r="T102" s="209"/>
      <c r="U102" s="209"/>
      <c r="V102" s="209"/>
      <c r="W102" s="209"/>
      <c r="X102" s="413"/>
      <c r="Y102" s="209"/>
      <c r="Z102" s="209"/>
      <c r="AA102" s="209"/>
      <c r="AB102" s="209"/>
      <c r="AC102" s="413"/>
      <c r="AD102" s="411"/>
      <c r="AE102" s="411"/>
      <c r="AF102" s="411"/>
      <c r="AG102" s="411"/>
      <c r="AH102" s="410"/>
      <c r="AI102" s="411"/>
      <c r="AJ102" s="411"/>
      <c r="AK102" s="411"/>
      <c r="AL102" s="411"/>
      <c r="AM102" s="410"/>
      <c r="AN102" s="411"/>
      <c r="AO102" s="411"/>
      <c r="AP102" s="411"/>
      <c r="AQ102" s="411"/>
      <c r="AR102" s="410"/>
      <c r="AS102" s="411"/>
      <c r="AT102" s="411"/>
      <c r="AU102" s="411"/>
      <c r="AV102" s="411"/>
      <c r="AW102" s="413"/>
      <c r="AX102" s="209"/>
      <c r="AY102" s="209"/>
      <c r="AZ102" s="422"/>
      <c r="BA102" s="209"/>
      <c r="BB102" s="413"/>
      <c r="BC102" s="457"/>
      <c r="BD102" s="209"/>
      <c r="BE102" s="209"/>
      <c r="BF102" s="209"/>
      <c r="BG102" s="413">
        <f t="shared" ref="BG102:CP102" si="95">BG41/BB41-1</f>
        <v>-5.6391548867609109E-2</v>
      </c>
      <c r="BH102" s="209">
        <f t="shared" si="95"/>
        <v>-8.217853689977439E-2</v>
      </c>
      <c r="BI102" s="457">
        <f t="shared" si="95"/>
        <v>-5.2351097178683359E-2</v>
      </c>
      <c r="BJ102" s="209">
        <f t="shared" si="95"/>
        <v>-3.0471821756225426E-2</v>
      </c>
      <c r="BK102" s="209">
        <f t="shared" si="95"/>
        <v>4.1354607619667805E-2</v>
      </c>
      <c r="BL102" s="413">
        <f t="shared" si="95"/>
        <v>-3.125E-2</v>
      </c>
      <c r="BM102" s="209">
        <f t="shared" si="95"/>
        <v>-1.0182584269662898E-2</v>
      </c>
      <c r="BN102" s="209">
        <f t="shared" si="95"/>
        <v>-4.300363876943436E-3</v>
      </c>
      <c r="BO102" s="209">
        <f t="shared" si="95"/>
        <v>2.027712064886833E-3</v>
      </c>
      <c r="BP102" s="209">
        <f t="shared" si="95"/>
        <v>-2.657911194496565E-2</v>
      </c>
      <c r="BQ102" s="413">
        <f t="shared" si="95"/>
        <v>-1.0059860325906222E-2</v>
      </c>
      <c r="BR102" s="209">
        <f t="shared" si="95"/>
        <v>4.3987229514012016E-2</v>
      </c>
      <c r="BS102" s="209">
        <f t="shared" si="95"/>
        <v>5.9468438538206048E-2</v>
      </c>
      <c r="BT102" s="209">
        <f t="shared" si="95"/>
        <v>5.5986509274873475E-2</v>
      </c>
      <c r="BU102" s="209">
        <f t="shared" si="95"/>
        <v>5.4609701252810172E-3</v>
      </c>
      <c r="BV102" s="413">
        <f t="shared" si="95"/>
        <v>4.081632653061229E-2</v>
      </c>
      <c r="BW102" s="209">
        <f t="shared" si="95"/>
        <v>4.0434930343187236E-2</v>
      </c>
      <c r="BX102" s="209">
        <f t="shared" si="95"/>
        <v>-8.153026026967658E-3</v>
      </c>
      <c r="BY102" s="209">
        <f t="shared" si="95"/>
        <v>2.8744809964866835E-3</v>
      </c>
      <c r="BZ102" s="209">
        <f t="shared" si="95"/>
        <v>3.5782747603833931E-2</v>
      </c>
      <c r="CA102" s="413">
        <f t="shared" si="95"/>
        <v>1.7267812474784261E-2</v>
      </c>
      <c r="CB102" s="209">
        <f t="shared" si="95"/>
        <v>2.8739386022207603E-2</v>
      </c>
      <c r="CC102" s="209">
        <f t="shared" si="95"/>
        <v>4.0784065760354204E-2</v>
      </c>
      <c r="CD102" s="209">
        <f t="shared" si="95"/>
        <v>9.4585987261146531E-2</v>
      </c>
      <c r="CE102" s="209">
        <f t="shared" si="95"/>
        <v>0.1076495990129549</v>
      </c>
      <c r="CF102" s="413">
        <f t="shared" si="95"/>
        <v>6.8454033473467124E-2</v>
      </c>
      <c r="CG102" s="209">
        <f t="shared" si="95"/>
        <v>7.8412698412698489E-2</v>
      </c>
      <c r="CH102" s="209">
        <f t="shared" si="95"/>
        <v>8.0498177399757065E-2</v>
      </c>
      <c r="CI102" s="209">
        <f t="shared" si="95"/>
        <v>9.4268257201047367E-2</v>
      </c>
      <c r="CJ102" s="209">
        <f t="shared" si="95"/>
        <v>3.8707880813144024E-2</v>
      </c>
      <c r="CK102" s="413">
        <f t="shared" si="95"/>
        <v>7.2383073496659289E-2</v>
      </c>
      <c r="CL102" s="209">
        <f t="shared" si="95"/>
        <v>8.2131292316750093E-2</v>
      </c>
      <c r="CM102" s="209">
        <f t="shared" si="95"/>
        <v>1.2369974697779007E-2</v>
      </c>
      <c r="CN102" s="209">
        <f t="shared" si="95"/>
        <v>-3.19064078702469E-3</v>
      </c>
      <c r="CO102" s="209">
        <f t="shared" si="95"/>
        <v>5.4423592493297646E-2</v>
      </c>
      <c r="CP102" s="413">
        <f t="shared" si="95"/>
        <v>3.5583246798200019E-2</v>
      </c>
      <c r="CQ102" s="209">
        <f t="shared" ref="CQ102" si="96">CQ41/CL41-1</f>
        <v>2.4211099020674753E-2</v>
      </c>
      <c r="CR102" s="209">
        <f t="shared" ref="CR102" si="97">CR41/CM41-1</f>
        <v>5.6650930297139634E-2</v>
      </c>
      <c r="CS102" s="209">
        <f t="shared" ref="CS102" si="98">CS41/CN41-1</f>
        <v>-2.4006401707121761E-3</v>
      </c>
      <c r="CT102" s="209">
        <f t="shared" ref="CT102:CU102" si="99">CT41/CO41-1</f>
        <v>-1.6018306636155555E-2</v>
      </c>
      <c r="CU102" s="413">
        <f t="shared" si="99"/>
        <v>1.4773714820509376E-2</v>
      </c>
      <c r="CV102" s="209">
        <f t="shared" ref="CV102:CW102" si="100">CV41/CQ41-1</f>
        <v>-5.1261620185922951E-2</v>
      </c>
      <c r="CW102" s="209">
        <f t="shared" si="100"/>
        <v>-6.1760840998685951E-2</v>
      </c>
      <c r="CX102" s="209">
        <f t="shared" ref="CX102" si="101">CX41/CS41-1</f>
        <v>-3.0481283422459926E-2</v>
      </c>
      <c r="CY102" s="209">
        <f t="shared" ref="CY102" si="102">CY41/CT41-1</f>
        <v>-8.4237726098191246E-2</v>
      </c>
      <c r="CZ102" s="413">
        <f t="shared" ref="CZ102" si="103">CZ41/CU41-1</f>
        <v>-5.7180500658761568E-2</v>
      </c>
      <c r="DA102" s="209">
        <f t="shared" ref="DA102" si="104">DA41/CV41-1</f>
        <v>-1.9596864501679745E-3</v>
      </c>
      <c r="DB102" s="209">
        <f t="shared" ref="DB102" si="105">DB41/CW41-1</f>
        <v>2.3809523809523725E-2</v>
      </c>
      <c r="DC102" s="209">
        <f t="shared" ref="DC102" si="106">DC41/CX41-1</f>
        <v>-1</v>
      </c>
      <c r="DD102" s="209">
        <f t="shared" ref="DD102:DF102" si="107">DD41/CY41-1</f>
        <v>-1</v>
      </c>
      <c r="DE102" s="413">
        <f t="shared" si="107"/>
        <v>-0.49552822806036889</v>
      </c>
      <c r="DF102" s="209">
        <f t="shared" si="107"/>
        <v>-1</v>
      </c>
      <c r="DG102" s="209">
        <f t="shared" ref="DG102" si="108">DG41/DB41-1</f>
        <v>-1</v>
      </c>
      <c r="DH102" s="209"/>
      <c r="DI102" s="209"/>
      <c r="DJ102" s="413">
        <f t="shared" ref="DJ102" si="109">DJ41/DE41-1</f>
        <v>-1</v>
      </c>
      <c r="DK102" s="209"/>
      <c r="DL102" s="209"/>
      <c r="DM102" s="209"/>
      <c r="DN102" s="209"/>
      <c r="DO102" s="413"/>
      <c r="DP102" s="209"/>
      <c r="DQ102" s="209"/>
      <c r="DR102" s="209"/>
      <c r="DS102" s="209"/>
      <c r="DT102" s="413"/>
      <c r="DU102" s="413"/>
      <c r="DV102" s="413"/>
    </row>
    <row r="103" spans="1:126" s="92" customFormat="1" hidden="1" outlineLevel="1">
      <c r="B103" s="180" t="s">
        <v>569</v>
      </c>
      <c r="C103" s="119"/>
      <c r="D103" s="120"/>
      <c r="E103" s="120"/>
      <c r="F103" s="120"/>
      <c r="G103" s="120"/>
      <c r="H103" s="120"/>
      <c r="I103" s="120"/>
      <c r="J103" s="129"/>
      <c r="K103" s="129"/>
      <c r="L103" s="129"/>
      <c r="M103" s="129"/>
      <c r="N103" s="120"/>
      <c r="O103" s="127"/>
      <c r="P103" s="127"/>
      <c r="Q103" s="127"/>
      <c r="R103" s="127"/>
      <c r="S103" s="413"/>
      <c r="T103" s="209"/>
      <c r="U103" s="209"/>
      <c r="V103" s="209"/>
      <c r="W103" s="209"/>
      <c r="X103" s="413"/>
      <c r="Y103" s="209"/>
      <c r="Z103" s="209"/>
      <c r="AA103" s="209"/>
      <c r="AB103" s="209"/>
      <c r="AC103" s="413"/>
      <c r="AD103" s="411"/>
      <c r="AE103" s="411"/>
      <c r="AF103" s="411"/>
      <c r="AG103" s="411"/>
      <c r="AH103" s="410"/>
      <c r="AI103" s="411"/>
      <c r="AJ103" s="411"/>
      <c r="AK103" s="411"/>
      <c r="AL103" s="411"/>
      <c r="AM103" s="410"/>
      <c r="AN103" s="411"/>
      <c r="AO103" s="411"/>
      <c r="AP103" s="411"/>
      <c r="AQ103" s="411"/>
      <c r="AR103" s="410"/>
      <c r="AS103" s="411"/>
      <c r="AT103" s="411"/>
      <c r="AU103" s="411"/>
      <c r="AV103" s="411"/>
      <c r="AW103" s="413"/>
      <c r="AX103" s="209"/>
      <c r="AY103" s="209"/>
      <c r="AZ103" s="422"/>
      <c r="BA103" s="209"/>
      <c r="BB103" s="413"/>
      <c r="BC103" s="457"/>
      <c r="BD103" s="209"/>
      <c r="BE103" s="209"/>
      <c r="BF103" s="209"/>
      <c r="BG103" s="413">
        <f t="shared" ref="BG103:CP103" si="110">BG48/BB48-1</f>
        <v>-3.2746934734597666E-3</v>
      </c>
      <c r="BH103" s="209">
        <f t="shared" si="110"/>
        <v>-5.4764851485148536E-2</v>
      </c>
      <c r="BI103" s="457">
        <f t="shared" si="110"/>
        <v>-9.4693638229258248E-2</v>
      </c>
      <c r="BJ103" s="209">
        <f t="shared" si="110"/>
        <v>-0.10284126003705996</v>
      </c>
      <c r="BK103" s="209">
        <f t="shared" si="110"/>
        <v>4.3342687870283836E-2</v>
      </c>
      <c r="BL103" s="413">
        <f t="shared" si="110"/>
        <v>-5.3025672371638133E-2</v>
      </c>
      <c r="BM103" s="209">
        <f t="shared" si="110"/>
        <v>-9.001636661211132E-2</v>
      </c>
      <c r="BN103" s="209">
        <f t="shared" si="110"/>
        <v>1.1658031088082943E-2</v>
      </c>
      <c r="BO103" s="209">
        <f t="shared" si="110"/>
        <v>5.4044750430292554E-2</v>
      </c>
      <c r="BP103" s="209">
        <f t="shared" si="110"/>
        <v>2.7196652719665204E-2</v>
      </c>
      <c r="BQ103" s="413">
        <f t="shared" si="110"/>
        <v>7.261578182991002E-4</v>
      </c>
      <c r="BR103" s="209">
        <f t="shared" si="110"/>
        <v>9.9640287769784175E-2</v>
      </c>
      <c r="BS103" s="209">
        <f t="shared" si="110"/>
        <v>-2.208706786171577E-2</v>
      </c>
      <c r="BT103" s="209">
        <f t="shared" si="110"/>
        <v>2.3514043109079008E-2</v>
      </c>
      <c r="BU103" s="209">
        <f t="shared" si="110"/>
        <v>-3.9569391911550733E-2</v>
      </c>
      <c r="BV103" s="413">
        <f t="shared" si="110"/>
        <v>1.1610094332016541E-2</v>
      </c>
      <c r="BW103" s="209">
        <f t="shared" si="110"/>
        <v>3.1730454694144594E-2</v>
      </c>
      <c r="BX103" s="209">
        <f t="shared" si="110"/>
        <v>0.10081833060556455</v>
      </c>
      <c r="BY103" s="209">
        <f t="shared" si="110"/>
        <v>6.4454371410338274E-2</v>
      </c>
      <c r="BZ103" s="209">
        <f t="shared" si="110"/>
        <v>0.13238412602241745</v>
      </c>
      <c r="CA103" s="413">
        <f t="shared" si="110"/>
        <v>8.320714114927874E-2</v>
      </c>
      <c r="CB103" s="209">
        <f t="shared" si="110"/>
        <v>5.802155992390623E-2</v>
      </c>
      <c r="CC103" s="209">
        <f t="shared" si="110"/>
        <v>6.0065417781742569E-2</v>
      </c>
      <c r="CD103" s="209">
        <f t="shared" si="110"/>
        <v>7.1642685851319055E-2</v>
      </c>
      <c r="CE103" s="209">
        <f t="shared" si="110"/>
        <v>7.0358480470839924E-2</v>
      </c>
      <c r="CF103" s="413">
        <f t="shared" si="110"/>
        <v>6.5263777499816156E-2</v>
      </c>
      <c r="CG103" s="209">
        <f t="shared" si="110"/>
        <v>5.4540005993407359E-2</v>
      </c>
      <c r="CH103" s="209">
        <f t="shared" si="110"/>
        <v>6.7040673211781199E-2</v>
      </c>
      <c r="CI103" s="209">
        <f t="shared" si="110"/>
        <v>8.5874125874125795E-2</v>
      </c>
      <c r="CJ103" s="209">
        <f t="shared" si="110"/>
        <v>7.1982004498875263E-2</v>
      </c>
      <c r="CK103" s="413">
        <f t="shared" si="110"/>
        <v>7.0175438596491224E-2</v>
      </c>
      <c r="CL103" s="209">
        <f t="shared" si="110"/>
        <v>6.3086104006820021E-2</v>
      </c>
      <c r="CM103" s="209">
        <f t="shared" si="110"/>
        <v>-2.4185068349106165E-2</v>
      </c>
      <c r="CN103" s="209">
        <f t="shared" si="110"/>
        <v>-4.5337454920144293E-2</v>
      </c>
      <c r="CO103" s="209">
        <f t="shared" si="110"/>
        <v>-2.4481231056190267E-2</v>
      </c>
      <c r="CP103" s="413">
        <f t="shared" si="110"/>
        <v>-9.7457080160061604E-3</v>
      </c>
      <c r="CQ103" s="209">
        <f t="shared" ref="CQ103" si="111">CQ48/CL48-1</f>
        <v>1.3900026730820692E-2</v>
      </c>
      <c r="CR103" s="209">
        <f t="shared" ref="CR103" si="112">CR48/CM48-1</f>
        <v>7.3545258620689724E-2</v>
      </c>
      <c r="CS103" s="209">
        <f t="shared" ref="CS103" si="113">CS48/CN48-1</f>
        <v>5.2887209929843415E-2</v>
      </c>
      <c r="CT103" s="209">
        <f t="shared" ref="CT103:CU103" si="114">CT48/CO48-1</f>
        <v>-7.767686424474185E-2</v>
      </c>
      <c r="CU103" s="413">
        <f t="shared" si="114"/>
        <v>1.2774555171739532E-2</v>
      </c>
      <c r="CV103" s="209">
        <f t="shared" ref="CV103:CW103" si="115">CV48/CQ48-1</f>
        <v>-7.0129185341418432E-2</v>
      </c>
      <c r="CW103" s="209">
        <f t="shared" si="115"/>
        <v>-0.10715181932245921</v>
      </c>
      <c r="CX103" s="209">
        <f t="shared" ref="CX103" si="116">CX48/CS48-1</f>
        <v>-5.7406458226550439E-2</v>
      </c>
      <c r="CY103" s="209">
        <f t="shared" ref="CY103" si="117">CY48/CT48-1</f>
        <v>6.2451412282974905E-2</v>
      </c>
      <c r="CZ103" s="413">
        <f t="shared" ref="CZ103" si="118">CZ48/CU48-1</f>
        <v>-4.3503442949996751E-2</v>
      </c>
      <c r="DA103" s="209">
        <f t="shared" ref="DA103" si="119">DA48/CV48-1</f>
        <v>4.0827899064360684E-2</v>
      </c>
      <c r="DB103" s="209">
        <f t="shared" ref="DB103" si="120">DB48/CW48-1</f>
        <v>0.12422709387296238</v>
      </c>
      <c r="DC103" s="209">
        <f t="shared" ref="DC103:DJ103" si="121">DC48/CX48-1</f>
        <v>-1</v>
      </c>
      <c r="DD103" s="209">
        <f t="shared" si="121"/>
        <v>-1</v>
      </c>
      <c r="DE103" s="413">
        <f t="shared" si="121"/>
        <v>-0.4838861602637422</v>
      </c>
      <c r="DF103" s="209">
        <f t="shared" si="121"/>
        <v>-1</v>
      </c>
      <c r="DG103" s="209">
        <f t="shared" si="121"/>
        <v>-1</v>
      </c>
      <c r="DH103" s="209"/>
      <c r="DI103" s="209"/>
      <c r="DJ103" s="413">
        <f t="shared" si="121"/>
        <v>-1</v>
      </c>
      <c r="DK103" s="209"/>
      <c r="DL103" s="209"/>
      <c r="DM103" s="209"/>
      <c r="DN103" s="209"/>
      <c r="DO103" s="413"/>
      <c r="DP103" s="209"/>
      <c r="DQ103" s="209"/>
      <c r="DR103" s="209"/>
      <c r="DS103" s="209"/>
      <c r="DT103" s="413"/>
      <c r="DU103" s="413"/>
      <c r="DV103" s="413"/>
    </row>
    <row r="104" spans="1:126" s="92" customFormat="1" collapsed="1">
      <c r="B104" s="41" t="s">
        <v>629</v>
      </c>
      <c r="C104" s="119"/>
      <c r="D104" s="120"/>
      <c r="E104" s="120"/>
      <c r="F104" s="120"/>
      <c r="G104" s="120"/>
      <c r="H104" s="120"/>
      <c r="I104" s="120"/>
      <c r="J104" s="129"/>
      <c r="K104" s="129"/>
      <c r="L104" s="129"/>
      <c r="M104" s="129"/>
      <c r="N104" s="120"/>
      <c r="O104" s="127"/>
      <c r="P104" s="127"/>
      <c r="Q104" s="127"/>
      <c r="R104" s="127"/>
      <c r="S104" s="413"/>
      <c r="T104" s="209"/>
      <c r="U104" s="209"/>
      <c r="V104" s="209"/>
      <c r="W104" s="209"/>
      <c r="X104" s="413"/>
      <c r="Y104" s="209"/>
      <c r="Z104" s="209"/>
      <c r="AA104" s="209"/>
      <c r="AB104" s="209"/>
      <c r="AC104" s="413"/>
      <c r="AD104" s="411"/>
      <c r="AE104" s="411"/>
      <c r="AF104" s="411"/>
      <c r="AG104" s="411"/>
      <c r="AH104" s="410"/>
      <c r="AI104" s="411"/>
      <c r="AJ104" s="411"/>
      <c r="AK104" s="411"/>
      <c r="AL104" s="411"/>
      <c r="AM104" s="410"/>
      <c r="AN104" s="411"/>
      <c r="AO104" s="411"/>
      <c r="AP104" s="411"/>
      <c r="AQ104" s="411"/>
      <c r="AR104" s="410"/>
      <c r="AS104" s="411"/>
      <c r="AT104" s="411"/>
      <c r="AU104" s="411"/>
      <c r="AV104" s="411"/>
      <c r="AW104" s="413"/>
      <c r="AX104" s="209"/>
      <c r="AY104" s="209"/>
      <c r="AZ104" s="422"/>
      <c r="BA104" s="209"/>
      <c r="BB104" s="413"/>
      <c r="BC104" s="457"/>
      <c r="BD104" s="209"/>
      <c r="BE104" s="209"/>
      <c r="BF104" s="209"/>
      <c r="BG104" s="413"/>
      <c r="BH104" s="209"/>
      <c r="BI104" s="457"/>
      <c r="BJ104" s="209"/>
      <c r="BK104" s="209"/>
      <c r="BL104" s="413"/>
      <c r="BM104" s="209"/>
      <c r="BN104" s="209"/>
      <c r="BO104" s="209"/>
      <c r="BP104" s="209"/>
      <c r="BQ104" s="413"/>
      <c r="BR104" s="209"/>
      <c r="BS104" s="209"/>
      <c r="BT104" s="209"/>
      <c r="BU104" s="209"/>
      <c r="BV104" s="413"/>
      <c r="BW104" s="209"/>
      <c r="BX104" s="209"/>
      <c r="BY104" s="209"/>
      <c r="BZ104" s="209"/>
      <c r="CA104" s="413"/>
      <c r="CB104" s="209"/>
      <c r="CC104" s="209"/>
      <c r="CD104" s="209"/>
      <c r="CE104" s="209"/>
      <c r="CF104" s="413"/>
      <c r="CG104" s="209"/>
      <c r="CH104" s="209"/>
      <c r="CI104" s="209"/>
      <c r="CJ104" s="209"/>
      <c r="CK104" s="413"/>
      <c r="CL104" s="209"/>
      <c r="CM104" s="209"/>
      <c r="CN104" s="209"/>
      <c r="CO104" s="209"/>
      <c r="CP104" s="413"/>
      <c r="CQ104" s="209"/>
      <c r="CR104" s="209"/>
      <c r="CS104" s="209"/>
      <c r="CT104" s="209"/>
      <c r="CU104" s="413"/>
      <c r="CV104" s="209"/>
      <c r="CW104" s="209"/>
      <c r="CX104" s="209"/>
      <c r="CY104" s="209"/>
      <c r="CZ104" s="413"/>
      <c r="DA104" s="209">
        <f t="shared" ref="DA104" si="122">DA50/CV50-1</f>
        <v>3.589068159367792E-2</v>
      </c>
      <c r="DB104" s="209">
        <f t="shared" ref="DB104" si="123">DB50/CW50-1</f>
        <v>9.2450676667210185E-2</v>
      </c>
      <c r="DC104" s="209">
        <f t="shared" ref="DC104:DO104" si="124">DC50/CX50-1</f>
        <v>2.5998731769181882E-2</v>
      </c>
      <c r="DD104" s="209">
        <f t="shared" si="124"/>
        <v>3.3778711905119385E-2</v>
      </c>
      <c r="DE104" s="413">
        <f t="shared" si="124"/>
        <v>4.6631712742294162E-2</v>
      </c>
      <c r="DF104" s="209">
        <f t="shared" si="124"/>
        <v>5.832803560076294E-2</v>
      </c>
      <c r="DG104" s="209">
        <f t="shared" si="124"/>
        <v>-1.7761194029850769E-2</v>
      </c>
      <c r="DH104" s="209">
        <f t="shared" si="124"/>
        <v>-1.3288009888751562E-2</v>
      </c>
      <c r="DI104" s="209">
        <f t="shared" si="124"/>
        <v>3.93552134766193E-2</v>
      </c>
      <c r="DJ104" s="413">
        <f t="shared" si="124"/>
        <v>1.6432637571157427E-2</v>
      </c>
      <c r="DK104" s="209">
        <f t="shared" si="124"/>
        <v>-4.790509085448269E-2</v>
      </c>
      <c r="DL104" s="209">
        <f t="shared" si="124"/>
        <v>6.3820088132502617E-2</v>
      </c>
      <c r="DM104" s="209">
        <f t="shared" si="124"/>
        <v>0.10319448794237385</v>
      </c>
      <c r="DN104" s="209">
        <f t="shared" si="124"/>
        <v>2.4000000000000021E-2</v>
      </c>
      <c r="DO104" s="413">
        <f t="shared" si="124"/>
        <v>3.4789530672441504E-2</v>
      </c>
      <c r="DP104" s="209">
        <f t="shared" ref="DP104" si="125">DP50/DK50-1</f>
        <v>7.0000000000000062E-2</v>
      </c>
      <c r="DQ104" s="209">
        <f t="shared" ref="DQ104" si="126">DQ50/DL50-1</f>
        <v>4.4000000000000039E-2</v>
      </c>
      <c r="DR104" s="209">
        <f t="shared" ref="DR104" si="127">DR50/DM50-1</f>
        <v>5.0999999999999934E-2</v>
      </c>
      <c r="DS104" s="209">
        <f t="shared" ref="DS104" si="128">DS50/DN50-1</f>
        <v>5.600000000000005E-2</v>
      </c>
      <c r="DT104" s="413">
        <f t="shared" ref="DT104" si="129">DT50/DO50-1</f>
        <v>5.4900333569452897E-2</v>
      </c>
      <c r="DU104" s="413">
        <f t="shared" ref="DU104:DV104" si="130">DU50/DT50-1</f>
        <v>5.2999999999999936E-2</v>
      </c>
      <c r="DV104" s="413">
        <f t="shared" si="130"/>
        <v>5.0999999999999934E-2</v>
      </c>
    </row>
    <row r="105" spans="1:126" s="92" customFormat="1">
      <c r="B105" s="43" t="s">
        <v>132</v>
      </c>
      <c r="C105" s="419"/>
      <c r="D105" s="134">
        <f>D62/C62-1</f>
        <v>0.27777539923791572</v>
      </c>
      <c r="E105" s="134">
        <f t="shared" ref="E105:I105" si="131">E62/D62-1</f>
        <v>3.7393198190651677E-2</v>
      </c>
      <c r="F105" s="134">
        <f t="shared" si="131"/>
        <v>-6.6729110816834081E-2</v>
      </c>
      <c r="G105" s="134">
        <f t="shared" si="131"/>
        <v>2.2010728499740395E-2</v>
      </c>
      <c r="H105" s="134">
        <f t="shared" si="131"/>
        <v>-7.8629237072906477E-2</v>
      </c>
      <c r="I105" s="134">
        <f t="shared" si="131"/>
        <v>5.5165570215737425E-2</v>
      </c>
      <c r="J105" s="414">
        <f t="shared" ref="J105:BF105" si="132">J62/E62-1</f>
        <v>-0.75042795775330251</v>
      </c>
      <c r="K105" s="414">
        <f t="shared" si="132"/>
        <v>-0.72278940993251428</v>
      </c>
      <c r="L105" s="414">
        <f t="shared" si="132"/>
        <v>-0.7291998239138533</v>
      </c>
      <c r="M105" s="414">
        <f t="shared" si="132"/>
        <v>-0.66871255834466536</v>
      </c>
      <c r="N105" s="134">
        <f t="shared" si="132"/>
        <v>0.14064785788923717</v>
      </c>
      <c r="O105" s="414">
        <f t="shared" si="132"/>
        <v>2.9506923773780169E-2</v>
      </c>
      <c r="P105" s="414">
        <f t="shared" si="132"/>
        <v>0.10699126092384525</v>
      </c>
      <c r="Q105" s="414">
        <f t="shared" si="132"/>
        <v>9.5785919719894919E-2</v>
      </c>
      <c r="R105" s="414">
        <f t="shared" si="132"/>
        <v>9.7736853783004118E-2</v>
      </c>
      <c r="S105" s="415">
        <f t="shared" si="132"/>
        <v>8.342494198118966E-2</v>
      </c>
      <c r="T105" s="416">
        <f t="shared" si="132"/>
        <v>0.11766184789440604</v>
      </c>
      <c r="U105" s="416">
        <f t="shared" si="132"/>
        <v>0.10082327732040142</v>
      </c>
      <c r="V105" s="416">
        <f t="shared" si="132"/>
        <v>0.10407394727832942</v>
      </c>
      <c r="W105" s="416">
        <f t="shared" si="132"/>
        <v>-0.18696311268317334</v>
      </c>
      <c r="X105" s="415">
        <f t="shared" si="132"/>
        <v>2.5140924464487124E-2</v>
      </c>
      <c r="Y105" s="416">
        <f t="shared" si="132"/>
        <v>2.3057023956810196E-2</v>
      </c>
      <c r="Z105" s="416">
        <f t="shared" si="132"/>
        <v>1.0449749001126829E-2</v>
      </c>
      <c r="AA105" s="416">
        <f t="shared" si="132"/>
        <v>9.4056847545218591E-3</v>
      </c>
      <c r="AB105" s="416">
        <f t="shared" si="132"/>
        <v>0.39465506525792415</v>
      </c>
      <c r="AC105" s="415">
        <f t="shared" si="132"/>
        <v>9.823490597162654E-2</v>
      </c>
      <c r="AD105" s="417">
        <f t="shared" si="132"/>
        <v>0.12412049252418655</v>
      </c>
      <c r="AE105" s="417">
        <f t="shared" si="132"/>
        <v>0.11619182804420558</v>
      </c>
      <c r="AF105" s="417">
        <f t="shared" si="132"/>
        <v>9.8197829203358511E-2</v>
      </c>
      <c r="AG105" s="417">
        <f t="shared" si="132"/>
        <v>-3.377896613190734E-2</v>
      </c>
      <c r="AH105" s="418">
        <f t="shared" si="132"/>
        <v>7.1473275754162069E-2</v>
      </c>
      <c r="AI105" s="417">
        <f t="shared" si="132"/>
        <v>1.3300733496332429E-2</v>
      </c>
      <c r="AJ105" s="417">
        <f t="shared" si="132"/>
        <v>-4.1693160141702212E-2</v>
      </c>
      <c r="AK105" s="417">
        <f t="shared" si="132"/>
        <v>-1.3519813519813573E-2</v>
      </c>
      <c r="AL105" s="417">
        <f t="shared" si="132"/>
        <v>1.1622544045752248E-2</v>
      </c>
      <c r="AM105" s="418">
        <f t="shared" si="132"/>
        <v>-7.9906542056075169E-3</v>
      </c>
      <c r="AN105" s="417">
        <f t="shared" si="132"/>
        <v>-2.2584692597239608E-2</v>
      </c>
      <c r="AO105" s="417">
        <f t="shared" si="132"/>
        <v>-1.2322274881516604E-3</v>
      </c>
      <c r="AP105" s="417">
        <f t="shared" si="132"/>
        <v>2.4952741020793923E-2</v>
      </c>
      <c r="AQ105" s="417">
        <f t="shared" si="132"/>
        <v>8.1608461748883032E-2</v>
      </c>
      <c r="AR105" s="418">
        <f t="shared" si="132"/>
        <v>2.1480050873804668E-2</v>
      </c>
      <c r="AS105" s="417">
        <f t="shared" si="132"/>
        <v>-1.3725683815542622E-2</v>
      </c>
      <c r="AT105" s="417">
        <f t="shared" si="132"/>
        <v>3.4165322197969861E-3</v>
      </c>
      <c r="AU105" s="417">
        <f t="shared" si="132"/>
        <v>-4.9520472150497929E-2</v>
      </c>
      <c r="AV105" s="417">
        <f t="shared" si="132"/>
        <v>-6.5334682178384784E-2</v>
      </c>
      <c r="AW105" s="415">
        <f t="shared" si="132"/>
        <v>-3.262623933594655E-2</v>
      </c>
      <c r="AX105" s="416">
        <f t="shared" si="132"/>
        <v>1.3516219463356016E-2</v>
      </c>
      <c r="AY105" s="416">
        <f t="shared" si="132"/>
        <v>-1.8916107065165555E-3</v>
      </c>
      <c r="AZ105" s="416">
        <f t="shared" si="132"/>
        <v>0.17463859512952373</v>
      </c>
      <c r="BA105" s="416">
        <f t="shared" si="132"/>
        <v>0.20131685758095075</v>
      </c>
      <c r="BB105" s="415">
        <f t="shared" si="132"/>
        <v>0.1008223096174472</v>
      </c>
      <c r="BC105" s="135">
        <f t="shared" si="132"/>
        <v>0.22276005136817156</v>
      </c>
      <c r="BD105" s="416">
        <f t="shared" si="132"/>
        <v>0.21993745854259461</v>
      </c>
      <c r="BE105" s="416">
        <f t="shared" si="132"/>
        <v>1.9079871148922178E-2</v>
      </c>
      <c r="BF105" s="416">
        <f t="shared" si="132"/>
        <v>-9.234927547113192E-3</v>
      </c>
      <c r="BG105" s="415">
        <f t="shared" ref="BG105:BL105" si="133">BG62/BB62-1</f>
        <v>9.9621089098192117E-2</v>
      </c>
      <c r="BH105" s="416">
        <f t="shared" si="133"/>
        <v>-2.3590240749717273E-2</v>
      </c>
      <c r="BI105" s="135">
        <f t="shared" si="133"/>
        <v>-1.2428149759204588E-2</v>
      </c>
      <c r="BJ105" s="416">
        <f t="shared" si="133"/>
        <v>5.6735289349973961E-4</v>
      </c>
      <c r="BK105" s="416">
        <f t="shared" si="133"/>
        <v>2.4931797514398335E-2</v>
      </c>
      <c r="BL105" s="415">
        <f t="shared" si="133"/>
        <v>-2.8748080179576974E-3</v>
      </c>
      <c r="BM105" s="416" t="e">
        <f>BM62/(BH62-#REF!)-1</f>
        <v>#REF!</v>
      </c>
      <c r="BN105" s="416" t="e">
        <f>BN62/(BI62-#REF!)-1</f>
        <v>#REF!</v>
      </c>
      <c r="BO105" s="416" t="e">
        <f>BO62/(BJ62-#REF!)-1</f>
        <v>#REF!</v>
      </c>
      <c r="BP105" s="416" t="e">
        <f>BP62/(BK62-#REF!)-1</f>
        <v>#REF!</v>
      </c>
      <c r="BQ105" s="415">
        <f t="shared" ref="BQ105:CP105" si="134">BQ62/BL62-1</f>
        <v>-1.5007898894154881E-3</v>
      </c>
      <c r="BR105" s="416">
        <f t="shared" si="134"/>
        <v>5.9506895110739588E-2</v>
      </c>
      <c r="BS105" s="416">
        <f t="shared" si="134"/>
        <v>3.2076055031689643E-2</v>
      </c>
      <c r="BT105" s="416">
        <f t="shared" si="134"/>
        <v>5.7555718834190639E-2</v>
      </c>
      <c r="BU105" s="416">
        <f t="shared" si="134"/>
        <v>1.2898896510587621E-2</v>
      </c>
      <c r="BV105" s="415">
        <f t="shared" si="134"/>
        <v>3.9652717348310995E-2</v>
      </c>
      <c r="BW105" s="416">
        <f t="shared" si="134"/>
        <v>3.4866293287055372E-2</v>
      </c>
      <c r="BX105" s="416">
        <f t="shared" si="134"/>
        <v>2.7334681345016154E-2</v>
      </c>
      <c r="BY105" s="416">
        <f t="shared" si="134"/>
        <v>7.2024085224640988E-2</v>
      </c>
      <c r="BZ105" s="416">
        <f t="shared" si="134"/>
        <v>8.1560544718439543E-2</v>
      </c>
      <c r="CA105" s="415">
        <f t="shared" si="134"/>
        <v>5.4176415758336649E-2</v>
      </c>
      <c r="CB105" s="416">
        <f t="shared" si="134"/>
        <v>0.2162321823309703</v>
      </c>
      <c r="CC105" s="416">
        <f t="shared" si="134"/>
        <v>0.22545196092724895</v>
      </c>
      <c r="CD105" s="416">
        <f t="shared" si="134"/>
        <v>0.22940519910707846</v>
      </c>
      <c r="CE105" s="416">
        <f t="shared" si="134"/>
        <v>0.31577962294970385</v>
      </c>
      <c r="CF105" s="415">
        <f t="shared" si="134"/>
        <v>0.24820903332912292</v>
      </c>
      <c r="CG105" s="416">
        <f t="shared" si="134"/>
        <v>0.10442943766353818</v>
      </c>
      <c r="CH105" s="416">
        <f t="shared" si="134"/>
        <v>9.5489493330160657E-2</v>
      </c>
      <c r="CI105" s="416">
        <f t="shared" si="134"/>
        <v>9.8358495262919066E-2</v>
      </c>
      <c r="CJ105" s="416">
        <f t="shared" si="134"/>
        <v>5.9096610673596839E-3</v>
      </c>
      <c r="CK105" s="415">
        <f t="shared" si="134"/>
        <v>7.3223269531024204E-2</v>
      </c>
      <c r="CL105" s="416">
        <f t="shared" si="134"/>
        <v>-1.3068210191805485E-2</v>
      </c>
      <c r="CM105" s="416">
        <f t="shared" si="134"/>
        <v>-0.16335968722849692</v>
      </c>
      <c r="CN105" s="416">
        <f t="shared" si="134"/>
        <v>-0.16937500000000005</v>
      </c>
      <c r="CO105" s="416">
        <f t="shared" si="134"/>
        <v>4.6425669769115885E-2</v>
      </c>
      <c r="CP105" s="415">
        <f t="shared" si="134"/>
        <v>-0.12981397416382667</v>
      </c>
      <c r="CQ105" s="416">
        <f t="shared" ref="CQ105" si="135">CQ62/CL62-1</f>
        <v>-6.485502979810176E-2</v>
      </c>
      <c r="CR105" s="416">
        <f t="shared" ref="CR105" si="136">CR62/CM62-1</f>
        <v>8.887139099434771E-2</v>
      </c>
      <c r="CS105" s="416">
        <f t="shared" ref="CS105" si="137">CS62/CN62-1</f>
        <v>9.4899806624088257E-2</v>
      </c>
      <c r="CT105" s="416">
        <f t="shared" ref="CT105:CU105" si="138">CT62/CO62-1</f>
        <v>-9.5750138576028099E-2</v>
      </c>
      <c r="CU105" s="415">
        <f t="shared" si="138"/>
        <v>-3.2817337461300555E-3</v>
      </c>
      <c r="CV105" s="416">
        <f t="shared" ref="CV105:CW105" si="139">CV62/CQ62-1</f>
        <v>-3.3680501669600349E-2</v>
      </c>
      <c r="CW105" s="416">
        <f t="shared" si="139"/>
        <v>-2.758919130278259E-2</v>
      </c>
      <c r="CX105" s="416">
        <f t="shared" ref="CX105" si="140">CX62/CS62-1</f>
        <v>-6.0412707191521697E-3</v>
      </c>
      <c r="CY105" s="416">
        <f t="shared" ref="CY105" si="141">CY62/CT62-1</f>
        <v>-1.6756388393453725E-2</v>
      </c>
      <c r="CZ105" s="415">
        <f t="shared" ref="CZ105" si="142">CZ62/CU62-1</f>
        <v>4.1715847673479578E-2</v>
      </c>
      <c r="DA105" s="416">
        <f t="shared" ref="DA105" si="143">DA62/CV62-1</f>
        <v>9.531687452277926E-2</v>
      </c>
      <c r="DB105" s="416">
        <f t="shared" ref="DB105" si="144">DB62/CW62-1</f>
        <v>0.12265538801029785</v>
      </c>
      <c r="DC105" s="416">
        <f t="shared" ref="DC105" si="145">DC62/CX62-1</f>
        <v>-0.20571057754704736</v>
      </c>
      <c r="DD105" s="416">
        <f t="shared" ref="DD105:DF105" si="146">DD62/CY62-1</f>
        <v>0.10136516884983138</v>
      </c>
      <c r="DE105" s="415">
        <f t="shared" si="146"/>
        <v>2.7521841548140857E-2</v>
      </c>
      <c r="DF105" s="416">
        <f t="shared" si="146"/>
        <v>0.12147089578250259</v>
      </c>
      <c r="DG105" s="416">
        <f t="shared" ref="DG105" si="147">DG62/DB62-1</f>
        <v>8.0589680589680635E-2</v>
      </c>
      <c r="DH105" s="416">
        <f t="shared" ref="DH105" si="148">DH62/DC62-1</f>
        <v>0.49205288175876416</v>
      </c>
      <c r="DI105" s="416">
        <f t="shared" ref="DI105:DJ105" si="149">DI62/DD62-1</f>
        <v>8.5110653886686372E-2</v>
      </c>
      <c r="DJ105" s="415">
        <f t="shared" si="149"/>
        <v>0.1724898432965758</v>
      </c>
      <c r="DK105" s="416">
        <f t="shared" ref="DK105" si="150">DK62/DF62-1</f>
        <v>5.1851851851851816E-2</v>
      </c>
      <c r="DL105" s="416">
        <f t="shared" ref="DL105" si="151">DL62/DG62-1</f>
        <v>9.0445151836693549E-2</v>
      </c>
      <c r="DM105" s="416">
        <f t="shared" ref="DM105" si="152">DM62/DH62-1</f>
        <v>0.11892080242919012</v>
      </c>
      <c r="DN105" s="416">
        <f t="shared" ref="DN105" si="153">DN62/DI62-1</f>
        <v>4.5201452157424882E-2</v>
      </c>
      <c r="DO105" s="415">
        <f t="shared" ref="DO105" si="154">DO62/DJ62-1</f>
        <v>7.6197789822789908E-2</v>
      </c>
      <c r="DP105" s="416">
        <f t="shared" ref="DP105" si="155">DP62/DK62-1</f>
        <v>5.4471092287993628E-2</v>
      </c>
      <c r="DQ105" s="416">
        <f t="shared" ref="DQ105" si="156">DQ62/DL62-1</f>
        <v>5.0003984986794148E-2</v>
      </c>
      <c r="DR105" s="416">
        <f t="shared" ref="DR105" si="157">DR62/DM62-1</f>
        <v>6.2574428329922549E-2</v>
      </c>
      <c r="DS105" s="416">
        <f t="shared" ref="DS105" si="158">DS62/DN62-1</f>
        <v>7.2148846097397135E-2</v>
      </c>
      <c r="DT105" s="415">
        <f t="shared" ref="DT105" si="159">DT62/DO62-1</f>
        <v>6.005108551745586E-2</v>
      </c>
      <c r="DU105" s="415">
        <f t="shared" ref="DU105:DV105" si="160">DU62/DT62-1</f>
        <v>6.6657452104157633E-2</v>
      </c>
      <c r="DV105" s="415">
        <f t="shared" si="160"/>
        <v>5.9929887880321608E-2</v>
      </c>
    </row>
    <row r="106" spans="1:126" s="92" customFormat="1">
      <c r="C106" s="91"/>
      <c r="D106" s="91"/>
      <c r="E106" s="91"/>
      <c r="F106" s="91"/>
      <c r="G106" s="91"/>
      <c r="H106" s="91"/>
      <c r="I106" s="91"/>
      <c r="N106" s="91"/>
      <c r="S106" s="91"/>
      <c r="X106" s="91"/>
      <c r="AC106" s="91"/>
      <c r="AH106" s="91"/>
      <c r="AM106" s="91"/>
      <c r="AR106" s="91"/>
      <c r="AW106" s="91"/>
      <c r="BB106" s="91"/>
      <c r="BG106" s="91"/>
      <c r="BL106" s="91"/>
      <c r="BQ106" s="91"/>
      <c r="BV106" s="91"/>
      <c r="CA106" s="91"/>
      <c r="CF106" s="91"/>
      <c r="CK106" s="91"/>
      <c r="CP106" s="91"/>
      <c r="CU106" s="91"/>
      <c r="CZ106" s="91"/>
      <c r="DE106" s="91"/>
      <c r="DJ106" s="91"/>
      <c r="DO106" s="91"/>
      <c r="DT106" s="91"/>
      <c r="DU106" s="91"/>
      <c r="DV106" s="91"/>
    </row>
    <row r="107" spans="1:126" s="92" customFormat="1">
      <c r="B107" s="54" t="s">
        <v>77</v>
      </c>
      <c r="C107" s="91"/>
      <c r="D107" s="91"/>
      <c r="E107" s="91"/>
      <c r="F107" s="91"/>
      <c r="G107" s="91"/>
      <c r="H107" s="91"/>
      <c r="I107" s="91"/>
      <c r="N107" s="91"/>
      <c r="S107" s="91"/>
      <c r="X107" s="91"/>
      <c r="AC107" s="91"/>
      <c r="AH107" s="91"/>
      <c r="AM107" s="91"/>
      <c r="AR107" s="91"/>
      <c r="AW107" s="91"/>
      <c r="BB107" s="91"/>
      <c r="BG107" s="91"/>
      <c r="BL107" s="91"/>
      <c r="BQ107" s="91"/>
      <c r="BV107" s="91"/>
      <c r="CA107" s="91"/>
      <c r="CF107" s="91"/>
      <c r="CK107" s="91"/>
      <c r="CP107" s="91"/>
      <c r="CU107" s="91"/>
      <c r="CZ107" s="91"/>
      <c r="DE107" s="91"/>
      <c r="DJ107" s="91"/>
      <c r="DO107" s="91"/>
      <c r="DT107" s="91"/>
      <c r="DU107" s="91"/>
      <c r="DV107" s="91"/>
    </row>
    <row r="108" spans="1:126" s="92" customFormat="1">
      <c r="B108" s="115" t="str">
        <f>+B100</f>
        <v>Pratt &amp; Whitney</v>
      </c>
      <c r="C108" s="123"/>
      <c r="D108" s="123"/>
      <c r="E108" s="123"/>
      <c r="F108" s="123"/>
      <c r="G108" s="123"/>
      <c r="H108" s="123"/>
      <c r="I108" s="123"/>
      <c r="J108" s="130"/>
      <c r="K108" s="130"/>
      <c r="L108" s="130"/>
      <c r="M108" s="130"/>
      <c r="N108" s="123"/>
      <c r="O108" s="130"/>
      <c r="P108" s="130"/>
      <c r="Q108" s="130"/>
      <c r="R108" s="130"/>
      <c r="S108" s="123"/>
      <c r="T108" s="130"/>
      <c r="U108" s="130"/>
      <c r="V108" s="130"/>
      <c r="W108" s="130"/>
      <c r="X108" s="123"/>
      <c r="Y108" s="130"/>
      <c r="Z108" s="130"/>
      <c r="AA108" s="130"/>
      <c r="AB108" s="130"/>
      <c r="AC108" s="123"/>
      <c r="AD108" s="130"/>
      <c r="AE108" s="130"/>
      <c r="AF108" s="130"/>
      <c r="AG108" s="130"/>
      <c r="AH108" s="123"/>
      <c r="AI108" s="130"/>
      <c r="AJ108" s="130"/>
      <c r="AK108" s="130"/>
      <c r="AL108" s="130"/>
      <c r="AM108" s="123"/>
      <c r="AN108" s="130"/>
      <c r="AO108" s="130"/>
      <c r="AP108" s="130"/>
      <c r="AQ108" s="130"/>
      <c r="AR108" s="123"/>
      <c r="AS108" s="130"/>
      <c r="AT108" s="130"/>
      <c r="AU108" s="130"/>
      <c r="AV108" s="130"/>
      <c r="AW108" s="123"/>
      <c r="AX108" s="130"/>
      <c r="AY108" s="130"/>
      <c r="AZ108" s="130"/>
      <c r="BA108" s="130"/>
      <c r="BB108" s="123">
        <f t="shared" ref="BB108:CU108" si="161">BB14/SUM(BB$14,BB$26,BB$41,BB$48)</f>
        <v>0.28740197995348549</v>
      </c>
      <c r="BC108" s="130">
        <f t="shared" si="161"/>
        <v>0.26169230769230767</v>
      </c>
      <c r="BD108" s="130">
        <f t="shared" si="161"/>
        <v>0.26753285102613317</v>
      </c>
      <c r="BE108" s="130">
        <f t="shared" si="161"/>
        <v>0.26070218663381584</v>
      </c>
      <c r="BF108" s="130">
        <f t="shared" si="161"/>
        <v>0.29591836734693877</v>
      </c>
      <c r="BG108" s="123">
        <f t="shared" si="161"/>
        <v>0.27179862048283099</v>
      </c>
      <c r="BH108" s="130">
        <f t="shared" si="161"/>
        <v>0.26249802870209749</v>
      </c>
      <c r="BI108" s="130">
        <f t="shared" si="161"/>
        <v>0.26928555363970313</v>
      </c>
      <c r="BJ108" s="130">
        <f t="shared" si="161"/>
        <v>0.27493635732469335</v>
      </c>
      <c r="BK108" s="130">
        <f t="shared" si="161"/>
        <v>0.28409010663088763</v>
      </c>
      <c r="BL108" s="123">
        <f t="shared" si="161"/>
        <v>0.27298899237933955</v>
      </c>
      <c r="BM108" s="130">
        <f t="shared" si="161"/>
        <v>0.26700857440500042</v>
      </c>
      <c r="BN108" s="130">
        <f t="shared" si="161"/>
        <v>0.27352525477943912</v>
      </c>
      <c r="BO108" s="130">
        <f t="shared" si="161"/>
        <v>0.25428526497877024</v>
      </c>
      <c r="BP108" s="130">
        <f t="shared" si="161"/>
        <v>0.27726419182435358</v>
      </c>
      <c r="BQ108" s="123">
        <f t="shared" si="161"/>
        <v>0.26830011812673854</v>
      </c>
      <c r="BR108" s="130">
        <f t="shared" si="161"/>
        <v>0.27403956312533417</v>
      </c>
      <c r="BS108" s="130">
        <f t="shared" si="161"/>
        <v>0.27684600304944457</v>
      </c>
      <c r="BT108" s="130">
        <f t="shared" si="161"/>
        <v>0.26103489412466446</v>
      </c>
      <c r="BU108" s="130">
        <f t="shared" si="161"/>
        <v>0.28471578346765564</v>
      </c>
      <c r="BV108" s="123">
        <f t="shared" si="161"/>
        <v>0.27429602755115196</v>
      </c>
      <c r="BW108" s="130">
        <f t="shared" si="161"/>
        <v>0.27662863452337139</v>
      </c>
      <c r="BX108" s="130">
        <f t="shared" si="161"/>
        <v>0.28589491430177016</v>
      </c>
      <c r="BY108" s="130">
        <f t="shared" si="161"/>
        <v>0.29619319368084068</v>
      </c>
      <c r="BZ108" s="130">
        <f t="shared" si="161"/>
        <v>0.29263972710574654</v>
      </c>
      <c r="CA108" s="123">
        <f t="shared" si="161"/>
        <v>0.28806978444823622</v>
      </c>
      <c r="CB108" s="130">
        <f t="shared" si="161"/>
        <v>0.26170145238563031</v>
      </c>
      <c r="CC108" s="130">
        <f t="shared" si="161"/>
        <v>0.27119032281153821</v>
      </c>
      <c r="CD108" s="130">
        <f t="shared" si="161"/>
        <v>0.2711048840204362</v>
      </c>
      <c r="CE108" s="130">
        <f t="shared" si="161"/>
        <v>0.27793168285803821</v>
      </c>
      <c r="CF108" s="123">
        <f t="shared" si="161"/>
        <v>0.27085486078141147</v>
      </c>
      <c r="CG108" s="130">
        <f t="shared" si="161"/>
        <v>0.26404340439524304</v>
      </c>
      <c r="CH108" s="130">
        <f t="shared" si="161"/>
        <v>0.26997014299931904</v>
      </c>
      <c r="CI108" s="130">
        <f t="shared" si="161"/>
        <v>0.27210008752509912</v>
      </c>
      <c r="CJ108" s="130">
        <f t="shared" si="161"/>
        <v>0.28073403620449572</v>
      </c>
      <c r="CK108" s="123">
        <f t="shared" si="161"/>
        <v>0.27191715776190661</v>
      </c>
      <c r="CL108" s="130">
        <f t="shared" si="161"/>
        <v>0.30142505838749084</v>
      </c>
      <c r="CM108" s="130">
        <f t="shared" si="161"/>
        <v>0.22097177978050331</v>
      </c>
      <c r="CN108" s="130">
        <f t="shared" si="161"/>
        <v>0.21918123102575207</v>
      </c>
      <c r="CO108" s="130">
        <f t="shared" si="161"/>
        <v>0.24407794418519885</v>
      </c>
      <c r="CP108" s="123">
        <f t="shared" si="161"/>
        <v>0.24777386175645544</v>
      </c>
      <c r="CQ108" s="130">
        <f t="shared" si="161"/>
        <v>0.24307176000556746</v>
      </c>
      <c r="CR108" s="130">
        <f t="shared" si="161"/>
        <v>0.25057752011356493</v>
      </c>
      <c r="CS108" s="130">
        <f t="shared" si="161"/>
        <v>0.27209320390890529</v>
      </c>
      <c r="CT108" s="130">
        <f t="shared" si="161"/>
        <v>0.26927262537655872</v>
      </c>
      <c r="CU108" s="123">
        <f t="shared" si="161"/>
        <v>0.25920795190014423</v>
      </c>
      <c r="CV108" s="130">
        <f t="shared" ref="CV108:DL108" si="162">CV14/(SUM(CV14:CV26,CV50))</f>
        <v>0.28193476095617531</v>
      </c>
      <c r="CW108" s="130">
        <f t="shared" si="162"/>
        <v>0.29738464300676282</v>
      </c>
      <c r="CX108" s="130">
        <f t="shared" si="162"/>
        <v>0.30908881994714466</v>
      </c>
      <c r="CY108" s="130">
        <f t="shared" si="162"/>
        <v>0.30478861087144088</v>
      </c>
      <c r="CZ108" s="123">
        <f t="shared" si="162"/>
        <v>0.298735503397698</v>
      </c>
      <c r="DA108" s="130">
        <f t="shared" si="162"/>
        <v>0.29670392012253927</v>
      </c>
      <c r="DB108" s="130">
        <f t="shared" si="162"/>
        <v>0.30381028510524916</v>
      </c>
      <c r="DC108" s="130">
        <f t="shared" si="162"/>
        <v>6.574836694120989E-2</v>
      </c>
      <c r="DD108" s="130">
        <f t="shared" si="162"/>
        <v>0.31322663812813156</v>
      </c>
      <c r="DE108" s="123">
        <f t="shared" si="162"/>
        <v>0.25757042501372601</v>
      </c>
      <c r="DF108" s="130">
        <f t="shared" si="162"/>
        <v>0.32625833838690116</v>
      </c>
      <c r="DG108" s="130">
        <f t="shared" si="162"/>
        <v>0.33372583652242177</v>
      </c>
      <c r="DH108" s="130">
        <f t="shared" si="162"/>
        <v>0.3492040520984081</v>
      </c>
      <c r="DI108" s="130">
        <f t="shared" si="162"/>
        <v>0.33998113461797602</v>
      </c>
      <c r="DJ108" s="123">
        <f t="shared" si="162"/>
        <v>0.33748181282541517</v>
      </c>
      <c r="DK108" s="130">
        <f t="shared" si="162"/>
        <v>0.35205276489987097</v>
      </c>
      <c r="DL108" s="130">
        <f t="shared" si="162"/>
        <v>0.34290464635571133</v>
      </c>
      <c r="DM108" s="130">
        <f>DM14/(SUM(DM14,DM26,DM50))</f>
        <v>0.36480575165663304</v>
      </c>
      <c r="DN108" s="130">
        <f>DN14/(SUM(DN14,DN26,DN50))</f>
        <v>0.36544987592697481</v>
      </c>
      <c r="DO108" s="123">
        <f t="shared" ref="DO108:DV108" si="163">DO14/(SUM(DO14,DO26,DO50))</f>
        <v>0.35655254882381049</v>
      </c>
      <c r="DP108" s="130">
        <f t="shared" si="163"/>
        <v>0.36642454214933701</v>
      </c>
      <c r="DQ108" s="130">
        <f t="shared" si="163"/>
        <v>0.35748620256870234</v>
      </c>
      <c r="DR108" s="130">
        <f t="shared" si="163"/>
        <v>0.37379141564856105</v>
      </c>
      <c r="DS108" s="130">
        <f t="shared" si="163"/>
        <v>0.37290552980947433</v>
      </c>
      <c r="DT108" s="123">
        <f t="shared" si="163"/>
        <v>0.3678436797852081</v>
      </c>
      <c r="DU108" s="123">
        <f t="shared" si="163"/>
        <v>0.37361444334635863</v>
      </c>
      <c r="DV108" s="123">
        <f t="shared" si="163"/>
        <v>0.37792150869064578</v>
      </c>
    </row>
    <row r="109" spans="1:126" s="128" customFormat="1">
      <c r="A109" s="92"/>
      <c r="B109" s="3" t="str">
        <f>+B101</f>
        <v>Collins Aerospace</v>
      </c>
      <c r="C109" s="123"/>
      <c r="D109" s="123"/>
      <c r="E109" s="123"/>
      <c r="F109" s="123"/>
      <c r="G109" s="123"/>
      <c r="H109" s="123"/>
      <c r="I109" s="123"/>
      <c r="J109" s="130"/>
      <c r="K109" s="130"/>
      <c r="L109" s="130"/>
      <c r="M109" s="130"/>
      <c r="N109" s="123"/>
      <c r="O109" s="130"/>
      <c r="P109" s="130"/>
      <c r="Q109" s="130"/>
      <c r="R109" s="130"/>
      <c r="S109" s="123"/>
      <c r="T109" s="130"/>
      <c r="U109" s="130"/>
      <c r="V109" s="130"/>
      <c r="W109" s="130"/>
      <c r="X109" s="123"/>
      <c r="Y109" s="130"/>
      <c r="Z109" s="130"/>
      <c r="AA109" s="130"/>
      <c r="AB109" s="130"/>
      <c r="AC109" s="123"/>
      <c r="AD109" s="130"/>
      <c r="AE109" s="130"/>
      <c r="AF109" s="130"/>
      <c r="AG109" s="130"/>
      <c r="AH109" s="123"/>
      <c r="AI109" s="130"/>
      <c r="AJ109" s="130"/>
      <c r="AK109" s="130"/>
      <c r="AL109" s="130"/>
      <c r="AM109" s="123"/>
      <c r="AN109" s="130"/>
      <c r="AO109" s="130"/>
      <c r="AP109" s="130"/>
      <c r="AQ109" s="130"/>
      <c r="AR109" s="123"/>
      <c r="AS109" s="130"/>
      <c r="AT109" s="130"/>
      <c r="AU109" s="130"/>
      <c r="AV109" s="130"/>
      <c r="AW109" s="123"/>
      <c r="AX109" s="130"/>
      <c r="AY109" s="130"/>
      <c r="AZ109" s="130"/>
      <c r="BA109" s="130"/>
      <c r="BB109" s="123">
        <f t="shared" ref="BB109:CU109" si="164">BB26/SUM(BB$14,BB$26,BB$41,BB$48)</f>
        <v>0.1715273632864758</v>
      </c>
      <c r="BC109" s="130">
        <f t="shared" si="164"/>
        <v>0.251</v>
      </c>
      <c r="BD109" s="130">
        <f t="shared" si="164"/>
        <v>0.24516462424331906</v>
      </c>
      <c r="BE109" s="130">
        <f t="shared" si="164"/>
        <v>0.25500461964890669</v>
      </c>
      <c r="BF109" s="130">
        <f t="shared" si="164"/>
        <v>0.24974670719351572</v>
      </c>
      <c r="BG109" s="123">
        <f t="shared" si="164"/>
        <v>0.25016869095816463</v>
      </c>
      <c r="BH109" s="130">
        <f t="shared" si="164"/>
        <v>0.27203911055038638</v>
      </c>
      <c r="BI109" s="130">
        <f t="shared" si="164"/>
        <v>0.27258415173551243</v>
      </c>
      <c r="BJ109" s="130">
        <f t="shared" si="164"/>
        <v>0.27269922085936898</v>
      </c>
      <c r="BK109" s="130">
        <f t="shared" si="164"/>
        <v>0.2537956359014194</v>
      </c>
      <c r="BL109" s="123">
        <f t="shared" si="164"/>
        <v>0.2674757738263242</v>
      </c>
      <c r="BM109" s="130">
        <f t="shared" si="164"/>
        <v>0.28431765365814571</v>
      </c>
      <c r="BN109" s="130">
        <f t="shared" si="164"/>
        <v>0.27017778769619877</v>
      </c>
      <c r="BO109" s="130">
        <f t="shared" si="164"/>
        <v>0.27181946846988519</v>
      </c>
      <c r="BP109" s="130">
        <f t="shared" si="164"/>
        <v>0.24967499638884877</v>
      </c>
      <c r="BQ109" s="123">
        <f t="shared" si="164"/>
        <v>0.26852875052394926</v>
      </c>
      <c r="BR109" s="130">
        <f t="shared" si="164"/>
        <v>0.26770029786909033</v>
      </c>
      <c r="BS109" s="130">
        <f t="shared" si="164"/>
        <v>0.2698032382197052</v>
      </c>
      <c r="BT109" s="130">
        <f t="shared" si="164"/>
        <v>0.27184610796301817</v>
      </c>
      <c r="BU109" s="130">
        <f t="shared" si="164"/>
        <v>0.25661507738392414</v>
      </c>
      <c r="BV109" s="123">
        <f t="shared" si="164"/>
        <v>0.26639532956408035</v>
      </c>
      <c r="BW109" s="130">
        <f t="shared" si="164"/>
        <v>0.26580787633419212</v>
      </c>
      <c r="BX109" s="130">
        <f t="shared" si="164"/>
        <v>0.25568980050576007</v>
      </c>
      <c r="BY109" s="130">
        <f t="shared" si="164"/>
        <v>0.25311434337810562</v>
      </c>
      <c r="BZ109" s="130">
        <f t="shared" si="164"/>
        <v>0.24947520335869849</v>
      </c>
      <c r="CA109" s="123">
        <f t="shared" si="164"/>
        <v>0.25578925375213291</v>
      </c>
      <c r="CB109" s="130">
        <f t="shared" si="164"/>
        <v>0.3461393141596264</v>
      </c>
      <c r="CC109" s="130">
        <f t="shared" si="164"/>
        <v>0.33616777610765158</v>
      </c>
      <c r="CD109" s="130">
        <f t="shared" si="164"/>
        <v>0.33194639041028035</v>
      </c>
      <c r="CE109" s="130">
        <f t="shared" si="164"/>
        <v>0.34139768097774992</v>
      </c>
      <c r="CF109" s="123">
        <f t="shared" si="164"/>
        <v>0.3388862512916469</v>
      </c>
      <c r="CG109" s="130">
        <f t="shared" si="164"/>
        <v>0.35693538663889957</v>
      </c>
      <c r="CH109" s="130">
        <f t="shared" si="164"/>
        <v>0.3444555025928448</v>
      </c>
      <c r="CI109" s="130">
        <f t="shared" si="164"/>
        <v>0.33439736394995623</v>
      </c>
      <c r="CJ109" s="130">
        <f t="shared" si="164"/>
        <v>0.32046946488959616</v>
      </c>
      <c r="CK109" s="123">
        <f t="shared" si="164"/>
        <v>0.33860203723217419</v>
      </c>
      <c r="CL109" s="130">
        <f t="shared" si="164"/>
        <v>0.28092695766705422</v>
      </c>
      <c r="CM109" s="130">
        <f t="shared" si="164"/>
        <v>0.31560217332106794</v>
      </c>
      <c r="CN109" s="130">
        <f t="shared" si="164"/>
        <v>0.31316104793904997</v>
      </c>
      <c r="CO109" s="130">
        <f t="shared" si="164"/>
        <v>0.3507726339433781</v>
      </c>
      <c r="CP109" s="123">
        <f t="shared" si="164"/>
        <v>0.31632021865784365</v>
      </c>
      <c r="CQ109" s="130">
        <f t="shared" si="164"/>
        <v>0.3010631377308895</v>
      </c>
      <c r="CR109" s="130">
        <f t="shared" si="164"/>
        <v>0.29334797481992303</v>
      </c>
      <c r="CS109" s="130">
        <f t="shared" si="164"/>
        <v>0.28783562904943233</v>
      </c>
      <c r="CT109" s="130">
        <f t="shared" si="164"/>
        <v>0.3238440664053725</v>
      </c>
      <c r="CU109" s="123">
        <f t="shared" si="164"/>
        <v>0.30208080433012952</v>
      </c>
      <c r="CV109" s="130">
        <f t="shared" ref="CV109:DL109" si="165">CV26/(SUM(CV14:CV26,CV50))</f>
        <v>0.34088645418326691</v>
      </c>
      <c r="CW109" s="130">
        <f t="shared" si="165"/>
        <v>0.33676461787060863</v>
      </c>
      <c r="CX109" s="130">
        <f t="shared" si="165"/>
        <v>0.32850741123750432</v>
      </c>
      <c r="CY109" s="130">
        <f t="shared" si="165"/>
        <v>0.33601164797238997</v>
      </c>
      <c r="CZ109" s="123">
        <f t="shared" si="165"/>
        <v>0.33543355208591008</v>
      </c>
      <c r="DA109" s="130">
        <f t="shared" si="165"/>
        <v>0.34719464457933852</v>
      </c>
      <c r="DB109" s="130">
        <f t="shared" si="165"/>
        <v>0.34020783373301361</v>
      </c>
      <c r="DC109" s="130">
        <f t="shared" si="165"/>
        <v>0.47067594433399601</v>
      </c>
      <c r="DD109" s="130">
        <f t="shared" si="165"/>
        <v>0.34635403998637931</v>
      </c>
      <c r="DE109" s="123">
        <f t="shared" si="165"/>
        <v>0.36958878267847339</v>
      </c>
      <c r="DF109" s="130">
        <f t="shared" si="165"/>
        <v>0.33722458055387106</v>
      </c>
      <c r="DG109" s="130">
        <f t="shared" si="165"/>
        <v>0.34339122755372387</v>
      </c>
      <c r="DH109" s="130">
        <f t="shared" si="165"/>
        <v>0.34129281234925229</v>
      </c>
      <c r="DI109" s="130">
        <f t="shared" si="165"/>
        <v>0.33854377217805326</v>
      </c>
      <c r="DJ109" s="123">
        <f t="shared" si="165"/>
        <v>0.34010317088128134</v>
      </c>
      <c r="DK109" s="130">
        <f t="shared" si="165"/>
        <v>0.34493141518902642</v>
      </c>
      <c r="DL109" s="130">
        <f t="shared" si="165"/>
        <v>0.34250022467870944</v>
      </c>
      <c r="DM109" s="130">
        <f>DM26/(SUM(DM14,DM26,DM50))</f>
        <v>0.33007059638789032</v>
      </c>
      <c r="DN109" s="130">
        <f>DN26/(SUM(DN14,DN26,DN50))</f>
        <v>0.32001600316492546</v>
      </c>
      <c r="DO109" s="123">
        <f t="shared" ref="DO109:DV109" si="166">DO26/(SUM(DO14,DO26,DO50))</f>
        <v>0.33401477569862115</v>
      </c>
      <c r="DP109" s="130">
        <f t="shared" si="166"/>
        <v>0.32539027416297139</v>
      </c>
      <c r="DQ109" s="130">
        <f t="shared" si="166"/>
        <v>0.32895732568870467</v>
      </c>
      <c r="DR109" s="130">
        <f t="shared" si="166"/>
        <v>0.32503180453022773</v>
      </c>
      <c r="DS109" s="130">
        <f t="shared" si="166"/>
        <v>0.31729165069755266</v>
      </c>
      <c r="DT109" s="123">
        <f t="shared" si="166"/>
        <v>0.32404156556494967</v>
      </c>
      <c r="DU109" s="123">
        <f t="shared" si="166"/>
        <v>0.32182478457308972</v>
      </c>
      <c r="DV109" s="123">
        <f t="shared" si="166"/>
        <v>0.31975968604820421</v>
      </c>
    </row>
    <row r="110" spans="1:126" s="128" customFormat="1" hidden="1" outlineLevel="1">
      <c r="A110" s="92"/>
      <c r="B110" s="180" t="s">
        <v>570</v>
      </c>
      <c r="C110" s="123"/>
      <c r="D110" s="123"/>
      <c r="E110" s="123"/>
      <c r="F110" s="123"/>
      <c r="G110" s="123"/>
      <c r="H110" s="123"/>
      <c r="I110" s="123"/>
      <c r="J110" s="130"/>
      <c r="K110" s="130"/>
      <c r="L110" s="130"/>
      <c r="M110" s="130"/>
      <c r="N110" s="123"/>
      <c r="O110" s="130"/>
      <c r="P110" s="130"/>
      <c r="Q110" s="130"/>
      <c r="R110" s="130"/>
      <c r="S110" s="123"/>
      <c r="T110" s="130"/>
      <c r="U110" s="130"/>
      <c r="V110" s="130"/>
      <c r="W110" s="130"/>
      <c r="X110" s="123"/>
      <c r="Y110" s="130"/>
      <c r="Z110" s="130"/>
      <c r="AA110" s="130"/>
      <c r="AB110" s="130"/>
      <c r="AC110" s="123"/>
      <c r="AD110" s="130"/>
      <c r="AE110" s="130"/>
      <c r="AF110" s="130"/>
      <c r="AG110" s="130"/>
      <c r="AH110" s="123"/>
      <c r="AI110" s="130"/>
      <c r="AJ110" s="130"/>
      <c r="AK110" s="130"/>
      <c r="AL110" s="130"/>
      <c r="AM110" s="123"/>
      <c r="AN110" s="130"/>
      <c r="AO110" s="130"/>
      <c r="AP110" s="130"/>
      <c r="AQ110" s="130"/>
      <c r="AR110" s="123"/>
      <c r="AS110" s="130"/>
      <c r="AT110" s="130"/>
      <c r="AU110" s="130"/>
      <c r="AV110" s="130"/>
      <c r="AW110" s="123"/>
      <c r="AX110" s="130"/>
      <c r="AY110" s="130"/>
      <c r="AZ110" s="130"/>
      <c r="BA110" s="130"/>
      <c r="BB110" s="123">
        <f t="shared" ref="BB110:CG110" si="167">BB41/SUM(BB$14,BB$26,BB$41,BB$48)</f>
        <v>0.27081318048037539</v>
      </c>
      <c r="BC110" s="130">
        <f t="shared" si="167"/>
        <v>0.2386923076923077</v>
      </c>
      <c r="BD110" s="130">
        <f t="shared" si="167"/>
        <v>0.23549387272995717</v>
      </c>
      <c r="BE110" s="130">
        <f t="shared" si="167"/>
        <v>0.23498614105327995</v>
      </c>
      <c r="BF110" s="130">
        <f t="shared" si="167"/>
        <v>0.2222463453466493</v>
      </c>
      <c r="BG110" s="123">
        <f t="shared" si="167"/>
        <v>0.2327185485080222</v>
      </c>
      <c r="BH110" s="130">
        <f t="shared" si="167"/>
        <v>0.22457025705724648</v>
      </c>
      <c r="BI110" s="130">
        <f t="shared" si="167"/>
        <v>0.22662868280980583</v>
      </c>
      <c r="BJ110" s="130">
        <f t="shared" si="167"/>
        <v>0.22826506209982259</v>
      </c>
      <c r="BK110" s="130">
        <f t="shared" si="167"/>
        <v>0.22583150907421792</v>
      </c>
      <c r="BL110" s="123">
        <f t="shared" si="167"/>
        <v>0.22632420735723022</v>
      </c>
      <c r="BM110" s="130">
        <f t="shared" si="167"/>
        <v>0.22589951117878035</v>
      </c>
      <c r="BN110" s="130">
        <f t="shared" si="167"/>
        <v>0.22390835379007662</v>
      </c>
      <c r="BO110" s="130">
        <f t="shared" si="167"/>
        <v>0.2331341405881428</v>
      </c>
      <c r="BP110" s="130">
        <f t="shared" si="167"/>
        <v>0.22483027589195437</v>
      </c>
      <c r="BQ110" s="123">
        <f t="shared" si="167"/>
        <v>0.22686049613230194</v>
      </c>
      <c r="BR110" s="130">
        <f t="shared" si="167"/>
        <v>0.22477659818223478</v>
      </c>
      <c r="BS110" s="130">
        <f t="shared" si="167"/>
        <v>0.23153996950555433</v>
      </c>
      <c r="BT110" s="130">
        <f t="shared" si="167"/>
        <v>0.23344765881300328</v>
      </c>
      <c r="BU110" s="130">
        <f t="shared" si="167"/>
        <v>0.22323657371086228</v>
      </c>
      <c r="BV110" s="123">
        <f t="shared" si="167"/>
        <v>0.22823624744470433</v>
      </c>
      <c r="BW110" s="130">
        <f t="shared" si="167"/>
        <v>0.22539565697460434</v>
      </c>
      <c r="BX110" s="130">
        <f t="shared" si="167"/>
        <v>0.22218319752739535</v>
      </c>
      <c r="BY110" s="130">
        <f t="shared" si="167"/>
        <v>0.21852599345813906</v>
      </c>
      <c r="BZ110" s="130">
        <f t="shared" si="167"/>
        <v>0.21267383888743113</v>
      </c>
      <c r="CA110" s="123">
        <f t="shared" si="167"/>
        <v>0.21950412647560677</v>
      </c>
      <c r="CB110" s="130">
        <f t="shared" si="167"/>
        <v>0.19042725225565615</v>
      </c>
      <c r="CC110" s="130">
        <f t="shared" si="167"/>
        <v>0.18850475985970941</v>
      </c>
      <c r="CD110" s="130">
        <f t="shared" si="167"/>
        <v>0.19456827863400275</v>
      </c>
      <c r="CE110" s="130">
        <f t="shared" si="167"/>
        <v>0.18005640864932623</v>
      </c>
      <c r="CF110" s="123">
        <f t="shared" si="167"/>
        <v>0.18809171391068785</v>
      </c>
      <c r="CG110" s="130">
        <f t="shared" si="167"/>
        <v>0.18616758919274401</v>
      </c>
      <c r="CH110" s="130">
        <f t="shared" ref="CH110:DM110" si="168">CH41/SUM(CH$14,CH$26,CH$41,CH$48)</f>
        <v>0.18631816038971244</v>
      </c>
      <c r="CI110" s="130">
        <f t="shared" si="168"/>
        <v>0.19363641044122948</v>
      </c>
      <c r="CJ110" s="130">
        <f t="shared" si="168"/>
        <v>0.18549830913069426</v>
      </c>
      <c r="CK110" s="123">
        <f t="shared" si="168"/>
        <v>0.18791710572532491</v>
      </c>
      <c r="CL110" s="130">
        <f t="shared" si="168"/>
        <v>0.20699393137164512</v>
      </c>
      <c r="CM110" s="130">
        <f t="shared" si="168"/>
        <v>0.22819597906211428</v>
      </c>
      <c r="CN110" s="130">
        <f t="shared" si="168"/>
        <v>0.23517757158430008</v>
      </c>
      <c r="CO110" s="130">
        <f t="shared" si="168"/>
        <v>0.19631054283852498</v>
      </c>
      <c r="CP110" s="123">
        <f t="shared" si="168"/>
        <v>0.21519096597856577</v>
      </c>
      <c r="CQ110" s="130">
        <f t="shared" si="168"/>
        <v>0.22708813310693832</v>
      </c>
      <c r="CR110" s="130">
        <f t="shared" si="168"/>
        <v>0.22276809907292397</v>
      </c>
      <c r="CS110" s="130">
        <f t="shared" si="168"/>
        <v>0.21537112859667848</v>
      </c>
      <c r="CT110" s="130">
        <f t="shared" si="168"/>
        <v>0.2037311945664286</v>
      </c>
      <c r="CU110" s="123">
        <f t="shared" si="168"/>
        <v>0.21679210522557518</v>
      </c>
      <c r="CV110" s="130">
        <f t="shared" si="168"/>
        <v>0.2088400374181478</v>
      </c>
      <c r="CW110" s="130">
        <f t="shared" si="168"/>
        <v>0.2014218009478673</v>
      </c>
      <c r="CX110" s="130">
        <f t="shared" si="168"/>
        <v>0.19704379958700141</v>
      </c>
      <c r="CY110" s="130">
        <f t="shared" si="168"/>
        <v>0.18149229272289649</v>
      </c>
      <c r="CZ110" s="123">
        <f t="shared" si="168"/>
        <v>0.19670959495306292</v>
      </c>
      <c r="DA110" s="130">
        <f t="shared" si="168"/>
        <v>0.19181104056816958</v>
      </c>
      <c r="DB110" s="130">
        <f t="shared" si="168"/>
        <v>0.18515704154002027</v>
      </c>
      <c r="DC110" s="130">
        <f t="shared" si="168"/>
        <v>0</v>
      </c>
      <c r="DD110" s="130">
        <f t="shared" si="168"/>
        <v>0</v>
      </c>
      <c r="DE110" s="123">
        <f t="shared" si="168"/>
        <v>0.12146702557200538</v>
      </c>
      <c r="DF110" s="130">
        <f t="shared" si="168"/>
        <v>0</v>
      </c>
      <c r="DG110" s="130">
        <f t="shared" si="168"/>
        <v>0</v>
      </c>
      <c r="DH110" s="130">
        <f t="shared" si="168"/>
        <v>0</v>
      </c>
      <c r="DI110" s="130">
        <f t="shared" si="168"/>
        <v>0</v>
      </c>
      <c r="DJ110" s="123">
        <f t="shared" si="168"/>
        <v>0</v>
      </c>
      <c r="DK110" s="130">
        <f t="shared" si="168"/>
        <v>0</v>
      </c>
      <c r="DL110" s="130">
        <f t="shared" si="168"/>
        <v>0</v>
      </c>
      <c r="DM110" s="130">
        <f t="shared" si="168"/>
        <v>0</v>
      </c>
      <c r="DN110" s="130">
        <f t="shared" ref="DN110:DV110" si="169">DN41/SUM(DN$14,DN$26,DN$41,DN$48)</f>
        <v>0</v>
      </c>
      <c r="DO110" s="123">
        <f t="shared" si="169"/>
        <v>0</v>
      </c>
      <c r="DP110" s="130">
        <f t="shared" si="169"/>
        <v>0</v>
      </c>
      <c r="DQ110" s="130">
        <f t="shared" si="169"/>
        <v>0</v>
      </c>
      <c r="DR110" s="130">
        <f t="shared" si="169"/>
        <v>0</v>
      </c>
      <c r="DS110" s="130">
        <f t="shared" si="169"/>
        <v>0</v>
      </c>
      <c r="DT110" s="123">
        <f t="shared" si="169"/>
        <v>0</v>
      </c>
      <c r="DU110" s="123">
        <f t="shared" si="169"/>
        <v>0</v>
      </c>
      <c r="DV110" s="123">
        <f t="shared" si="169"/>
        <v>0</v>
      </c>
    </row>
    <row r="111" spans="1:126" s="128" customFormat="1" hidden="1" outlineLevel="1">
      <c r="A111" s="92"/>
      <c r="B111" s="180" t="s">
        <v>569</v>
      </c>
      <c r="C111" s="123"/>
      <c r="D111" s="123"/>
      <c r="E111" s="123"/>
      <c r="F111" s="123"/>
      <c r="G111" s="123"/>
      <c r="H111" s="123"/>
      <c r="I111" s="123"/>
      <c r="J111" s="130"/>
      <c r="K111" s="130"/>
      <c r="L111" s="130"/>
      <c r="M111" s="130"/>
      <c r="N111" s="123"/>
      <c r="O111" s="130"/>
      <c r="P111" s="130"/>
      <c r="Q111" s="130"/>
      <c r="R111" s="130"/>
      <c r="S111" s="123"/>
      <c r="T111" s="130"/>
      <c r="U111" s="130"/>
      <c r="V111" s="130"/>
      <c r="W111" s="130"/>
      <c r="X111" s="123"/>
      <c r="Y111" s="130"/>
      <c r="Z111" s="130"/>
      <c r="AA111" s="130"/>
      <c r="AB111" s="130"/>
      <c r="AC111" s="123"/>
      <c r="AD111" s="130"/>
      <c r="AE111" s="130"/>
      <c r="AF111" s="130"/>
      <c r="AG111" s="130"/>
      <c r="AH111" s="123"/>
      <c r="AI111" s="130"/>
      <c r="AJ111" s="130"/>
      <c r="AK111" s="130"/>
      <c r="AL111" s="130"/>
      <c r="AM111" s="123"/>
      <c r="AN111" s="130"/>
      <c r="AO111" s="130"/>
      <c r="AP111" s="130"/>
      <c r="AQ111" s="130"/>
      <c r="AR111" s="123"/>
      <c r="AS111" s="130"/>
      <c r="AT111" s="130"/>
      <c r="AU111" s="130"/>
      <c r="AV111" s="130"/>
      <c r="AW111" s="123"/>
      <c r="AX111" s="130"/>
      <c r="AY111" s="130"/>
      <c r="AZ111" s="130"/>
      <c r="BA111" s="130"/>
      <c r="BB111" s="123">
        <f t="shared" ref="BB111:CG111" si="170">BB48/SUM(BB$14,BB$26,BB$41,BB$48)</f>
        <v>0.27025747627966329</v>
      </c>
      <c r="BC111" s="130">
        <f t="shared" si="170"/>
        <v>0.24861538461538463</v>
      </c>
      <c r="BD111" s="130">
        <f t="shared" si="170"/>
        <v>0.2518086520005906</v>
      </c>
      <c r="BE111" s="130">
        <f t="shared" si="170"/>
        <v>0.24930705266399752</v>
      </c>
      <c r="BF111" s="130">
        <f t="shared" si="170"/>
        <v>0.23208858011289621</v>
      </c>
      <c r="BG111" s="123">
        <f t="shared" si="170"/>
        <v>0.24531414005098215</v>
      </c>
      <c r="BH111" s="130">
        <f t="shared" si="170"/>
        <v>0.24089260369026969</v>
      </c>
      <c r="BI111" s="130">
        <f t="shared" si="170"/>
        <v>0.23150161181497864</v>
      </c>
      <c r="BJ111" s="130">
        <f t="shared" si="170"/>
        <v>0.22409935971611511</v>
      </c>
      <c r="BK111" s="130">
        <f t="shared" si="170"/>
        <v>0.23628274839347504</v>
      </c>
      <c r="BL111" s="123">
        <f t="shared" si="170"/>
        <v>0.23321102643710603</v>
      </c>
      <c r="BM111" s="130">
        <f t="shared" si="170"/>
        <v>0.22277426075807355</v>
      </c>
      <c r="BN111" s="130">
        <f t="shared" si="170"/>
        <v>0.23238860373428549</v>
      </c>
      <c r="BO111" s="130">
        <f t="shared" si="170"/>
        <v>0.24076112596320176</v>
      </c>
      <c r="BP111" s="130">
        <f t="shared" si="170"/>
        <v>0.24823053589484328</v>
      </c>
      <c r="BQ111" s="123">
        <f t="shared" si="170"/>
        <v>0.23631063521701026</v>
      </c>
      <c r="BR111" s="130">
        <f t="shared" si="170"/>
        <v>0.23348354082334072</v>
      </c>
      <c r="BS111" s="130">
        <f t="shared" si="170"/>
        <v>0.22181078922529587</v>
      </c>
      <c r="BT111" s="130">
        <f t="shared" si="170"/>
        <v>0.23367133909931403</v>
      </c>
      <c r="BU111" s="130">
        <f t="shared" si="170"/>
        <v>0.23543256543755794</v>
      </c>
      <c r="BV111" s="123">
        <f t="shared" si="170"/>
        <v>0.23107239544006336</v>
      </c>
      <c r="BW111" s="130">
        <f t="shared" si="170"/>
        <v>0.23216783216783216</v>
      </c>
      <c r="BX111" s="130">
        <f t="shared" si="170"/>
        <v>0.23623208766507445</v>
      </c>
      <c r="BY111" s="130">
        <f t="shared" si="170"/>
        <v>0.23216646948291461</v>
      </c>
      <c r="BZ111" s="130">
        <f t="shared" si="170"/>
        <v>0.24521123064812386</v>
      </c>
      <c r="CA111" s="123">
        <f t="shared" si="170"/>
        <v>0.2366368353240241</v>
      </c>
      <c r="CB111" s="130">
        <f t="shared" si="170"/>
        <v>0.20173198119908717</v>
      </c>
      <c r="CC111" s="130">
        <f t="shared" si="170"/>
        <v>0.20413714122110085</v>
      </c>
      <c r="CD111" s="130">
        <f t="shared" si="170"/>
        <v>0.20238044693528071</v>
      </c>
      <c r="CE111" s="130">
        <f t="shared" si="170"/>
        <v>0.20061422751488561</v>
      </c>
      <c r="CF111" s="123">
        <f t="shared" si="170"/>
        <v>0.20216717401625381</v>
      </c>
      <c r="CG111" s="130">
        <f t="shared" si="170"/>
        <v>0.19285361977311338</v>
      </c>
      <c r="CH111" s="130">
        <f t="shared" ref="CH111:DM111" si="171">CH48/SUM(CH$14,CH$26,CH$41,CH$48)</f>
        <v>0.19925619401812372</v>
      </c>
      <c r="CI111" s="130">
        <f t="shared" si="171"/>
        <v>0.19986613808371517</v>
      </c>
      <c r="CJ111" s="130">
        <f t="shared" si="171"/>
        <v>0.21329818977521384</v>
      </c>
      <c r="CK111" s="123">
        <f t="shared" si="171"/>
        <v>0.20156369928059426</v>
      </c>
      <c r="CL111" s="130">
        <f t="shared" si="171"/>
        <v>0.2106540525738097</v>
      </c>
      <c r="CM111" s="130">
        <f t="shared" si="171"/>
        <v>0.23523006783631439</v>
      </c>
      <c r="CN111" s="130">
        <f t="shared" si="171"/>
        <v>0.23248014945089787</v>
      </c>
      <c r="CO111" s="130">
        <f t="shared" si="171"/>
        <v>0.20883887903289816</v>
      </c>
      <c r="CP111" s="123">
        <f t="shared" si="171"/>
        <v>0.22071495360713514</v>
      </c>
      <c r="CQ111" s="130">
        <f t="shared" si="171"/>
        <v>0.22877696915660481</v>
      </c>
      <c r="CR111" s="130">
        <f t="shared" si="171"/>
        <v>0.23330640599358793</v>
      </c>
      <c r="CS111" s="130">
        <f t="shared" si="171"/>
        <v>0.22470003844498379</v>
      </c>
      <c r="CT111" s="130">
        <f t="shared" si="171"/>
        <v>0.20315211365164029</v>
      </c>
      <c r="CU111" s="123">
        <f t="shared" si="171"/>
        <v>0.22191913854415105</v>
      </c>
      <c r="CV111" s="130">
        <f t="shared" si="171"/>
        <v>0.20620907390084192</v>
      </c>
      <c r="CW111" s="130">
        <f t="shared" si="171"/>
        <v>0.2007447528774543</v>
      </c>
      <c r="CX111" s="130">
        <f t="shared" si="171"/>
        <v>0.19986957939354419</v>
      </c>
      <c r="CY111" s="130">
        <f t="shared" si="171"/>
        <v>0.20996568853382497</v>
      </c>
      <c r="CZ111" s="123">
        <f t="shared" si="171"/>
        <v>0.20428274942617206</v>
      </c>
      <c r="DA111" s="130">
        <f t="shared" si="171"/>
        <v>0.1975142580436888</v>
      </c>
      <c r="DB111" s="130">
        <f t="shared" si="171"/>
        <v>0.20263424518743667</v>
      </c>
      <c r="DC111" s="130">
        <f t="shared" si="171"/>
        <v>0</v>
      </c>
      <c r="DD111" s="130">
        <f t="shared" si="171"/>
        <v>0</v>
      </c>
      <c r="DE111" s="123">
        <f t="shared" si="171"/>
        <v>0.12905450874831764</v>
      </c>
      <c r="DF111" s="130">
        <f t="shared" si="171"/>
        <v>0</v>
      </c>
      <c r="DG111" s="130">
        <f t="shared" si="171"/>
        <v>0</v>
      </c>
      <c r="DH111" s="130">
        <f t="shared" si="171"/>
        <v>0</v>
      </c>
      <c r="DI111" s="130">
        <f t="shared" si="171"/>
        <v>0</v>
      </c>
      <c r="DJ111" s="123">
        <f t="shared" si="171"/>
        <v>0</v>
      </c>
      <c r="DK111" s="130">
        <f t="shared" si="171"/>
        <v>0</v>
      </c>
      <c r="DL111" s="130">
        <f t="shared" si="171"/>
        <v>0</v>
      </c>
      <c r="DM111" s="130">
        <f t="shared" si="171"/>
        <v>0</v>
      </c>
      <c r="DN111" s="130">
        <f t="shared" ref="DN111:DV111" si="172">DN48/SUM(DN$14,DN$26,DN$41,DN$48)</f>
        <v>0</v>
      </c>
      <c r="DO111" s="123">
        <f t="shared" si="172"/>
        <v>0</v>
      </c>
      <c r="DP111" s="130">
        <f t="shared" si="172"/>
        <v>0</v>
      </c>
      <c r="DQ111" s="130">
        <f t="shared" si="172"/>
        <v>0</v>
      </c>
      <c r="DR111" s="130">
        <f t="shared" si="172"/>
        <v>0</v>
      </c>
      <c r="DS111" s="130">
        <f t="shared" si="172"/>
        <v>0</v>
      </c>
      <c r="DT111" s="123">
        <f t="shared" si="172"/>
        <v>0</v>
      </c>
      <c r="DU111" s="123">
        <f t="shared" si="172"/>
        <v>0</v>
      </c>
      <c r="DV111" s="123">
        <f t="shared" si="172"/>
        <v>0</v>
      </c>
    </row>
    <row r="112" spans="1:126" s="128" customFormat="1" collapsed="1">
      <c r="A112" s="92"/>
      <c r="B112" s="41" t="s">
        <v>629</v>
      </c>
      <c r="C112" s="123"/>
      <c r="D112" s="123"/>
      <c r="E112" s="123"/>
      <c r="F112" s="123"/>
      <c r="G112" s="123"/>
      <c r="H112" s="123"/>
      <c r="I112" s="123"/>
      <c r="J112" s="130"/>
      <c r="K112" s="130"/>
      <c r="L112" s="130"/>
      <c r="M112" s="130"/>
      <c r="N112" s="123"/>
      <c r="O112" s="130"/>
      <c r="P112" s="130"/>
      <c r="Q112" s="130"/>
      <c r="R112" s="130"/>
      <c r="S112" s="123"/>
      <c r="T112" s="130"/>
      <c r="U112" s="130"/>
      <c r="V112" s="130"/>
      <c r="W112" s="130"/>
      <c r="X112" s="123"/>
      <c r="Y112" s="130"/>
      <c r="Z112" s="130"/>
      <c r="AA112" s="130"/>
      <c r="AB112" s="130"/>
      <c r="AC112" s="123"/>
      <c r="AD112" s="130"/>
      <c r="AE112" s="130"/>
      <c r="AF112" s="130"/>
      <c r="AG112" s="130"/>
      <c r="AH112" s="123"/>
      <c r="AI112" s="130"/>
      <c r="AJ112" s="130"/>
      <c r="AK112" s="130"/>
      <c r="AL112" s="130"/>
      <c r="AM112" s="123"/>
      <c r="AN112" s="130"/>
      <c r="AO112" s="130"/>
      <c r="AP112" s="130"/>
      <c r="AQ112" s="130"/>
      <c r="AR112" s="123"/>
      <c r="AS112" s="130"/>
      <c r="AT112" s="130"/>
      <c r="AU112" s="130"/>
      <c r="AV112" s="130"/>
      <c r="AW112" s="123"/>
      <c r="AX112" s="130"/>
      <c r="AY112" s="130"/>
      <c r="AZ112" s="130"/>
      <c r="BA112" s="130"/>
      <c r="BB112" s="123"/>
      <c r="BC112" s="130"/>
      <c r="BD112" s="130"/>
      <c r="BE112" s="130"/>
      <c r="BF112" s="130"/>
      <c r="BG112" s="123"/>
      <c r="BH112" s="130"/>
      <c r="BI112" s="130"/>
      <c r="BJ112" s="130"/>
      <c r="BK112" s="130"/>
      <c r="BL112" s="123"/>
      <c r="BM112" s="130"/>
      <c r="BN112" s="130"/>
      <c r="BO112" s="130"/>
      <c r="BP112" s="130"/>
      <c r="BQ112" s="123"/>
      <c r="BR112" s="130"/>
      <c r="BS112" s="130"/>
      <c r="BT112" s="130"/>
      <c r="BU112" s="130"/>
      <c r="BV112" s="123"/>
      <c r="BW112" s="130"/>
      <c r="BX112" s="130"/>
      <c r="BY112" s="130"/>
      <c r="BZ112" s="130"/>
      <c r="CA112" s="123"/>
      <c r="CB112" s="130"/>
      <c r="CC112" s="130"/>
      <c r="CD112" s="130"/>
      <c r="CE112" s="130"/>
      <c r="CF112" s="123"/>
      <c r="CG112" s="130"/>
      <c r="CH112" s="130"/>
      <c r="CI112" s="130"/>
      <c r="CJ112" s="130"/>
      <c r="CK112" s="123"/>
      <c r="CL112" s="130"/>
      <c r="CM112" s="130"/>
      <c r="CN112" s="130"/>
      <c r="CO112" s="130"/>
      <c r="CP112" s="123"/>
      <c r="CQ112" s="130"/>
      <c r="CR112" s="130"/>
      <c r="CS112" s="130"/>
      <c r="CT112" s="130"/>
      <c r="CU112" s="123"/>
      <c r="CV112" s="130">
        <f t="shared" ref="CV112:DL112" si="173">CV50/(SUM(CV14:CV26,CV50))</f>
        <v>0.37811254980079684</v>
      </c>
      <c r="CW112" s="130">
        <f t="shared" si="173"/>
        <v>0.36704769884493388</v>
      </c>
      <c r="CX112" s="130">
        <f t="shared" si="173"/>
        <v>0.36240376881535102</v>
      </c>
      <c r="CY112" s="130">
        <f t="shared" si="173"/>
        <v>0.35919974115616909</v>
      </c>
      <c r="CZ112" s="123">
        <f t="shared" si="173"/>
        <v>0.36634023543791744</v>
      </c>
      <c r="DA112" s="130">
        <f t="shared" si="173"/>
        <v>0.35695240256424804</v>
      </c>
      <c r="DB112" s="130">
        <f t="shared" si="173"/>
        <v>0.35704769517719159</v>
      </c>
      <c r="DC112" s="130">
        <f t="shared" si="173"/>
        <v>0.45952854302754897</v>
      </c>
      <c r="DD112" s="130">
        <f t="shared" si="173"/>
        <v>0.33497105608795058</v>
      </c>
      <c r="DE112" s="123">
        <f t="shared" si="173"/>
        <v>0.37095434516351555</v>
      </c>
      <c r="DF112" s="130">
        <f t="shared" si="173"/>
        <v>0.33651708105922784</v>
      </c>
      <c r="DG112" s="130">
        <f t="shared" si="173"/>
        <v>0.32288293592385436</v>
      </c>
      <c r="DH112" s="130">
        <f t="shared" si="173"/>
        <v>0.30805595754944526</v>
      </c>
      <c r="DI112" s="130">
        <f t="shared" si="173"/>
        <v>0.32147509320397072</v>
      </c>
      <c r="DJ112" s="123">
        <f t="shared" si="173"/>
        <v>0.32205427894616595</v>
      </c>
      <c r="DK112" s="130">
        <f t="shared" si="173"/>
        <v>0.3030158199111026</v>
      </c>
      <c r="DL112" s="130">
        <f t="shared" si="173"/>
        <v>0.31459512896557923</v>
      </c>
      <c r="DM112" s="130">
        <f>DM50/(SUM(DM14,DM26,DM50))</f>
        <v>0.30512365195547664</v>
      </c>
      <c r="DN112" s="130">
        <f>DN50/(SUM(DN14,DN26,DN50))</f>
        <v>0.31453412090809979</v>
      </c>
      <c r="DO112" s="123">
        <f t="shared" ref="DO112:DV112" si="174">DO50/(SUM(DO14,DO26,DO50))</f>
        <v>0.30943267547756836</v>
      </c>
      <c r="DP112" s="130">
        <f t="shared" si="174"/>
        <v>0.30818518368769166</v>
      </c>
      <c r="DQ112" s="130">
        <f t="shared" si="174"/>
        <v>0.31355647174259299</v>
      </c>
      <c r="DR112" s="130">
        <f t="shared" si="174"/>
        <v>0.30117677982121127</v>
      </c>
      <c r="DS112" s="130">
        <f t="shared" si="174"/>
        <v>0.309802819492973</v>
      </c>
      <c r="DT112" s="123">
        <f t="shared" si="174"/>
        <v>0.30811475464984223</v>
      </c>
      <c r="DU112" s="123">
        <f t="shared" si="174"/>
        <v>0.30456077208055166</v>
      </c>
      <c r="DV112" s="123">
        <f t="shared" si="174"/>
        <v>0.3023188052611499</v>
      </c>
    </row>
    <row r="113" spans="2:126" s="92" customFormat="1">
      <c r="B113" s="43" t="s">
        <v>235</v>
      </c>
      <c r="C113" s="136"/>
      <c r="D113" s="136"/>
      <c r="E113" s="136"/>
      <c r="F113" s="136"/>
      <c r="G113" s="136"/>
      <c r="H113" s="136"/>
      <c r="I113" s="136"/>
      <c r="J113" s="135"/>
      <c r="K113" s="135"/>
      <c r="L113" s="135"/>
      <c r="M113" s="135"/>
      <c r="N113" s="136"/>
      <c r="O113" s="135"/>
      <c r="P113" s="135"/>
      <c r="Q113" s="135"/>
      <c r="R113" s="135"/>
      <c r="S113" s="136"/>
      <c r="T113" s="135"/>
      <c r="U113" s="135"/>
      <c r="V113" s="135"/>
      <c r="W113" s="135"/>
      <c r="X113" s="136"/>
      <c r="Y113" s="135"/>
      <c r="Z113" s="135"/>
      <c r="AA113" s="135"/>
      <c r="AB113" s="135"/>
      <c r="AC113" s="136"/>
      <c r="AD113" s="135"/>
      <c r="AE113" s="135"/>
      <c r="AF113" s="135"/>
      <c r="AG113" s="135"/>
      <c r="AH113" s="136"/>
      <c r="AI113" s="135"/>
      <c r="AJ113" s="135"/>
      <c r="AK113" s="135"/>
      <c r="AL113" s="135"/>
      <c r="AM113" s="136"/>
      <c r="AN113" s="135"/>
      <c r="AO113" s="135"/>
      <c r="AP113" s="135"/>
      <c r="AQ113" s="135"/>
      <c r="AR113" s="136"/>
      <c r="AS113" s="135"/>
      <c r="AT113" s="135"/>
      <c r="AU113" s="135"/>
      <c r="AV113" s="135"/>
      <c r="AW113" s="136"/>
      <c r="AX113" s="135"/>
      <c r="AY113" s="135"/>
      <c r="AZ113" s="135"/>
      <c r="BA113" s="135"/>
      <c r="BB113" s="136">
        <f t="shared" ref="BB113:CU113" si="175">SUM(BB108:BB111)</f>
        <v>1</v>
      </c>
      <c r="BC113" s="135">
        <f t="shared" si="175"/>
        <v>1</v>
      </c>
      <c r="BD113" s="135">
        <f t="shared" si="175"/>
        <v>1</v>
      </c>
      <c r="BE113" s="135">
        <f t="shared" si="175"/>
        <v>1</v>
      </c>
      <c r="BF113" s="135">
        <f t="shared" si="175"/>
        <v>1</v>
      </c>
      <c r="BG113" s="136">
        <f t="shared" si="175"/>
        <v>1</v>
      </c>
      <c r="BH113" s="135">
        <f t="shared" si="175"/>
        <v>1</v>
      </c>
      <c r="BI113" s="135">
        <f t="shared" si="175"/>
        <v>1</v>
      </c>
      <c r="BJ113" s="135">
        <f t="shared" si="175"/>
        <v>1</v>
      </c>
      <c r="BK113" s="135">
        <f t="shared" si="175"/>
        <v>1</v>
      </c>
      <c r="BL113" s="136">
        <f t="shared" si="175"/>
        <v>1</v>
      </c>
      <c r="BM113" s="135">
        <f t="shared" si="175"/>
        <v>1</v>
      </c>
      <c r="BN113" s="135">
        <f t="shared" si="175"/>
        <v>1</v>
      </c>
      <c r="BO113" s="135">
        <f t="shared" si="175"/>
        <v>1</v>
      </c>
      <c r="BP113" s="135">
        <f t="shared" si="175"/>
        <v>1</v>
      </c>
      <c r="BQ113" s="136">
        <f t="shared" si="175"/>
        <v>1</v>
      </c>
      <c r="BR113" s="135">
        <f t="shared" si="175"/>
        <v>1</v>
      </c>
      <c r="BS113" s="135">
        <f t="shared" si="175"/>
        <v>0.99999999999999989</v>
      </c>
      <c r="BT113" s="135">
        <f t="shared" si="175"/>
        <v>0.99999999999999989</v>
      </c>
      <c r="BU113" s="135">
        <f t="shared" si="175"/>
        <v>1</v>
      </c>
      <c r="BV113" s="136">
        <f t="shared" si="175"/>
        <v>1</v>
      </c>
      <c r="BW113" s="135">
        <f t="shared" si="175"/>
        <v>1</v>
      </c>
      <c r="BX113" s="135">
        <f t="shared" si="175"/>
        <v>1</v>
      </c>
      <c r="BY113" s="135">
        <f t="shared" si="175"/>
        <v>1</v>
      </c>
      <c r="BZ113" s="135">
        <f t="shared" si="175"/>
        <v>1</v>
      </c>
      <c r="CA113" s="136">
        <f t="shared" si="175"/>
        <v>1</v>
      </c>
      <c r="CB113" s="135">
        <f t="shared" si="175"/>
        <v>1</v>
      </c>
      <c r="CC113" s="135">
        <f t="shared" si="175"/>
        <v>1</v>
      </c>
      <c r="CD113" s="135">
        <f t="shared" si="175"/>
        <v>1</v>
      </c>
      <c r="CE113" s="135">
        <f t="shared" si="175"/>
        <v>1</v>
      </c>
      <c r="CF113" s="136">
        <f t="shared" si="175"/>
        <v>1</v>
      </c>
      <c r="CG113" s="135">
        <f t="shared" si="175"/>
        <v>1</v>
      </c>
      <c r="CH113" s="135">
        <f t="shared" si="175"/>
        <v>1</v>
      </c>
      <c r="CI113" s="135">
        <f t="shared" si="175"/>
        <v>1</v>
      </c>
      <c r="CJ113" s="135">
        <f t="shared" si="175"/>
        <v>1</v>
      </c>
      <c r="CK113" s="136">
        <f t="shared" si="175"/>
        <v>1</v>
      </c>
      <c r="CL113" s="135">
        <f t="shared" si="175"/>
        <v>0.99999999999999978</v>
      </c>
      <c r="CM113" s="135">
        <f t="shared" si="175"/>
        <v>0.99999999999999989</v>
      </c>
      <c r="CN113" s="135">
        <f t="shared" si="175"/>
        <v>1</v>
      </c>
      <c r="CO113" s="135">
        <f t="shared" si="175"/>
        <v>1</v>
      </c>
      <c r="CP113" s="136">
        <f t="shared" si="175"/>
        <v>1</v>
      </c>
      <c r="CQ113" s="135">
        <f t="shared" si="175"/>
        <v>1</v>
      </c>
      <c r="CR113" s="135">
        <f t="shared" si="175"/>
        <v>0.99999999999999978</v>
      </c>
      <c r="CS113" s="135">
        <f t="shared" si="175"/>
        <v>0.99999999999999989</v>
      </c>
      <c r="CT113" s="135">
        <f t="shared" si="175"/>
        <v>1.0000000000000002</v>
      </c>
      <c r="CU113" s="136">
        <f t="shared" si="175"/>
        <v>1</v>
      </c>
      <c r="CV113" s="135">
        <f t="shared" ref="CV113:CZ113" si="176">SUM(CV108,CV109,CV112)</f>
        <v>1.000933764940239</v>
      </c>
      <c r="CW113" s="135">
        <f t="shared" si="176"/>
        <v>1.0011969597223054</v>
      </c>
      <c r="CX113" s="135">
        <f t="shared" si="176"/>
        <v>1</v>
      </c>
      <c r="CY113" s="135">
        <f t="shared" si="176"/>
        <v>1</v>
      </c>
      <c r="CZ113" s="136">
        <f t="shared" si="176"/>
        <v>1.0005092909215256</v>
      </c>
      <c r="DA113" s="135">
        <f>SUM(DA108,DA109,DA112)</f>
        <v>1.0008509672661259</v>
      </c>
      <c r="DB113" s="135">
        <f t="shared" ref="DB113:DJ113" si="177">SUM(DB108,DB109,DB112)</f>
        <v>1.0010658140154542</v>
      </c>
      <c r="DC113" s="135">
        <f t="shared" si="177"/>
        <v>0.99595285430275482</v>
      </c>
      <c r="DD113" s="135">
        <f t="shared" si="177"/>
        <v>0.99455173420246146</v>
      </c>
      <c r="DE113" s="136">
        <f t="shared" si="177"/>
        <v>0.99811355285571501</v>
      </c>
      <c r="DF113" s="135">
        <f>SUM(DF108,DF109,DF112)</f>
        <v>1</v>
      </c>
      <c r="DG113" s="135">
        <f t="shared" si="177"/>
        <v>1</v>
      </c>
      <c r="DH113" s="135">
        <f t="shared" si="177"/>
        <v>0.9985528219971056</v>
      </c>
      <c r="DI113" s="135">
        <f t="shared" si="177"/>
        <v>1</v>
      </c>
      <c r="DJ113" s="136">
        <f t="shared" si="177"/>
        <v>0.99963926265286251</v>
      </c>
      <c r="DK113" s="135">
        <f>SUM(DK108,DK109,DK112)</f>
        <v>1</v>
      </c>
      <c r="DL113" s="135">
        <f t="shared" ref="DL113:DO113" si="178">SUM(DL108,DL109,DL112)</f>
        <v>1</v>
      </c>
      <c r="DM113" s="135">
        <f t="shared" si="178"/>
        <v>1</v>
      </c>
      <c r="DN113" s="135">
        <f t="shared" si="178"/>
        <v>1</v>
      </c>
      <c r="DO113" s="136">
        <f t="shared" si="178"/>
        <v>1</v>
      </c>
      <c r="DP113" s="135">
        <f>SUM(DP108,DP109,DP112)</f>
        <v>1</v>
      </c>
      <c r="DQ113" s="135">
        <f t="shared" ref="DQ113:DT113" si="179">SUM(DQ108,DQ109,DQ112)</f>
        <v>1</v>
      </c>
      <c r="DR113" s="135">
        <f t="shared" si="179"/>
        <v>1</v>
      </c>
      <c r="DS113" s="135">
        <f t="shared" si="179"/>
        <v>1</v>
      </c>
      <c r="DT113" s="136">
        <f t="shared" si="179"/>
        <v>1</v>
      </c>
      <c r="DU113" s="136">
        <f t="shared" ref="DU113" si="180">SUM(DU108,DU109,DU112)</f>
        <v>1</v>
      </c>
      <c r="DV113" s="136">
        <f t="shared" ref="DV113" si="181">SUM(DV108,DV109,DV112)</f>
        <v>0.99999999999999978</v>
      </c>
    </row>
    <row r="114" spans="2:126" s="92" customFormat="1" hidden="1" outlineLevel="1">
      <c r="C114" s="91"/>
      <c r="D114" s="91"/>
      <c r="E114" s="91"/>
      <c r="F114" s="91"/>
      <c r="G114" s="91"/>
      <c r="H114" s="91"/>
      <c r="I114" s="91"/>
      <c r="N114" s="91"/>
      <c r="S114" s="91"/>
      <c r="X114" s="91"/>
      <c r="AC114" s="91"/>
      <c r="AH114" s="91"/>
      <c r="AM114" s="91"/>
      <c r="AR114" s="91"/>
      <c r="AW114" s="91"/>
      <c r="BB114" s="91"/>
      <c r="BG114" s="91"/>
      <c r="BL114" s="91"/>
      <c r="BQ114" s="91"/>
      <c r="BV114" s="91"/>
      <c r="CA114" s="91"/>
      <c r="CF114" s="91"/>
      <c r="CK114" s="91"/>
      <c r="CP114" s="91"/>
      <c r="CU114" s="91"/>
      <c r="CZ114" s="91"/>
      <c r="DE114" s="91"/>
      <c r="DJ114" s="91"/>
      <c r="DO114" s="91"/>
      <c r="DT114" s="91"/>
      <c r="DU114" s="91"/>
      <c r="DV114" s="91"/>
    </row>
    <row r="115" spans="2:126" s="92" customFormat="1" hidden="1" outlineLevel="1">
      <c r="B115" s="54" t="s">
        <v>79</v>
      </c>
      <c r="C115" s="91"/>
      <c r="D115" s="91"/>
      <c r="E115" s="91"/>
      <c r="F115" s="91"/>
      <c r="G115" s="91"/>
      <c r="H115" s="91"/>
      <c r="I115" s="91"/>
      <c r="N115" s="91"/>
      <c r="S115" s="91"/>
      <c r="X115" s="91"/>
      <c r="AC115" s="91"/>
      <c r="AH115" s="91"/>
      <c r="AM115" s="91"/>
      <c r="AR115" s="91"/>
      <c r="AW115" s="91"/>
      <c r="BB115" s="91"/>
      <c r="BG115" s="91"/>
      <c r="BL115" s="91"/>
      <c r="BQ115" s="91"/>
      <c r="BV115" s="91"/>
      <c r="CA115" s="91"/>
      <c r="CF115" s="91"/>
      <c r="CK115" s="91"/>
      <c r="CP115" s="91"/>
      <c r="CU115" s="91"/>
      <c r="CZ115" s="91"/>
      <c r="DE115" s="91"/>
      <c r="DJ115" s="91"/>
      <c r="DO115" s="91"/>
      <c r="DT115" s="91"/>
      <c r="DU115" s="91"/>
      <c r="DV115" s="91"/>
    </row>
    <row r="116" spans="2:126" s="92" customFormat="1" hidden="1" outlineLevel="1">
      <c r="B116" s="115" t="str">
        <f>+B14</f>
        <v>Pratt &amp; Whitney</v>
      </c>
      <c r="C116" s="123"/>
      <c r="D116" s="123"/>
      <c r="E116" s="123"/>
      <c r="F116" s="123"/>
      <c r="G116" s="123"/>
      <c r="H116" s="123"/>
      <c r="I116" s="123"/>
      <c r="J116" s="130"/>
      <c r="K116" s="130">
        <f>K14/J14-1</f>
        <v>7.2717895822588918E-2</v>
      </c>
      <c r="L116" s="130">
        <f>L14/K14-1</f>
        <v>9.6153846153845812E-3</v>
      </c>
      <c r="M116" s="130">
        <f>M14/L14-1</f>
        <v>2.9523809523809508E-2</v>
      </c>
      <c r="N116" s="123"/>
      <c r="O116" s="130">
        <f>O14/M14-1</f>
        <v>-6.8917668825161926E-2</v>
      </c>
      <c r="P116" s="130">
        <f>P14/O14-1</f>
        <v>0.12916045702930945</v>
      </c>
      <c r="Q116" s="130">
        <f>Q14/P14-1</f>
        <v>6.2032556093268854E-2</v>
      </c>
      <c r="R116" s="130">
        <f>R14/Q14-1</f>
        <v>7.4979287489643776E-2</v>
      </c>
      <c r="S116" s="123"/>
      <c r="T116" s="130">
        <f>T14/R14-1</f>
        <v>-1.0404624277456698E-2</v>
      </c>
      <c r="U116" s="130">
        <f>U14/T14-1</f>
        <v>6.191588785046731E-2</v>
      </c>
      <c r="V116" s="130">
        <f>V14/U14-1</f>
        <v>1.6134946828016083E-2</v>
      </c>
      <c r="W116" s="130">
        <f>W14/V14-1</f>
        <v>9.9242150848069199E-2</v>
      </c>
      <c r="X116" s="123"/>
      <c r="Y116" s="130">
        <f>Y14/W14-1</f>
        <v>-9.1595535128036754E-2</v>
      </c>
      <c r="Z116" s="130">
        <f>Z14/Y14-1</f>
        <v>0.12323816407661736</v>
      </c>
      <c r="AA116" s="130">
        <f>AA14/Z14-1</f>
        <v>-2.316602316602312E-2</v>
      </c>
      <c r="AB116" s="130">
        <f>AB14/AA14-1</f>
        <v>0.37516469038208178</v>
      </c>
      <c r="AC116" s="123"/>
      <c r="AD116" s="130">
        <f>AD14/AB14-1</f>
        <v>-0.17029940119760478</v>
      </c>
      <c r="AE116" s="130">
        <f>AE14/AD14-1</f>
        <v>3.0311778290992963E-2</v>
      </c>
      <c r="AF116" s="130">
        <f>AF14/AE14-1</f>
        <v>-4.1468198374894905E-2</v>
      </c>
      <c r="AG116" s="130">
        <f>AG14/AF14-1</f>
        <v>-7.6001169248757217E-3</v>
      </c>
      <c r="AH116" s="123"/>
      <c r="AI116" s="130">
        <f>AI14/AG14-1</f>
        <v>-6.3328424153166418E-2</v>
      </c>
      <c r="AJ116" s="130">
        <f>AJ14/AI14-1</f>
        <v>-2.1698113207547221E-2</v>
      </c>
      <c r="AK116" s="130">
        <f>AK14/AJ14-1</f>
        <v>-2.5715204114432622E-2</v>
      </c>
      <c r="AL116" s="130">
        <f>AL14/AK14-1</f>
        <v>1.2867040580666345E-2</v>
      </c>
      <c r="AM116" s="123"/>
      <c r="AN116" s="130">
        <f>AN14/AL14-1</f>
        <v>-7.4592833876221509E-2</v>
      </c>
      <c r="AO116" s="130">
        <f>AO14/AN14-1</f>
        <v>0.15417106652587109</v>
      </c>
      <c r="AP116" s="130">
        <f>AP14/AO14-1</f>
        <v>-1.494358035986576E-2</v>
      </c>
      <c r="AQ116" s="130">
        <f>AQ14/AP14-1</f>
        <v>0.10990712074303399</v>
      </c>
      <c r="AR116" s="123"/>
      <c r="AS116" s="130">
        <f>AS14/AQ14-1</f>
        <v>-0.19860529986052999</v>
      </c>
      <c r="AT116" s="130">
        <f>AT14/AR14-1</f>
        <v>-0.74673366834170851</v>
      </c>
      <c r="AU116" s="130">
        <f>AU14/AT14-1</f>
        <v>-5.9523809523809534E-2</v>
      </c>
      <c r="AV116" s="130">
        <f>AV14/AU14-1</f>
        <v>0.12982797792924372</v>
      </c>
      <c r="AW116" s="123"/>
      <c r="AX116" s="130">
        <f>AX14/AV14-1</f>
        <v>-0.12324044814708413</v>
      </c>
      <c r="AY116" s="130">
        <f>AY14/AX14-1</f>
        <v>0.12942332896461339</v>
      </c>
      <c r="AZ116" s="130">
        <f>AZ14/AY14-1</f>
        <v>3.684363214389319E-2</v>
      </c>
      <c r="BA116" s="130">
        <f>BA14/AZ14-1</f>
        <v>8.8696138780078426E-2</v>
      </c>
      <c r="BB116" s="123"/>
      <c r="BC116" s="130">
        <f>BC14/BA14-1</f>
        <v>-0.12567463377023902</v>
      </c>
      <c r="BD116" s="130">
        <f>BD14/BC14-1</f>
        <v>6.525573192239853E-2</v>
      </c>
      <c r="BE116" s="130">
        <f>BE14/BD14-1</f>
        <v>-6.5673289183222905E-2</v>
      </c>
      <c r="BF116" s="130">
        <f>BF14/BE14-1</f>
        <v>0.20761961015948027</v>
      </c>
      <c r="BG116" s="123"/>
      <c r="BH116" s="130">
        <f>BH14/BF14-1</f>
        <v>-0.18586451455123498</v>
      </c>
      <c r="BI116" s="130">
        <f>BI14/BH14-1</f>
        <v>7.9002703514568839E-2</v>
      </c>
      <c r="BJ116" s="130">
        <f>BJ14/BI14-1</f>
        <v>-7.7951002227171218E-3</v>
      </c>
      <c r="BK116" s="130">
        <f>BK14/BJ14-1</f>
        <v>0.1287878787878789</v>
      </c>
      <c r="BL116" s="123"/>
      <c r="BM116" s="130">
        <f>BM14/BK14-1</f>
        <v>-0.17176236639323883</v>
      </c>
      <c r="BN116" s="130">
        <f>BN14/BM14-1</f>
        <v>0.10354141656662663</v>
      </c>
      <c r="BO116" s="130">
        <f>BO14/BN14-1</f>
        <v>-0.12047865107424527</v>
      </c>
      <c r="BP116" s="130">
        <f>BP14/BO14-1</f>
        <v>0.18707482993197289</v>
      </c>
      <c r="BQ116" s="123"/>
      <c r="BR116" s="130">
        <f>BR14/BP14-1</f>
        <v>-6.5381609794217255E-2</v>
      </c>
      <c r="BS116" s="130">
        <f>BS14/BR14-1</f>
        <v>6.2709030100334351E-2</v>
      </c>
      <c r="BT116" s="130">
        <f>BT14/BS14-1</f>
        <v>-8.1825334382376047E-2</v>
      </c>
      <c r="BU116" s="130">
        <f>BU14/BT14-1</f>
        <v>0.14024564410168527</v>
      </c>
      <c r="BV116" s="123"/>
      <c r="BW116" s="130">
        <f>BW14/BU14-1</f>
        <v>-5.8617234468937851E-2</v>
      </c>
      <c r="BX116" s="130">
        <f>BX14/BW14-1</f>
        <v>8.3022884513038742E-2</v>
      </c>
      <c r="BY116" s="130">
        <f>BY14/BX14-1</f>
        <v>4.5700245700245778E-2</v>
      </c>
      <c r="BZ116" s="130">
        <f>BZ14/BY14-1</f>
        <v>4.8167293233082775E-2</v>
      </c>
      <c r="CA116" s="123"/>
      <c r="CB116" s="130">
        <f>CB14/BZ14-1</f>
        <v>-2.9589778076664408E-2</v>
      </c>
      <c r="CC116" s="130">
        <f>CC14/CB14-1</f>
        <v>9.4017094017094127E-2</v>
      </c>
      <c r="CD116" s="130">
        <f>CD14/CC14-1</f>
        <v>1.1190878378378288E-2</v>
      </c>
      <c r="CE116" s="130">
        <f>CE14/CD14-1</f>
        <v>0.15744414282731256</v>
      </c>
      <c r="CF116" s="123"/>
      <c r="CG116" s="130">
        <f>CG14/CE14-1</f>
        <v>-0.13079559805159657</v>
      </c>
      <c r="CH116" s="130">
        <f>CH14/CG14-1</f>
        <v>6.9738480697384864E-2</v>
      </c>
      <c r="CI116" s="130">
        <f>CI14/CH14-1</f>
        <v>2.5417151726814025E-2</v>
      </c>
      <c r="CJ116" s="130">
        <f>CJ14/CI14-1</f>
        <v>6.8117313150425796E-2</v>
      </c>
      <c r="CK116" s="123"/>
      <c r="CL116" s="130">
        <f>CL14/CJ14-1</f>
        <v>-5.1727192205491601E-2</v>
      </c>
      <c r="CM116" s="130">
        <f>CM14/CL14-1</f>
        <v>-0.34858957593872597</v>
      </c>
      <c r="CN116" s="130">
        <f>CN14/CM14-1</f>
        <v>2.0074562661314133E-3</v>
      </c>
      <c r="CO116" s="130">
        <f>CO14/CN14-1</f>
        <v>0.39954207212364046</v>
      </c>
      <c r="CP116" s="123"/>
      <c r="CQ116" s="130">
        <f>CQ14/CO14-1</f>
        <v>-0.17586912065439675</v>
      </c>
      <c r="CR116" s="130">
        <f>CR14/CQ14-1</f>
        <v>6.2034739454094323E-2</v>
      </c>
      <c r="CS116" s="130">
        <f>CS14/CR14-1</f>
        <v>0.10397196261682251</v>
      </c>
      <c r="CT116" s="130">
        <f>CT14/CS14-1</f>
        <v>8.2539682539682468E-2</v>
      </c>
      <c r="CU116" s="123"/>
      <c r="CV116" s="130">
        <f>CV14/CT14-1</f>
        <v>-0.11456500488758559</v>
      </c>
      <c r="CW116" s="130">
        <f>CW14/CV14-1</f>
        <v>9.715168911459493E-2</v>
      </c>
      <c r="CX116" s="130">
        <f>CX14/CW14-1</f>
        <v>8.2712819480780908E-2</v>
      </c>
      <c r="CY116" s="130">
        <f>CY14/CX14-1</f>
        <v>5.0557620817843762E-2</v>
      </c>
      <c r="CZ116" s="123"/>
      <c r="DA116" s="130">
        <f>DA14/CY14-1</f>
        <v>-7.4663835810332646E-2</v>
      </c>
      <c r="DB116" s="130">
        <f>DB14/DA14-1</f>
        <v>9.0057361376673084E-2</v>
      </c>
      <c r="DC116" s="130">
        <f>DC14/DB14-1</f>
        <v>-0.83757235572706545</v>
      </c>
      <c r="DD116" s="130">
        <f>DD14/DC14-1</f>
        <v>5.953563714902808</v>
      </c>
      <c r="DE116" s="123"/>
      <c r="DF116" s="130">
        <f>DF14/DD14-1</f>
        <v>2.6401615157634062E-3</v>
      </c>
      <c r="DG116" s="130">
        <f>DG14/DF14-1</f>
        <v>5.3593556381660523E-2</v>
      </c>
      <c r="DH116" s="130">
        <f>DH14/DG14-1</f>
        <v>6.4245810055865826E-2</v>
      </c>
      <c r="DI116" s="130">
        <f>DI14/DH14-1</f>
        <v>4.5586406962287551E-2</v>
      </c>
      <c r="DJ116" s="123"/>
      <c r="DK116" s="130">
        <f>DK14/DI14-1</f>
        <v>-2.6819923371647514E-2</v>
      </c>
      <c r="DL116" s="130">
        <f>DL14/DK14-1</f>
        <v>3.5976106434971511E-2</v>
      </c>
      <c r="DM116" s="130">
        <f>DM14/DL14-1</f>
        <v>0.10378718385532704</v>
      </c>
      <c r="DN116" s="130">
        <f>DN14/DM14-1</f>
        <v>1.0937314496022754E-2</v>
      </c>
      <c r="DO116" s="123"/>
      <c r="DP116" s="130">
        <f>DP14/DN14-1</f>
        <v>-5.2771392081736979E-2</v>
      </c>
      <c r="DQ116" s="130">
        <f>DQ14/DP14-1</f>
        <v>3.3137815732410258E-2</v>
      </c>
      <c r="DR116" s="130">
        <f>DR14/DQ14-1</f>
        <v>0.10277638973091707</v>
      </c>
      <c r="DS116" s="130">
        <f>DS14/DR14-1</f>
        <v>1.3717160457056954E-2</v>
      </c>
      <c r="DT116" s="123"/>
      <c r="DU116" s="123"/>
      <c r="DV116" s="123"/>
    </row>
    <row r="117" spans="2:126" s="92" customFormat="1" hidden="1" outlineLevel="1">
      <c r="B117" s="3" t="str">
        <f>+B26</f>
        <v>Collins Aerospace</v>
      </c>
      <c r="C117" s="123"/>
      <c r="D117" s="123"/>
      <c r="E117" s="123"/>
      <c r="F117" s="123"/>
      <c r="G117" s="123"/>
      <c r="H117" s="123"/>
      <c r="I117" s="123"/>
      <c r="J117" s="130"/>
      <c r="K117" s="130">
        <f>K26/J26-1</f>
        <v>9.7192224622029144E-3</v>
      </c>
      <c r="L117" s="130">
        <f>L26/K26-1</f>
        <v>4.8128342245989275E-2</v>
      </c>
      <c r="M117" s="130">
        <f>M26/L26-1</f>
        <v>0.1020408163265305</v>
      </c>
      <c r="N117" s="123"/>
      <c r="O117" s="130">
        <f>O26/M26-1</f>
        <v>-4.8148148148148162E-2</v>
      </c>
      <c r="P117" s="130"/>
      <c r="Q117" s="130"/>
      <c r="R117" s="130"/>
      <c r="S117" s="123"/>
      <c r="T117" s="130"/>
      <c r="U117" s="130"/>
      <c r="V117" s="130"/>
      <c r="W117" s="130"/>
      <c r="X117" s="123"/>
      <c r="Y117" s="130"/>
      <c r="Z117" s="130"/>
      <c r="AA117" s="130"/>
      <c r="AB117" s="130"/>
      <c r="AC117" s="123"/>
      <c r="AD117" s="130"/>
      <c r="AE117" s="130"/>
      <c r="AF117" s="130"/>
      <c r="AG117" s="130"/>
      <c r="AH117" s="123"/>
      <c r="AI117" s="130"/>
      <c r="AJ117" s="130"/>
      <c r="AK117" s="130"/>
      <c r="AL117" s="130"/>
      <c r="AM117" s="123"/>
      <c r="AN117" s="130"/>
      <c r="AO117" s="130"/>
      <c r="AP117" s="130"/>
      <c r="AQ117" s="130"/>
      <c r="AR117" s="123"/>
      <c r="AS117" s="130"/>
      <c r="AT117" s="130"/>
      <c r="AU117" s="130"/>
      <c r="AV117" s="130"/>
      <c r="AW117" s="123"/>
      <c r="AX117" s="130">
        <f>AX26/AV26-1</f>
        <v>-2.2151898734177222E-2</v>
      </c>
      <c r="AY117" s="130">
        <f>AY26/AX26-1</f>
        <v>1.4563106796116498E-2</v>
      </c>
      <c r="AZ117" s="130">
        <f>AZ26/AY26-1</f>
        <v>1.1291866028708135</v>
      </c>
      <c r="BA117" s="130">
        <f>BA26/AZ26-1</f>
        <v>0.18876404494382015</v>
      </c>
      <c r="BB117" s="123"/>
      <c r="BC117" s="130">
        <f>BC26/BA26-1</f>
        <v>2.8040327662255837E-2</v>
      </c>
      <c r="BD117" s="130">
        <f>BD26/BC26-1</f>
        <v>1.7775053631627236E-2</v>
      </c>
      <c r="BE117" s="130">
        <f>BE26/BD26-1</f>
        <v>-2.7100271002710175E-3</v>
      </c>
      <c r="BF117" s="130">
        <f>BF26/BE26-1</f>
        <v>4.1968599033816334E-2</v>
      </c>
      <c r="BG117" s="123"/>
      <c r="BH117" s="130">
        <f>BH26/BF26-1</f>
        <v>-2.8977108084615733E-4</v>
      </c>
      <c r="BI117" s="130">
        <f>BI26/BH26-1</f>
        <v>5.3913043478260869E-2</v>
      </c>
      <c r="BJ117" s="130">
        <f>BJ26/BI26-1</f>
        <v>-2.777777777777779E-2</v>
      </c>
      <c r="BK117" s="130">
        <f>BK26/BJ26-1</f>
        <v>1.66902404526168E-2</v>
      </c>
      <c r="BL117" s="123"/>
      <c r="BM117" s="130">
        <f>BM26/BK26-1</f>
        <v>-1.2799109627156358E-2</v>
      </c>
      <c r="BN117" s="130">
        <f>BN26/BM26-1</f>
        <v>2.3675310033821839E-2</v>
      </c>
      <c r="BO117" s="130">
        <f>BO26/BN26-1</f>
        <v>-4.8182819383259967E-2</v>
      </c>
      <c r="BP117" s="130">
        <f>BP26/BO26-1</f>
        <v>0</v>
      </c>
      <c r="BQ117" s="123"/>
      <c r="BR117" s="130">
        <f>BR26/BP26-1</f>
        <v>1.3884871275672506E-2</v>
      </c>
      <c r="BS117" s="130">
        <f>BS26/BR26-1</f>
        <v>6.0199714693295325E-2</v>
      </c>
      <c r="BT117" s="130">
        <f>BT26/BS26-1</f>
        <v>-1.8837459634015064E-2</v>
      </c>
      <c r="BU117" s="130">
        <f>BU26/BT26-1</f>
        <v>-1.3165112452002248E-2</v>
      </c>
      <c r="BV117" s="123"/>
      <c r="BW117" s="130">
        <f>BW26/BU26-1</f>
        <v>3.6131183991106042E-3</v>
      </c>
      <c r="BX117" s="130">
        <f>BX26/BW26-1</f>
        <v>8.031016338964303E-3</v>
      </c>
      <c r="BY117" s="130">
        <f>BY26/BX26-1</f>
        <v>-8.2417582417582125E-4</v>
      </c>
      <c r="BZ117" s="130">
        <f>BZ26/BY26-1</f>
        <v>4.5642012647786556E-2</v>
      </c>
      <c r="CA117" s="123"/>
      <c r="CB117" s="130">
        <f>CB26/BZ26-1</f>
        <v>0.50558769392584813</v>
      </c>
      <c r="CC117" s="130">
        <f>CC26/CB26-1</f>
        <v>2.5324193337117329E-2</v>
      </c>
      <c r="CD117" s="130">
        <f>CD26/CC26-1</f>
        <v>-1.19235191415068E-3</v>
      </c>
      <c r="CE117" s="130">
        <f>CE26/CD26-1</f>
        <v>0.16115966744830534</v>
      </c>
      <c r="CF117" s="123"/>
      <c r="CG117" s="130">
        <f>CG26/CE26-1</f>
        <v>-4.343675417661097E-2</v>
      </c>
      <c r="CH117" s="130">
        <f>CH26/CG26-1</f>
        <v>9.6729617687700831E-3</v>
      </c>
      <c r="CI117" s="130">
        <f>CI26/CH26-1</f>
        <v>-1.2317518248175174E-2</v>
      </c>
      <c r="CJ117" s="130">
        <f>CJ26/CI26-1</f>
        <v>-7.8521939953810627E-3</v>
      </c>
      <c r="CK117" s="123"/>
      <c r="CL117" s="130">
        <f>CL26/CJ26-1</f>
        <v>-0.22579535273969253</v>
      </c>
      <c r="CM117" s="130">
        <f>CM26/CL26-1</f>
        <v>-1.7396692441772332E-3</v>
      </c>
      <c r="CN117" s="130">
        <f>CN26/CM26-1</f>
        <v>2.3794570901749523E-3</v>
      </c>
      <c r="CO117" s="130">
        <f>CO26/CN26-1</f>
        <v>0.40772800287228894</v>
      </c>
      <c r="CP117" s="123"/>
      <c r="CQ117" s="130">
        <f>CQ26/CO26-1</f>
        <v>-0.2897322466550224</v>
      </c>
      <c r="CR117" s="130">
        <f>CR26/CQ26-1</f>
        <v>3.821821529918612E-3</v>
      </c>
      <c r="CS117" s="130">
        <f>CS26/CR26-1</f>
        <v>-2.4287762129672208E-3</v>
      </c>
      <c r="CT117" s="130">
        <f>CT26/CS26-1</f>
        <v>0.23072410885135941</v>
      </c>
      <c r="CU117" s="123"/>
      <c r="CV117" s="130">
        <f>CV26/CT26-1</f>
        <v>-0.10982772874192859</v>
      </c>
      <c r="CW117" s="130">
        <f>CW26/CV26-1</f>
        <v>2.7574872169466857E-2</v>
      </c>
      <c r="CX117" s="130">
        <f>CX26/CW26-1</f>
        <v>1.6172027723476035E-2</v>
      </c>
      <c r="CY117" s="130">
        <f>CY26/CX26-1</f>
        <v>8.9716684155298987E-2</v>
      </c>
      <c r="CZ117" s="123"/>
      <c r="DA117" s="130">
        <f>DA26/CY26-1</f>
        <v>-1.7814155031295131E-2</v>
      </c>
      <c r="DB117" s="130">
        <f>DB26/DA26-1</f>
        <v>4.3137254901960853E-2</v>
      </c>
      <c r="DC117" s="130">
        <f>DC26/DB26-1</f>
        <v>3.8377192982456121E-2</v>
      </c>
      <c r="DD117" s="130">
        <f>DD26/DC26-1</f>
        <v>7.4068486951274659E-2</v>
      </c>
      <c r="DE117" s="123"/>
      <c r="DF117" s="130">
        <f>DF26/DD26-1</f>
        <v>-6.2780898876404478E-2</v>
      </c>
      <c r="DG117" s="130">
        <f>DG26/DF26-1</f>
        <v>4.885358909036408E-2</v>
      </c>
      <c r="DH117" s="130">
        <f>DH26/DG26-1</f>
        <v>1.0858694099157074E-2</v>
      </c>
      <c r="DI117" s="130">
        <f>DI26/DH26-1</f>
        <v>6.530035335689055E-2</v>
      </c>
      <c r="DJ117" s="123"/>
      <c r="DK117" s="130">
        <f>DK26/DI26-1</f>
        <v>-4.2457211091946445E-2</v>
      </c>
      <c r="DL117" s="130">
        <f>DL26/DK26-1</f>
        <v>5.6117500346404281E-2</v>
      </c>
      <c r="DM117" s="130">
        <f>DM26/DL26-1</f>
        <v>-1.3119916032533485E-4</v>
      </c>
      <c r="DN117" s="130">
        <f>DN26/DM26-1</f>
        <v>-2.1585356252460275E-2</v>
      </c>
      <c r="DO117" s="123"/>
      <c r="DP117" s="130">
        <f>DP26/DN26-1</f>
        <v>-3.9425746509956783E-2</v>
      </c>
      <c r="DQ117" s="130">
        <f>DQ26/DP26-1</f>
        <v>7.0578511473615491E-2</v>
      </c>
      <c r="DR117" s="130">
        <f>DR26/DQ26-1</f>
        <v>4.2086374092988432E-2</v>
      </c>
      <c r="DS117" s="130">
        <f>DS26/DR26-1</f>
        <v>-8.072151585080789E-3</v>
      </c>
      <c r="DT117" s="123"/>
      <c r="DU117" s="123"/>
      <c r="DV117" s="123"/>
    </row>
    <row r="118" spans="2:126" s="92" customFormat="1" hidden="1" outlineLevel="1">
      <c r="B118" s="180" t="s">
        <v>570</v>
      </c>
      <c r="C118" s="123"/>
      <c r="D118" s="123"/>
      <c r="E118" s="123"/>
      <c r="F118" s="123"/>
      <c r="G118" s="123"/>
      <c r="H118" s="123"/>
      <c r="I118" s="123"/>
      <c r="J118" s="130"/>
      <c r="K118" s="130"/>
      <c r="L118" s="130"/>
      <c r="M118" s="130"/>
      <c r="N118" s="123"/>
      <c r="O118" s="130"/>
      <c r="P118" s="130"/>
      <c r="Q118" s="130"/>
      <c r="R118" s="130"/>
      <c r="S118" s="123"/>
      <c r="T118" s="130"/>
      <c r="U118" s="130"/>
      <c r="V118" s="130"/>
      <c r="W118" s="130"/>
      <c r="X118" s="123"/>
      <c r="Y118" s="130"/>
      <c r="Z118" s="130"/>
      <c r="AA118" s="130"/>
      <c r="AB118" s="130"/>
      <c r="AC118" s="123"/>
      <c r="AD118" s="130"/>
      <c r="AE118" s="130"/>
      <c r="AF118" s="130"/>
      <c r="AG118" s="130"/>
      <c r="AH118" s="123"/>
      <c r="AI118" s="130"/>
      <c r="AJ118" s="130"/>
      <c r="AK118" s="130"/>
      <c r="AL118" s="130"/>
      <c r="AM118" s="123"/>
      <c r="AN118" s="130"/>
      <c r="AO118" s="130"/>
      <c r="AP118" s="130"/>
      <c r="AQ118" s="130"/>
      <c r="AR118" s="123"/>
      <c r="AS118" s="130"/>
      <c r="AT118" s="130"/>
      <c r="AU118" s="130"/>
      <c r="AV118" s="130"/>
      <c r="AW118" s="123"/>
      <c r="AX118" s="130"/>
      <c r="AY118" s="130"/>
      <c r="AZ118" s="130"/>
      <c r="BA118" s="130"/>
      <c r="BB118" s="123"/>
      <c r="BC118" s="130"/>
      <c r="BD118" s="130">
        <f>BD41/BC41-1</f>
        <v>2.8037383177569986E-2</v>
      </c>
      <c r="BE118" s="130">
        <f>BE41/BD41-1</f>
        <v>-4.3260188087774321E-2</v>
      </c>
      <c r="BF118" s="130">
        <f>BF41/BE41-1</f>
        <v>6.2254259501965947E-3</v>
      </c>
      <c r="BG118" s="123"/>
      <c r="BH118" s="130">
        <f>BH41/BF41-1</f>
        <v>-7.2614783458156973E-2</v>
      </c>
      <c r="BI118" s="130">
        <f>BI41/BH41-1</f>
        <v>6.1446629213483206E-2</v>
      </c>
      <c r="BJ118" s="130">
        <f>BJ41/BI41-1</f>
        <v>-2.1171022163413822E-2</v>
      </c>
      <c r="BK118" s="130">
        <f>BK41/BJ41-1</f>
        <v>8.0770530584656886E-2</v>
      </c>
      <c r="BL118" s="123"/>
      <c r="BM118" s="130">
        <f>BM41/BK41-1</f>
        <v>-0.1185115697310819</v>
      </c>
      <c r="BN118" s="130">
        <f>BN41/BM41-1</f>
        <v>6.7754522880454138E-2</v>
      </c>
      <c r="BO118" s="130">
        <f>BO41/BN41-1</f>
        <v>-1.4950166112956853E-2</v>
      </c>
      <c r="BP118" s="130">
        <f>BP41/BO41-1</f>
        <v>4.9915682967959452E-2</v>
      </c>
      <c r="BQ118" s="123"/>
      <c r="BR118" s="130">
        <f>BR41/BP41-1</f>
        <v>-5.4609701252810838E-2</v>
      </c>
      <c r="BS118" s="130">
        <f>BS41/BR41-1</f>
        <v>8.358817533129459E-2</v>
      </c>
      <c r="BT118" s="130">
        <f>BT41/BS41-1</f>
        <v>-1.8187519598620305E-2</v>
      </c>
      <c r="BU118" s="130">
        <f>BU41/BT41-1</f>
        <v>-3.1938677738740928E-4</v>
      </c>
      <c r="BV118" s="123"/>
      <c r="BW118" s="130">
        <f>BW41/BU41-1</f>
        <v>-2.1725239616613434E-2</v>
      </c>
      <c r="BX118" s="130">
        <f>BX41/BW41-1</f>
        <v>3.2984977139124849E-2</v>
      </c>
      <c r="BY118" s="130">
        <f>BY41/BX41-1</f>
        <v>-7.2715776161871304E-3</v>
      </c>
      <c r="BZ118" s="130">
        <f>BZ41/BY41-1</f>
        <v>3.2484076433121123E-2</v>
      </c>
      <c r="CA118" s="123"/>
      <c r="CB118" s="130">
        <f>CB41/BZ41-1</f>
        <v>-2.8377544725478154E-2</v>
      </c>
      <c r="CC118" s="130">
        <f>CC41/CB41-1</f>
        <v>4.5079365079365052E-2</v>
      </c>
      <c r="CD118" s="130">
        <f>CD41/CC41-1</f>
        <v>4.4046172539489614E-2</v>
      </c>
      <c r="CE118" s="130">
        <f>CE41/CD41-1</f>
        <v>4.4806517311609007E-2</v>
      </c>
      <c r="CF118" s="123"/>
      <c r="CG118" s="130">
        <f>CG41/CE41-1</f>
        <v>-5.4023948760790863E-2</v>
      </c>
      <c r="CH118" s="130">
        <f>CH41/CG41-1</f>
        <v>4.7100382690609344E-2</v>
      </c>
      <c r="CI118" s="130">
        <f>CI41/CH41-1</f>
        <v>5.7351700871520972E-2</v>
      </c>
      <c r="CJ118" s="130">
        <f>CJ41/CI41-1</f>
        <v>-8.2424886998139213E-3</v>
      </c>
      <c r="CK118" s="123"/>
      <c r="CL118" s="130">
        <f>CL41/CJ41-1</f>
        <v>-1.4477211796246614E-2</v>
      </c>
      <c r="CM118" s="130">
        <f>CM41/CL41-1</f>
        <v>-2.040261153427636E-2</v>
      </c>
      <c r="CN118" s="130">
        <f>CN41/CM41-1</f>
        <v>4.1099694529297404E-2</v>
      </c>
      <c r="CO118" s="130">
        <f>CO41/CN41-1</f>
        <v>4.9079754601226933E-2</v>
      </c>
      <c r="CP118" s="123"/>
      <c r="CQ118" s="130">
        <f>CQ41/CO41-1</f>
        <v>-4.2715484363081591E-2</v>
      </c>
      <c r="CR118" s="130">
        <f>CR41/CQ41-1</f>
        <v>1.0624169986719778E-2</v>
      </c>
      <c r="CS118" s="130">
        <f>CS41/CR41-1</f>
        <v>-1.708278580814715E-2</v>
      </c>
      <c r="CT118" s="130">
        <f>CT41/CS41-1</f>
        <v>3.475935828876997E-2</v>
      </c>
      <c r="CU118" s="123"/>
      <c r="CV118" s="130">
        <f>CV41/CT41-1</f>
        <v>-7.7002583979328132E-2</v>
      </c>
      <c r="CW118" s="130">
        <f>CW41/CV41-1</f>
        <v>-5.5991041433367528E-4</v>
      </c>
      <c r="CX118" s="130">
        <f>CX41/CW41-1</f>
        <v>1.5686274509803866E-2</v>
      </c>
      <c r="CY118" s="130">
        <f>CY41/CX41-1</f>
        <v>-2.2614451185879791E-2</v>
      </c>
      <c r="CZ118" s="123"/>
      <c r="DA118" s="130">
        <f>DA41/CY41-1</f>
        <v>5.9255079006772515E-3</v>
      </c>
      <c r="DB118" s="130">
        <f>DB41/DA41-1</f>
        <v>2.5245441795231471E-2</v>
      </c>
      <c r="DC118" s="130">
        <f>DC41/DB41-1</f>
        <v>-1</v>
      </c>
      <c r="DD118" s="130"/>
      <c r="DE118" s="123"/>
      <c r="DF118" s="130"/>
      <c r="DG118" s="130"/>
      <c r="DH118" s="130"/>
      <c r="DI118" s="130"/>
      <c r="DJ118" s="123"/>
      <c r="DK118" s="130"/>
      <c r="DL118" s="130"/>
      <c r="DM118" s="130"/>
      <c r="DN118" s="130"/>
      <c r="DO118" s="123"/>
      <c r="DP118" s="130"/>
      <c r="DQ118" s="130"/>
      <c r="DR118" s="130"/>
      <c r="DS118" s="130"/>
      <c r="DT118" s="123"/>
      <c r="DU118" s="123"/>
      <c r="DV118" s="123"/>
    </row>
    <row r="119" spans="2:126" s="92" customFormat="1" hidden="1" outlineLevel="1">
      <c r="B119" s="180" t="s">
        <v>569</v>
      </c>
      <c r="C119" s="123"/>
      <c r="D119" s="123"/>
      <c r="E119" s="123"/>
      <c r="F119" s="123"/>
      <c r="G119" s="123"/>
      <c r="H119" s="123"/>
      <c r="I119" s="123"/>
      <c r="J119" s="130"/>
      <c r="K119" s="130"/>
      <c r="L119" s="130"/>
      <c r="M119" s="130"/>
      <c r="N119" s="123"/>
      <c r="O119" s="130"/>
      <c r="P119" s="130"/>
      <c r="Q119" s="130"/>
      <c r="R119" s="130"/>
      <c r="S119" s="123"/>
      <c r="T119" s="130"/>
      <c r="U119" s="130"/>
      <c r="V119" s="130"/>
      <c r="W119" s="130"/>
      <c r="X119" s="123"/>
      <c r="Y119" s="130"/>
      <c r="Z119" s="130"/>
      <c r="AA119" s="130"/>
      <c r="AB119" s="130"/>
      <c r="AC119" s="123"/>
      <c r="AD119" s="130"/>
      <c r="AE119" s="130"/>
      <c r="AF119" s="130"/>
      <c r="AG119" s="130"/>
      <c r="AH119" s="123"/>
      <c r="AI119" s="130"/>
      <c r="AJ119" s="130"/>
      <c r="AK119" s="130"/>
      <c r="AL119" s="130"/>
      <c r="AM119" s="123"/>
      <c r="AN119" s="130"/>
      <c r="AO119" s="130"/>
      <c r="AP119" s="130"/>
      <c r="AQ119" s="130"/>
      <c r="AR119" s="123"/>
      <c r="AS119" s="130"/>
      <c r="AT119" s="130"/>
      <c r="AU119" s="130"/>
      <c r="AV119" s="130"/>
      <c r="AW119" s="123"/>
      <c r="AX119" s="130"/>
      <c r="AY119" s="130"/>
      <c r="AZ119" s="130"/>
      <c r="BA119" s="130"/>
      <c r="BB119" s="123"/>
      <c r="BC119" s="130"/>
      <c r="BD119" s="130">
        <f>BD48/BC48-1</f>
        <v>5.5383663366336711E-2</v>
      </c>
      <c r="BE119" s="130">
        <f>BE48/BD48-1</f>
        <v>-5.0718264438581073E-2</v>
      </c>
      <c r="BF119" s="130">
        <f>BF48/BE48-1</f>
        <v>-9.5738109944409899E-3</v>
      </c>
      <c r="BG119" s="123"/>
      <c r="BH119" s="130">
        <f>BH48/BF48-1</f>
        <v>-4.7396320548799498E-2</v>
      </c>
      <c r="BI119" s="130">
        <f>BI48/BH48-1</f>
        <v>1.0801963993453345E-2</v>
      </c>
      <c r="BJ119" s="130">
        <f>BJ48/BI48-1</f>
        <v>-5.9261658031088071E-2</v>
      </c>
      <c r="BK119" s="130">
        <f>BK48/BJ48-1</f>
        <v>0.15180722891566267</v>
      </c>
      <c r="BL119" s="123"/>
      <c r="BM119" s="130">
        <f>BM48/BK48-1</f>
        <v>-0.169157202630006</v>
      </c>
      <c r="BN119" s="130">
        <f>BN48/BM48-1</f>
        <v>0.12374100719424463</v>
      </c>
      <c r="BO119" s="130">
        <f>BO48/BN48-1</f>
        <v>-1.984635083226638E-2</v>
      </c>
      <c r="BP119" s="130">
        <f>BP48/BO48-1</f>
        <v>0.12246897452645333</v>
      </c>
      <c r="BQ119" s="123"/>
      <c r="BR119" s="130">
        <f>BR48/BP48-1</f>
        <v>-0.11056153622345066</v>
      </c>
      <c r="BS119" s="130">
        <f>BS48/BR48-1</f>
        <v>-6.5423617926074762E-4</v>
      </c>
      <c r="BT119" s="130">
        <f>BT48/BS48-1</f>
        <v>2.5859247135842978E-2</v>
      </c>
      <c r="BU119" s="130">
        <f>BU48/BT48-1</f>
        <v>5.3286534779834138E-2</v>
      </c>
      <c r="BV119" s="123"/>
      <c r="BW119" s="130">
        <f>BW48/BU48-1</f>
        <v>-4.4531960012117566E-2</v>
      </c>
      <c r="BX119" s="130">
        <f>BX48/BW48-1</f>
        <v>6.6265060240963791E-2</v>
      </c>
      <c r="BY119" s="130">
        <f>BY48/BX48-1</f>
        <v>-8.0285459411240101E-3</v>
      </c>
      <c r="BZ119" s="130">
        <f>BZ48/BY48-1</f>
        <v>0.12050359712230208</v>
      </c>
      <c r="CA119" s="123"/>
      <c r="CB119" s="130">
        <f>CB48/BZ48-1</f>
        <v>-0.10727661851257353</v>
      </c>
      <c r="CC119" s="130">
        <f>CC48/CB48-1</f>
        <v>6.8324842673059605E-2</v>
      </c>
      <c r="CD119" s="130">
        <f>CD48/CC48-1</f>
        <v>2.8050490883591017E-3</v>
      </c>
      <c r="CE119" s="130">
        <f>CE48/CD48-1</f>
        <v>0.11916083916083919</v>
      </c>
      <c r="CF119" s="123"/>
      <c r="CG119" s="130">
        <f>CG48/CE48-1</f>
        <v>-0.12046988252936763</v>
      </c>
      <c r="CH119" s="130">
        <f>CH48/CG48-1</f>
        <v>8.0988917306052954E-2</v>
      </c>
      <c r="CI119" s="130">
        <f>CI48/CH48-1</f>
        <v>2.0504731861198833E-2</v>
      </c>
      <c r="CJ119" s="130">
        <f>CJ48/CI48-1</f>
        <v>0.10484286450283364</v>
      </c>
      <c r="CK119" s="123"/>
      <c r="CL119" s="130"/>
      <c r="CM119" s="130"/>
      <c r="CN119" s="130"/>
      <c r="CO119" s="130"/>
      <c r="CP119" s="123"/>
      <c r="CQ119" s="130"/>
      <c r="CR119" s="130"/>
      <c r="CS119" s="130"/>
      <c r="CT119" s="130"/>
      <c r="CU119" s="123"/>
      <c r="CV119" s="130"/>
      <c r="CW119" s="130"/>
      <c r="CX119" s="130"/>
      <c r="CY119" s="130"/>
      <c r="CZ119" s="123"/>
      <c r="DA119" s="130"/>
      <c r="DB119" s="130"/>
      <c r="DC119" s="130"/>
      <c r="DD119" s="130"/>
      <c r="DE119" s="123"/>
      <c r="DF119" s="130"/>
      <c r="DG119" s="130"/>
      <c r="DH119" s="130"/>
      <c r="DI119" s="130"/>
      <c r="DJ119" s="123"/>
      <c r="DK119" s="130"/>
      <c r="DL119" s="130"/>
      <c r="DM119" s="130"/>
      <c r="DN119" s="130"/>
      <c r="DO119" s="123"/>
      <c r="DP119" s="130"/>
      <c r="DQ119" s="130"/>
      <c r="DR119" s="130"/>
      <c r="DS119" s="130"/>
      <c r="DT119" s="123"/>
      <c r="DU119" s="123"/>
      <c r="DV119" s="123"/>
    </row>
    <row r="120" spans="2:126" s="92" customFormat="1" hidden="1" outlineLevel="1">
      <c r="B120" s="41" t="s">
        <v>629</v>
      </c>
      <c r="C120" s="123"/>
      <c r="D120" s="123"/>
      <c r="E120" s="123"/>
      <c r="F120" s="123"/>
      <c r="G120" s="123"/>
      <c r="H120" s="123"/>
      <c r="I120" s="123"/>
      <c r="J120" s="130"/>
      <c r="K120" s="130"/>
      <c r="L120" s="130"/>
      <c r="M120" s="130"/>
      <c r="N120" s="123"/>
      <c r="O120" s="130"/>
      <c r="P120" s="130"/>
      <c r="Q120" s="130"/>
      <c r="R120" s="130"/>
      <c r="S120" s="123"/>
      <c r="T120" s="130"/>
      <c r="U120" s="130"/>
      <c r="V120" s="130"/>
      <c r="W120" s="130"/>
      <c r="X120" s="123"/>
      <c r="Y120" s="130"/>
      <c r="Z120" s="130"/>
      <c r="AA120" s="130"/>
      <c r="AB120" s="130"/>
      <c r="AC120" s="123"/>
      <c r="AD120" s="130"/>
      <c r="AE120" s="130"/>
      <c r="AF120" s="130"/>
      <c r="AG120" s="130"/>
      <c r="AH120" s="123"/>
      <c r="AI120" s="130"/>
      <c r="AJ120" s="130"/>
      <c r="AK120" s="130"/>
      <c r="AL120" s="130"/>
      <c r="AM120" s="123"/>
      <c r="AN120" s="130"/>
      <c r="AO120" s="130"/>
      <c r="AP120" s="130"/>
      <c r="AQ120" s="130"/>
      <c r="AR120" s="123"/>
      <c r="AS120" s="130"/>
      <c r="AT120" s="130"/>
      <c r="AU120" s="130"/>
      <c r="AV120" s="130"/>
      <c r="AW120" s="123"/>
      <c r="AX120" s="130"/>
      <c r="AY120" s="130"/>
      <c r="AZ120" s="130"/>
      <c r="BA120" s="130"/>
      <c r="BB120" s="123"/>
      <c r="BC120" s="130"/>
      <c r="BD120" s="130"/>
      <c r="BE120" s="130"/>
      <c r="BF120" s="130"/>
      <c r="BG120" s="123"/>
      <c r="BH120" s="130"/>
      <c r="BI120" s="130"/>
      <c r="BJ120" s="130"/>
      <c r="BK120" s="130"/>
      <c r="BL120" s="123"/>
      <c r="BM120" s="130"/>
      <c r="BN120" s="130"/>
      <c r="BO120" s="130"/>
      <c r="BP120" s="130"/>
      <c r="BQ120" s="123"/>
      <c r="BR120" s="130"/>
      <c r="BS120" s="130"/>
      <c r="BT120" s="130"/>
      <c r="BU120" s="130"/>
      <c r="BV120" s="123"/>
      <c r="BW120" s="130"/>
      <c r="BX120" s="130"/>
      <c r="BY120" s="130"/>
      <c r="BZ120" s="130"/>
      <c r="CA120" s="123"/>
      <c r="CB120" s="130"/>
      <c r="CC120" s="130"/>
      <c r="CD120" s="130"/>
      <c r="CE120" s="130"/>
      <c r="CF120" s="123"/>
      <c r="CG120" s="130"/>
      <c r="CH120" s="130"/>
      <c r="CI120" s="130"/>
      <c r="CJ120" s="130"/>
      <c r="CK120" s="123"/>
      <c r="CL120" s="130"/>
      <c r="CM120" s="130"/>
      <c r="CN120" s="130"/>
      <c r="CO120" s="130"/>
      <c r="CP120" s="123"/>
      <c r="CQ120" s="130"/>
      <c r="CR120" s="130"/>
      <c r="CS120" s="130"/>
      <c r="CT120" s="130"/>
      <c r="CU120" s="123"/>
      <c r="CV120" s="130"/>
      <c r="CW120" s="130"/>
      <c r="CX120" s="130"/>
      <c r="CY120" s="130"/>
      <c r="CZ120" s="123"/>
      <c r="DA120" s="130"/>
      <c r="DB120" s="130"/>
      <c r="DC120" s="130"/>
      <c r="DD120" s="130"/>
      <c r="DE120" s="123"/>
      <c r="DF120" s="130">
        <f>DF50/DD50-1</f>
        <v>-3.2965437118791741E-2</v>
      </c>
      <c r="DG120" s="130">
        <f>+DG50/DF50-1</f>
        <v>-1.1713470491064748E-2</v>
      </c>
      <c r="DH120" s="130">
        <f t="shared" ref="DH120:DI120" si="182">+DH50/DG50-1</f>
        <v>-2.9630755204376191E-2</v>
      </c>
      <c r="DI120" s="130">
        <f t="shared" si="182"/>
        <v>0.12073285311619175</v>
      </c>
      <c r="DJ120" s="123"/>
      <c r="DK120" s="130">
        <f>DK50/DI50-1</f>
        <v>-0.11415397512924408</v>
      </c>
      <c r="DL120" s="130">
        <f>+DL50/DK50-1</f>
        <v>0.10425867507886433</v>
      </c>
      <c r="DM120" s="130">
        <f t="shared" ref="DM120:DN120" si="183">+DM50/DL50-1</f>
        <v>6.2848164547921748E-3</v>
      </c>
      <c r="DN120" s="130">
        <f t="shared" si="183"/>
        <v>4.0279347054648751E-2</v>
      </c>
      <c r="DO120" s="123"/>
      <c r="DP120" s="130">
        <f>DP50/DN50-1</f>
        <v>-7.4360110730753104E-2</v>
      </c>
      <c r="DQ120" s="130">
        <f>+DQ50/DP50-1</f>
        <v>7.7426221291901243E-2</v>
      </c>
      <c r="DR120" s="130">
        <f t="shared" ref="DR120" si="184">+DR50/DQ50-1</f>
        <v>1.3031936871634509E-2</v>
      </c>
      <c r="DS120" s="130">
        <f t="shared" ref="DS120" si="185">+DS50/DR50-1</f>
        <v>4.5228344899818307E-2</v>
      </c>
      <c r="DT120" s="123"/>
      <c r="DU120" s="123"/>
      <c r="DV120" s="123"/>
    </row>
    <row r="121" spans="2:126" s="92" customFormat="1" hidden="1" outlineLevel="1">
      <c r="B121" s="43" t="s">
        <v>67</v>
      </c>
      <c r="C121" s="136"/>
      <c r="D121" s="136"/>
      <c r="E121" s="136"/>
      <c r="F121" s="136"/>
      <c r="G121" s="136"/>
      <c r="H121" s="136"/>
      <c r="I121" s="136"/>
      <c r="J121" s="135"/>
      <c r="K121" s="135">
        <f>K62/J62-1</f>
        <v>3.6624822052543138E-2</v>
      </c>
      <c r="L121" s="135">
        <f>L62/K62-1</f>
        <v>-1.622971285892616E-3</v>
      </c>
      <c r="M121" s="135">
        <f>M62/L62-1</f>
        <v>0.12717268975865959</v>
      </c>
      <c r="N121" s="136"/>
      <c r="O121" s="135">
        <f>IF(ISERROR(O62/M62-1),"",(O62/M62-1))</f>
        <v>-0.11748391391169288</v>
      </c>
      <c r="P121" s="135">
        <f>P62/O62-1</f>
        <v>0.11464487743557505</v>
      </c>
      <c r="Q121" s="135">
        <f>Q62/P62-1</f>
        <v>-1.1728882372843086E-2</v>
      </c>
      <c r="R121" s="135">
        <f>R62/Q62-1</f>
        <v>0.12917950473582107</v>
      </c>
      <c r="S121" s="136"/>
      <c r="T121" s="135">
        <f>IF(ISERROR(T62/R62-1),"",(T62/R62-1))</f>
        <v>-0.10146538655886816</v>
      </c>
      <c r="U121" s="135">
        <f>U62/T62-1</f>
        <v>9.7851760206950855E-2</v>
      </c>
      <c r="V121" s="135">
        <f>V62/U62-1</f>
        <v>-8.8105726872246271E-3</v>
      </c>
      <c r="W121" s="135">
        <f>W62/V62-1</f>
        <v>-0.16847545219638238</v>
      </c>
      <c r="X121" s="136"/>
      <c r="Y121" s="135">
        <f>IF(ISERROR(Y62/W62-1),"",(Y62/W62-1))</f>
        <v>0.13064014916096944</v>
      </c>
      <c r="Z121" s="135">
        <f>Z62/Y62-1</f>
        <v>8.4322779243623636E-2</v>
      </c>
      <c r="AA121" s="135">
        <f>AA62/Z62-1</f>
        <v>-9.8347358815775721E-3</v>
      </c>
      <c r="AB121" s="135">
        <f>AB62/AA62-1</f>
        <v>0.14888388285889831</v>
      </c>
      <c r="AC121" s="136"/>
      <c r="AD121" s="135">
        <f>IF(ISERROR(AD62/AB62-1),"",(AD62/AB62-1))</f>
        <v>-8.8680926916220981E-2</v>
      </c>
      <c r="AE121" s="135">
        <f>AE62/AD62-1</f>
        <v>7.6674816625916797E-2</v>
      </c>
      <c r="AF121" s="135">
        <f>AF62/AE62-1</f>
        <v>-2.5797075120356117E-2</v>
      </c>
      <c r="AG121" s="135">
        <f>AG62/AF62-1</f>
        <v>1.0815850815850903E-2</v>
      </c>
      <c r="AH121" s="136"/>
      <c r="AI121" s="135">
        <f>IF(ISERROR(AI62/AG62-1),"",(AI62/AG62-1))</f>
        <v>-4.4276358269532357E-2</v>
      </c>
      <c r="AJ121" s="135">
        <f>AJ62/AI62-1</f>
        <v>1.8241482482385774E-2</v>
      </c>
      <c r="AK121" s="135">
        <f>AK62/AJ62-1</f>
        <v>2.8436018957345155E-3</v>
      </c>
      <c r="AL121" s="135">
        <f>AL62/AK62-1</f>
        <v>3.657844990548198E-2</v>
      </c>
      <c r="AM121" s="136"/>
      <c r="AN121" s="135">
        <f>IF(ISERROR(AN62/AL62-1),"",(AN62/AL62-1))</f>
        <v>-7.6593416613476739E-2</v>
      </c>
      <c r="AO121" s="135">
        <f>AO62/AN62-1</f>
        <v>4.0485829959514108E-2</v>
      </c>
      <c r="AP121" s="135">
        <f>AP62/AO62-1</f>
        <v>2.9135427541045811E-2</v>
      </c>
      <c r="AQ121" s="135">
        <f>AQ62/AP62-1</f>
        <v>9.3876798229435732E-2</v>
      </c>
      <c r="AR121" s="136"/>
      <c r="AS121" s="135">
        <f>IF(ISERROR(AS62/AQ62-1),"",(AS62/AQ62-1))</f>
        <v>-0.15798347664812007</v>
      </c>
      <c r="AT121" s="135">
        <f>IF(ISERROR(AT62/AR62-1),"",(AT62/AR62-1))</f>
        <v>-0.75621397279225278</v>
      </c>
      <c r="AU121" s="135">
        <f>AU62/AT62-1</f>
        <v>-2.5158422396670765E-2</v>
      </c>
      <c r="AV121" s="135">
        <f>AV62/AU62-1</f>
        <v>7.5676724556126951E-2</v>
      </c>
      <c r="AW121" s="136"/>
      <c r="AX121" s="135">
        <f>IF(ISERROR(AX62/AV62-1),"",(AX62/AV62-1))</f>
        <v>-8.6948678632632781E-2</v>
      </c>
      <c r="AY121" s="135">
        <f>AY62/AX62-1</f>
        <v>4.2477526424972822E-2</v>
      </c>
      <c r="AZ121" s="135">
        <f>AZ62/AY62-1</f>
        <v>0.14725670425471438</v>
      </c>
      <c r="BA121" s="135">
        <f>BA62/AZ62-1</f>
        <v>0.1001073758982407</v>
      </c>
      <c r="BB121" s="136"/>
      <c r="BC121" s="135">
        <f>BC62/BB62-1</f>
        <v>-0.7319909061383566</v>
      </c>
      <c r="BD121" s="135">
        <f>BD62/BC62-1</f>
        <v>4.0071093876232089E-2</v>
      </c>
      <c r="BE121" s="135">
        <f>BE62/BD62-1</f>
        <v>-4.1634301693335374E-2</v>
      </c>
      <c r="BF121" s="135">
        <f>BF62/BE62-1</f>
        <v>6.9541254660398844E-2</v>
      </c>
      <c r="BG121" s="136"/>
      <c r="BH121" s="135">
        <f>BH62/BF62-1</f>
        <v>-8.4116398908760215E-2</v>
      </c>
      <c r="BI121" s="135">
        <f>BI62/BH62-1</f>
        <v>5.196094654972705E-2</v>
      </c>
      <c r="BJ121" s="135">
        <f>BJ62/BI62-1</f>
        <v>-2.9023124115148624E-2</v>
      </c>
      <c r="BK121" s="135">
        <f>BK62/BJ62-1</f>
        <v>9.5585257189145345E-2</v>
      </c>
      <c r="BL121" s="136"/>
      <c r="BM121" s="135">
        <f>BM62/BK62-1</f>
        <v>-0.11534195933456559</v>
      </c>
      <c r="BN121" s="135">
        <f>BN62/BM62-1</f>
        <v>8.1320518178019219E-2</v>
      </c>
      <c r="BO121" s="135">
        <f>BO62/BN62-1</f>
        <v>-5.3253980522491862E-2</v>
      </c>
      <c r="BP121" s="135">
        <f>BP62/BO62-1</f>
        <v>9.4946526247040586E-2</v>
      </c>
      <c r="BQ121" s="136"/>
      <c r="BR121" s="135">
        <f>BR62/BP62-1</f>
        <v>-5.4801670146137793E-2</v>
      </c>
      <c r="BS121" s="135">
        <f>BS62/BR62-1</f>
        <v>5.3324919144908112E-2</v>
      </c>
      <c r="BT121" s="135">
        <f>BT62/BS62-1</f>
        <v>-2.9880925634688804E-2</v>
      </c>
      <c r="BU121" s="135">
        <f>BU62/BT62-1</f>
        <v>4.8710822911841811E-2</v>
      </c>
      <c r="BV121" s="136"/>
      <c r="BW121" s="135">
        <f>BW62/BU62-1</f>
        <v>-3.430253956569751E-2</v>
      </c>
      <c r="BX121" s="135">
        <f>BX62/BW62-1</f>
        <v>4.5658967909139481E-2</v>
      </c>
      <c r="BY121" s="135">
        <f>BY62/BX62-1</f>
        <v>1.2319580113719253E-2</v>
      </c>
      <c r="BZ121" s="135">
        <f>BZ62/BY62-1</f>
        <v>5.8039893425505973E-2</v>
      </c>
      <c r="CA121" s="136"/>
      <c r="CB121" s="135">
        <f>CB62/BZ62-1</f>
        <v>8.5942285442047295E-2</v>
      </c>
      <c r="CC121" s="135">
        <f>CC62/CB62-1</f>
        <v>5.3585697945881527E-2</v>
      </c>
      <c r="CD121" s="135">
        <f>CD62/CC62-1</f>
        <v>1.5585265380783087E-2</v>
      </c>
      <c r="CE121" s="135">
        <f>CE62/CD62-1</f>
        <v>0.13237469066201979</v>
      </c>
      <c r="CF121" s="136"/>
      <c r="CG121" s="135">
        <f>CG62/CE62-1</f>
        <v>-8.8489738914536265E-2</v>
      </c>
      <c r="CH121" s="135">
        <f>CH62/CG62-1</f>
        <v>4.5057314720235997E-2</v>
      </c>
      <c r="CI121" s="135">
        <f>CI62/CH62-1</f>
        <v>1.8245004344048743E-2</v>
      </c>
      <c r="CJ121" s="135">
        <f>CJ62/CI62-1</f>
        <v>3.7062713310580309E-2</v>
      </c>
      <c r="CK121" s="136"/>
      <c r="CL121" s="135">
        <f>CL62/CJ62-1</f>
        <v>-0.10568663547076651</v>
      </c>
      <c r="CM121" s="135">
        <f>CM62/CL62-1</f>
        <v>-0.11408560583339933</v>
      </c>
      <c r="CN121" s="135">
        <f>CN62/CM62-1</f>
        <v>1.0923982292338374E-2</v>
      </c>
      <c r="CO121" s="135">
        <f>CO62/CN62-1</f>
        <v>0.30649696838958684</v>
      </c>
      <c r="CP121" s="136"/>
      <c r="CQ121" s="135">
        <f>CQ62/CO62-1</f>
        <v>-0.20079116101158523</v>
      </c>
      <c r="CR121" s="135">
        <f>CR62/CQ62-1</f>
        <v>3.1547909058243118E-2</v>
      </c>
      <c r="CS121" s="135">
        <f>CS62/CR62-1</f>
        <v>1.6520850743226179E-2</v>
      </c>
      <c r="CT121" s="135">
        <f>CT62/CS62-1</f>
        <v>7.9002567604556262E-2</v>
      </c>
      <c r="CU121" s="136"/>
      <c r="CV121" s="135">
        <f>CV62/CT62-1</f>
        <v>-0.14593176366503724</v>
      </c>
      <c r="CW121" s="135">
        <f>CW62/CV62-1</f>
        <v>3.8050394502417983E-2</v>
      </c>
      <c r="CX121" s="135">
        <f>CX62/CW62-1</f>
        <v>3.9046217972293684E-2</v>
      </c>
      <c r="CY121" s="135">
        <f>CY62/CX62-1</f>
        <v>6.7370656598430667E-2</v>
      </c>
      <c r="CZ121" s="136"/>
      <c r="DA121" s="135">
        <f>DA62/CY62-1</f>
        <v>-4.8582324655944253E-2</v>
      </c>
      <c r="DB121" s="135">
        <f>DB62/DA62-1</f>
        <v>6.3959567793656413E-2</v>
      </c>
      <c r="DC121" s="135">
        <f>DC62/DB62-1</f>
        <v>-0.26486486486486482</v>
      </c>
      <c r="DD121" s="135">
        <f>DD62/DC62-1</f>
        <v>0.48002079619726667</v>
      </c>
      <c r="DE121" s="136"/>
      <c r="DF121" s="135">
        <f>DF62/DD62-1</f>
        <v>-3.1213930847593718E-2</v>
      </c>
      <c r="DG121" s="135">
        <f>DG62/DF62-1</f>
        <v>2.5174825174825166E-2</v>
      </c>
      <c r="DH121" s="135">
        <f>DH62/DG62-1</f>
        <v>1.5057349300186873E-2</v>
      </c>
      <c r="DI121" s="135">
        <f>DI62/DH62-1</f>
        <v>7.6360197122803619E-2</v>
      </c>
      <c r="DJ121" s="136"/>
      <c r="DK121" s="135">
        <f>DK62/DI62-1</f>
        <v>-6.0907367155343839E-2</v>
      </c>
      <c r="DL121" s="135">
        <f>DL62/DK62-1</f>
        <v>6.2789323352703708E-2</v>
      </c>
      <c r="DM121" s="135">
        <f>DM62/DL62-1</f>
        <v>4.1564339001899819E-2</v>
      </c>
      <c r="DN121" s="135">
        <f>DN62/DM62-1</f>
        <v>5.4449239256162407E-3</v>
      </c>
      <c r="DO121" s="136"/>
      <c r="DP121" s="135">
        <f>DP62/DN62-1</f>
        <v>-5.2578780606052367E-2</v>
      </c>
      <c r="DQ121" s="135">
        <f>DQ62/DP62-1</f>
        <v>5.8286977123671813E-2</v>
      </c>
      <c r="DR121" s="135">
        <f>DR62/DQ62-1</f>
        <v>5.4033744545928464E-2</v>
      </c>
      <c r="DS121" s="135">
        <f>DS62/DR62-1</f>
        <v>1.4504571407422118E-2</v>
      </c>
      <c r="DT121" s="136"/>
      <c r="DU121" s="136"/>
      <c r="DV121" s="136"/>
    </row>
    <row r="122" spans="2:126" s="92" customFormat="1" hidden="1" outlineLevel="1">
      <c r="C122" s="123"/>
      <c r="D122" s="123"/>
      <c r="E122" s="123"/>
      <c r="F122" s="123"/>
      <c r="G122" s="123"/>
      <c r="H122" s="123"/>
      <c r="I122" s="123"/>
      <c r="J122" s="122"/>
      <c r="K122" s="122"/>
      <c r="L122" s="122"/>
      <c r="M122" s="122"/>
      <c r="N122" s="123"/>
      <c r="O122" s="122"/>
      <c r="P122" s="122"/>
      <c r="Q122" s="122"/>
      <c r="R122" s="122"/>
      <c r="S122" s="123"/>
      <c r="T122" s="122"/>
      <c r="U122" s="122"/>
      <c r="V122" s="122"/>
      <c r="W122" s="122"/>
      <c r="X122" s="123"/>
      <c r="Y122" s="122"/>
      <c r="Z122" s="122"/>
      <c r="AA122" s="122"/>
      <c r="AB122" s="122"/>
      <c r="AC122" s="123"/>
      <c r="AD122" s="122"/>
      <c r="AE122" s="122"/>
      <c r="AF122" s="122"/>
      <c r="AG122" s="122"/>
      <c r="AH122" s="123"/>
      <c r="AI122" s="122"/>
      <c r="AJ122" s="122"/>
      <c r="AK122" s="122"/>
      <c r="AL122" s="122"/>
      <c r="AM122" s="123"/>
      <c r="AN122" s="122"/>
      <c r="AO122" s="122"/>
      <c r="AP122" s="122"/>
      <c r="AQ122" s="122"/>
      <c r="AR122" s="123"/>
      <c r="AS122" s="122"/>
      <c r="AT122" s="122"/>
      <c r="AU122" s="122"/>
      <c r="AV122" s="122"/>
      <c r="AW122" s="123"/>
      <c r="AX122" s="122"/>
      <c r="AY122" s="122"/>
      <c r="AZ122" s="122"/>
      <c r="BA122" s="122"/>
      <c r="BB122" s="123"/>
      <c r="BC122" s="122"/>
      <c r="BD122" s="122"/>
      <c r="BE122" s="122"/>
      <c r="BF122" s="122"/>
      <c r="BG122" s="123"/>
      <c r="BH122" s="122"/>
      <c r="BI122" s="122"/>
      <c r="BJ122" s="122"/>
      <c r="BK122" s="122"/>
      <c r="BL122" s="123"/>
      <c r="BM122" s="122"/>
      <c r="BN122" s="122"/>
      <c r="BO122" s="122"/>
      <c r="BP122" s="122"/>
      <c r="BQ122" s="123"/>
      <c r="BR122" s="122"/>
      <c r="BS122" s="122"/>
      <c r="BT122" s="122"/>
      <c r="BU122" s="122"/>
      <c r="BV122" s="123"/>
      <c r="BW122" s="122"/>
      <c r="BX122" s="122"/>
      <c r="BY122" s="122"/>
      <c r="BZ122" s="122"/>
      <c r="CA122" s="123"/>
      <c r="CB122" s="122"/>
      <c r="CC122" s="122"/>
      <c r="CD122" s="122"/>
      <c r="CE122" s="122"/>
      <c r="CF122" s="123"/>
      <c r="CG122" s="122"/>
      <c r="CH122" s="122"/>
      <c r="CI122" s="122"/>
      <c r="CJ122" s="122"/>
      <c r="CK122" s="123"/>
      <c r="CL122" s="122"/>
      <c r="CM122" s="122"/>
      <c r="CN122" s="122"/>
      <c r="CO122" s="122"/>
      <c r="CP122" s="123"/>
      <c r="CQ122" s="122"/>
      <c r="CR122" s="122"/>
      <c r="CS122" s="122"/>
      <c r="CT122" s="122"/>
      <c r="CU122" s="123"/>
      <c r="CV122" s="122"/>
      <c r="CW122" s="122"/>
      <c r="CX122" s="122"/>
      <c r="CY122" s="122"/>
      <c r="CZ122" s="123"/>
      <c r="DA122" s="122"/>
      <c r="DB122" s="122"/>
      <c r="DC122" s="122"/>
      <c r="DD122" s="122"/>
      <c r="DE122" s="123"/>
      <c r="DF122" s="122"/>
      <c r="DG122" s="122"/>
      <c r="DH122" s="122"/>
      <c r="DI122" s="122"/>
      <c r="DJ122" s="123"/>
      <c r="DK122" s="122"/>
      <c r="DL122" s="122"/>
      <c r="DM122" s="122"/>
      <c r="DN122" s="122"/>
      <c r="DO122" s="123"/>
      <c r="DP122" s="122"/>
      <c r="DQ122" s="122"/>
      <c r="DR122" s="122"/>
      <c r="DS122" s="122"/>
      <c r="DT122" s="123"/>
      <c r="DU122" s="123"/>
      <c r="DV122" s="123"/>
    </row>
    <row r="123" spans="2:126" s="92" customFormat="1" hidden="1" outlineLevel="1">
      <c r="B123" s="54" t="s">
        <v>146</v>
      </c>
      <c r="C123" s="123"/>
      <c r="D123" s="123"/>
      <c r="E123" s="123"/>
      <c r="F123" s="123"/>
      <c r="G123" s="123"/>
      <c r="H123" s="123"/>
      <c r="I123" s="123"/>
      <c r="J123" s="122"/>
      <c r="K123" s="122"/>
      <c r="L123" s="122"/>
      <c r="M123" s="122"/>
      <c r="N123" s="123"/>
      <c r="O123" s="122"/>
      <c r="P123" s="122"/>
      <c r="Q123" s="122"/>
      <c r="R123" s="122"/>
      <c r="S123" s="123"/>
      <c r="T123" s="122"/>
      <c r="U123" s="122"/>
      <c r="V123" s="122"/>
      <c r="W123" s="122"/>
      <c r="X123" s="123"/>
      <c r="Y123" s="122"/>
      <c r="Z123" s="122"/>
      <c r="AA123" s="122"/>
      <c r="AB123" s="122"/>
      <c r="AC123" s="123"/>
      <c r="AD123" s="122"/>
      <c r="AE123" s="122"/>
      <c r="AF123" s="122"/>
      <c r="AG123" s="122"/>
      <c r="AH123" s="123"/>
      <c r="AI123" s="122"/>
      <c r="AJ123" s="122"/>
      <c r="AK123" s="122"/>
      <c r="AL123" s="122"/>
      <c r="AM123" s="123"/>
      <c r="AN123" s="122"/>
      <c r="AO123" s="122"/>
      <c r="AP123" s="122"/>
      <c r="AQ123" s="122"/>
      <c r="AR123" s="123"/>
      <c r="AS123" s="122"/>
      <c r="AT123" s="122"/>
      <c r="AU123" s="122"/>
      <c r="AV123" s="122"/>
      <c r="AW123" s="123"/>
      <c r="AX123" s="122"/>
      <c r="AY123" s="122"/>
      <c r="AZ123" s="122"/>
      <c r="BA123" s="122"/>
      <c r="BB123" s="123"/>
      <c r="BC123" s="122"/>
      <c r="BD123" s="122"/>
      <c r="BE123" s="122"/>
      <c r="BF123" s="122"/>
      <c r="BG123" s="123"/>
      <c r="BH123" s="122"/>
      <c r="BI123" s="122"/>
      <c r="BJ123" s="122"/>
      <c r="BK123" s="122"/>
      <c r="BL123" s="123"/>
      <c r="BM123" s="122"/>
      <c r="BN123" s="122"/>
      <c r="BO123" s="122"/>
      <c r="BP123" s="122"/>
      <c r="BQ123" s="123"/>
      <c r="BR123" s="122"/>
      <c r="BS123" s="122"/>
      <c r="BT123" s="122"/>
      <c r="BU123" s="122"/>
      <c r="BV123" s="123"/>
      <c r="BW123" s="122"/>
      <c r="BX123" s="122"/>
      <c r="BY123" s="122"/>
      <c r="BZ123" s="122"/>
      <c r="CA123" s="123"/>
      <c r="CB123" s="122"/>
      <c r="CC123" s="122"/>
      <c r="CD123" s="122"/>
      <c r="CE123" s="122"/>
      <c r="CF123" s="123"/>
      <c r="CG123" s="122"/>
      <c r="CH123" s="122"/>
      <c r="CI123" s="122"/>
      <c r="CJ123" s="122"/>
      <c r="CK123" s="123"/>
      <c r="CL123" s="122"/>
      <c r="CM123" s="122"/>
      <c r="CN123" s="122"/>
      <c r="CO123" s="122"/>
      <c r="CP123" s="123"/>
      <c r="CQ123" s="122"/>
      <c r="CR123" s="122"/>
      <c r="CS123" s="122"/>
      <c r="CT123" s="122"/>
      <c r="CU123" s="123"/>
      <c r="CV123" s="122"/>
      <c r="CW123" s="122"/>
      <c r="CX123" s="122"/>
      <c r="CY123" s="122"/>
      <c r="CZ123" s="123"/>
      <c r="DA123" s="122"/>
      <c r="DB123" s="122"/>
      <c r="DC123" s="122"/>
      <c r="DD123" s="122"/>
      <c r="DE123" s="123"/>
      <c r="DF123" s="122"/>
      <c r="DG123" s="122"/>
      <c r="DH123" s="122"/>
      <c r="DI123" s="122"/>
      <c r="DJ123" s="123"/>
      <c r="DK123" s="122"/>
      <c r="DL123" s="122"/>
      <c r="DM123" s="122"/>
      <c r="DN123" s="122"/>
      <c r="DO123" s="123"/>
      <c r="DP123" s="122"/>
      <c r="DQ123" s="122"/>
      <c r="DR123" s="122"/>
      <c r="DS123" s="122"/>
      <c r="DT123" s="123"/>
      <c r="DU123" s="123"/>
      <c r="DV123" s="123"/>
    </row>
    <row r="124" spans="2:126" s="92" customFormat="1" hidden="1" outlineLevel="1">
      <c r="B124" s="115" t="str">
        <f>+B116</f>
        <v>Pratt &amp; Whitney</v>
      </c>
      <c r="C124" s="123"/>
      <c r="D124" s="123"/>
      <c r="E124" s="123"/>
      <c r="F124" s="123"/>
      <c r="G124" s="123"/>
      <c r="H124" s="123"/>
      <c r="I124" s="123"/>
      <c r="J124" s="130">
        <f>J14/N14</f>
        <v>0.23415046491969568</v>
      </c>
      <c r="K124" s="130">
        <f>K14/N14</f>
        <v>0.25117739403453687</v>
      </c>
      <c r="L124" s="130">
        <f>L14/N14</f>
        <v>0.25359256128486896</v>
      </c>
      <c r="M124" s="130">
        <f>M14/N14</f>
        <v>0.26107957976089846</v>
      </c>
      <c r="N124" s="123"/>
      <c r="O124" s="130">
        <f>O14/S14</f>
        <v>0.21656804733727811</v>
      </c>
      <c r="P124" s="130">
        <f>P14/S14</f>
        <v>0.24454007530930608</v>
      </c>
      <c r="Q124" s="130">
        <f>Q14/S14</f>
        <v>0.2597095212479828</v>
      </c>
      <c r="R124" s="130">
        <f>R14/S14</f>
        <v>0.27918235610543302</v>
      </c>
      <c r="S124" s="123"/>
      <c r="T124" s="130">
        <f>T14/X14</f>
        <v>0.23110151187904968</v>
      </c>
      <c r="U124" s="130">
        <f>U14/X14</f>
        <v>0.24541036717062634</v>
      </c>
      <c r="V124" s="130">
        <f>V14/X14</f>
        <v>0.24937005039596832</v>
      </c>
      <c r="W124" s="130">
        <f>W14/X14</f>
        <v>0.27411807055435566</v>
      </c>
      <c r="X124" s="123"/>
      <c r="Y124" s="130">
        <f>Y14/AC14</f>
        <v>0.21144734831117223</v>
      </c>
      <c r="Z124" s="130">
        <f>Z14/AC14</f>
        <v>0.23750573131591013</v>
      </c>
      <c r="AA124" s="130">
        <f>AA14/AC14</f>
        <v>0.23200366804218248</v>
      </c>
      <c r="AB124" s="130">
        <f>AB14/AC14</f>
        <v>0.31904325233073516</v>
      </c>
      <c r="AC124" s="123"/>
      <c r="AD124" s="130">
        <f>AD14/AH14</f>
        <v>0.25012636291428986</v>
      </c>
      <c r="AE124" s="130">
        <f>AE14/AH14</f>
        <v>0.25770813777168028</v>
      </c>
      <c r="AF124" s="130">
        <f>AF14/AH14</f>
        <v>0.24702144559173947</v>
      </c>
      <c r="AG124" s="130">
        <f>AG14/AH14</f>
        <v>0.24514405372229042</v>
      </c>
      <c r="AH124" s="123"/>
      <c r="AI124" s="130">
        <f>AI14/AM14</f>
        <v>0.25661717236927051</v>
      </c>
      <c r="AJ124" s="130">
        <f>AJ14/AM14</f>
        <v>0.25104906391220144</v>
      </c>
      <c r="AK124" s="130">
        <f>AK14/AM14</f>
        <v>0.24459328599096192</v>
      </c>
      <c r="AL124" s="130">
        <f>AL14/AM14</f>
        <v>0.24774047772756616</v>
      </c>
      <c r="AM124" s="123"/>
      <c r="AN124" s="130">
        <f>AN14/AR14</f>
        <v>0.2196366447622729</v>
      </c>
      <c r="AO124" s="130">
        <f>AO14/AR14</f>
        <v>0.25349826053343644</v>
      </c>
      <c r="AP124" s="130">
        <f>AP14/AR14</f>
        <v>0.2497100889060688</v>
      </c>
      <c r="AQ124" s="130">
        <f>AQ14/AR14</f>
        <v>0.27715500579822189</v>
      </c>
      <c r="AR124" s="123"/>
      <c r="AS124" s="130">
        <f>AS14/AW14</f>
        <v>0.22602470301313823</v>
      </c>
      <c r="AT124" s="130">
        <f>AT14/AW14</f>
        <v>0.25772952560774132</v>
      </c>
      <c r="AU124" s="130">
        <f>AU14/AW14</f>
        <v>0.24238848241680433</v>
      </c>
      <c r="AV124" s="130">
        <f>AV14/AW14</f>
        <v>0.27385728896231609</v>
      </c>
      <c r="AW124" s="123"/>
      <c r="AX124" s="130">
        <f>AX14/BB14</f>
        <v>0.21856201661415067</v>
      </c>
      <c r="AY124" s="130">
        <f>AY14/BB14</f>
        <v>0.2468490403895732</v>
      </c>
      <c r="AZ124" s="130">
        <f>AZ14/BB14</f>
        <v>0.25594385562875965</v>
      </c>
      <c r="BA124" s="130">
        <f>BA14/BB14</f>
        <v>0.27864508736751648</v>
      </c>
      <c r="BB124" s="123"/>
      <c r="BC124" s="130">
        <f>BC14/BG14</f>
        <v>0.23460451003379076</v>
      </c>
      <c r="BD124" s="130">
        <f>BD14/BG14</f>
        <v>0.24991379904834149</v>
      </c>
      <c r="BE124" s="130">
        <f>BE14/BG14</f>
        <v>0.23350113785256188</v>
      </c>
      <c r="BF124" s="130">
        <f>BF14/BG14</f>
        <v>0.28198055306530584</v>
      </c>
      <c r="BG124" s="123"/>
      <c r="BH124" s="130">
        <f>BH14/BL14</f>
        <v>0.22945960849186656</v>
      </c>
      <c r="BI124" s="130">
        <f>BI14/BL14</f>
        <v>0.24758753791011856</v>
      </c>
      <c r="BJ124" s="130">
        <f>BJ14/BL14</f>
        <v>0.24565756823821339</v>
      </c>
      <c r="BK124" s="130">
        <f>BK14/BL14</f>
        <v>0.27729528535980147</v>
      </c>
      <c r="BL124" s="123"/>
      <c r="BM124" s="130">
        <f>BM14/BQ14</f>
        <v>0.23661411731288171</v>
      </c>
      <c r="BN124" s="130">
        <f>BN14/BQ14</f>
        <v>0.26111347819911945</v>
      </c>
      <c r="BO124" s="130">
        <f>BO14/BQ14</f>
        <v>0.22965487856838518</v>
      </c>
      <c r="BP124" s="130">
        <f>BP14/BQ14</f>
        <v>0.27261752591961369</v>
      </c>
      <c r="BQ124" s="123"/>
      <c r="BR124" s="130">
        <f>BR14/BV14</f>
        <v>0.24090237679602525</v>
      </c>
      <c r="BS124" s="130">
        <f>BS14/BV14</f>
        <v>0.25600913119376928</v>
      </c>
      <c r="BT124" s="130">
        <f>BT14/BV14</f>
        <v>0.23506109842889755</v>
      </c>
      <c r="BU124" s="130">
        <f>BU14/BV14</f>
        <v>0.26802739358130789</v>
      </c>
      <c r="BV124" s="123"/>
      <c r="BW124" s="130">
        <f>BW14/CA14</f>
        <v>0.22713810818978544</v>
      </c>
      <c r="BX124" s="130">
        <f>BX14/CA14</f>
        <v>0.24599576911453611</v>
      </c>
      <c r="BY124" s="130">
        <f>BY14/CA14</f>
        <v>0.2572378362042913</v>
      </c>
      <c r="BZ124" s="130">
        <f>BZ14/CA14</f>
        <v>0.26962828649138715</v>
      </c>
      <c r="CA124" s="123"/>
      <c r="CB124" s="130">
        <f>CB14/CF14</f>
        <v>0.22317884208898284</v>
      </c>
      <c r="CC124" s="130">
        <f>CC14/CF14</f>
        <v>0.24416146826828891</v>
      </c>
      <c r="CD124" s="130">
        <f>CD14/CF14</f>
        <v>0.24689384956436564</v>
      </c>
      <c r="CE124" s="130">
        <f>CE14/CF14</f>
        <v>0.28576584007836264</v>
      </c>
      <c r="CF124" s="123"/>
      <c r="CG124" s="130">
        <f>CG14/CK14</f>
        <v>0.23050425796574492</v>
      </c>
      <c r="CH124" s="130">
        <f>CH14/CK14</f>
        <v>0.24657927471055402</v>
      </c>
      <c r="CI124" s="130">
        <f>CI14/CK14</f>
        <v>0.25284661754855997</v>
      </c>
      <c r="CJ124" s="130">
        <f>CJ14/CK14</f>
        <v>0.27006984977514115</v>
      </c>
      <c r="CK124" s="123"/>
      <c r="CL124" s="130">
        <f>CL14/CP14</f>
        <v>0.31078727357176034</v>
      </c>
      <c r="CM124" s="130">
        <f>CM14/CP14</f>
        <v>0.20245006967022758</v>
      </c>
      <c r="CN124" s="130">
        <f>CN14/CP14</f>
        <v>0.20285647933116582</v>
      </c>
      <c r="CO124" s="130">
        <f>CO14/CP14</f>
        <v>0.28390617742684626</v>
      </c>
      <c r="CP124" s="123"/>
      <c r="CQ124" s="130">
        <f>CQ14/CU14</f>
        <v>0.22203856749311296</v>
      </c>
      <c r="CR124" s="130">
        <f>CR14/CU14</f>
        <v>0.23581267217630855</v>
      </c>
      <c r="CS124" s="130">
        <f>CS14/CU14</f>
        <v>0.26033057851239672</v>
      </c>
      <c r="CT124" s="130">
        <f>CT14/CU14</f>
        <v>0.2818181818181818</v>
      </c>
      <c r="CU124" s="123"/>
      <c r="CV124" s="130">
        <f>CV14/CZ14</f>
        <v>0.22060399415489529</v>
      </c>
      <c r="CW124" s="130">
        <f>CW14/CZ14</f>
        <v>0.24203604481246957</v>
      </c>
      <c r="CX124" s="130">
        <f>CX14/CZ14</f>
        <v>0.26205552849488556</v>
      </c>
      <c r="CY124" s="130">
        <f>CY14/CZ14</f>
        <v>0.27530443253774961</v>
      </c>
      <c r="CZ124" s="123"/>
      <c r="DA124" s="130">
        <f>DA14/DE14</f>
        <v>0.28585483165719283</v>
      </c>
      <c r="DB124" s="130">
        <f>DB14/DE14</f>
        <v>0.31159816353301267</v>
      </c>
      <c r="DC124" s="130">
        <f>DC14/DE14</f>
        <v>5.061215566243988E-2</v>
      </c>
      <c r="DD124" s="130">
        <f>DD14/DE14</f>
        <v>0.35193484914735462</v>
      </c>
      <c r="DE124" s="123"/>
      <c r="DF124" s="130">
        <f>DF14/DJ14</f>
        <v>0.23002921684600583</v>
      </c>
      <c r="DG124" s="130">
        <f>DG14/DJ14</f>
        <v>0.24235730064847147</v>
      </c>
      <c r="DH124" s="130">
        <f>DH14/DJ14</f>
        <v>0.25792774175158556</v>
      </c>
      <c r="DI124" s="130">
        <f>DI14/DJ14</f>
        <v>0.26968574075393714</v>
      </c>
      <c r="DJ124" s="123"/>
      <c r="DK124" s="130">
        <f>DK14/DO14</f>
        <v>0.23065511721028178</v>
      </c>
      <c r="DL124" s="130">
        <f>DL14/DO14</f>
        <v>0.23895319025680969</v>
      </c>
      <c r="DM124" s="130">
        <f>DM14/DO14</f>
        <v>0.26375346894681012</v>
      </c>
      <c r="DN124" s="130">
        <f>DN14/DO14</f>
        <v>0.2666382235860984</v>
      </c>
      <c r="DO124" s="123"/>
      <c r="DP124" s="130">
        <f>DP14/DT14</f>
        <v>0.23108531823129855</v>
      </c>
      <c r="DQ124" s="130">
        <f>DQ14/DT14</f>
        <v>0.23874298092531268</v>
      </c>
      <c r="DR124" s="130">
        <f>DR14/DT14</f>
        <v>0.26328012257841354</v>
      </c>
      <c r="DS124" s="130">
        <f>DS14/DT14</f>
        <v>0.26689157826497523</v>
      </c>
      <c r="DT124" s="123"/>
      <c r="DU124" s="123"/>
      <c r="DV124" s="123"/>
    </row>
    <row r="125" spans="2:126" s="92" customFormat="1" hidden="1" outlineLevel="1">
      <c r="B125" s="3" t="str">
        <f>+B117</f>
        <v>Collins Aerospace</v>
      </c>
      <c r="C125" s="123"/>
      <c r="D125" s="123"/>
      <c r="E125" s="123"/>
      <c r="F125" s="123"/>
      <c r="G125" s="123"/>
      <c r="H125" s="123"/>
      <c r="I125" s="123"/>
      <c r="J125" s="130">
        <f>J26/N26</f>
        <v>0.23616424381535323</v>
      </c>
      <c r="K125" s="130">
        <f>K26/N26</f>
        <v>0.23845957663861259</v>
      </c>
      <c r="L125" s="130">
        <f>L26/N26</f>
        <v>0.24993624075490947</v>
      </c>
      <c r="M125" s="130">
        <f>M26/N26</f>
        <v>0.27543993879112472</v>
      </c>
      <c r="N125" s="123"/>
      <c r="O125" s="130">
        <f>O26/S26</f>
        <v>0.23459607485166589</v>
      </c>
      <c r="P125" s="130">
        <f>P26/S26</f>
        <v>0.25696029210406207</v>
      </c>
      <c r="Q125" s="130">
        <f>Q26/S26</f>
        <v>0.24577818347786398</v>
      </c>
      <c r="R125" s="130">
        <f>R26/S26</f>
        <v>0.26266544956640803</v>
      </c>
      <c r="S125" s="123"/>
      <c r="T125" s="130">
        <f>T26/X26</f>
        <v>0.23303303303303302</v>
      </c>
      <c r="U125" s="130">
        <f>U26/X26</f>
        <v>0.25645645645645648</v>
      </c>
      <c r="V125" s="130">
        <f>V26/X26</f>
        <v>0.25085085085085085</v>
      </c>
      <c r="W125" s="130">
        <f>W26/X26</f>
        <v>0.25965965965965965</v>
      </c>
      <c r="X125" s="123"/>
      <c r="Y125" s="130">
        <f>Y26/AC26</f>
        <v>0.2329666430092264</v>
      </c>
      <c r="Z125" s="130">
        <f>Z26/AC26</f>
        <v>0.24911284599006386</v>
      </c>
      <c r="AA125" s="130">
        <f>AA26/AC26</f>
        <v>0.25319375443577002</v>
      </c>
      <c r="AB125" s="130">
        <f>AB26/AC26</f>
        <v>0.26472675656493966</v>
      </c>
      <c r="AC125" s="123"/>
      <c r="AD125" s="130">
        <f>AD26/AH26</f>
        <v>0.23845275012240902</v>
      </c>
      <c r="AE125" s="130">
        <f>AE26/AH26</f>
        <v>0.26929982046678635</v>
      </c>
      <c r="AF125" s="130">
        <f>AF26/AH26</f>
        <v>0.25004080300310105</v>
      </c>
      <c r="AG125" s="130">
        <f>AG26/AH26</f>
        <v>0.2422066264077036</v>
      </c>
      <c r="AH125" s="123"/>
      <c r="AI125" s="130">
        <f>AI26/AM$26</f>
        <v>0.24838129496402878</v>
      </c>
      <c r="AJ125" s="130">
        <f>AJ26/AM$26</f>
        <v>0.25215827338129498</v>
      </c>
      <c r="AK125" s="130">
        <f>AK26/AM$26</f>
        <v>0.25179856115107913</v>
      </c>
      <c r="AL125" s="130">
        <f>AM26/$AH26</f>
        <v>0.90745878896686794</v>
      </c>
      <c r="AM125" s="123"/>
      <c r="AN125" s="130">
        <f>AN26/AR26</f>
        <v>0.23644793152639088</v>
      </c>
      <c r="AO125" s="130">
        <f>AO26/AR26</f>
        <v>0.2458987161198288</v>
      </c>
      <c r="AP125" s="130">
        <f>AP26/AR26</f>
        <v>0.25320970042796004</v>
      </c>
      <c r="AQ125" s="130">
        <f>AQ26/AR26</f>
        <v>0.26444365192582026</v>
      </c>
      <c r="AR125" s="123"/>
      <c r="AS125" s="130">
        <f>AS26/AW26</f>
        <v>0.23907563025210085</v>
      </c>
      <c r="AT125" s="130">
        <f>AT26/AW26</f>
        <v>0.24600840336134452</v>
      </c>
      <c r="AU125" s="130">
        <f>AU26/AW26</f>
        <v>0.24936974789915967</v>
      </c>
      <c r="AV125" s="130">
        <f>AV26/AW26</f>
        <v>0.26554621848739496</v>
      </c>
      <c r="AW125" s="123"/>
      <c r="AX125" s="130">
        <f>AX26/BB26</f>
        <v>0.14830813534917206</v>
      </c>
      <c r="AY125" s="130">
        <f>AY26/BB26</f>
        <v>0.15046796256299497</v>
      </c>
      <c r="AZ125" s="130">
        <f>AZ26/BB26</f>
        <v>0.32037437005039598</v>
      </c>
      <c r="BA125" s="130">
        <f>BA26/BB26</f>
        <v>0.38084953203743699</v>
      </c>
      <c r="BB125" s="123"/>
      <c r="BC125" s="130">
        <f>BC26/BG26</f>
        <v>0.24447441372593093</v>
      </c>
      <c r="BD125" s="130">
        <f>BD26/BG26</f>
        <v>0.24881995954146999</v>
      </c>
      <c r="BE125" s="130">
        <f>BE26/BG26</f>
        <v>0.24814565070802427</v>
      </c>
      <c r="BF125" s="130">
        <f>BF26/BG26</f>
        <v>0.25855997602457481</v>
      </c>
      <c r="BG125" s="123"/>
      <c r="BH125" s="130">
        <f>BH26/BL26</f>
        <v>0.2427013717903623</v>
      </c>
      <c r="BI125" s="130">
        <f>BI26/BL26</f>
        <v>0.25578614139992967</v>
      </c>
      <c r="BJ125" s="130">
        <f>BJ26/BL26</f>
        <v>0.24868097080548715</v>
      </c>
      <c r="BK125" s="130">
        <f>BK26/BL26</f>
        <v>0.25283151600422088</v>
      </c>
      <c r="BL125" s="123"/>
      <c r="BM125" s="130">
        <f>BM26/BQ26</f>
        <v>0.25173832836668086</v>
      </c>
      <c r="BN125" s="130">
        <f>BN26/BQ26</f>
        <v>0.25769831133815807</v>
      </c>
      <c r="BO125" s="130">
        <f>BO26/BQ26</f>
        <v>0.24528168014758053</v>
      </c>
      <c r="BP125" s="130">
        <f>BP26/BQ26</f>
        <v>0.24528168014758053</v>
      </c>
      <c r="BQ125" s="123"/>
      <c r="BR125" s="130">
        <f>BR26/BV26</f>
        <v>0.24230902177670238</v>
      </c>
      <c r="BS125" s="130">
        <f>BS26/BV26</f>
        <v>0.25689595575527135</v>
      </c>
      <c r="BT125" s="130">
        <f>BT26/BV26</f>
        <v>0.2520566885585897</v>
      </c>
      <c r="BU125" s="130">
        <f>BU26/BV26</f>
        <v>0.24873833390943656</v>
      </c>
      <c r="BV125" s="123"/>
      <c r="BW125" s="130">
        <f>BW26/CA26</f>
        <v>0.24579674630726295</v>
      </c>
      <c r="BX125" s="130">
        <f>BX26/CA26</f>
        <v>0.24777074399292084</v>
      </c>
      <c r="BY125" s="130">
        <f>BY26/CA26</f>
        <v>0.24756653733578382</v>
      </c>
      <c r="BZ125" s="130">
        <f>BZ26/CA26</f>
        <v>0.25886597236403242</v>
      </c>
      <c r="CA125" s="123"/>
      <c r="CB125" s="130">
        <f>CB26/CF26</f>
        <v>0.23592855082615682</v>
      </c>
      <c r="CC125" s="130">
        <f>CC26/CF26</f>
        <v>0.24190325106102437</v>
      </c>
      <c r="CD125" s="130">
        <f>CD26/CF26</f>
        <v>0.24161481725658246</v>
      </c>
      <c r="CE125" s="130">
        <f>CE26/CF26</f>
        <v>0.28055338085623638</v>
      </c>
      <c r="CF125" s="123"/>
      <c r="CG125" s="130">
        <f>CG26/CK26</f>
        <v>0.25023052097740894</v>
      </c>
      <c r="CH125" s="130">
        <f>CH26/CK26</f>
        <v>0.25265099124020285</v>
      </c>
      <c r="CI125" s="130">
        <f>CI26/CK26</f>
        <v>0.24953895804518211</v>
      </c>
      <c r="CJ125" s="130">
        <f>CJ26/CK26</f>
        <v>0.24757952973720609</v>
      </c>
      <c r="CK125" s="123"/>
      <c r="CL125" s="130">
        <f>CL26/CP26</f>
        <v>0.22688502191756885</v>
      </c>
      <c r="CM125" s="130">
        <f>CM26/CP26</f>
        <v>0.2264903170229744</v>
      </c>
      <c r="CN125" s="130">
        <f>CN26/CP26</f>
        <v>0.22702924101367067</v>
      </c>
      <c r="CO125" s="130">
        <f>CO26/CP26</f>
        <v>0.31959542004578617</v>
      </c>
      <c r="CP125" s="123"/>
      <c r="CQ125" s="130">
        <f>CQ26/CU26</f>
        <v>0.23598080937618668</v>
      </c>
      <c r="CR125" s="130">
        <f>CR26/CU26</f>
        <v>0.23688268591410822</v>
      </c>
      <c r="CS125" s="130">
        <f>CS26/CU26</f>
        <v>0.23630735088129626</v>
      </c>
      <c r="CT125" s="130">
        <f>CT26/CU26</f>
        <v>0.29082915382840885</v>
      </c>
      <c r="CU125" s="123"/>
      <c r="CV125" s="130">
        <f>CV26/CZ26</f>
        <v>0.23754988721152179</v>
      </c>
      <c r="CW125" s="130">
        <f>CW26/CZ26</f>
        <v>0.24410029498525074</v>
      </c>
      <c r="CX125" s="130">
        <f>CX26/CZ26</f>
        <v>0.24804789172306091</v>
      </c>
      <c r="CY125" s="130">
        <f>CY26/CZ26</f>
        <v>0.27030192608016657</v>
      </c>
      <c r="CZ125" s="123"/>
      <c r="DA125" s="130">
        <f>DA26/DE26</f>
        <v>0.23311621528968118</v>
      </c>
      <c r="DB125" s="130">
        <f>DB26/DE26</f>
        <v>0.24317220889041252</v>
      </c>
      <c r="DC125" s="130">
        <f>DC26/DE26</f>
        <v>0.25250447567897</v>
      </c>
      <c r="DD125" s="130">
        <f>DD26/DE26</f>
        <v>0.2712071001409363</v>
      </c>
      <c r="DE125" s="123"/>
      <c r="DF125" s="130">
        <f>DF26/DJ26</f>
        <v>0.23592844010748126</v>
      </c>
      <c r="DG125" s="130">
        <f>DG26/DJ26</f>
        <v>0.24745439117522275</v>
      </c>
      <c r="DH125" s="130">
        <f>DH26/DJ26</f>
        <v>0.25014142271248763</v>
      </c>
      <c r="DI125" s="130">
        <f>DI26/DJ26</f>
        <v>0.26647574600480839</v>
      </c>
      <c r="DJ125" s="123"/>
      <c r="DK125" s="130">
        <f>DK26/DO26</f>
        <v>0.24123812887457616</v>
      </c>
      <c r="DL125" s="130">
        <f>DL26/DO26</f>
        <v>0.25477580965526114</v>
      </c>
      <c r="DM125" s="130">
        <f>DM26/DO26</f>
        <v>0.25474238328296311</v>
      </c>
      <c r="DN125" s="130">
        <f>DN26/DO26</f>
        <v>0.24924367818719961</v>
      </c>
      <c r="DO125" s="123"/>
      <c r="DP125" s="130">
        <f>DP26/DT26</f>
        <v>0.23294583221560056</v>
      </c>
      <c r="DQ125" s="130">
        <f>DQ26/DT26</f>
        <v>0.24938680230736024</v>
      </c>
      <c r="DR125" s="130">
        <f>DR26/DT26</f>
        <v>0.25988258856312196</v>
      </c>
      <c r="DS125" s="130">
        <f>DS26/DT26</f>
        <v>0.25778477691391727</v>
      </c>
      <c r="DT125" s="123"/>
      <c r="DU125" s="123"/>
      <c r="DV125" s="123"/>
    </row>
    <row r="126" spans="2:126" s="92" customFormat="1" hidden="1" outlineLevel="1">
      <c r="B126" s="180" t="s">
        <v>570</v>
      </c>
      <c r="C126" s="123"/>
      <c r="D126" s="123"/>
      <c r="E126" s="123"/>
      <c r="F126" s="123"/>
      <c r="G126" s="123"/>
      <c r="H126" s="123"/>
      <c r="I126" s="123"/>
      <c r="J126" s="130"/>
      <c r="K126" s="130"/>
      <c r="L126" s="130"/>
      <c r="M126" s="130"/>
      <c r="N126" s="123"/>
      <c r="O126" s="130"/>
      <c r="P126" s="130"/>
      <c r="Q126" s="130"/>
      <c r="R126" s="130"/>
      <c r="S126" s="123"/>
      <c r="T126" s="130"/>
      <c r="U126" s="130"/>
      <c r="V126" s="130"/>
      <c r="W126" s="130"/>
      <c r="X126" s="123"/>
      <c r="Y126" s="130"/>
      <c r="Z126" s="130"/>
      <c r="AA126" s="130"/>
      <c r="AB126" s="130"/>
      <c r="AC126" s="123"/>
      <c r="AD126" s="130"/>
      <c r="AE126" s="130"/>
      <c r="AF126" s="130"/>
      <c r="AG126" s="130"/>
      <c r="AH126" s="123"/>
      <c r="AI126" s="130"/>
      <c r="AJ126" s="130"/>
      <c r="AK126" s="130"/>
      <c r="AL126" s="130"/>
      <c r="AM126" s="123"/>
      <c r="AN126" s="130"/>
      <c r="AO126" s="130"/>
      <c r="AP126" s="130"/>
      <c r="AQ126" s="130"/>
      <c r="AR126" s="123"/>
      <c r="AS126" s="130"/>
      <c r="AT126" s="130"/>
      <c r="AU126" s="130"/>
      <c r="AV126" s="130"/>
      <c r="AW126" s="123"/>
      <c r="AX126" s="130"/>
      <c r="AY126" s="130"/>
      <c r="AZ126" s="130"/>
      <c r="BA126" s="130"/>
      <c r="BB126" s="123"/>
      <c r="BC126" s="130">
        <f>BC41/BG41</f>
        <v>0.2499194587628866</v>
      </c>
      <c r="BD126" s="130">
        <f>BD41/BG41</f>
        <v>0.25692654639175255</v>
      </c>
      <c r="BE126" s="130">
        <f>BE41/BG41</f>
        <v>0.24581185567010308</v>
      </c>
      <c r="BF126" s="130">
        <f>BF41/BG41</f>
        <v>0.24734213917525774</v>
      </c>
      <c r="BG126" s="123"/>
      <c r="BH126" s="130">
        <f>BH41/BL41</f>
        <v>0.23678084469571001</v>
      </c>
      <c r="BI126" s="130">
        <f>BI41/BL41</f>
        <v>0.25133022946458267</v>
      </c>
      <c r="BJ126" s="130">
        <f>BJ41/BL41</f>
        <v>0.24600931160625208</v>
      </c>
      <c r="BK126" s="130">
        <f>BK41/BL41</f>
        <v>0.2658796142334553</v>
      </c>
      <c r="BL126" s="123"/>
      <c r="BM126" s="130">
        <f>BM41/BQ41</f>
        <v>0.23675149071974469</v>
      </c>
      <c r="BN126" s="130">
        <f>BN41/BQ41</f>
        <v>0.25279247501469726</v>
      </c>
      <c r="BO126" s="130">
        <f>BO41/BQ41</f>
        <v>0.24901318552112203</v>
      </c>
      <c r="BP126" s="130">
        <f>BP41/BQ41</f>
        <v>0.26144284874443602</v>
      </c>
      <c r="BQ126" s="123"/>
      <c r="BR126" s="130">
        <f>BR41/BV41</f>
        <v>0.23747276688453159</v>
      </c>
      <c r="BS126" s="130">
        <f>BS41/BV41</f>
        <v>0.25732268215928344</v>
      </c>
      <c r="BT126" s="130">
        <f>BT41/BV41</f>
        <v>0.25264262083434197</v>
      </c>
      <c r="BU126" s="130">
        <f>BU41/BV41</f>
        <v>0.25256193012184297</v>
      </c>
      <c r="BV126" s="123"/>
      <c r="BW126" s="130">
        <f>BW41/CA41</f>
        <v>0.24288093916078368</v>
      </c>
      <c r="BX126" s="130">
        <f>BX41/CA41</f>
        <v>0.25089236138653132</v>
      </c>
      <c r="BY126" s="130">
        <f>BY41/CA41</f>
        <v>0.24906797810740064</v>
      </c>
      <c r="BZ126" s="130">
        <f>BZ41/CA41</f>
        <v>0.25715872134528439</v>
      </c>
      <c r="CA126" s="123"/>
      <c r="CB126" s="130">
        <f>CB41/CF41</f>
        <v>0.23385300668151449</v>
      </c>
      <c r="CC126" s="130">
        <f>CC41/CF41</f>
        <v>0.24439495174461767</v>
      </c>
      <c r="CD126" s="130">
        <f>CD41/CF41</f>
        <v>0.25515961395694137</v>
      </c>
      <c r="CE126" s="130">
        <f>CE41/CF41</f>
        <v>0.26659242761692653</v>
      </c>
      <c r="CF126" s="123"/>
      <c r="CG126" s="130">
        <f>CG41/CK41</f>
        <v>0.23516787815853235</v>
      </c>
      <c r="CH126" s="130">
        <f>CH41/CK41</f>
        <v>0.24624437521633782</v>
      </c>
      <c r="CI126" s="130">
        <f>CI41/CK41</f>
        <v>0.26036690896503983</v>
      </c>
      <c r="CJ126" s="130">
        <f>CJ41/CK41</f>
        <v>0.25822083766009002</v>
      </c>
      <c r="CK126" s="123"/>
      <c r="CL126" s="130">
        <f>CL41/CP41</f>
        <v>0.24573835149408382</v>
      </c>
      <c r="CM126" s="130">
        <f>CM41/CP41</f>
        <v>0.24072464736947657</v>
      </c>
      <c r="CN126" s="130">
        <f>CN41/CP41</f>
        <v>0.25061835684203487</v>
      </c>
      <c r="CO126" s="130">
        <f>CO41/CP41</f>
        <v>0.2629186442944047</v>
      </c>
      <c r="CP126" s="123"/>
      <c r="CQ126" s="130">
        <f>CQ41/CU41</f>
        <v>0.24802371541501977</v>
      </c>
      <c r="CR126" s="130">
        <f>CR41/CU41</f>
        <v>0.25065876152832672</v>
      </c>
      <c r="CS126" s="130">
        <f>CS41/CU41</f>
        <v>0.24637681159420291</v>
      </c>
      <c r="CT126" s="130">
        <f>CT41/CU41</f>
        <v>0.25494071146245062</v>
      </c>
      <c r="CU126" s="123"/>
      <c r="CV126" s="130">
        <f>CV41/CZ41</f>
        <v>0.24958077138065959</v>
      </c>
      <c r="CW126" s="130">
        <f>CW41/CZ41</f>
        <v>0.24944102850754613</v>
      </c>
      <c r="CX126" s="130">
        <f>CX41/CZ41</f>
        <v>0.2533538289547233</v>
      </c>
      <c r="CY126" s="130">
        <f>CY41/CZ41</f>
        <v>0.24762437115707098</v>
      </c>
      <c r="CZ126" s="123"/>
      <c r="DA126" s="130">
        <f>DA41/DE41</f>
        <v>0.49376731301939059</v>
      </c>
      <c r="DB126" s="130">
        <f>DB41/DE41</f>
        <v>0.50623268698060941</v>
      </c>
      <c r="DC126" s="130">
        <f>DC41/DE41</f>
        <v>0</v>
      </c>
      <c r="DD126" s="130">
        <f>DD41/DE41</f>
        <v>0</v>
      </c>
      <c r="DE126" s="123"/>
      <c r="DF126" s="130"/>
      <c r="DG126" s="130"/>
      <c r="DH126" s="130"/>
      <c r="DI126" s="130"/>
      <c r="DJ126" s="123"/>
      <c r="DK126" s="130"/>
      <c r="DL126" s="130"/>
      <c r="DM126" s="130"/>
      <c r="DN126" s="130"/>
      <c r="DO126" s="123"/>
      <c r="DP126" s="130"/>
      <c r="DQ126" s="130"/>
      <c r="DR126" s="130"/>
      <c r="DS126" s="130"/>
      <c r="DT126" s="123"/>
      <c r="DU126" s="123"/>
      <c r="DV126" s="123"/>
    </row>
    <row r="127" spans="2:126" s="92" customFormat="1" hidden="1" outlineLevel="1">
      <c r="B127" s="180" t="s">
        <v>569</v>
      </c>
      <c r="C127" s="123"/>
      <c r="D127" s="123"/>
      <c r="E127" s="123"/>
      <c r="F127" s="123"/>
      <c r="G127" s="123"/>
      <c r="H127" s="123"/>
      <c r="I127" s="123"/>
      <c r="J127" s="130"/>
      <c r="K127" s="130"/>
      <c r="L127" s="130"/>
      <c r="M127" s="130"/>
      <c r="N127" s="123"/>
      <c r="O127" s="130"/>
      <c r="P127" s="130"/>
      <c r="Q127" s="130"/>
      <c r="R127" s="130"/>
      <c r="S127" s="123"/>
      <c r="T127" s="130"/>
      <c r="U127" s="130"/>
      <c r="V127" s="130"/>
      <c r="W127" s="130"/>
      <c r="X127" s="123"/>
      <c r="Y127" s="130"/>
      <c r="Z127" s="130"/>
      <c r="AA127" s="130"/>
      <c r="AB127" s="130"/>
      <c r="AC127" s="123"/>
      <c r="AD127" s="130"/>
      <c r="AE127" s="130"/>
      <c r="AF127" s="130"/>
      <c r="AG127" s="130"/>
      <c r="AH127" s="123"/>
      <c r="AI127" s="130"/>
      <c r="AJ127" s="130"/>
      <c r="AK127" s="130"/>
      <c r="AL127" s="130"/>
      <c r="AM127" s="123"/>
      <c r="AN127" s="130"/>
      <c r="AO127" s="130"/>
      <c r="AP127" s="130"/>
      <c r="AQ127" s="130"/>
      <c r="AR127" s="123"/>
      <c r="AS127" s="130"/>
      <c r="AT127" s="130"/>
      <c r="AU127" s="130"/>
      <c r="AV127" s="130"/>
      <c r="AW127" s="123"/>
      <c r="AX127" s="130"/>
      <c r="AY127" s="130"/>
      <c r="AZ127" s="130"/>
      <c r="BA127" s="130"/>
      <c r="BB127" s="123"/>
      <c r="BC127" s="130">
        <f>BC48/BG48</f>
        <v>0.24694376528117359</v>
      </c>
      <c r="BD127" s="130">
        <f>BD48/BG48</f>
        <v>0.26062041564792177</v>
      </c>
      <c r="BE127" s="130">
        <f>BE48/BG48</f>
        <v>0.24740220048899755</v>
      </c>
      <c r="BF127" s="130">
        <f>BF48/BG48</f>
        <v>0.24503361858190709</v>
      </c>
      <c r="BG127" s="123"/>
      <c r="BH127" s="130">
        <f>BH48/BL48</f>
        <v>0.24649023721155397</v>
      </c>
      <c r="BI127" s="130">
        <f>BI48/BL48</f>
        <v>0.24915281587865096</v>
      </c>
      <c r="BJ127" s="130">
        <f>BJ48/BL48</f>
        <v>0.23438760690656768</v>
      </c>
      <c r="BK127" s="130">
        <f>BK48/BL48</f>
        <v>0.26996934000322736</v>
      </c>
      <c r="BL127" s="123"/>
      <c r="BM127" s="130">
        <f>BM48/BQ48</f>
        <v>0.2241393211319842</v>
      </c>
      <c r="BN127" s="130">
        <f>BN48/BQ48</f>
        <v>0.25187454648069013</v>
      </c>
      <c r="BO127" s="130">
        <f>BO48/BQ48</f>
        <v>0.24687575586551641</v>
      </c>
      <c r="BP127" s="130">
        <f>BP48/BQ48</f>
        <v>0.27711037652180925</v>
      </c>
      <c r="BQ127" s="123"/>
      <c r="BR127" s="130">
        <f>BR48/BV48</f>
        <v>0.24364389893998564</v>
      </c>
      <c r="BS127" s="130">
        <f>BS48/BV48</f>
        <v>0.24348449828644297</v>
      </c>
      <c r="BT127" s="130">
        <f>BT48/BV48</f>
        <v>0.24978082410137881</v>
      </c>
      <c r="BU127" s="130">
        <f>BU48/BV48</f>
        <v>0.26309077867219255</v>
      </c>
      <c r="BV127" s="123"/>
      <c r="BW127" s="130">
        <f>BW48/CA48</f>
        <v>0.23206533735560297</v>
      </c>
      <c r="BX127" s="130">
        <f>BX48/CA48</f>
        <v>0.2474431609153116</v>
      </c>
      <c r="BY127" s="130">
        <f>BY48/CA48</f>
        <v>0.24545655213008608</v>
      </c>
      <c r="BZ127" s="130">
        <f>BZ48/CA48</f>
        <v>0.27503494959899932</v>
      </c>
      <c r="CA127" s="123"/>
      <c r="CB127" s="130">
        <f>CB48/CF48</f>
        <v>0.23048763641386932</v>
      </c>
      <c r="CC127" s="130">
        <f>CC48/CF48</f>
        <v>0.24623566790993232</v>
      </c>
      <c r="CD127" s="130">
        <f>CD48/CF48</f>
        <v>0.24692637104572454</v>
      </c>
      <c r="CE127" s="130">
        <f>CE48/CF48</f>
        <v>0.27635032463047382</v>
      </c>
      <c r="CF127" s="123"/>
      <c r="CG127" s="130">
        <f>CG48/CK48</f>
        <v>0.22712017555182651</v>
      </c>
      <c r="CH127" s="130">
        <f>CH48/CK48</f>
        <v>0.24551439266812961</v>
      </c>
      <c r="CI127" s="130">
        <f>CI48/CK48</f>
        <v>0.25054859945785463</v>
      </c>
      <c r="CJ127" s="130">
        <f>CJ48/CK48</f>
        <v>0.27681683232218923</v>
      </c>
      <c r="CK127" s="123"/>
      <c r="CL127" s="130">
        <f>CL48/CP48</f>
        <v>0.24382454539529427</v>
      </c>
      <c r="CM127" s="130">
        <f>CM48/CP48</f>
        <v>0.24193443264029199</v>
      </c>
      <c r="CN127" s="130">
        <f>CN48/CP48</f>
        <v>0.24154337482891219</v>
      </c>
      <c r="CO127" s="130">
        <f>CO48/CP48</f>
        <v>0.27269764713550154</v>
      </c>
      <c r="CP127" s="123"/>
      <c r="CQ127" s="130">
        <f>CQ48/CU48</f>
        <v>0.24409550164103225</v>
      </c>
      <c r="CR127" s="130">
        <f>CR48/CU48</f>
        <v>0.25645150910612008</v>
      </c>
      <c r="CS127" s="130">
        <f>CS48/CU48</f>
        <v>0.2511101100456915</v>
      </c>
      <c r="CT127" s="130">
        <f>CT48/CU48</f>
        <v>0.2483428792071562</v>
      </c>
      <c r="CU127" s="123"/>
      <c r="CV127" s="130">
        <f>CV48/CZ48</f>
        <v>0.2373006795397968</v>
      </c>
      <c r="CW127" s="130">
        <f>CW48/CZ48</f>
        <v>0.23938639574783019</v>
      </c>
      <c r="CX127" s="130">
        <f>CX48/CZ48</f>
        <v>0.24746013590795937</v>
      </c>
      <c r="CY127" s="130">
        <f>CY48/CZ48</f>
        <v>0.27585278880441366</v>
      </c>
      <c r="CZ127" s="123"/>
      <c r="DA127" s="130">
        <f>DA48/DE48</f>
        <v>0.47855559900925565</v>
      </c>
      <c r="DB127" s="130">
        <f>DB48/DE48</f>
        <v>0.52144440099074441</v>
      </c>
      <c r="DC127" s="130">
        <f>DC48/DE48</f>
        <v>0</v>
      </c>
      <c r="DD127" s="130">
        <f>DD48/DE48</f>
        <v>0</v>
      </c>
      <c r="DE127" s="123"/>
      <c r="DF127" s="130"/>
      <c r="DG127" s="130"/>
      <c r="DH127" s="130"/>
      <c r="DI127" s="130"/>
      <c r="DJ127" s="123"/>
      <c r="DK127" s="130"/>
      <c r="DL127" s="130"/>
      <c r="DM127" s="130"/>
      <c r="DN127" s="130"/>
      <c r="DO127" s="123"/>
      <c r="DP127" s="130"/>
      <c r="DQ127" s="130"/>
      <c r="DR127" s="130"/>
      <c r="DS127" s="130"/>
      <c r="DT127" s="123"/>
      <c r="DU127" s="123"/>
      <c r="DV127" s="123"/>
    </row>
    <row r="128" spans="2:126" s="92" customFormat="1" hidden="1" outlineLevel="1">
      <c r="B128" s="41" t="s">
        <v>629</v>
      </c>
      <c r="C128" s="123"/>
      <c r="D128" s="123"/>
      <c r="E128" s="123"/>
      <c r="F128" s="123"/>
      <c r="G128" s="123"/>
      <c r="H128" s="123"/>
      <c r="I128" s="123"/>
      <c r="J128" s="130"/>
      <c r="K128" s="130"/>
      <c r="L128" s="130"/>
      <c r="M128" s="130"/>
      <c r="N128" s="123"/>
      <c r="O128" s="130"/>
      <c r="P128" s="130"/>
      <c r="Q128" s="130"/>
      <c r="R128" s="130"/>
      <c r="S128" s="123"/>
      <c r="T128" s="130"/>
      <c r="U128" s="130"/>
      <c r="V128" s="130"/>
      <c r="W128" s="130"/>
      <c r="X128" s="123"/>
      <c r="Y128" s="130"/>
      <c r="Z128" s="130"/>
      <c r="AA128" s="130"/>
      <c r="AB128" s="130"/>
      <c r="AC128" s="123"/>
      <c r="AD128" s="130"/>
      <c r="AE128" s="130"/>
      <c r="AF128" s="130"/>
      <c r="AG128" s="130"/>
      <c r="AH128" s="123"/>
      <c r="AI128" s="130"/>
      <c r="AJ128" s="130"/>
      <c r="AK128" s="130"/>
      <c r="AL128" s="130"/>
      <c r="AM128" s="123"/>
      <c r="AN128" s="130"/>
      <c r="AO128" s="130"/>
      <c r="AP128" s="130"/>
      <c r="AQ128" s="130"/>
      <c r="AR128" s="123"/>
      <c r="AS128" s="130"/>
      <c r="AT128" s="130"/>
      <c r="AU128" s="130"/>
      <c r="AV128" s="130"/>
      <c r="AW128" s="123"/>
      <c r="AX128" s="130"/>
      <c r="AY128" s="130"/>
      <c r="AZ128" s="130"/>
      <c r="BA128" s="130"/>
      <c r="BB128" s="123"/>
      <c r="BC128" s="130"/>
      <c r="BD128" s="130"/>
      <c r="BE128" s="130"/>
      <c r="BF128" s="130"/>
      <c r="BG128" s="123"/>
      <c r="BH128" s="130"/>
      <c r="BI128" s="130"/>
      <c r="BJ128" s="130"/>
      <c r="BK128" s="130"/>
      <c r="BL128" s="123"/>
      <c r="BM128" s="130"/>
      <c r="BN128" s="130"/>
      <c r="BO128" s="130"/>
      <c r="BP128" s="130"/>
      <c r="BQ128" s="123"/>
      <c r="BR128" s="130"/>
      <c r="BS128" s="130"/>
      <c r="BT128" s="130"/>
      <c r="BU128" s="130"/>
      <c r="BV128" s="123"/>
      <c r="BW128" s="130"/>
      <c r="BX128" s="130"/>
      <c r="BY128" s="130"/>
      <c r="BZ128" s="130"/>
      <c r="CA128" s="123"/>
      <c r="CB128" s="130"/>
      <c r="CC128" s="130"/>
      <c r="CD128" s="130"/>
      <c r="CE128" s="130"/>
      <c r="CF128" s="123"/>
      <c r="CG128" s="130"/>
      <c r="CH128" s="130"/>
      <c r="CI128" s="130"/>
      <c r="CJ128" s="130"/>
      <c r="CK128" s="123"/>
      <c r="CL128" s="130"/>
      <c r="CM128" s="130"/>
      <c r="CN128" s="130"/>
      <c r="CO128" s="130"/>
      <c r="CP128" s="123"/>
      <c r="CQ128" s="130"/>
      <c r="CR128" s="130"/>
      <c r="CS128" s="130"/>
      <c r="CT128" s="130"/>
      <c r="CU128" s="123"/>
      <c r="CV128" s="130"/>
      <c r="CW128" s="130"/>
      <c r="CX128" s="130"/>
      <c r="CY128" s="130"/>
      <c r="CZ128" s="123"/>
      <c r="DA128" s="130"/>
      <c r="DB128" s="130"/>
      <c r="DC128" s="130"/>
      <c r="DD128" s="130"/>
      <c r="DE128" s="123"/>
      <c r="DF128" s="130">
        <f>+DF50/DJ50</f>
        <v>0.24862786095657693</v>
      </c>
      <c r="DG128" s="130">
        <f>+DG50/DJ50</f>
        <v>0.24571556584400553</v>
      </c>
      <c r="DH128" s="130">
        <f>+DH50/DJ50</f>
        <v>0.23843482806257701</v>
      </c>
      <c r="DI128" s="130">
        <f>+DI50/DJ50</f>
        <v>0.26722174513684055</v>
      </c>
      <c r="DJ128" s="123"/>
      <c r="DK128" s="130">
        <f>+DK50/DO50</f>
        <v>0.22875890572131075</v>
      </c>
      <c r="DL128" s="130">
        <f>+DL50/DO50</f>
        <v>0.25260900614430543</v>
      </c>
      <c r="DM128" s="130">
        <f>+DM50/DO50</f>
        <v>0.25419660738274985</v>
      </c>
      <c r="DN128" s="130">
        <f>+DN50/DO50</f>
        <v>0.26443548075163392</v>
      </c>
      <c r="DO128" s="123"/>
      <c r="DP128" s="130">
        <f>+DP50/DT50</f>
        <v>0.2320333223268311</v>
      </c>
      <c r="DQ128" s="130">
        <f>+DQ50/DT50</f>
        <v>0.24999878568840336</v>
      </c>
      <c r="DR128" s="130">
        <f>+DR50/DT50</f>
        <v>0.25325675408147996</v>
      </c>
      <c r="DS128" s="130">
        <f>+DS50/DT50</f>
        <v>0.2647111379032856</v>
      </c>
      <c r="DT128" s="123"/>
      <c r="DU128" s="123"/>
      <c r="DV128" s="123"/>
    </row>
    <row r="129" spans="1:126" s="92" customFormat="1" hidden="1" outlineLevel="1">
      <c r="B129" s="43" t="s">
        <v>67</v>
      </c>
      <c r="C129" s="136"/>
      <c r="D129" s="136"/>
      <c r="E129" s="136"/>
      <c r="F129" s="136"/>
      <c r="G129" s="136"/>
      <c r="H129" s="136"/>
      <c r="I129" s="136"/>
      <c r="J129" s="135">
        <f>J62/N62</f>
        <v>0.23595334066202517</v>
      </c>
      <c r="K129" s="135">
        <f>K62/N62</f>
        <v>0.2445950897764749</v>
      </c>
      <c r="L129" s="135">
        <f>L62/N62</f>
        <v>0.24419811896909735</v>
      </c>
      <c r="M129" s="135">
        <f>M62/N62</f>
        <v>0.27525345059240258</v>
      </c>
      <c r="N129" s="136"/>
      <c r="O129" s="135">
        <f>O62/S62</f>
        <v>0.2242108229988726</v>
      </c>
      <c r="P129" s="135">
        <f>P62/S62</f>
        <v>0.24991544532130777</v>
      </c>
      <c r="Q129" s="135">
        <f>Q62/S62</f>
        <v>0.24698421645997745</v>
      </c>
      <c r="R129" s="135">
        <f>R62/S62</f>
        <v>0.27888951521984218</v>
      </c>
      <c r="S129" s="136"/>
      <c r="T129" s="135">
        <f>T62/X62</f>
        <v>0.24444627735620808</v>
      </c>
      <c r="U129" s="135">
        <f>U62/X62</f>
        <v>0.26836577587154953</v>
      </c>
      <c r="V129" s="135">
        <f>V62/X62</f>
        <v>0.26600131969646978</v>
      </c>
      <c r="W129" s="135">
        <f>W62/X62</f>
        <v>0.22118662707577258</v>
      </c>
      <c r="X129" s="136"/>
      <c r="Y129" s="135">
        <f>Y62/AC62</f>
        <v>0.22771310552009014</v>
      </c>
      <c r="Z129" s="135">
        <f>Z62/AC62</f>
        <v>0.24691450744774066</v>
      </c>
      <c r="AA129" s="135">
        <f>AA62/AC62</f>
        <v>0.2444861684816623</v>
      </c>
      <c r="AB129" s="135">
        <f>AB62/AC62</f>
        <v>0.28088621855050694</v>
      </c>
      <c r="AC129" s="136"/>
      <c r="AD129" s="135">
        <f>AD62/AH62</f>
        <v>0.23890186915887851</v>
      </c>
      <c r="AE129" s="135">
        <f>AE62/AH62</f>
        <v>0.2572196261682243</v>
      </c>
      <c r="AF129" s="135">
        <f>AF62/AH62</f>
        <v>0.25058411214953269</v>
      </c>
      <c r="AG129" s="135">
        <f>AG62/AH62</f>
        <v>0.2532943925233645</v>
      </c>
      <c r="AH129" s="136"/>
      <c r="AI129" s="135">
        <f>AI62/AM62</f>
        <v>0.24402939375382732</v>
      </c>
      <c r="AJ129" s="135">
        <f>AJ62/AM62</f>
        <v>0.248480851665175</v>
      </c>
      <c r="AK129" s="135">
        <f>AK62/AM62</f>
        <v>0.24918743228602383</v>
      </c>
      <c r="AL129" s="135">
        <f>AL62/AM62</f>
        <v>0.25830232229497385</v>
      </c>
      <c r="AM129" s="136"/>
      <c r="AN129" s="135">
        <f>AN62/AR62</f>
        <v>0.23350242102836061</v>
      </c>
      <c r="AO129" s="135">
        <f>AO62/AR62</f>
        <v>0.24295596034124972</v>
      </c>
      <c r="AP129" s="135">
        <f>AP62/AR62</f>
        <v>0.25003458611943741</v>
      </c>
      <c r="AQ129" s="135">
        <f>AQ62/AR62</f>
        <v>0.27350703251095226</v>
      </c>
      <c r="AR129" s="136"/>
      <c r="AS129" s="135">
        <f>AS62/AW62</f>
        <v>0.23806459301632701</v>
      </c>
      <c r="AT129" s="135">
        <f>AT62/AX62</f>
        <v>1.04445322532846</v>
      </c>
      <c r="AU129" s="135">
        <f>AU62/AW62</f>
        <v>0.2456679775950423</v>
      </c>
      <c r="AV129" s="135">
        <f>AV62/AW62</f>
        <v>0.2642593254677631</v>
      </c>
      <c r="AW129" s="136"/>
      <c r="AX129" s="135">
        <f>AX62/BB62</f>
        <v>0.21918371765724803</v>
      </c>
      <c r="AY129" s="135">
        <f>AY62/BB62</f>
        <v>0.22849409981595756</v>
      </c>
      <c r="AZ129" s="135">
        <f>AZ62/BB62</f>
        <v>0.26214138789650321</v>
      </c>
      <c r="BA129" s="135">
        <f>BA62/BB62</f>
        <v>0.28838367435314494</v>
      </c>
      <c r="BB129" s="136"/>
      <c r="BC129" s="135">
        <f>BC62/BG62</f>
        <v>0.24372858661835939</v>
      </c>
      <c r="BD129" s="135">
        <f>BD62/BG62</f>
        <v>0.25349505769306502</v>
      </c>
      <c r="BE129" s="135">
        <f>BE62/BG62</f>
        <v>0.24294096798330247</v>
      </c>
      <c r="BF129" s="135">
        <f>BF62/BG62</f>
        <v>0.25983538770527309</v>
      </c>
      <c r="BG129" s="136"/>
      <c r="BH129" s="135">
        <f>BH62/BL62</f>
        <v>0.23866508688783569</v>
      </c>
      <c r="BI129" s="135">
        <f>BI62/BL62</f>
        <v>0.2510663507109005</v>
      </c>
      <c r="BJ129" s="135">
        <f>BJ62/BL62</f>
        <v>0.24377962085308058</v>
      </c>
      <c r="BK129" s="135">
        <f>BK62/BL62</f>
        <v>0.26708135860979465</v>
      </c>
      <c r="BL129" s="136"/>
      <c r="BM129" s="135">
        <f>BM62/BQ62</f>
        <v>0.23663080452495847</v>
      </c>
      <c r="BN129" s="135">
        <f>BN62/BQ62</f>
        <v>0.25587374416580966</v>
      </c>
      <c r="BO129" s="135">
        <f>BO62/BQ62</f>
        <v>0.24224744877778656</v>
      </c>
      <c r="BP129" s="135">
        <f>BP62/BQ62</f>
        <v>0.26524800253144531</v>
      </c>
      <c r="BQ129" s="136"/>
      <c r="BR129" s="135">
        <f>BR62/BV62</f>
        <v>0.24114972702543325</v>
      </c>
      <c r="BS129" s="135">
        <f>BS62/BV62</f>
        <v>0.25400901672088111</v>
      </c>
      <c r="BT129" s="135">
        <f>BT62/BV62</f>
        <v>0.24641899218170404</v>
      </c>
      <c r="BU129" s="135">
        <f>BU62/BV62</f>
        <v>0.2584222640719816</v>
      </c>
      <c r="BV129" s="136"/>
      <c r="BW129" s="135">
        <f>BW62/CA62</f>
        <v>0.2367324106321165</v>
      </c>
      <c r="BX129" s="135">
        <f>BX62/CA62</f>
        <v>0.24754136817222153</v>
      </c>
      <c r="BY129" s="135">
        <f>BY62/CA62</f>
        <v>0.25059097388887885</v>
      </c>
      <c r="BZ129" s="135">
        <f>BZ62/CA62</f>
        <v>0.26513524730678312</v>
      </c>
      <c r="CA129" s="136"/>
      <c r="CB129" s="135">
        <f>CB62/CF62</f>
        <v>0.2306677557393165</v>
      </c>
      <c r="CC129" s="135">
        <f>CC62/CF62</f>
        <v>0.24302824842421789</v>
      </c>
      <c r="CD129" s="135">
        <f>CD62/CF62</f>
        <v>0.24681590817093621</v>
      </c>
      <c r="CE129" s="135">
        <f>CE62/CF62</f>
        <v>0.27948808766552941</v>
      </c>
      <c r="CF129" s="136"/>
      <c r="CG129" s="135">
        <f>CG62/CK62</f>
        <v>0.23737489392082115</v>
      </c>
      <c r="CH129" s="135">
        <f>CH62/CK62</f>
        <v>0.24807036922289424</v>
      </c>
      <c r="CI129" s="135">
        <f>CI62/CK62</f>
        <v>0.25259641418699569</v>
      </c>
      <c r="CJ129" s="135">
        <f>CJ62/CK62</f>
        <v>0.26195832266928892</v>
      </c>
      <c r="CK129" s="136"/>
      <c r="CL129" s="135">
        <f>CL62/CP62</f>
        <v>0.26922154798761616</v>
      </c>
      <c r="CM129" s="135">
        <f>CM62/CP62</f>
        <v>0.23850724458204337</v>
      </c>
      <c r="CN129" s="135">
        <f>CN62/CP62</f>
        <v>0.24111269349845199</v>
      </c>
      <c r="CO129" s="135">
        <f>CO62/CP62</f>
        <v>0.31501300309597519</v>
      </c>
      <c r="CP129" s="136"/>
      <c r="CQ129" s="135">
        <f>CQ62/CU62</f>
        <v>0.25259010995837733</v>
      </c>
      <c r="CR129" s="135">
        <f>CR62/CU62</f>
        <v>0.26055879977635588</v>
      </c>
      <c r="CS129" s="135">
        <f>CS62/CU62</f>
        <v>0.26486345281729518</v>
      </c>
      <c r="CT129" s="135">
        <f>CT62/CU62</f>
        <v>0.2857883456544697</v>
      </c>
      <c r="CU129" s="136"/>
      <c r="CV129" s="135">
        <f>CV62/CZ62</f>
        <v>0.23430837582371708</v>
      </c>
      <c r="CW129" s="135">
        <f>CW62/CZ62</f>
        <v>0.24322390195903032</v>
      </c>
      <c r="CX129" s="135">
        <f>CX62/CZ62</f>
        <v>0.25272087545099442</v>
      </c>
      <c r="CY129" s="135">
        <f>CY62/CZ62</f>
        <v>0.26974684676625815</v>
      </c>
      <c r="CZ129" s="136"/>
      <c r="DA129" s="135">
        <f>DA62/DE62</f>
        <v>0.24976784677887406</v>
      </c>
      <c r="DB129" s="135">
        <f>DB62/DE62</f>
        <v>0.26574289030760301</v>
      </c>
      <c r="DC129" s="135">
        <f>DC62/DE62</f>
        <v>0.19535693557748113</v>
      </c>
      <c r="DD129" s="135">
        <f>DD62/DE62</f>
        <v>0.28913232733604177</v>
      </c>
      <c r="DE129" s="136"/>
      <c r="DF129" s="135">
        <f>DF62/DJ62</f>
        <v>0.23889961389961389</v>
      </c>
      <c r="DG129" s="135">
        <f>DG62/DJ62</f>
        <v>0.2449138699138699</v>
      </c>
      <c r="DH129" s="135">
        <f>DH62/DJ62</f>
        <v>0.24860162360162361</v>
      </c>
      <c r="DI129" s="135">
        <f>DI62/DJ62</f>
        <v>0.2675848925848926</v>
      </c>
      <c r="DJ129" s="136"/>
      <c r="DK129" s="135">
        <f>DK62/DO62</f>
        <v>0.23349518430843369</v>
      </c>
      <c r="DL129" s="135">
        <f>DL62/DO62</f>
        <v>0.24815618893727506</v>
      </c>
      <c r="DM129" s="135">
        <f>DM62/DO62</f>
        <v>0.25847063689968347</v>
      </c>
      <c r="DN129" s="135">
        <f>DN62/DO62</f>
        <v>0.2598779898546078</v>
      </c>
      <c r="DO129" s="136"/>
      <c r="DP129" s="135">
        <f>DP62/DT62</f>
        <v>0.23226609113985577</v>
      </c>
      <c r="DQ129" s="135">
        <f>DQ62/DT62</f>
        <v>0.24580417948072922</v>
      </c>
      <c r="DR129" s="135">
        <f>DR62/DT62</f>
        <v>0.25908589972311247</v>
      </c>
      <c r="DS129" s="135">
        <f>DS62/DT62</f>
        <v>0.2628438296563026</v>
      </c>
      <c r="DT129" s="136"/>
      <c r="DU129" s="136"/>
      <c r="DV129" s="136"/>
    </row>
    <row r="130" spans="1:126" s="92" customFormat="1" collapsed="1">
      <c r="C130" s="91"/>
      <c r="D130" s="91"/>
      <c r="E130" s="91"/>
      <c r="F130" s="91"/>
      <c r="G130" s="91"/>
      <c r="H130" s="91"/>
      <c r="I130" s="91"/>
      <c r="N130" s="91"/>
      <c r="S130" s="91"/>
      <c r="X130" s="91"/>
      <c r="AC130" s="91"/>
      <c r="AD130" s="214"/>
      <c r="AE130" s="214"/>
      <c r="AF130" s="214"/>
      <c r="AG130" s="214"/>
      <c r="AH130" s="408"/>
      <c r="AI130" s="214"/>
      <c r="AJ130" s="214"/>
      <c r="AK130" s="214"/>
      <c r="AL130" s="214"/>
      <c r="AM130" s="408"/>
      <c r="AN130" s="214"/>
      <c r="AO130" s="214"/>
      <c r="AP130" s="214"/>
      <c r="AQ130" s="214"/>
      <c r="AR130" s="408"/>
      <c r="AS130" s="214"/>
      <c r="AT130" s="214"/>
      <c r="AU130" s="214"/>
      <c r="AV130" s="214"/>
      <c r="AW130" s="91"/>
      <c r="BB130" s="91"/>
      <c r="BE130" s="466"/>
      <c r="BG130" s="91"/>
      <c r="BL130" s="91"/>
      <c r="BQ130" s="91"/>
      <c r="BV130" s="91"/>
      <c r="CA130" s="91"/>
      <c r="CF130" s="91"/>
      <c r="CK130" s="91"/>
      <c r="CP130" s="91"/>
      <c r="CU130" s="27"/>
      <c r="CZ130" s="27"/>
      <c r="DE130" s="27"/>
      <c r="DJ130" s="27"/>
      <c r="DO130" s="27"/>
      <c r="DT130" s="27"/>
      <c r="DU130" s="91"/>
      <c r="DV130" s="91"/>
    </row>
    <row r="131" spans="1:126" s="92" customFormat="1">
      <c r="B131" s="64" t="s">
        <v>80</v>
      </c>
      <c r="C131" s="91"/>
      <c r="D131" s="91"/>
      <c r="E131" s="91"/>
      <c r="F131" s="91"/>
      <c r="G131" s="91"/>
      <c r="H131" s="91"/>
      <c r="I131" s="91"/>
      <c r="N131" s="91"/>
      <c r="S131" s="91"/>
      <c r="X131" s="91"/>
      <c r="AC131" s="91"/>
      <c r="AH131" s="91"/>
      <c r="AM131" s="91"/>
      <c r="AR131" s="91"/>
      <c r="AW131" s="91"/>
      <c r="BB131" s="91"/>
      <c r="BG131" s="91"/>
      <c r="BL131" s="91"/>
      <c r="BQ131" s="91"/>
      <c r="BV131" s="91"/>
      <c r="CA131" s="91"/>
      <c r="CF131" s="91"/>
      <c r="CK131" s="91"/>
      <c r="CP131" s="91"/>
      <c r="CU131" s="27"/>
      <c r="CZ131" s="27"/>
      <c r="DE131" s="27"/>
      <c r="DJ131" s="27"/>
      <c r="DO131" s="27"/>
      <c r="DT131" s="27"/>
      <c r="DU131" s="91"/>
      <c r="DV131" s="91"/>
    </row>
    <row r="132" spans="1:126" s="128" customFormat="1">
      <c r="A132" s="92"/>
      <c r="B132" s="115" t="s">
        <v>194</v>
      </c>
      <c r="C132" s="112">
        <f>+Data!C164</f>
        <v>816</v>
      </c>
      <c r="D132" s="112">
        <f>+Data!D164</f>
        <v>1024</v>
      </c>
      <c r="E132" s="112">
        <f>+Data!E164</f>
        <v>634</v>
      </c>
      <c r="F132" s="112">
        <f>+Data!F164</f>
        <v>1200</v>
      </c>
      <c r="G132" s="112">
        <f>+Data!G164</f>
        <v>1308</v>
      </c>
      <c r="H132" s="112">
        <f>+Data!H164</f>
        <v>1282</v>
      </c>
      <c r="I132" s="112">
        <f>+Data!I164</f>
        <v>1063</v>
      </c>
      <c r="J132" s="131">
        <f>+Data!J164</f>
        <v>206</v>
      </c>
      <c r="K132" s="131">
        <f>+Data!K164</f>
        <v>295</v>
      </c>
      <c r="L132" s="131">
        <f>+Data!L164</f>
        <v>302</v>
      </c>
      <c r="M132" s="131">
        <f>+Data!M164</f>
        <v>280</v>
      </c>
      <c r="N132" s="112">
        <f t="shared" ref="N132:N133" si="186">SUM(J132:M132)</f>
        <v>1083</v>
      </c>
      <c r="O132" s="131">
        <f>+Data!O164</f>
        <v>340</v>
      </c>
      <c r="P132" s="131">
        <f>+Data!P164</f>
        <v>368</v>
      </c>
      <c r="Q132" s="131">
        <f>+Data!Q164</f>
        <v>379</v>
      </c>
      <c r="R132" s="131">
        <f>+Data!R164</f>
        <v>362</v>
      </c>
      <c r="S132" s="112">
        <f t="shared" ref="S132:S133" si="187">SUM(O132:R132)</f>
        <v>1449</v>
      </c>
      <c r="T132" s="131">
        <f>+Data!T164</f>
        <v>430</v>
      </c>
      <c r="U132" s="131">
        <f>+Data!U164</f>
        <v>535</v>
      </c>
      <c r="V132" s="131">
        <f>+Data!V164</f>
        <v>443</v>
      </c>
      <c r="W132" s="131">
        <f>+Data!W164</f>
        <v>409</v>
      </c>
      <c r="X132" s="112">
        <f t="shared" ref="X132:X133" si="188">SUM(T132:W132)</f>
        <v>1817</v>
      </c>
      <c r="Y132" s="131">
        <f>+Data!Y164</f>
        <v>490</v>
      </c>
      <c r="Z132" s="131">
        <f>+Data!Z164</f>
        <v>522</v>
      </c>
      <c r="AA132" s="131">
        <f>+Data!AA164</f>
        <v>503</v>
      </c>
      <c r="AB132" s="131">
        <f>+Data!AB164</f>
        <v>496</v>
      </c>
      <c r="AC132" s="112">
        <f t="shared" ref="AC132:AC133" si="189">SUM(Y132:AB132)</f>
        <v>2011</v>
      </c>
      <c r="AD132" s="131">
        <f>+Data!AD164</f>
        <v>526</v>
      </c>
      <c r="AE132" s="131">
        <f>+Data!AE164</f>
        <v>546</v>
      </c>
      <c r="AF132" s="131">
        <f>+Data!AF164</f>
        <v>530</v>
      </c>
      <c r="AG132" s="131">
        <f>+Data!AG164</f>
        <v>520</v>
      </c>
      <c r="AH132" s="112">
        <f t="shared" ref="AH132:AH133" si="190">SUM(AD132:AG132)</f>
        <v>2122</v>
      </c>
      <c r="AI132" s="131">
        <f>+Data!AI164</f>
        <v>436</v>
      </c>
      <c r="AJ132" s="131">
        <f>+Data!AJ164</f>
        <v>467</v>
      </c>
      <c r="AK132" s="131">
        <f>+Data!AK164</f>
        <v>444</v>
      </c>
      <c r="AL132" s="131">
        <f>+Data!AL164</f>
        <v>488</v>
      </c>
      <c r="AM132" s="112">
        <f t="shared" ref="AM132:AM133" si="191">SUM(AI132:AL132)</f>
        <v>1835</v>
      </c>
      <c r="AN132" s="131">
        <f>+Data!AN164</f>
        <v>436</v>
      </c>
      <c r="AO132" s="131">
        <f>+Data!AO164</f>
        <v>522</v>
      </c>
      <c r="AP132" s="131">
        <f>+Data!AP164</f>
        <v>547</v>
      </c>
      <c r="AQ132" s="131">
        <f>+Data!AQ164</f>
        <v>482</v>
      </c>
      <c r="AR132" s="112">
        <f t="shared" ref="AR132:AR133" si="192">SUM(AN132:AQ132)</f>
        <v>1987</v>
      </c>
      <c r="AS132" s="131">
        <f>+Data!AS164</f>
        <v>428</v>
      </c>
      <c r="AT132" s="131">
        <f>+Data!AT164</f>
        <v>424</v>
      </c>
      <c r="AU132" s="131">
        <f>+Data!AU164</f>
        <v>496</v>
      </c>
      <c r="AV132" s="131">
        <f>+Data!AV164</f>
        <v>519</v>
      </c>
      <c r="AW132" s="112">
        <f t="shared" ref="AW132:AW133" si="193">SUM(AS132:AV132)</f>
        <v>1867</v>
      </c>
      <c r="AX132" s="131">
        <f>+Data!AX164</f>
        <v>389.34229452735406</v>
      </c>
      <c r="AY132" s="131">
        <f>+Data!AY164</f>
        <v>427.50877621436848</v>
      </c>
      <c r="AZ132" s="131">
        <f>+Data!AZ164</f>
        <v>408.84284946631078</v>
      </c>
      <c r="BA132" s="208">
        <f>+Data!BA164</f>
        <v>358.34895379483464</v>
      </c>
      <c r="BB132" s="112">
        <f>SUM(AX132:BA132)</f>
        <v>1584.0428740028681</v>
      </c>
      <c r="BC132" s="208">
        <f>+Data!BC164</f>
        <v>418.55993684702946</v>
      </c>
      <c r="BD132" s="208">
        <f>+Data!BD164</f>
        <v>574.73196792361102</v>
      </c>
      <c r="BE132" s="208">
        <f>+Data!BE164</f>
        <v>448.72974816778418</v>
      </c>
      <c r="BF132" s="208">
        <f>+Data!BF164</f>
        <v>467.07048068720701</v>
      </c>
      <c r="BG132" s="112">
        <f>SUM(BC132:BF132)</f>
        <v>1909.0921336256317</v>
      </c>
      <c r="BH132" s="208">
        <f>+Data!BH164</f>
        <v>403.45661118805856</v>
      </c>
      <c r="BI132" s="208">
        <f>+Data!BI164</f>
        <v>478.25572328572781</v>
      </c>
      <c r="BJ132" s="208">
        <f>+Data!BJ164</f>
        <v>638.30122828017852</v>
      </c>
      <c r="BK132" s="208">
        <f>+Data!BK164</f>
        <v>545.97492417363014</v>
      </c>
      <c r="BL132" s="112">
        <f>SUM(BH132:BK132)</f>
        <v>2065.9884869275947</v>
      </c>
      <c r="BM132" s="208">
        <f>+Data!BM164</f>
        <v>434.40654629230454</v>
      </c>
      <c r="BN132" s="208">
        <f>+Data!BN164</f>
        <v>489.58745639219353</v>
      </c>
      <c r="BO132" s="208">
        <f>+Data!BO164</f>
        <v>429.5785773688861</v>
      </c>
      <c r="BP132" s="208">
        <f>+Data!BP164</f>
        <v>-515.01964682645246</v>
      </c>
      <c r="BQ132" s="112">
        <f>SUM(BM132:BP132)</f>
        <v>838.55293322693171</v>
      </c>
      <c r="BR132" s="208">
        <f>+Data!BR164</f>
        <v>426.2049092988201</v>
      </c>
      <c r="BS132" s="208">
        <f>+Data!BS164</f>
        <v>405.86750641313751</v>
      </c>
      <c r="BT132" s="208">
        <f>+Data!BT164</f>
        <v>357.70324448194992</v>
      </c>
      <c r="BU132" s="208">
        <f>+Data!BU164</f>
        <v>348.78981495919743</v>
      </c>
      <c r="BV132" s="112">
        <f>SUM(BR132:BU132)</f>
        <v>1538.5654751531049</v>
      </c>
      <c r="BW132" s="208">
        <f>+Data!BW164</f>
        <v>365.51048651177297</v>
      </c>
      <c r="BX132" s="208">
        <f>+Data!BX164</f>
        <v>380.66919905339336</v>
      </c>
      <c r="BY132" s="208">
        <f>+Data!BY164</f>
        <v>212.4971679768118</v>
      </c>
      <c r="BZ132" s="208">
        <f>+Data!BZ164</f>
        <v>386.52824455838783</v>
      </c>
      <c r="CA132" s="195">
        <f>SUM(BW132:BZ132)</f>
        <v>1345.2050981003658</v>
      </c>
      <c r="CB132" s="208">
        <f>+Data!CB164</f>
        <v>456.71273676379116</v>
      </c>
      <c r="CC132" s="208">
        <f>+Data!CC164</f>
        <v>427.72716517666572</v>
      </c>
      <c r="CD132" s="208">
        <f>+Data!CD164</f>
        <v>141.39198204681</v>
      </c>
      <c r="CE132" s="208">
        <f>+Data!CE164</f>
        <v>390.3831030235026</v>
      </c>
      <c r="CF132" s="195">
        <f>SUM(CB132:CE132)</f>
        <v>1416.2149870107694</v>
      </c>
      <c r="CG132" s="208">
        <f>+Data!CG164</f>
        <v>478</v>
      </c>
      <c r="CH132" s="208">
        <f>+Data!CH164</f>
        <v>449</v>
      </c>
      <c r="CI132" s="208">
        <f>+Data!CI164</f>
        <v>520</v>
      </c>
      <c r="CJ132" s="208">
        <f>+Data!CJ164</f>
        <v>354</v>
      </c>
      <c r="CK132" s="195">
        <f>SUM(CG132:CJ132)</f>
        <v>1801</v>
      </c>
      <c r="CL132" s="208">
        <f>Data!CL164</f>
        <v>475</v>
      </c>
      <c r="CM132" s="208">
        <f>Data!CM164</f>
        <v>-457</v>
      </c>
      <c r="CN132" s="208">
        <f>Data!CN164</f>
        <v>-615</v>
      </c>
      <c r="CO132" s="208">
        <f>Data!CO164</f>
        <v>33</v>
      </c>
      <c r="CP132" s="195">
        <f>SUM(CL132:CO132)</f>
        <v>-564</v>
      </c>
      <c r="CQ132" s="208">
        <f>Data!CQ164</f>
        <v>20</v>
      </c>
      <c r="CR132" s="208">
        <f>Data!CR164</f>
        <v>112</v>
      </c>
      <c r="CS132" s="208">
        <f>Data!CS164</f>
        <v>187</v>
      </c>
      <c r="CT132" s="208">
        <f>Data!CT164</f>
        <v>135</v>
      </c>
      <c r="CU132" s="195">
        <f>SUM(CQ132:CT132)</f>
        <v>454</v>
      </c>
      <c r="CV132" s="208">
        <f>Data!CV164</f>
        <v>151</v>
      </c>
      <c r="CW132" s="208">
        <f>Data!CW164</f>
        <v>302</v>
      </c>
      <c r="CX132" s="208">
        <f>Data!CX164</f>
        <v>316</v>
      </c>
      <c r="CY132" s="208">
        <f>Data!CY164</f>
        <v>306</v>
      </c>
      <c r="CZ132" s="195">
        <f>SUM(CV132:CY132)</f>
        <v>1075</v>
      </c>
      <c r="DA132" s="208">
        <f>Data!DA164</f>
        <v>415</v>
      </c>
      <c r="DB132" s="208">
        <f>Data!DB164</f>
        <v>230</v>
      </c>
      <c r="DC132" s="208">
        <f>Data!DC164</f>
        <v>-2482</v>
      </c>
      <c r="DD132" s="208">
        <f>Data!DD164</f>
        <v>382</v>
      </c>
      <c r="DE132" s="195">
        <f>SUM(DA132:DD132)</f>
        <v>-1455</v>
      </c>
      <c r="DF132" s="208">
        <f>Data!DF164</f>
        <v>412</v>
      </c>
      <c r="DG132" s="208">
        <f>Data!DG164</f>
        <v>542</v>
      </c>
      <c r="DH132" s="208">
        <f>Data!DH164</f>
        <v>557</v>
      </c>
      <c r="DI132" s="208">
        <f>Data!DI164</f>
        <v>504</v>
      </c>
      <c r="DJ132" s="195">
        <f>SUM(DF132:DI132)</f>
        <v>2015</v>
      </c>
      <c r="DK132" s="208">
        <f>Data!DK164</f>
        <v>580</v>
      </c>
      <c r="DL132" s="208">
        <f>Data!DL164</f>
        <v>492</v>
      </c>
      <c r="DM132" s="208">
        <f>Data!DM164</f>
        <v>751</v>
      </c>
      <c r="DN132" s="132">
        <f t="shared" ref="DN132" si="194">DN168+DN156</f>
        <v>723.7856250000001</v>
      </c>
      <c r="DO132" s="195">
        <f>SUM(DK132:DN132)</f>
        <v>2546.785625</v>
      </c>
      <c r="DP132" s="132">
        <f t="shared" ref="DP132" si="195">DP168+DP156</f>
        <v>645.26159999999993</v>
      </c>
      <c r="DQ132" s="132">
        <f t="shared" ref="DQ132:DS132" si="196">DQ168+DQ156</f>
        <v>683.31026400000019</v>
      </c>
      <c r="DR132" s="132">
        <f t="shared" si="196"/>
        <v>845.433356</v>
      </c>
      <c r="DS132" s="132">
        <f t="shared" si="196"/>
        <v>838.3992075000001</v>
      </c>
      <c r="DT132" s="195">
        <f>SUM(DP132:DS132)</f>
        <v>3012.4044275000001</v>
      </c>
      <c r="DU132" s="70">
        <f t="shared" ref="DU132:DV132" si="197">DU168+DU156</f>
        <v>3323.4061003880006</v>
      </c>
      <c r="DV132" s="70">
        <f t="shared" si="197"/>
        <v>3640.2626592772654</v>
      </c>
    </row>
    <row r="133" spans="1:126" s="92" customFormat="1">
      <c r="B133" s="115" t="s">
        <v>472</v>
      </c>
      <c r="C133" s="112">
        <f>+Data!C165</f>
        <v>301</v>
      </c>
      <c r="D133" s="112">
        <f>+Data!D165</f>
        <v>287</v>
      </c>
      <c r="E133" s="112">
        <f>+Data!E165</f>
        <v>247</v>
      </c>
      <c r="F133" s="112">
        <f>+Data!F165</f>
        <v>614</v>
      </c>
      <c r="G133" s="112">
        <f>+Data!G165</f>
        <v>670</v>
      </c>
      <c r="H133" s="112">
        <f>+Data!H165</f>
        <v>565</v>
      </c>
      <c r="I133" s="112">
        <f>+Data!I165</f>
        <v>554</v>
      </c>
      <c r="J133" s="131">
        <f>+Data!J165</f>
        <v>131</v>
      </c>
      <c r="K133" s="131">
        <f>+Data!K165</f>
        <v>140</v>
      </c>
      <c r="L133" s="131">
        <f>+Data!L165</f>
        <v>160</v>
      </c>
      <c r="M133" s="131">
        <f>+Data!M165</f>
        <v>152</v>
      </c>
      <c r="N133" s="112">
        <f t="shared" si="186"/>
        <v>583</v>
      </c>
      <c r="O133" s="131">
        <f>+Data!O165</f>
        <v>152</v>
      </c>
      <c r="P133" s="131">
        <f>+Data!P165</f>
        <v>170</v>
      </c>
      <c r="Q133" s="131">
        <f>+Data!Q165</f>
        <v>179</v>
      </c>
      <c r="R133" s="131">
        <f>+Data!R165</f>
        <v>174</v>
      </c>
      <c r="S133" s="112">
        <f t="shared" si="187"/>
        <v>675</v>
      </c>
      <c r="T133" s="131">
        <f>+Data!T165</f>
        <v>181</v>
      </c>
      <c r="U133" s="131">
        <f>+Data!U165</f>
        <v>212</v>
      </c>
      <c r="V133" s="131">
        <f>+Data!V165</f>
        <v>220</v>
      </c>
      <c r="W133" s="131">
        <f>+Data!W165</f>
        <v>219</v>
      </c>
      <c r="X133" s="112">
        <f t="shared" si="188"/>
        <v>832</v>
      </c>
      <c r="Y133" s="131">
        <f>+Data!Y165</f>
        <v>218</v>
      </c>
      <c r="Z133" s="131">
        <f>+Data!Z165</f>
        <v>246</v>
      </c>
      <c r="AA133" s="131">
        <f>+Data!AA165</f>
        <v>249</v>
      </c>
      <c r="AB133" s="131">
        <f>+Data!AB165</f>
        <v>254</v>
      </c>
      <c r="AC133" s="112">
        <f t="shared" si="189"/>
        <v>967</v>
      </c>
      <c r="AD133" s="131">
        <f>+Data!AD165</f>
        <v>229</v>
      </c>
      <c r="AE133" s="131">
        <f>+Data!AE165</f>
        <v>280</v>
      </c>
      <c r="AF133" s="131">
        <f>+Data!AF165</f>
        <v>286</v>
      </c>
      <c r="AG133" s="131">
        <f>+Data!AG165</f>
        <v>304</v>
      </c>
      <c r="AH133" s="112">
        <f t="shared" si="190"/>
        <v>1099</v>
      </c>
      <c r="AI133" s="131">
        <f>+Data!AI165</f>
        <v>192</v>
      </c>
      <c r="AJ133" s="131">
        <f>+Data!AJ165</f>
        <v>187</v>
      </c>
      <c r="AK133" s="131">
        <f>+Data!AK165</f>
        <v>247</v>
      </c>
      <c r="AL133" s="131">
        <f>+Data!AL165</f>
        <v>231</v>
      </c>
      <c r="AM133" s="112">
        <f t="shared" si="191"/>
        <v>857</v>
      </c>
      <c r="AN133" s="131">
        <f>+Data!AN165</f>
        <v>221</v>
      </c>
      <c r="AO133" s="131">
        <f>+Data!AO165</f>
        <v>204</v>
      </c>
      <c r="AP133" s="131">
        <f>+Data!AP165</f>
        <v>255</v>
      </c>
      <c r="AQ133" s="131">
        <f>+Data!AQ165</f>
        <v>238</v>
      </c>
      <c r="AR133" s="112">
        <f t="shared" si="192"/>
        <v>918</v>
      </c>
      <c r="AS133" s="131">
        <f>+Data!AS165</f>
        <v>172</v>
      </c>
      <c r="AT133" s="131">
        <f>+Data!AT165</f>
        <v>185</v>
      </c>
      <c r="AU133" s="131">
        <f>+Data!AU165</f>
        <v>204</v>
      </c>
      <c r="AV133" s="131">
        <f>+Data!AV165</f>
        <v>198</v>
      </c>
      <c r="AW133" s="112">
        <f t="shared" si="193"/>
        <v>759</v>
      </c>
      <c r="AX133" s="131">
        <f>+Data!AX165</f>
        <v>220.43182888312037</v>
      </c>
      <c r="AY133" s="131">
        <f>+Data!AY165</f>
        <v>233.65380446580627</v>
      </c>
      <c r="AZ133" s="131">
        <f>+Data!AZ165</f>
        <v>292.76590213506267</v>
      </c>
      <c r="BA133" s="208">
        <f>+Data!BA165</f>
        <v>278.4407079064278</v>
      </c>
      <c r="BB133" s="112">
        <f>SUM(AX133:BA133)</f>
        <v>1025.2922433904171</v>
      </c>
      <c r="BC133" s="208">
        <f>+Data!BC165</f>
        <v>546.06958521752688</v>
      </c>
      <c r="BD133" s="208">
        <f>+Data!BD165</f>
        <v>537.63229331963566</v>
      </c>
      <c r="BE133" s="208">
        <f>+Data!BE165</f>
        <v>542.29600031186646</v>
      </c>
      <c r="BF133" s="208">
        <f>+Data!BF165</f>
        <v>549.41697700443035</v>
      </c>
      <c r="BG133" s="112">
        <f>SUM(BC133:BF133)</f>
        <v>2175.4148558534594</v>
      </c>
      <c r="BH133" s="208">
        <f>+Data!BH165</f>
        <v>639.2532134481736</v>
      </c>
      <c r="BI133" s="208">
        <f>+Data!BI165</f>
        <v>692.31869624506601</v>
      </c>
      <c r="BJ133" s="208">
        <f>+Data!BJ165</f>
        <v>610.71270290433347</v>
      </c>
      <c r="BK133" s="208">
        <f>+Data!BK165</f>
        <v>615.27763076226904</v>
      </c>
      <c r="BL133" s="112">
        <f>SUM(BH133:BK133)</f>
        <v>2557.5622433598419</v>
      </c>
      <c r="BM133" s="208">
        <f>+Data!BM165</f>
        <v>618.54803050176872</v>
      </c>
      <c r="BN133" s="208">
        <f>+Data!BN165</f>
        <v>612.45591063495408</v>
      </c>
      <c r="BO133" s="208">
        <f>+Data!BO165</f>
        <v>615.11073860387751</v>
      </c>
      <c r="BP133" s="208">
        <f>+Data!BP165</f>
        <v>127.97977301009284</v>
      </c>
      <c r="BQ133" s="112">
        <f>SUM(BM133:BP133)</f>
        <v>1974.0944527506933</v>
      </c>
      <c r="BR133" s="208">
        <f>+Data!BR165</f>
        <v>590.86228494204477</v>
      </c>
      <c r="BS133" s="208">
        <f>+Data!BS165</f>
        <v>639.74574776113468</v>
      </c>
      <c r="BT133" s="208">
        <f>+Data!BT165</f>
        <v>654.86006518621798</v>
      </c>
      <c r="BU133" s="208">
        <f>+Data!BU165</f>
        <v>528.97549248921462</v>
      </c>
      <c r="BV133" s="112">
        <f>SUM(BR133:BU133)</f>
        <v>2414.443590378612</v>
      </c>
      <c r="BW133" s="208">
        <f>+Data!BW165</f>
        <v>577.5194916575706</v>
      </c>
      <c r="BX133" s="208">
        <f>+Data!BX165</f>
        <v>591.06444171306441</v>
      </c>
      <c r="BY133" s="208">
        <f>+Data!BY165</f>
        <v>636.50173361095563</v>
      </c>
      <c r="BZ133" s="208">
        <f>+Data!BZ165</f>
        <v>579.20983571972374</v>
      </c>
      <c r="CA133" s="195">
        <f>SUM(BW133:BZ133)</f>
        <v>2384.295502701314</v>
      </c>
      <c r="CB133" s="208">
        <f>+Data!CB165</f>
        <v>1025.8477515824907</v>
      </c>
      <c r="CC133" s="208">
        <f>+Data!CC165</f>
        <v>989.53365613299025</v>
      </c>
      <c r="CD133" s="208">
        <f>+Data!CD165</f>
        <v>1032.7534119598492</v>
      </c>
      <c r="CE133" s="208">
        <f>+Data!CE165</f>
        <v>969.40823992877267</v>
      </c>
      <c r="CF133" s="195">
        <f>SUM(CB133:CE133)</f>
        <v>4017.5430596041028</v>
      </c>
      <c r="CG133" s="208">
        <f>+Data!CG165</f>
        <v>964</v>
      </c>
      <c r="CH133" s="208">
        <f>+Data!CH165</f>
        <v>1276</v>
      </c>
      <c r="CI133" s="208">
        <f>+Data!CI165</f>
        <v>1259</v>
      </c>
      <c r="CJ133" s="208">
        <f>+Data!CJ165</f>
        <v>1009</v>
      </c>
      <c r="CK133" s="195">
        <f>SUM(CG133:CJ133)</f>
        <v>4508</v>
      </c>
      <c r="CL133" s="208">
        <f>Data!CL165</f>
        <v>1373.1111111111113</v>
      </c>
      <c r="CM133" s="208">
        <f>Data!CM165</f>
        <v>-197.01809954751127</v>
      </c>
      <c r="CN133" s="208">
        <f>Data!CN165</f>
        <v>631.17715019255456</v>
      </c>
      <c r="CO133" s="208">
        <f>Data!CO165</f>
        <v>202.72983824384528</v>
      </c>
      <c r="CP133" s="195">
        <f t="shared" ref="CP133:CP135" si="198">SUM(CL133:CO133)</f>
        <v>2010</v>
      </c>
      <c r="CQ133" s="208">
        <f>Data!CQ165</f>
        <v>441.1111111111112</v>
      </c>
      <c r="CR133" s="208">
        <f>Data!CR165</f>
        <v>625.98190045248873</v>
      </c>
      <c r="CS133" s="208">
        <f>Data!CS165</f>
        <v>583.17715019255456</v>
      </c>
      <c r="CT133" s="208">
        <f>Data!CT165</f>
        <v>729.72983824384551</v>
      </c>
      <c r="CU133" s="195">
        <f t="shared" ref="CU133:CU135" si="199">SUM(CQ133:CT133)</f>
        <v>2380</v>
      </c>
      <c r="CV133" s="208">
        <f>Data!CV165</f>
        <v>567</v>
      </c>
      <c r="CW133" s="208">
        <f>Data!CW165</f>
        <v>664</v>
      </c>
      <c r="CX133" s="208">
        <f>Data!CX165</f>
        <v>742</v>
      </c>
      <c r="CY133" s="208">
        <f>Data!CY165</f>
        <v>843</v>
      </c>
      <c r="CZ133" s="195">
        <f t="shared" ref="CZ133:CZ135" si="200">SUM(CV133:CY133)</f>
        <v>2816</v>
      </c>
      <c r="DA133" s="208">
        <f>Data!DA165</f>
        <v>897</v>
      </c>
      <c r="DB133" s="208">
        <f>Data!DB165</f>
        <v>899</v>
      </c>
      <c r="DC133" s="208">
        <f>Data!DC165</f>
        <v>903</v>
      </c>
      <c r="DD133" s="208">
        <f>Data!DD165</f>
        <v>1126</v>
      </c>
      <c r="DE133" s="195">
        <f t="shared" ref="DE133:DE136" si="201">SUM(DA133:DD133)</f>
        <v>3825</v>
      </c>
      <c r="DF133" s="208">
        <f>Data!DF165</f>
        <v>849</v>
      </c>
      <c r="DG133" s="208">
        <f>Data!DG165</f>
        <v>1118</v>
      </c>
      <c r="DH133" s="208">
        <f>Data!DH165</f>
        <v>1062</v>
      </c>
      <c r="DI133" s="208">
        <f>Data!DI165</f>
        <v>1106</v>
      </c>
      <c r="DJ133" s="195">
        <f t="shared" ref="DJ133:DJ136" si="202">SUM(DF133:DI133)</f>
        <v>4135</v>
      </c>
      <c r="DK133" s="208">
        <f>Data!DK165</f>
        <v>1088</v>
      </c>
      <c r="DL133" s="208">
        <f>Data!DL165</f>
        <v>1173</v>
      </c>
      <c r="DM133" s="208">
        <f>Data!DM165</f>
        <v>1260</v>
      </c>
      <c r="DN133" s="132">
        <f t="shared" ref="DN133" si="203">DN169+DN157</f>
        <v>1193.0396800000001</v>
      </c>
      <c r="DO133" s="195">
        <f t="shared" ref="DO133:DO136" si="204">SUM(DK133:DN133)</f>
        <v>4714.0396799999999</v>
      </c>
      <c r="DP133" s="132">
        <f t="shared" ref="DP133" si="205">DP169+DP157</f>
        <v>1160.3282400000001</v>
      </c>
      <c r="DQ133" s="132">
        <f t="shared" ref="DQ133:DS133" si="206">DQ169+DQ157</f>
        <v>1257.5585600000002</v>
      </c>
      <c r="DR133" s="132">
        <f t="shared" si="206"/>
        <v>1358.4292</v>
      </c>
      <c r="DS133" s="132">
        <f t="shared" si="206"/>
        <v>1379.168783076</v>
      </c>
      <c r="DT133" s="195">
        <f t="shared" ref="DT133:DT136" si="207">SUM(DP133:DS133)</f>
        <v>5155.484783076</v>
      </c>
      <c r="DU133" s="70">
        <f t="shared" ref="DU133:DV133" si="208">DU169+DU157</f>
        <v>5692.9139507960999</v>
      </c>
      <c r="DV133" s="70">
        <f t="shared" si="208"/>
        <v>6194.2807497084978</v>
      </c>
    </row>
    <row r="134" spans="1:126" s="92" customFormat="1" hidden="1" outlineLevel="1">
      <c r="B134" s="180" t="s">
        <v>570</v>
      </c>
      <c r="C134" s="112"/>
      <c r="D134" s="112"/>
      <c r="E134" s="112"/>
      <c r="F134" s="112"/>
      <c r="G134" s="112"/>
      <c r="H134" s="112"/>
      <c r="I134" s="112"/>
      <c r="J134" s="131"/>
      <c r="K134" s="131"/>
      <c r="L134" s="131"/>
      <c r="M134" s="131"/>
      <c r="N134" s="112"/>
      <c r="O134" s="131"/>
      <c r="P134" s="131"/>
      <c r="Q134" s="131"/>
      <c r="R134" s="131"/>
      <c r="S134" s="112"/>
      <c r="T134" s="131"/>
      <c r="U134" s="131"/>
      <c r="V134" s="131"/>
      <c r="W134" s="131"/>
      <c r="X134" s="112"/>
      <c r="Y134" s="131"/>
      <c r="Z134" s="131"/>
      <c r="AA134" s="131"/>
      <c r="AB134" s="131"/>
      <c r="AC134" s="112"/>
      <c r="AD134" s="131"/>
      <c r="AE134" s="131"/>
      <c r="AF134" s="131"/>
      <c r="AG134" s="131"/>
      <c r="AH134" s="112"/>
      <c r="AI134" s="131"/>
      <c r="AJ134" s="131"/>
      <c r="AK134" s="131"/>
      <c r="AL134" s="131"/>
      <c r="AM134" s="112"/>
      <c r="AN134" s="131"/>
      <c r="AO134" s="131"/>
      <c r="AP134" s="131"/>
      <c r="AQ134" s="131"/>
      <c r="AR134" s="112"/>
      <c r="AS134" s="131"/>
      <c r="AT134" s="131"/>
      <c r="AU134" s="131"/>
      <c r="AV134" s="131"/>
      <c r="AW134" s="112"/>
      <c r="AX134" s="208">
        <f>Data!AX166</f>
        <v>345.42508324084349</v>
      </c>
      <c r="AY134" s="208">
        <f>Data!AY166</f>
        <v>370.50887902330743</v>
      </c>
      <c r="AZ134" s="208">
        <f>Data!AZ166</f>
        <v>348.17369589345174</v>
      </c>
      <c r="BA134" s="208">
        <f>Data!BA166</f>
        <v>402.40843507214208</v>
      </c>
      <c r="BB134" s="112">
        <f>Data!BB166</f>
        <v>1466.5160932297447</v>
      </c>
      <c r="BC134" s="208">
        <f>Data!BC166</f>
        <v>339.60377358490564</v>
      </c>
      <c r="BD134" s="208">
        <f>Data!BD166</f>
        <v>333.17369589345174</v>
      </c>
      <c r="BE134" s="208">
        <f>Data!BE166</f>
        <v>345.17924528301887</v>
      </c>
      <c r="BF134" s="208">
        <f>Data!BF166</f>
        <v>357.82741398446171</v>
      </c>
      <c r="BG134" s="112">
        <f>Data!BG166</f>
        <v>1375.784128745838</v>
      </c>
      <c r="BH134" s="208">
        <f>Data!BH166</f>
        <v>304.86071032186459</v>
      </c>
      <c r="BI134" s="208">
        <f>Data!BI166</f>
        <v>334.36293007769143</v>
      </c>
      <c r="BJ134" s="208">
        <f>Data!BJ166</f>
        <v>339.74916759156491</v>
      </c>
      <c r="BK134" s="208">
        <f>Data!BK166</f>
        <v>329.56492785793563</v>
      </c>
      <c r="BL134" s="112">
        <f>Data!BL166</f>
        <v>1308.5377358490564</v>
      </c>
      <c r="BM134" s="208">
        <f>Data!BM166</f>
        <v>466.60932297447283</v>
      </c>
      <c r="BN134" s="208">
        <f>Data!BN166</f>
        <v>300.15704772475027</v>
      </c>
      <c r="BO134" s="208">
        <f>Data!BO166</f>
        <v>318.17924528301887</v>
      </c>
      <c r="BP134" s="208">
        <f>Data!BP166</f>
        <v>306.17480577136513</v>
      </c>
      <c r="BQ134" s="112">
        <f>Data!BQ166</f>
        <v>1391.1204217536072</v>
      </c>
      <c r="BR134" s="208">
        <f>Data!BR166</f>
        <v>261.60377358490564</v>
      </c>
      <c r="BS134" s="208">
        <f>Data!BS166</f>
        <v>317.44728079911209</v>
      </c>
      <c r="BT134" s="208">
        <f>Data!BT166</f>
        <v>321.35793562708102</v>
      </c>
      <c r="BU134" s="208">
        <f>Data!BU166</f>
        <v>302.14150943396226</v>
      </c>
      <c r="BV134" s="112">
        <f>Data!BV166</f>
        <v>1202.5504994450612</v>
      </c>
      <c r="BW134" s="208">
        <f>Data!BW166</f>
        <v>285.33018867924528</v>
      </c>
      <c r="BX134" s="208">
        <f>Data!BX166</f>
        <v>320.93340732519425</v>
      </c>
      <c r="BY134" s="208">
        <f>Data!BY166</f>
        <v>314.36348501664816</v>
      </c>
      <c r="BZ134" s="208">
        <f>Data!BZ166</f>
        <v>335.28579356270808</v>
      </c>
      <c r="CA134" s="195">
        <f>Data!CA166</f>
        <v>1255.9128745837957</v>
      </c>
      <c r="CB134" s="208">
        <f>Data!CB166</f>
        <v>292.86376248612652</v>
      </c>
      <c r="CC134" s="208">
        <f>Data!CC166</f>
        <v>310.32769145394008</v>
      </c>
      <c r="CD134" s="208">
        <f>Data!CD166</f>
        <v>349.16564927857934</v>
      </c>
      <c r="CE134" s="208">
        <f>Data!CE166</f>
        <v>387.18784683684794</v>
      </c>
      <c r="CF134" s="195">
        <f>Data!CF166</f>
        <v>1339.5449500554939</v>
      </c>
      <c r="CG134" s="208">
        <f>Data!CG166</f>
        <v>398</v>
      </c>
      <c r="CH134" s="208">
        <f>Data!CH166</f>
        <v>386</v>
      </c>
      <c r="CI134" s="208">
        <f>Data!CI166</f>
        <v>428</v>
      </c>
      <c r="CJ134" s="208">
        <f>Data!CJ166</f>
        <v>425</v>
      </c>
      <c r="CK134" s="195">
        <f>SUM(CG134:CJ134)</f>
        <v>1637</v>
      </c>
      <c r="CL134" s="208">
        <f>Data!CL166</f>
        <v>399</v>
      </c>
      <c r="CM134" s="208">
        <f>Data!CM166</f>
        <v>329</v>
      </c>
      <c r="CN134" s="208">
        <f>Data!CN166</f>
        <v>350</v>
      </c>
      <c r="CO134" s="208">
        <f>Data!CO166</f>
        <v>361</v>
      </c>
      <c r="CP134" s="195">
        <f t="shared" si="198"/>
        <v>1439</v>
      </c>
      <c r="CQ134" s="208">
        <f>Data!CQ166</f>
        <v>388</v>
      </c>
      <c r="CR134" s="208">
        <f>Data!CR166</f>
        <v>415</v>
      </c>
      <c r="CS134" s="208">
        <f>Data!CS166</f>
        <v>391</v>
      </c>
      <c r="CT134" s="208">
        <f>Data!CT166</f>
        <v>639</v>
      </c>
      <c r="CU134" s="195">
        <f t="shared" si="199"/>
        <v>1833</v>
      </c>
      <c r="CV134" s="208">
        <f>Data!CV166</f>
        <v>378</v>
      </c>
      <c r="CW134" s="208">
        <f>Data!CW166</f>
        <v>315</v>
      </c>
      <c r="CX134" s="208">
        <f>Data!CX166</f>
        <v>371</v>
      </c>
      <c r="CY134" s="208">
        <f>Data!CY166</f>
        <v>278</v>
      </c>
      <c r="CZ134" s="195">
        <f t="shared" si="200"/>
        <v>1342</v>
      </c>
      <c r="DA134" s="208">
        <f>Data!DA166</f>
        <v>324</v>
      </c>
      <c r="DB134" s="208">
        <f>Data!DB166</f>
        <v>291</v>
      </c>
      <c r="DC134" s="208">
        <f>Data!DC166</f>
        <v>0</v>
      </c>
      <c r="DD134" s="208">
        <f>Data!DD166</f>
        <v>0</v>
      </c>
      <c r="DE134" s="195">
        <f t="shared" si="201"/>
        <v>615</v>
      </c>
      <c r="DF134" s="208">
        <f>Data!DF166</f>
        <v>0</v>
      </c>
      <c r="DG134" s="208">
        <f>Data!DG166</f>
        <v>0</v>
      </c>
      <c r="DH134" s="208">
        <f>Data!DH166</f>
        <v>0</v>
      </c>
      <c r="DI134" s="132"/>
      <c r="DJ134" s="195">
        <f t="shared" si="202"/>
        <v>0</v>
      </c>
      <c r="DK134" s="208">
        <f>Data!DK166</f>
        <v>0</v>
      </c>
      <c r="DL134" s="132"/>
      <c r="DM134" s="208">
        <f>Data!DM166</f>
        <v>0</v>
      </c>
      <c r="DN134" s="132"/>
      <c r="DO134" s="195">
        <f t="shared" si="204"/>
        <v>0</v>
      </c>
      <c r="DP134" s="132"/>
      <c r="DQ134" s="132"/>
      <c r="DR134" s="132"/>
      <c r="DS134" s="132"/>
      <c r="DT134" s="195">
        <f t="shared" si="207"/>
        <v>0</v>
      </c>
      <c r="DU134" s="70"/>
      <c r="DV134" s="70"/>
    </row>
    <row r="135" spans="1:126" s="92" customFormat="1" hidden="1" outlineLevel="1">
      <c r="B135" s="180" t="s">
        <v>569</v>
      </c>
      <c r="C135" s="112"/>
      <c r="D135" s="112"/>
      <c r="E135" s="112"/>
      <c r="F135" s="112"/>
      <c r="G135" s="112"/>
      <c r="H135" s="112"/>
      <c r="I135" s="112"/>
      <c r="J135" s="131"/>
      <c r="K135" s="131"/>
      <c r="L135" s="131"/>
      <c r="M135" s="131"/>
      <c r="N135" s="112"/>
      <c r="O135" s="131"/>
      <c r="P135" s="131"/>
      <c r="Q135" s="131"/>
      <c r="R135" s="131"/>
      <c r="S135" s="112"/>
      <c r="T135" s="131"/>
      <c r="U135" s="131"/>
      <c r="V135" s="131"/>
      <c r="W135" s="131"/>
      <c r="X135" s="112"/>
      <c r="Y135" s="131"/>
      <c r="Z135" s="131"/>
      <c r="AA135" s="131"/>
      <c r="AB135" s="131"/>
      <c r="AC135" s="112"/>
      <c r="AD135" s="131"/>
      <c r="AE135" s="131"/>
      <c r="AF135" s="131"/>
      <c r="AG135" s="131"/>
      <c r="AH135" s="112"/>
      <c r="AI135" s="131"/>
      <c r="AJ135" s="131"/>
      <c r="AK135" s="131"/>
      <c r="AL135" s="131"/>
      <c r="AM135" s="112"/>
      <c r="AN135" s="131"/>
      <c r="AO135" s="131"/>
      <c r="AP135" s="131"/>
      <c r="AQ135" s="131"/>
      <c r="AR135" s="112"/>
      <c r="AS135" s="131"/>
      <c r="AT135" s="131"/>
      <c r="AU135" s="131"/>
      <c r="AV135" s="131"/>
      <c r="AW135" s="112"/>
      <c r="AX135" s="208">
        <f>Data!AX167</f>
        <v>445.42508324084349</v>
      </c>
      <c r="AY135" s="208">
        <f>Data!AY167</f>
        <v>464.50887902330743</v>
      </c>
      <c r="AZ135" s="208">
        <f>Data!AZ167</f>
        <v>497.17369589345174</v>
      </c>
      <c r="BA135" s="208">
        <f>Data!BA167</f>
        <v>443.40843507214208</v>
      </c>
      <c r="BB135" s="112">
        <f>Data!BB167</f>
        <v>1850.5160932297447</v>
      </c>
      <c r="BC135" s="208">
        <f>Data!BC167</f>
        <v>464.60377358490564</v>
      </c>
      <c r="BD135" s="208">
        <f>Data!BD167</f>
        <v>525.17369589345174</v>
      </c>
      <c r="BE135" s="208">
        <f>Data!BE167</f>
        <v>475.17924528301887</v>
      </c>
      <c r="BF135" s="208">
        <f>Data!BF167</f>
        <v>425.82741398446171</v>
      </c>
      <c r="BG135" s="112">
        <f>Data!BG167</f>
        <v>1890.7841287458377</v>
      </c>
      <c r="BH135" s="208">
        <f>Data!BH167</f>
        <v>423.86071032186459</v>
      </c>
      <c r="BI135" s="208">
        <f>Data!BI167</f>
        <v>414.36293007769143</v>
      </c>
      <c r="BJ135" s="208">
        <f>Data!BJ167</f>
        <v>404.74916759156491</v>
      </c>
      <c r="BK135" s="208">
        <f>Data!BK167</f>
        <v>492.56492785793563</v>
      </c>
      <c r="BL135" s="112">
        <f>Data!BL167</f>
        <v>1735.5377358490564</v>
      </c>
      <c r="BM135" s="208">
        <f>Data!BM167</f>
        <v>379.60932297447283</v>
      </c>
      <c r="BN135" s="208">
        <f>Data!BN167</f>
        <v>369.15704772475027</v>
      </c>
      <c r="BO135" s="208">
        <f>Data!BO167</f>
        <v>404.17924528301887</v>
      </c>
      <c r="BP135" s="208">
        <f>Data!BP167</f>
        <v>495.17480577136513</v>
      </c>
      <c r="BQ135" s="112">
        <f>Data!BQ167</f>
        <v>1648.1204217536072</v>
      </c>
      <c r="BR135" s="208">
        <f>Data!BR167</f>
        <v>327.60377358490564</v>
      </c>
      <c r="BS135" s="208">
        <f>Data!BS167</f>
        <v>588.44728079911215</v>
      </c>
      <c r="BT135" s="208">
        <f>Data!BT167</f>
        <v>439.35793562708102</v>
      </c>
      <c r="BU135" s="208">
        <f>Data!BU167</f>
        <v>429.14150943396226</v>
      </c>
      <c r="BV135" s="112">
        <f>Data!BV167</f>
        <v>1784.5504994450612</v>
      </c>
      <c r="BW135" s="208">
        <f>Data!BW167</f>
        <v>412.33018867924528</v>
      </c>
      <c r="BX135" s="208">
        <f>Data!BX167</f>
        <v>468.93340732519425</v>
      </c>
      <c r="BY135" s="208">
        <f>Data!BY167</f>
        <v>501.36348501664816</v>
      </c>
      <c r="BZ135" s="208">
        <f>Data!BZ167</f>
        <v>501.28579356270808</v>
      </c>
      <c r="CA135" s="195">
        <f>Data!CA167</f>
        <v>1883.9128745837957</v>
      </c>
      <c r="CB135" s="208">
        <f>Data!CB167</f>
        <v>467.86376248612652</v>
      </c>
      <c r="CC135" s="208">
        <f>Data!CC167</f>
        <v>469.32769145394008</v>
      </c>
      <c r="CD135" s="208">
        <f>Data!CD167</f>
        <v>475.16564927857934</v>
      </c>
      <c r="CE135" s="208">
        <f>Data!CE167</f>
        <v>501.18784683684794</v>
      </c>
      <c r="CF135" s="195">
        <f>Data!CF167</f>
        <v>1913.5449500554939</v>
      </c>
      <c r="CG135" s="208">
        <f>Data!CG167</f>
        <v>441</v>
      </c>
      <c r="CH135" s="208">
        <f>Data!CH167</f>
        <v>508</v>
      </c>
      <c r="CI135" s="208">
        <f>Data!CI167</f>
        <v>494</v>
      </c>
      <c r="CJ135" s="208">
        <f>Data!CJ167</f>
        <v>597</v>
      </c>
      <c r="CK135" s="195">
        <f>SUM(CG135:CJ135)</f>
        <v>2040</v>
      </c>
      <c r="CL135" s="208">
        <f>Data!CL167</f>
        <v>553</v>
      </c>
      <c r="CM135" s="208">
        <f>Data!CM167</f>
        <v>423</v>
      </c>
      <c r="CN135" s="208">
        <f>Data!CN167</f>
        <v>449</v>
      </c>
      <c r="CO135" s="208">
        <f>Data!CO167</f>
        <v>33</v>
      </c>
      <c r="CP135" s="195">
        <f t="shared" si="198"/>
        <v>1458</v>
      </c>
      <c r="CQ135" s="208">
        <f>Data!CQ167</f>
        <v>496</v>
      </c>
      <c r="CR135" s="208">
        <f>Data!CR167</f>
        <v>532</v>
      </c>
      <c r="CS135" s="208">
        <f>Data!CS167</f>
        <v>490</v>
      </c>
      <c r="CT135" s="208">
        <f>Data!CT167</f>
        <v>486</v>
      </c>
      <c r="CU135" s="195">
        <f t="shared" si="199"/>
        <v>2004</v>
      </c>
      <c r="CV135" s="208">
        <f>Data!CV167</f>
        <v>387</v>
      </c>
      <c r="CW135" s="208">
        <f>Data!CW167</f>
        <v>348</v>
      </c>
      <c r="CX135" s="208">
        <f>Data!CX167</f>
        <v>408</v>
      </c>
      <c r="CY135" s="208">
        <f>Data!CY167</f>
        <v>376</v>
      </c>
      <c r="CZ135" s="195">
        <f t="shared" si="200"/>
        <v>1519</v>
      </c>
      <c r="DA135" s="208">
        <f>Data!DA167</f>
        <v>328</v>
      </c>
      <c r="DB135" s="208">
        <f>Data!DB167</f>
        <v>415</v>
      </c>
      <c r="DC135" s="208">
        <f>Data!DC167</f>
        <v>0</v>
      </c>
      <c r="DD135" s="208">
        <f>Data!DD167</f>
        <v>0</v>
      </c>
      <c r="DE135" s="195">
        <f t="shared" si="201"/>
        <v>743</v>
      </c>
      <c r="DF135" s="208">
        <f>Data!DF167</f>
        <v>0</v>
      </c>
      <c r="DG135" s="208">
        <f>Data!DG167</f>
        <v>0</v>
      </c>
      <c r="DH135" s="208">
        <f>Data!DH167</f>
        <v>0</v>
      </c>
      <c r="DI135" s="132"/>
      <c r="DJ135" s="195">
        <f t="shared" si="202"/>
        <v>0</v>
      </c>
      <c r="DK135" s="208">
        <f>Data!DK167</f>
        <v>0</v>
      </c>
      <c r="DL135" s="132"/>
      <c r="DM135" s="208">
        <f>Data!DM167</f>
        <v>0</v>
      </c>
      <c r="DN135" s="132"/>
      <c r="DO135" s="195">
        <f t="shared" si="204"/>
        <v>0</v>
      </c>
      <c r="DP135" s="132"/>
      <c r="DQ135" s="132"/>
      <c r="DR135" s="132"/>
      <c r="DS135" s="132"/>
      <c r="DT135" s="195">
        <f t="shared" si="207"/>
        <v>0</v>
      </c>
      <c r="DU135" s="70"/>
      <c r="DV135" s="70"/>
    </row>
    <row r="136" spans="1:126" s="92" customFormat="1" collapsed="1">
      <c r="B136" s="41" t="s">
        <v>629</v>
      </c>
      <c r="C136" s="112"/>
      <c r="D136" s="112"/>
      <c r="E136" s="112"/>
      <c r="F136" s="112"/>
      <c r="G136" s="112"/>
      <c r="H136" s="112"/>
      <c r="I136" s="112"/>
      <c r="J136" s="131"/>
      <c r="K136" s="131"/>
      <c r="L136" s="131"/>
      <c r="M136" s="131"/>
      <c r="N136" s="112"/>
      <c r="O136" s="131"/>
      <c r="P136" s="131"/>
      <c r="Q136" s="131"/>
      <c r="R136" s="131"/>
      <c r="S136" s="112"/>
      <c r="T136" s="131"/>
      <c r="U136" s="131"/>
      <c r="V136" s="131"/>
      <c r="W136" s="131"/>
      <c r="X136" s="112"/>
      <c r="Y136" s="131"/>
      <c r="Z136" s="131"/>
      <c r="AA136" s="131"/>
      <c r="AB136" s="131"/>
      <c r="AC136" s="112"/>
      <c r="AD136" s="131"/>
      <c r="AE136" s="131"/>
      <c r="AF136" s="131"/>
      <c r="AG136" s="131"/>
      <c r="AH136" s="112"/>
      <c r="AI136" s="131"/>
      <c r="AJ136" s="131"/>
      <c r="AK136" s="131"/>
      <c r="AL136" s="131"/>
      <c r="AM136" s="112"/>
      <c r="AN136" s="131"/>
      <c r="AO136" s="131"/>
      <c r="AP136" s="131"/>
      <c r="AQ136" s="131"/>
      <c r="AR136" s="112"/>
      <c r="AS136" s="131"/>
      <c r="AT136" s="131"/>
      <c r="AU136" s="131"/>
      <c r="AV136" s="131"/>
      <c r="AW136" s="112"/>
      <c r="AX136" s="208"/>
      <c r="AY136" s="208"/>
      <c r="AZ136" s="208"/>
      <c r="BA136" s="208"/>
      <c r="BB136" s="112"/>
      <c r="BC136" s="208"/>
      <c r="BD136" s="208"/>
      <c r="BE136" s="208"/>
      <c r="BF136" s="208"/>
      <c r="BG136" s="112"/>
      <c r="BH136" s="208"/>
      <c r="BI136" s="208"/>
      <c r="BJ136" s="208"/>
      <c r="BK136" s="208"/>
      <c r="BL136" s="112"/>
      <c r="BM136" s="208"/>
      <c r="BN136" s="208"/>
      <c r="BO136" s="208"/>
      <c r="BP136" s="208"/>
      <c r="BQ136" s="112"/>
      <c r="BR136" s="208"/>
      <c r="BS136" s="208"/>
      <c r="BT136" s="208"/>
      <c r="BU136" s="208"/>
      <c r="BV136" s="112"/>
      <c r="BW136" s="208"/>
      <c r="BX136" s="208"/>
      <c r="BY136" s="208"/>
      <c r="BZ136" s="208"/>
      <c r="CA136" s="195"/>
      <c r="CB136" s="208"/>
      <c r="CC136" s="208"/>
      <c r="CD136" s="208"/>
      <c r="CE136" s="208"/>
      <c r="CF136" s="195"/>
      <c r="CG136" s="208"/>
      <c r="CH136" s="208"/>
      <c r="CI136" s="208"/>
      <c r="CJ136" s="208"/>
      <c r="CK136" s="195"/>
      <c r="CL136" s="208">
        <f>Data!CL168</f>
        <v>809.19999999999993</v>
      </c>
      <c r="CM136" s="208">
        <f>Data!CM168</f>
        <v>639.19999999999993</v>
      </c>
      <c r="CN136" s="208">
        <f>Data!CN168</f>
        <v>679.15</v>
      </c>
      <c r="CO136" s="208">
        <f>Data!CO168</f>
        <v>231.45000000000027</v>
      </c>
      <c r="CP136" s="195">
        <f>Data!CP168</f>
        <v>2359</v>
      </c>
      <c r="CQ136" s="208">
        <f>Data!CQ168</f>
        <v>756.8888888888888</v>
      </c>
      <c r="CR136" s="208">
        <f>Data!CR168</f>
        <v>827.01809954751127</v>
      </c>
      <c r="CS136" s="208">
        <f>Data!CS168</f>
        <v>775.82284980744544</v>
      </c>
      <c r="CT136" s="208">
        <f>Data!CT168</f>
        <v>1039.2701617561543</v>
      </c>
      <c r="CU136" s="195">
        <f>Data!CU168</f>
        <v>3399</v>
      </c>
      <c r="CV136" s="208">
        <f>Data!CV168</f>
        <v>655</v>
      </c>
      <c r="CW136" s="208">
        <f>Data!CW168</f>
        <v>579</v>
      </c>
      <c r="CX136" s="208">
        <f>Data!CX168</f>
        <v>686</v>
      </c>
      <c r="CY136" s="208">
        <f>Data!CY168</f>
        <v>528</v>
      </c>
      <c r="CZ136" s="195">
        <f>Data!CZ168</f>
        <v>2448</v>
      </c>
      <c r="DA136" s="208">
        <f>Data!DA168</f>
        <v>571</v>
      </c>
      <c r="DB136" s="208">
        <f>Data!DB168</f>
        <v>644</v>
      </c>
      <c r="DC136" s="208">
        <f>Data!DC168</f>
        <v>560</v>
      </c>
      <c r="DD136" s="208">
        <f>Data!DD168</f>
        <v>604</v>
      </c>
      <c r="DE136" s="195">
        <f t="shared" si="201"/>
        <v>2379</v>
      </c>
      <c r="DF136" s="208">
        <f>Data!DF168</f>
        <v>996</v>
      </c>
      <c r="DG136" s="208">
        <f>Data!DG168</f>
        <v>127</v>
      </c>
      <c r="DH136" s="208">
        <f>Data!DH168</f>
        <v>647</v>
      </c>
      <c r="DI136" s="208">
        <f>Data!DI168</f>
        <v>824</v>
      </c>
      <c r="DJ136" s="195">
        <f t="shared" si="202"/>
        <v>2594</v>
      </c>
      <c r="DK136" s="208">
        <f>Data!DK168</f>
        <v>678</v>
      </c>
      <c r="DL136" s="208">
        <f>Data!DL168</f>
        <v>805</v>
      </c>
      <c r="DM136" s="208">
        <f>Data!DM168</f>
        <v>859</v>
      </c>
      <c r="DN136" s="132">
        <f t="shared" ref="DN136" si="209">DN172+DN160</f>
        <v>842.80832000000009</v>
      </c>
      <c r="DO136" s="195">
        <f t="shared" si="204"/>
        <v>3184.8083200000001</v>
      </c>
      <c r="DP136" s="132">
        <f t="shared" ref="DP136" si="210">DP172+DP160</f>
        <v>773.35320000000002</v>
      </c>
      <c r="DQ136" s="132">
        <f t="shared" ref="DQ136:DS136" si="211">DQ172+DQ160</f>
        <v>862.46719199999995</v>
      </c>
      <c r="DR136" s="132">
        <f t="shared" si="211"/>
        <v>888.51539999999989</v>
      </c>
      <c r="DS136" s="132">
        <f t="shared" si="211"/>
        <v>928.70148096000003</v>
      </c>
      <c r="DT136" s="195">
        <f t="shared" si="207"/>
        <v>3453.0372729599999</v>
      </c>
      <c r="DU136" s="70">
        <f t="shared" ref="DU136:DV136" si="212">DU172+DU160</f>
        <v>3694.3011434908794</v>
      </c>
      <c r="DV136" s="70">
        <f t="shared" si="212"/>
        <v>3947.4223435057293</v>
      </c>
    </row>
    <row r="137" spans="1:126" s="92" customFormat="1">
      <c r="B137" s="514" t="s">
        <v>173</v>
      </c>
      <c r="C137" s="77">
        <f>C132+C133+Data!C195</f>
        <v>2201</v>
      </c>
      <c r="D137" s="77">
        <f>D132+D133+Data!D195</f>
        <v>3347</v>
      </c>
      <c r="E137" s="77">
        <f>E132+E133+Data!E195</f>
        <v>2408</v>
      </c>
      <c r="F137" s="77">
        <f>F132+F133+Data!F195</f>
        <v>3543</v>
      </c>
      <c r="G137" s="77">
        <f>G132+G133+Data!G195</f>
        <v>3243</v>
      </c>
      <c r="H137" s="77">
        <f>H132+H133+Data!H195</f>
        <v>3472</v>
      </c>
      <c r="I137" s="77">
        <f>I132+I133+Data!I195</f>
        <v>3186</v>
      </c>
      <c r="J137" s="78">
        <f>J132+J133+Data!J195</f>
        <v>770</v>
      </c>
      <c r="K137" s="78">
        <f>K132+K133+Data!K195</f>
        <v>963</v>
      </c>
      <c r="L137" s="78">
        <f>L132+L133+Data!L195</f>
        <v>984</v>
      </c>
      <c r="M137" s="78">
        <f>M132+M133+Data!M195</f>
        <v>1056</v>
      </c>
      <c r="N137" s="77">
        <f>N132+N133+Data!N195</f>
        <v>3773</v>
      </c>
      <c r="O137" s="78">
        <f>O132+O133+Data!O195</f>
        <v>1035</v>
      </c>
      <c r="P137" s="78">
        <f>P132+P133+Data!P195</f>
        <v>1135</v>
      </c>
      <c r="Q137" s="78">
        <f>Q132+Q133+Data!Q195</f>
        <v>1155</v>
      </c>
      <c r="R137" s="78">
        <f>R132+R133+Data!R195</f>
        <v>1234</v>
      </c>
      <c r="S137" s="77">
        <f>S132+S133+Data!S195</f>
        <v>4559</v>
      </c>
      <c r="T137" s="78">
        <f>T132+T133+Data!T195</f>
        <v>1211</v>
      </c>
      <c r="U137" s="78">
        <f>U132+U133+Data!U195</f>
        <v>1420</v>
      </c>
      <c r="V137" s="78">
        <f>V132+V133+Data!V195</f>
        <v>1338</v>
      </c>
      <c r="W137" s="78">
        <f>W132+W133+Data!W195</f>
        <v>1341</v>
      </c>
      <c r="X137" s="77">
        <f>X132+X133+Data!X195</f>
        <v>5183</v>
      </c>
      <c r="Y137" s="78">
        <f>Y132+Y133+Data!Y195</f>
        <v>1349</v>
      </c>
      <c r="Z137" s="78">
        <f>Z132+Z133+Data!Z195</f>
        <v>1478</v>
      </c>
      <c r="AA137" s="78">
        <f>AA132+AA133+Data!AA195</f>
        <v>1439</v>
      </c>
      <c r="AB137" s="78">
        <f>AB132+AB133+Data!AB195</f>
        <v>1534</v>
      </c>
      <c r="AC137" s="77">
        <f>AC132+AC133+Data!AC195</f>
        <v>5800</v>
      </c>
      <c r="AD137" s="78">
        <f>AD132+AD133+Data!AD195</f>
        <v>1434</v>
      </c>
      <c r="AE137" s="78">
        <f>AE132+AE133+Data!AE195</f>
        <v>1592</v>
      </c>
      <c r="AF137" s="78">
        <f>AF132+AF133+Data!AF195</f>
        <v>1569</v>
      </c>
      <c r="AG137" s="78">
        <f>AG132+AG133+Data!AG195</f>
        <v>1636</v>
      </c>
      <c r="AH137" s="77">
        <f>AH132+AH133+Data!AH195</f>
        <v>6231</v>
      </c>
      <c r="AI137" s="78">
        <f>AI132+AI133+Data!AI195</f>
        <v>1381</v>
      </c>
      <c r="AJ137" s="78">
        <f>AJ132+AJ133+Data!AJ195</f>
        <v>1470</v>
      </c>
      <c r="AK137" s="78">
        <f>AK132+AK133+Data!AK195</f>
        <v>1512</v>
      </c>
      <c r="AL137" s="78">
        <f>AL132+AL133+Data!AL195</f>
        <v>1587</v>
      </c>
      <c r="AM137" s="77">
        <f>AM132+AM133+Data!AM195</f>
        <v>5950</v>
      </c>
      <c r="AN137" s="78">
        <f>AN132+AN133+Data!AN195</f>
        <v>1466</v>
      </c>
      <c r="AO137" s="78">
        <f>AO132+AO133+Data!AO195</f>
        <v>1192</v>
      </c>
      <c r="AP137" s="78">
        <f>AP132+AP133+Data!AP195</f>
        <v>1672</v>
      </c>
      <c r="AQ137" s="78">
        <f>AQ132+AQ133+Data!AQ195</f>
        <v>1645</v>
      </c>
      <c r="AR137" s="77">
        <f>AR132+AR133+Data!AR195</f>
        <v>5975</v>
      </c>
      <c r="AS137" s="78">
        <f>AS132+AS133+Data!AS195</f>
        <v>1317</v>
      </c>
      <c r="AT137" s="78">
        <f>AT132+AT133+Data!AT195</f>
        <v>1436</v>
      </c>
      <c r="AU137" s="78">
        <f>AU132+AU133+Data!AU195</f>
        <v>1548</v>
      </c>
      <c r="AV137" s="78">
        <f>AV132+AV133+Data!AV195</f>
        <v>1709</v>
      </c>
      <c r="AW137" s="77">
        <f>AW132+AW133+Data!AW195</f>
        <v>6010</v>
      </c>
      <c r="AX137" s="78">
        <f t="shared" ref="AX137:BA137" si="213">SUM(AX132:AX135)</f>
        <v>1400.6242898921614</v>
      </c>
      <c r="AY137" s="78">
        <f t="shared" si="213"/>
        <v>1496.1803387267896</v>
      </c>
      <c r="AZ137" s="78">
        <f t="shared" si="213"/>
        <v>1546.9561433882768</v>
      </c>
      <c r="BA137" s="78">
        <f t="shared" si="213"/>
        <v>1482.6065318455467</v>
      </c>
      <c r="BB137" s="77">
        <f>SUM(BB132:BB135)</f>
        <v>5926.367303852775</v>
      </c>
      <c r="BC137" s="78">
        <f t="shared" ref="BC137:CK137" si="214">SUM(BC132:BC135)</f>
        <v>1768.8370692343676</v>
      </c>
      <c r="BD137" s="78">
        <f t="shared" si="214"/>
        <v>1970.71165303015</v>
      </c>
      <c r="BE137" s="78">
        <f t="shared" si="214"/>
        <v>1811.3842390456884</v>
      </c>
      <c r="BF137" s="78">
        <f t="shared" si="214"/>
        <v>1800.1422856605609</v>
      </c>
      <c r="BG137" s="77">
        <f t="shared" si="214"/>
        <v>7351.0752469707668</v>
      </c>
      <c r="BH137" s="78">
        <f t="shared" si="214"/>
        <v>1771.4312452799613</v>
      </c>
      <c r="BI137" s="78">
        <f t="shared" si="214"/>
        <v>1919.300279686177</v>
      </c>
      <c r="BJ137" s="78">
        <f t="shared" si="214"/>
        <v>1993.5122663676416</v>
      </c>
      <c r="BK137" s="78">
        <f t="shared" si="214"/>
        <v>1983.3824106517704</v>
      </c>
      <c r="BL137" s="77">
        <f t="shared" si="214"/>
        <v>7667.6262019855494</v>
      </c>
      <c r="BM137" s="78">
        <f t="shared" si="214"/>
        <v>1899.1732227430191</v>
      </c>
      <c r="BN137" s="78">
        <f t="shared" si="214"/>
        <v>1771.3574624766484</v>
      </c>
      <c r="BO137" s="78">
        <f t="shared" si="214"/>
        <v>1767.0478065388013</v>
      </c>
      <c r="BP137" s="78">
        <f t="shared" si="214"/>
        <v>414.30973772637066</v>
      </c>
      <c r="BQ137" s="77">
        <f t="shared" si="214"/>
        <v>5851.888229484839</v>
      </c>
      <c r="BR137" s="78">
        <f t="shared" si="214"/>
        <v>1606.2747414106761</v>
      </c>
      <c r="BS137" s="78">
        <f t="shared" si="214"/>
        <v>1951.5078157724965</v>
      </c>
      <c r="BT137" s="78">
        <f t="shared" si="214"/>
        <v>1773.2791809223299</v>
      </c>
      <c r="BU137" s="78">
        <f t="shared" si="214"/>
        <v>1609.0483263163364</v>
      </c>
      <c r="BV137" s="77">
        <f t="shared" si="214"/>
        <v>6940.1100644218395</v>
      </c>
      <c r="BW137" s="78">
        <f t="shared" si="214"/>
        <v>1640.6903555278343</v>
      </c>
      <c r="BX137" s="78">
        <f t="shared" si="214"/>
        <v>1761.6004554168462</v>
      </c>
      <c r="BY137" s="78">
        <f t="shared" si="214"/>
        <v>1664.7258716210638</v>
      </c>
      <c r="BZ137" s="78">
        <f t="shared" si="214"/>
        <v>1802.3096674035276</v>
      </c>
      <c r="CA137" s="77">
        <f t="shared" si="214"/>
        <v>6869.3263499692712</v>
      </c>
      <c r="CB137" s="78">
        <f t="shared" si="214"/>
        <v>2243.2880133185349</v>
      </c>
      <c r="CC137" s="78">
        <f t="shared" si="214"/>
        <v>2196.9162042175362</v>
      </c>
      <c r="CD137" s="78">
        <f t="shared" si="214"/>
        <v>1998.476692563818</v>
      </c>
      <c r="CE137" s="78">
        <f t="shared" si="214"/>
        <v>2248.1670366259714</v>
      </c>
      <c r="CF137" s="77">
        <f t="shared" si="214"/>
        <v>8686.8479467258603</v>
      </c>
      <c r="CG137" s="78">
        <f t="shared" si="214"/>
        <v>2281</v>
      </c>
      <c r="CH137" s="78">
        <f t="shared" si="214"/>
        <v>2619</v>
      </c>
      <c r="CI137" s="78">
        <f t="shared" si="214"/>
        <v>2701</v>
      </c>
      <c r="CJ137" s="78">
        <f t="shared" si="214"/>
        <v>2385</v>
      </c>
      <c r="CK137" s="77">
        <f t="shared" si="214"/>
        <v>9986</v>
      </c>
      <c r="CL137" s="78">
        <f>SUM(CL132:CL133,CL136)</f>
        <v>2657.3111111111111</v>
      </c>
      <c r="CM137" s="78">
        <f t="shared" ref="CM137:CO137" si="215">SUM(CM132:CM133,CM136)</f>
        <v>-14.818099547511338</v>
      </c>
      <c r="CN137" s="78">
        <f t="shared" si="215"/>
        <v>695.32715019255454</v>
      </c>
      <c r="CO137" s="78">
        <f t="shared" si="215"/>
        <v>467.17983824384555</v>
      </c>
      <c r="CP137" s="77">
        <f>SUM(CP136,CP132:CP133)</f>
        <v>3805</v>
      </c>
      <c r="CQ137" s="78">
        <f>SUM(CQ132:CQ133,CQ136)</f>
        <v>1218</v>
      </c>
      <c r="CR137" s="78">
        <f t="shared" ref="CR137" si="216">SUM(CR132:CR133,CR136)</f>
        <v>1565</v>
      </c>
      <c r="CS137" s="78">
        <f t="shared" ref="CS137" si="217">SUM(CS132:CS133,CS136)</f>
        <v>1546</v>
      </c>
      <c r="CT137" s="78">
        <f t="shared" ref="CT137" si="218">SUM(CT132:CT133,CT136)</f>
        <v>1903.9999999999998</v>
      </c>
      <c r="CU137" s="77">
        <f>SUM(CU136,CU132:CU133)</f>
        <v>6233</v>
      </c>
      <c r="CV137" s="78">
        <f>SUM(CV132,CV133,CV136)</f>
        <v>1373</v>
      </c>
      <c r="CW137" s="78">
        <f t="shared" ref="CW137:DK137" si="219">SUM(CW132,CW133,CW136)</f>
        <v>1545</v>
      </c>
      <c r="CX137" s="78">
        <f t="shared" si="219"/>
        <v>1744</v>
      </c>
      <c r="CY137" s="78">
        <f t="shared" si="219"/>
        <v>1677</v>
      </c>
      <c r="CZ137" s="77">
        <f t="shared" si="219"/>
        <v>6339</v>
      </c>
      <c r="DA137" s="78">
        <f t="shared" si="219"/>
        <v>1883</v>
      </c>
      <c r="DB137" s="78">
        <f t="shared" si="219"/>
        <v>1773</v>
      </c>
      <c r="DC137" s="78">
        <f t="shared" si="219"/>
        <v>-1019</v>
      </c>
      <c r="DD137" s="78">
        <f t="shared" si="219"/>
        <v>2112</v>
      </c>
      <c r="DE137" s="77">
        <f t="shared" si="219"/>
        <v>4749</v>
      </c>
      <c r="DF137" s="78">
        <f t="shared" ref="DF137:DH137" si="220">SUM(DF132,DF133,DF136)</f>
        <v>2257</v>
      </c>
      <c r="DG137" s="78">
        <f t="shared" si="220"/>
        <v>1787</v>
      </c>
      <c r="DH137" s="78">
        <f t="shared" si="220"/>
        <v>2266</v>
      </c>
      <c r="DI137" s="78">
        <f t="shared" si="219"/>
        <v>2434</v>
      </c>
      <c r="DJ137" s="77">
        <f t="shared" si="219"/>
        <v>8744</v>
      </c>
      <c r="DK137" s="78">
        <f t="shared" si="219"/>
        <v>2346</v>
      </c>
      <c r="DL137" s="78">
        <f t="shared" ref="DL137:DP137" si="221">SUM(DL132,DL133,DL136)</f>
        <v>2470</v>
      </c>
      <c r="DM137" s="78">
        <f t="shared" si="221"/>
        <v>2870</v>
      </c>
      <c r="DN137" s="78">
        <f t="shared" si="221"/>
        <v>2759.6336250000004</v>
      </c>
      <c r="DO137" s="77">
        <f t="shared" si="221"/>
        <v>10445.633625</v>
      </c>
      <c r="DP137" s="78">
        <f t="shared" si="221"/>
        <v>2578.9430400000001</v>
      </c>
      <c r="DQ137" s="78">
        <f t="shared" ref="DQ137:DT137" si="222">SUM(DQ132,DQ133,DQ136)</f>
        <v>2803.3360160000002</v>
      </c>
      <c r="DR137" s="78">
        <f t="shared" si="222"/>
        <v>3092.3779559999998</v>
      </c>
      <c r="DS137" s="78">
        <f t="shared" si="222"/>
        <v>3146.2694715359999</v>
      </c>
      <c r="DT137" s="77">
        <f t="shared" si="222"/>
        <v>11620.926483536001</v>
      </c>
      <c r="DU137" s="77">
        <f t="shared" ref="DU137" si="223">SUM(DU132,DU133,DU136)</f>
        <v>12710.621194674979</v>
      </c>
      <c r="DV137" s="77">
        <f t="shared" ref="DV137" si="224">SUM(DV132,DV133,DV136)</f>
        <v>13781.965752491491</v>
      </c>
    </row>
    <row r="138" spans="1:126" s="92" customFormat="1">
      <c r="B138" s="180" t="s">
        <v>573</v>
      </c>
      <c r="C138" s="112"/>
      <c r="D138" s="112"/>
      <c r="E138" s="112"/>
      <c r="F138" s="112"/>
      <c r="G138" s="112"/>
      <c r="H138" s="112"/>
      <c r="I138" s="112"/>
      <c r="J138" s="131"/>
      <c r="K138" s="131"/>
      <c r="L138" s="131"/>
      <c r="M138" s="131"/>
      <c r="N138" s="112"/>
      <c r="O138" s="131"/>
      <c r="P138" s="131"/>
      <c r="Q138" s="131"/>
      <c r="R138" s="131"/>
      <c r="S138" s="112"/>
      <c r="T138" s="131"/>
      <c r="U138" s="131"/>
      <c r="V138" s="131"/>
      <c r="W138" s="131"/>
      <c r="X138" s="112"/>
      <c r="Y138" s="131"/>
      <c r="Z138" s="131"/>
      <c r="AA138" s="131"/>
      <c r="AB138" s="131"/>
      <c r="AC138" s="112"/>
      <c r="AD138" s="131"/>
      <c r="AE138" s="131"/>
      <c r="AF138" s="131"/>
      <c r="AG138" s="131"/>
      <c r="AH138" s="112"/>
      <c r="AI138" s="131"/>
      <c r="AJ138" s="131"/>
      <c r="AK138" s="131"/>
      <c r="AL138" s="131"/>
      <c r="AM138" s="112"/>
      <c r="AN138" s="131"/>
      <c r="AO138" s="131"/>
      <c r="AP138" s="131"/>
      <c r="AQ138" s="131"/>
      <c r="AR138" s="112"/>
      <c r="AS138" s="131"/>
      <c r="AT138" s="131"/>
      <c r="AU138" s="131"/>
      <c r="AV138" s="131"/>
      <c r="AW138" s="112"/>
      <c r="AX138" s="131">
        <f>Data!AX169</f>
        <v>0</v>
      </c>
      <c r="AY138" s="131">
        <f>Data!AY169</f>
        <v>0</v>
      </c>
      <c r="AZ138" s="131">
        <f>Data!AZ169</f>
        <v>0</v>
      </c>
      <c r="BA138" s="131">
        <f>Data!BA169</f>
        <v>0</v>
      </c>
      <c r="BB138" s="112">
        <f>Data!BB169</f>
        <v>0</v>
      </c>
      <c r="BC138" s="131">
        <f>Data!BC169</f>
        <v>0</v>
      </c>
      <c r="BD138" s="131">
        <f>Data!BD169</f>
        <v>0</v>
      </c>
      <c r="BE138" s="131">
        <f>Data!BE169</f>
        <v>0</v>
      </c>
      <c r="BF138" s="131">
        <f>Data!BF169</f>
        <v>0</v>
      </c>
      <c r="BG138" s="112">
        <f>Data!BG169</f>
        <v>0</v>
      </c>
      <c r="BH138" s="208">
        <f>Data!BH169</f>
        <v>0</v>
      </c>
      <c r="BI138" s="208">
        <f>Data!BI169</f>
        <v>0</v>
      </c>
      <c r="BJ138" s="208">
        <f>Data!BJ169</f>
        <v>4</v>
      </c>
      <c r="BK138" s="208">
        <f>Data!BK169</f>
        <v>0</v>
      </c>
      <c r="BL138" s="112">
        <f>Data!BL169</f>
        <v>4</v>
      </c>
      <c r="BM138" s="208">
        <f>Data!BM169</f>
        <v>-14</v>
      </c>
      <c r="BN138" s="208">
        <f>Data!BN169</f>
        <v>-33</v>
      </c>
      <c r="BO138" s="208">
        <f>Data!BO169</f>
        <v>-43</v>
      </c>
      <c r="BP138" s="208">
        <f>Data!BP169</f>
        <v>-48</v>
      </c>
      <c r="BQ138" s="112">
        <f>Data!BQ169</f>
        <v>-138</v>
      </c>
      <c r="BR138" s="425">
        <f>Data!BR169</f>
        <v>-44</v>
      </c>
      <c r="BS138" s="425">
        <f>Data!BS169</f>
        <v>-44</v>
      </c>
      <c r="BT138" s="425">
        <f>Data!BT169</f>
        <v>-27</v>
      </c>
      <c r="BU138" s="425">
        <f>Data!BU169</f>
        <v>-32</v>
      </c>
      <c r="BV138" s="112">
        <f>Data!BV169</f>
        <v>-147</v>
      </c>
      <c r="BW138" s="425">
        <f>Data!BW169</f>
        <v>-26</v>
      </c>
      <c r="BX138" s="425">
        <f>Data!BX169</f>
        <v>-40</v>
      </c>
      <c r="BY138" s="425">
        <f>Data!BY169</f>
        <v>-16</v>
      </c>
      <c r="BZ138" s="425">
        <f>Data!BZ169</f>
        <v>-45</v>
      </c>
      <c r="CA138" s="112">
        <f>Data!CA169</f>
        <v>-127</v>
      </c>
      <c r="CB138" s="425">
        <f>Data!CB169</f>
        <v>-40</v>
      </c>
      <c r="CC138" s="425">
        <f>Data!CC169</f>
        <v>-42</v>
      </c>
      <c r="CD138" s="425">
        <f>Data!CD169</f>
        <v>-12</v>
      </c>
      <c r="CE138" s="425">
        <f>Data!CE169</f>
        <v>-27</v>
      </c>
      <c r="CF138" s="112">
        <f>Data!CF169</f>
        <v>-121</v>
      </c>
      <c r="CG138" s="425">
        <f>Data!CG169</f>
        <v>-84</v>
      </c>
      <c r="CH138" s="425">
        <f>Data!CH169</f>
        <v>-85</v>
      </c>
      <c r="CI138" s="425">
        <f>Data!CI169</f>
        <v>-75</v>
      </c>
      <c r="CJ138" s="425">
        <f>Data!CJ169</f>
        <v>-62</v>
      </c>
      <c r="CK138" s="112">
        <f>Data!CK169</f>
        <v>-306</v>
      </c>
      <c r="CL138" s="198">
        <f>Data!CL169</f>
        <v>-45</v>
      </c>
      <c r="CM138" s="208">
        <f>Data!CM169</f>
        <v>2</v>
      </c>
      <c r="CN138" s="208">
        <f>Data!CN169</f>
        <v>-19</v>
      </c>
      <c r="CO138" s="208">
        <f>Data!CO169</f>
        <v>24</v>
      </c>
      <c r="CP138" s="112">
        <f t="shared" ref="CP138:CP143" si="225">SUM(CL138:CO138)</f>
        <v>-38</v>
      </c>
      <c r="CQ138" s="208">
        <f>Data!CQ169</f>
        <v>4</v>
      </c>
      <c r="CR138" s="208">
        <f>Data!CR169</f>
        <v>-5</v>
      </c>
      <c r="CS138" s="208">
        <f>Data!CS169</f>
        <v>8</v>
      </c>
      <c r="CT138" s="208">
        <f>Data!CT169</f>
        <v>-18</v>
      </c>
      <c r="CU138" s="112">
        <f t="shared" ref="CU138:CU143" si="226">SUM(CQ138:CT138)</f>
        <v>-11</v>
      </c>
      <c r="CV138" s="208">
        <f>Data!CV169</f>
        <v>1</v>
      </c>
      <c r="CW138" s="208">
        <f>Data!CW169</f>
        <v>-13</v>
      </c>
      <c r="CX138" s="208">
        <f>Data!CX169</f>
        <v>-13</v>
      </c>
      <c r="CY138" s="208">
        <f>Data!CY169</f>
        <v>2</v>
      </c>
      <c r="CZ138" s="112">
        <f t="shared" ref="CZ138:CZ143" si="227">SUM(CV138:CY138)</f>
        <v>-23</v>
      </c>
      <c r="DA138" s="208">
        <f>Data!DA169</f>
        <v>51</v>
      </c>
      <c r="DB138" s="208">
        <f>Data!DB169</f>
        <v>-16</v>
      </c>
      <c r="DC138" s="208">
        <f>Data!DC169</f>
        <v>-69</v>
      </c>
      <c r="DD138" s="208">
        <f>Data!DD169</f>
        <v>-8</v>
      </c>
      <c r="DE138" s="112">
        <f t="shared" ref="DE138:DE143" si="228">SUM(DA138:DD138)</f>
        <v>-42</v>
      </c>
      <c r="DF138" s="208">
        <f>Data!DF169</f>
        <v>-5</v>
      </c>
      <c r="DG138" s="208">
        <f>Data!DG169</f>
        <v>-36</v>
      </c>
      <c r="DH138" s="208">
        <f>Data!DH169</f>
        <v>-14</v>
      </c>
      <c r="DI138" s="208">
        <f>Data!DI169</f>
        <v>7</v>
      </c>
      <c r="DJ138" s="112">
        <f t="shared" ref="DJ138:DJ143" si="229">SUM(DF138:DI138)</f>
        <v>-48</v>
      </c>
      <c r="DK138" s="208">
        <f>Data!DK169</f>
        <v>12</v>
      </c>
      <c r="DL138" s="208">
        <f>Data!DL169</f>
        <v>24</v>
      </c>
      <c r="DM138" s="208">
        <f>Data!DM169</f>
        <v>-14</v>
      </c>
      <c r="DN138" s="69">
        <f t="shared" ref="DN138" si="230">DN174+DN162</f>
        <v>-55</v>
      </c>
      <c r="DO138" s="112">
        <f t="shared" ref="DO138:DO143" si="231">SUM(DK138:DN138)</f>
        <v>-33</v>
      </c>
      <c r="DP138" s="69">
        <f t="shared" ref="DP138" si="232">DP174+DP162</f>
        <v>-15</v>
      </c>
      <c r="DQ138" s="69">
        <f t="shared" ref="DQ138:DS138" si="233">DQ174+DQ162</f>
        <v>-20</v>
      </c>
      <c r="DR138" s="69">
        <f t="shared" si="233"/>
        <v>-25</v>
      </c>
      <c r="DS138" s="69">
        <f t="shared" si="233"/>
        <v>-45</v>
      </c>
      <c r="DT138" s="112">
        <f t="shared" ref="DT138:DT143" si="234">SUM(DP138:DS138)</f>
        <v>-105</v>
      </c>
      <c r="DU138" s="70">
        <f t="shared" ref="DU138:DV138" si="235">DU174+DU162</f>
        <v>-109</v>
      </c>
      <c r="DV138" s="70">
        <f t="shared" si="235"/>
        <v>-115</v>
      </c>
    </row>
    <row r="139" spans="1:126" s="92" customFormat="1">
      <c r="B139" s="180" t="s">
        <v>574</v>
      </c>
      <c r="C139" s="112">
        <f>Data!C184+Data!C185</f>
        <v>0</v>
      </c>
      <c r="D139" s="112">
        <f>Data!D184+Data!D185</f>
        <v>-332</v>
      </c>
      <c r="E139" s="112">
        <f>Data!E184+Data!E185</f>
        <v>-316</v>
      </c>
      <c r="F139" s="112">
        <f>Data!F184+Data!F185</f>
        <v>-267</v>
      </c>
      <c r="G139" s="112">
        <f>Data!G184+Data!G185</f>
        <v>-182</v>
      </c>
      <c r="H139" s="112">
        <f>Data!H184+Data!H185</f>
        <v>-202</v>
      </c>
      <c r="I139" s="112">
        <f>Data!I184+Data!I185</f>
        <v>-367</v>
      </c>
      <c r="J139" s="131">
        <f>Data!J184+Data!J185</f>
        <v>142</v>
      </c>
      <c r="K139" s="131">
        <f>Data!K184+Data!K185</f>
        <v>4</v>
      </c>
      <c r="L139" s="131">
        <f>Data!L184+Data!L185</f>
        <v>-105</v>
      </c>
      <c r="M139" s="131">
        <f>Data!M184+Data!M185</f>
        <v>21</v>
      </c>
      <c r="N139" s="112">
        <f>Data!N184+Data!N185</f>
        <v>62</v>
      </c>
      <c r="O139" s="131">
        <f>Data!O184+Data!O185</f>
        <v>-70</v>
      </c>
      <c r="P139" s="131">
        <f>Data!P184+Data!P185</f>
        <v>20</v>
      </c>
      <c r="Q139" s="131">
        <f>Data!Q184+Data!Q185</f>
        <v>-103</v>
      </c>
      <c r="R139" s="131">
        <f>Data!R184+Data!R185</f>
        <v>-90</v>
      </c>
      <c r="S139" s="112">
        <f>Data!S184+Data!S185</f>
        <v>-243</v>
      </c>
      <c r="T139" s="131">
        <f>Data!T184+Data!T185</f>
        <v>-40</v>
      </c>
      <c r="U139" s="131">
        <f>Data!U184+Data!U185</f>
        <v>5</v>
      </c>
      <c r="V139" s="131">
        <f>Data!V184+Data!V185</f>
        <v>-49</v>
      </c>
      <c r="W139" s="131">
        <f>Data!W184+Data!W185</f>
        <v>-66</v>
      </c>
      <c r="X139" s="112">
        <f>Data!X184+Data!X185</f>
        <v>-150</v>
      </c>
      <c r="Y139" s="131">
        <f>Data!Y184+Data!Y185</f>
        <v>-150</v>
      </c>
      <c r="Z139" s="131">
        <f>Data!Z184+Data!Z185</f>
        <v>-112</v>
      </c>
      <c r="AA139" s="131">
        <f>Data!AA184+Data!AA185</f>
        <v>-73</v>
      </c>
      <c r="AB139" s="131">
        <f>Data!AB184+Data!AB185</f>
        <v>-111</v>
      </c>
      <c r="AC139" s="112">
        <f>Data!AC184+Data!AC185</f>
        <v>-446</v>
      </c>
      <c r="AD139" s="131">
        <f>Data!AD184+Data!AD185</f>
        <v>-106</v>
      </c>
      <c r="AE139" s="131">
        <f>Data!AE184+Data!AE185</f>
        <v>-122</v>
      </c>
      <c r="AF139" s="131">
        <f>Data!AF184+Data!AF185</f>
        <v>-123</v>
      </c>
      <c r="AG139" s="131">
        <f>Data!AG184+Data!AG185</f>
        <v>-174</v>
      </c>
      <c r="AH139" s="112">
        <f>Data!AH184+Data!AH185</f>
        <v>-525</v>
      </c>
      <c r="AI139" s="131">
        <f>Data!AI184+Data!AI185</f>
        <v>-115</v>
      </c>
      <c r="AJ139" s="131">
        <f>Data!AJ184+Data!AJ185</f>
        <v>-96</v>
      </c>
      <c r="AK139" s="131">
        <f>Data!AK184+Data!AK185</f>
        <v>-171</v>
      </c>
      <c r="AL139" s="131">
        <f>Data!AL184+Data!AL185</f>
        <v>-221</v>
      </c>
      <c r="AM139" s="112">
        <f>Data!AM184+Data!AM185</f>
        <v>-603</v>
      </c>
      <c r="AN139" s="131">
        <f>Data!AN184+Data!AN185</f>
        <v>-137</v>
      </c>
      <c r="AO139" s="131">
        <f>Data!AO184+Data!AO185</f>
        <v>-155</v>
      </c>
      <c r="AP139" s="131">
        <f>Data!AP184+Data!AP185</f>
        <v>-282</v>
      </c>
      <c r="AQ139" s="131">
        <f>Data!AQ184+Data!AQ185</f>
        <v>-212</v>
      </c>
      <c r="AR139" s="112">
        <f>Data!AR184+Data!AR185</f>
        <v>-786</v>
      </c>
      <c r="AS139" s="131">
        <f>Data!AS184+Data!AS185</f>
        <v>-142</v>
      </c>
      <c r="AT139" s="131">
        <f>Data!AT184+Data!AT185</f>
        <v>-144</v>
      </c>
      <c r="AU139" s="131">
        <f>Data!AU184+Data!AU185</f>
        <v>-111</v>
      </c>
      <c r="AV139" s="131">
        <f>Data!AV184+Data!AV185</f>
        <v>-250</v>
      </c>
      <c r="AW139" s="112">
        <f>Data!AW184+Data!AW185</f>
        <v>-647</v>
      </c>
      <c r="AX139" s="131">
        <f>Data!AX170</f>
        <v>-56.816870144284131</v>
      </c>
      <c r="AY139" s="131">
        <f>Data!AY170</f>
        <v>-56.466148723640401</v>
      </c>
      <c r="AZ139" s="131">
        <f>Data!AZ170</f>
        <v>-57.869034406215313</v>
      </c>
      <c r="BA139" s="131">
        <f>Data!BA170</f>
        <v>-69.442841287458378</v>
      </c>
      <c r="BB139" s="112">
        <f>Data!BB170</f>
        <v>-240.59489456159824</v>
      </c>
      <c r="BC139" s="131">
        <f>Data!BC170</f>
        <v>-47.698113207547166</v>
      </c>
      <c r="BD139" s="131">
        <f>Data!BD170</f>
        <v>-57.869034406215313</v>
      </c>
      <c r="BE139" s="131">
        <f>Data!BE170</f>
        <v>-53.660377358490564</v>
      </c>
      <c r="BF139" s="131">
        <f>Data!BF170</f>
        <v>-67.689234184239737</v>
      </c>
      <c r="BG139" s="112">
        <f>Data!BG170</f>
        <v>-226.91675915649279</v>
      </c>
      <c r="BH139" s="208">
        <f>Data!BH170</f>
        <v>-42.437291897891228</v>
      </c>
      <c r="BI139" s="208">
        <f>Data!BI170</f>
        <v>22.446170921198668</v>
      </c>
      <c r="BJ139" s="208">
        <f>Data!BJ170</f>
        <v>-63.831298557158711</v>
      </c>
      <c r="BK139" s="208">
        <f>Data!BK170</f>
        <v>-77.158712541620417</v>
      </c>
      <c r="BL139" s="112">
        <f>Data!BL170</f>
        <v>-160.98113207547169</v>
      </c>
      <c r="BM139" s="208">
        <f>Data!BM170</f>
        <v>-43.489456159822417</v>
      </c>
      <c r="BN139" s="208">
        <f>Data!BN170</f>
        <v>-70.49500554938956</v>
      </c>
      <c r="BO139" s="208">
        <f>Data!BO170</f>
        <v>-53.660377358490564</v>
      </c>
      <c r="BP139" s="208">
        <f>Data!BP170</f>
        <v>-183.42730299667036</v>
      </c>
      <c r="BQ139" s="112">
        <f>Data!BQ170</f>
        <v>-351.07214206437288</v>
      </c>
      <c r="BR139" s="425">
        <f>Data!BR170</f>
        <v>-47.698113207547166</v>
      </c>
      <c r="BS139" s="425">
        <f>Data!BS170</f>
        <v>-39.982241953385127</v>
      </c>
      <c r="BT139" s="425">
        <f>Data!BT170</f>
        <v>-44.541620421753606</v>
      </c>
      <c r="BU139" s="425">
        <f>Data!BU170</f>
        <v>-208.67924528301887</v>
      </c>
      <c r="BV139" s="112">
        <f>Data!BV170</f>
        <v>-340.90122086570477</v>
      </c>
      <c r="BW139" s="425">
        <f>Data!BW170</f>
        <v>-65.584905660377359</v>
      </c>
      <c r="BX139" s="425">
        <f>Data!BX170</f>
        <v>-50.503884572697004</v>
      </c>
      <c r="BY139" s="425">
        <f>Data!BY170</f>
        <v>-40.332963374028857</v>
      </c>
      <c r="BZ139" s="425">
        <f>Data!BZ170</f>
        <v>-99.254162042175366</v>
      </c>
      <c r="CA139" s="112">
        <f>Data!CA170</f>
        <v>-255.67591564927858</v>
      </c>
      <c r="CB139" s="425">
        <f>Data!CB170</f>
        <v>-71.722530521642625</v>
      </c>
      <c r="CC139" s="425">
        <f>Data!CC170</f>
        <v>-99.078801331853498</v>
      </c>
      <c r="CD139" s="425">
        <f>Data!CD170</f>
        <v>-95.571587125416201</v>
      </c>
      <c r="CE139" s="425">
        <f>Data!CE170</f>
        <v>-78.736958934517205</v>
      </c>
      <c r="CF139" s="112">
        <f>Data!CF170</f>
        <v>-345.1098779134295</v>
      </c>
      <c r="CG139" s="425">
        <f>Data!CG170</f>
        <v>-61</v>
      </c>
      <c r="CH139" s="425">
        <f>Data!CH170</f>
        <v>-51</v>
      </c>
      <c r="CI139" s="425">
        <f>Data!CI170</f>
        <v>-52</v>
      </c>
      <c r="CJ139" s="425">
        <f>Data!CJ170</f>
        <v>-152</v>
      </c>
      <c r="CK139" s="112">
        <f>Data!CK170</f>
        <v>-316</v>
      </c>
      <c r="CL139" s="198">
        <f>Data!CL170</f>
        <v>-140</v>
      </c>
      <c r="CM139" s="208">
        <f>Data!CM170</f>
        <v>-184</v>
      </c>
      <c r="CN139" s="208">
        <f>Data!CN170</f>
        <v>-84</v>
      </c>
      <c r="CO139" s="208">
        <f>Data!CO170</f>
        <v>-99</v>
      </c>
      <c r="CP139" s="112">
        <f t="shared" si="225"/>
        <v>-507</v>
      </c>
      <c r="CQ139" s="208">
        <f>Data!CQ170</f>
        <v>-81</v>
      </c>
      <c r="CR139" s="208">
        <f>Data!CR170</f>
        <v>-149</v>
      </c>
      <c r="CS139" s="208">
        <f>Data!CS170</f>
        <v>-89</v>
      </c>
      <c r="CT139" s="208">
        <f>Data!CT170</f>
        <v>-218</v>
      </c>
      <c r="CU139" s="112">
        <f t="shared" si="226"/>
        <v>-537</v>
      </c>
      <c r="CV139" s="208">
        <f>Data!CV170</f>
        <v>-136</v>
      </c>
      <c r="CW139" s="208">
        <f>Data!CW170</f>
        <v>-42</v>
      </c>
      <c r="CX139" s="208">
        <f>Data!CX170</f>
        <v>-77</v>
      </c>
      <c r="CY139" s="208">
        <f>Data!CY170</f>
        <v>-63</v>
      </c>
      <c r="CZ139" s="112">
        <f t="shared" si="227"/>
        <v>-318</v>
      </c>
      <c r="DA139" s="208">
        <f>Data!DA170</f>
        <v>-43</v>
      </c>
      <c r="DB139" s="208">
        <f>Data!DB170</f>
        <v>-59</v>
      </c>
      <c r="DC139" s="208">
        <f>Data!DC170</f>
        <v>-63</v>
      </c>
      <c r="DD139" s="208">
        <f>Data!DD170</f>
        <v>-110</v>
      </c>
      <c r="DE139" s="112">
        <f t="shared" si="228"/>
        <v>-275</v>
      </c>
      <c r="DF139" s="208">
        <f>Data!DF170</f>
        <v>-96</v>
      </c>
      <c r="DG139" s="208">
        <f>Data!DG170</f>
        <v>-930</v>
      </c>
      <c r="DH139" s="208">
        <f>Data!DH170</f>
        <v>100</v>
      </c>
      <c r="DI139" s="208">
        <f>Data!DI170</f>
        <v>-7</v>
      </c>
      <c r="DJ139" s="112">
        <f t="shared" si="229"/>
        <v>-933</v>
      </c>
      <c r="DK139" s="208">
        <f>Data!DK170</f>
        <v>-38</v>
      </c>
      <c r="DL139" s="208">
        <f>Data!DL170</f>
        <v>-47</v>
      </c>
      <c r="DM139" s="208">
        <f>Data!DM170</f>
        <v>-25</v>
      </c>
      <c r="DN139" s="69">
        <f t="shared" ref="DN139" si="236">DN175+DN163</f>
        <v>-81</v>
      </c>
      <c r="DO139" s="112">
        <f t="shared" si="231"/>
        <v>-191</v>
      </c>
      <c r="DP139" s="69">
        <f t="shared" ref="DP139" si="237">DP175+DP163</f>
        <v>-35</v>
      </c>
      <c r="DQ139" s="69">
        <f t="shared" ref="DQ139:DS139" si="238">DQ175+DQ163</f>
        <v>-40</v>
      </c>
      <c r="DR139" s="69">
        <f t="shared" si="238"/>
        <v>-60</v>
      </c>
      <c r="DS139" s="69">
        <f t="shared" si="238"/>
        <v>-70</v>
      </c>
      <c r="DT139" s="112">
        <f t="shared" si="234"/>
        <v>-205</v>
      </c>
      <c r="DU139" s="70">
        <f t="shared" ref="DU139:DV139" si="239">DU175+DU163</f>
        <v>-215</v>
      </c>
      <c r="DV139" s="70">
        <f t="shared" si="239"/>
        <v>-220</v>
      </c>
    </row>
    <row r="140" spans="1:126" s="92" customFormat="1">
      <c r="B140" s="180" t="s">
        <v>507</v>
      </c>
      <c r="C140" s="112">
        <f>Data!C171</f>
        <v>0</v>
      </c>
      <c r="D140" s="112">
        <f>Data!D171</f>
        <v>0</v>
      </c>
      <c r="E140" s="112">
        <f>Data!E171</f>
        <v>0</v>
      </c>
      <c r="F140" s="112">
        <f>Data!F171</f>
        <v>0</v>
      </c>
      <c r="G140" s="112">
        <f>Data!G171</f>
        <v>0</v>
      </c>
      <c r="H140" s="112">
        <f>Data!H171</f>
        <v>0</v>
      </c>
      <c r="I140" s="112">
        <f>Data!I171</f>
        <v>-109</v>
      </c>
      <c r="J140" s="131">
        <f>Data!J171</f>
        <v>-121</v>
      </c>
      <c r="K140" s="131">
        <f>Data!K171</f>
        <v>-118</v>
      </c>
      <c r="L140" s="131">
        <f>Data!L171</f>
        <v>-117</v>
      </c>
      <c r="M140" s="131">
        <f>Data!M171</f>
        <v>-118</v>
      </c>
      <c r="N140" s="112">
        <f>Data!N171</f>
        <v>-474</v>
      </c>
      <c r="O140" s="131">
        <f>Data!O171</f>
        <v>-116</v>
      </c>
      <c r="P140" s="131">
        <f>Data!P171</f>
        <v>-116</v>
      </c>
      <c r="Q140" s="131">
        <f>Data!Q171</f>
        <v>-117</v>
      </c>
      <c r="R140" s="131">
        <f>Data!R171</f>
        <v>-116</v>
      </c>
      <c r="S140" s="112">
        <f>Data!S171</f>
        <v>-465</v>
      </c>
      <c r="T140" s="131">
        <f>Data!T171</f>
        <v>-90</v>
      </c>
      <c r="U140" s="131">
        <f>Data!U171</f>
        <v>-100</v>
      </c>
      <c r="V140" s="131">
        <f>Data!V171</f>
        <v>-93</v>
      </c>
      <c r="W140" s="131">
        <f>Data!W171</f>
        <v>-79</v>
      </c>
      <c r="X140" s="112">
        <f>Data!X171</f>
        <v>-362</v>
      </c>
      <c r="Y140" s="131">
        <f>Data!Y171</f>
        <v>-62</v>
      </c>
      <c r="Z140" s="131">
        <f>Data!Z171</f>
        <v>-63</v>
      </c>
      <c r="AA140" s="131">
        <f>Data!AA171</f>
        <v>-114</v>
      </c>
      <c r="AB140" s="131">
        <f>Data!AB171</f>
        <v>-20</v>
      </c>
      <c r="AC140" s="112">
        <f>Data!AC171</f>
        <v>-259</v>
      </c>
      <c r="AD140" s="131">
        <f>Data!AD171</f>
        <v>-33</v>
      </c>
      <c r="AE140" s="131">
        <f>Data!AE171</f>
        <v>-34</v>
      </c>
      <c r="AF140" s="131">
        <f>Data!AF171</f>
        <v>-26</v>
      </c>
      <c r="AG140" s="131">
        <f>Data!AG171</f>
        <v>-30</v>
      </c>
      <c r="AH140" s="112">
        <f>Data!AH171</f>
        <v>-123</v>
      </c>
      <c r="AI140" s="131">
        <f>Data!AI171</f>
        <v>11</v>
      </c>
      <c r="AJ140" s="131">
        <f>Data!AJ171</f>
        <v>11</v>
      </c>
      <c r="AK140" s="131">
        <f>Data!AK171</f>
        <v>-1</v>
      </c>
      <c r="AL140" s="131">
        <f>Data!AL171</f>
        <v>6</v>
      </c>
      <c r="AM140" s="112">
        <f>Data!AM171</f>
        <v>27</v>
      </c>
      <c r="AN140" s="131">
        <f>Data!AN171</f>
        <v>-53</v>
      </c>
      <c r="AO140" s="131">
        <f>Data!AO171</f>
        <v>-55</v>
      </c>
      <c r="AP140" s="131">
        <f>Data!AP171</f>
        <v>-62</v>
      </c>
      <c r="AQ140" s="131">
        <f>Data!AQ171</f>
        <v>-60</v>
      </c>
      <c r="AR140" s="112">
        <f>Data!AR171</f>
        <v>-230</v>
      </c>
      <c r="AS140" s="131">
        <f>Data!AS171</f>
        <v>-89</v>
      </c>
      <c r="AT140" s="131">
        <f>Data!AT171</f>
        <v>-90</v>
      </c>
      <c r="AU140" s="131">
        <f>Data!AU171</f>
        <v>-75</v>
      </c>
      <c r="AV140" s="131">
        <f>Data!AV171</f>
        <v>-83</v>
      </c>
      <c r="AW140" s="112">
        <f>Data!AW171</f>
        <v>-337</v>
      </c>
      <c r="AX140" s="131">
        <f>Data!AX171</f>
        <v>-70</v>
      </c>
      <c r="AY140" s="131">
        <f>Data!AY171</f>
        <v>-71</v>
      </c>
      <c r="AZ140" s="131">
        <f>Data!AZ171</f>
        <v>-47</v>
      </c>
      <c r="BA140" s="131">
        <f>Data!BA171</f>
        <v>-67</v>
      </c>
      <c r="BB140" s="112">
        <f>Data!BB171</f>
        <v>-255</v>
      </c>
      <c r="BC140" s="131">
        <f>Data!BC171</f>
        <v>-71</v>
      </c>
      <c r="BD140" s="131">
        <f>Data!BD171</f>
        <v>-72</v>
      </c>
      <c r="BE140" s="131">
        <f>Data!BE171</f>
        <v>-46</v>
      </c>
      <c r="BF140" s="131">
        <f>Data!BF171</f>
        <v>-60</v>
      </c>
      <c r="BG140" s="112">
        <f>Data!BG171</f>
        <v>-249</v>
      </c>
      <c r="BH140" s="208">
        <f>Data!BH171</f>
        <v>87</v>
      </c>
      <c r="BI140" s="208">
        <f>Data!BI171</f>
        <v>87</v>
      </c>
      <c r="BJ140" s="208">
        <f>Data!BJ171</f>
        <v>42</v>
      </c>
      <c r="BK140" s="208">
        <f>Data!BK171</f>
        <v>70</v>
      </c>
      <c r="BL140" s="112">
        <f>Data!BL171</f>
        <v>286</v>
      </c>
      <c r="BM140" s="208">
        <f>Data!BM171</f>
        <v>49</v>
      </c>
      <c r="BN140" s="208">
        <f>Data!BN171</f>
        <v>49</v>
      </c>
      <c r="BO140" s="208">
        <f>Data!BO171</f>
        <v>43</v>
      </c>
      <c r="BP140" s="208">
        <f>Data!BP171</f>
        <v>44</v>
      </c>
      <c r="BQ140" s="112">
        <f>Data!BQ171</f>
        <v>185</v>
      </c>
      <c r="BR140" s="208">
        <f>Data!BR171</f>
        <v>105</v>
      </c>
      <c r="BS140" s="208">
        <f>Data!BS171</f>
        <v>109</v>
      </c>
      <c r="BT140" s="208">
        <f>Data!BT171</f>
        <v>104</v>
      </c>
      <c r="BU140" s="208">
        <f>Data!BU171</f>
        <v>117</v>
      </c>
      <c r="BV140" s="112">
        <f>Data!BV171</f>
        <v>435</v>
      </c>
      <c r="BW140" s="208">
        <f>Data!BW171</f>
        <v>315</v>
      </c>
      <c r="BX140" s="208">
        <f>Data!BX171</f>
        <v>315</v>
      </c>
      <c r="BY140" s="208">
        <f>Data!BY171</f>
        <v>348</v>
      </c>
      <c r="BZ140" s="208">
        <f>Data!BZ171</f>
        <v>325</v>
      </c>
      <c r="CA140" s="112">
        <f>Data!CA171</f>
        <v>1303</v>
      </c>
      <c r="CB140" s="208">
        <f>Data!CB171</f>
        <v>354</v>
      </c>
      <c r="CC140" s="208">
        <f>Data!CC171</f>
        <v>353</v>
      </c>
      <c r="CD140" s="208">
        <f>Data!CD171</f>
        <v>365</v>
      </c>
      <c r="CE140" s="208">
        <f>Data!CE171</f>
        <v>356</v>
      </c>
      <c r="CF140" s="112">
        <f>Data!CF171</f>
        <v>1428</v>
      </c>
      <c r="CG140" s="208">
        <f>Data!CG171</f>
        <v>356</v>
      </c>
      <c r="CH140" s="208">
        <f>Data!CH171</f>
        <v>353</v>
      </c>
      <c r="CI140" s="208">
        <f>Data!CI171</f>
        <v>351</v>
      </c>
      <c r="CJ140" s="208">
        <f>Data!CJ171</f>
        <v>355</v>
      </c>
      <c r="CK140" s="112">
        <f>Data!CK171</f>
        <v>1415</v>
      </c>
      <c r="CL140" s="198">
        <f>Data!CL171</f>
        <v>351</v>
      </c>
      <c r="CM140" s="208">
        <f>Data!CM171</f>
        <v>349</v>
      </c>
      <c r="CN140" s="208">
        <f>Data!CN171</f>
        <v>352</v>
      </c>
      <c r="CO140" s="208">
        <f>Data!CO171</f>
        <v>340</v>
      </c>
      <c r="CP140" s="112">
        <f t="shared" si="225"/>
        <v>1392</v>
      </c>
      <c r="CQ140" s="208">
        <f>Data!CQ171</f>
        <v>393</v>
      </c>
      <c r="CR140" s="208">
        <f>Data!CR171</f>
        <v>395</v>
      </c>
      <c r="CS140" s="208">
        <f>Data!CS171</f>
        <v>469</v>
      </c>
      <c r="CT140" s="208">
        <f>Data!CT171</f>
        <v>397</v>
      </c>
      <c r="CU140" s="112">
        <f t="shared" si="226"/>
        <v>1654</v>
      </c>
      <c r="CV140" s="208">
        <f>Data!CV171</f>
        <v>348</v>
      </c>
      <c r="CW140" s="208">
        <f>Data!CW171</f>
        <v>349</v>
      </c>
      <c r="CX140" s="208">
        <f>Data!CX171</f>
        <v>348</v>
      </c>
      <c r="CY140" s="208">
        <f>Data!CY171</f>
        <v>354</v>
      </c>
      <c r="CZ140" s="112">
        <f t="shared" si="227"/>
        <v>1399</v>
      </c>
      <c r="DA140" s="208">
        <f>Data!DA171</f>
        <v>289</v>
      </c>
      <c r="DB140" s="208">
        <f>Data!DB171</f>
        <v>284</v>
      </c>
      <c r="DC140" s="208">
        <f>Data!DC171</f>
        <v>272</v>
      </c>
      <c r="DD140" s="208">
        <f>Data!DD171</f>
        <v>282</v>
      </c>
      <c r="DE140" s="112">
        <f t="shared" si="228"/>
        <v>1127</v>
      </c>
      <c r="DF140" s="208">
        <f>Data!DF171</f>
        <v>214</v>
      </c>
      <c r="DG140" s="208">
        <f>Data!DG171</f>
        <v>212</v>
      </c>
      <c r="DH140" s="208">
        <f>Data!DH171</f>
        <v>210</v>
      </c>
      <c r="DI140" s="208">
        <f>Data!DI171</f>
        <v>197</v>
      </c>
      <c r="DJ140" s="112">
        <f t="shared" si="229"/>
        <v>833</v>
      </c>
      <c r="DK140" s="208">
        <f>Data!DK171</f>
        <v>185</v>
      </c>
      <c r="DL140" s="208">
        <f>Data!DL171</f>
        <v>186</v>
      </c>
      <c r="DM140" s="208">
        <f>Data!DM171</f>
        <v>199</v>
      </c>
      <c r="DN140" s="69">
        <f t="shared" ref="DN140" si="240">DN176</f>
        <v>175</v>
      </c>
      <c r="DO140" s="112">
        <f t="shared" si="231"/>
        <v>745</v>
      </c>
      <c r="DP140" s="69">
        <f t="shared" ref="DP140" si="241">DP176</f>
        <v>150</v>
      </c>
      <c r="DQ140" s="69">
        <f t="shared" ref="DQ140:DS140" si="242">DQ176</f>
        <v>150</v>
      </c>
      <c r="DR140" s="69">
        <f t="shared" si="242"/>
        <v>150</v>
      </c>
      <c r="DS140" s="69">
        <f t="shared" si="242"/>
        <v>150</v>
      </c>
      <c r="DT140" s="112">
        <f t="shared" si="234"/>
        <v>600</v>
      </c>
      <c r="DU140" s="70">
        <f t="shared" ref="DU140:DV140" si="243">DU176</f>
        <v>500</v>
      </c>
      <c r="DV140" s="70">
        <f t="shared" si="243"/>
        <v>450</v>
      </c>
    </row>
    <row r="141" spans="1:126" s="92" customFormat="1">
      <c r="B141" s="180" t="s">
        <v>575</v>
      </c>
      <c r="C141" s="112"/>
      <c r="D141" s="112"/>
      <c r="E141" s="112"/>
      <c r="F141" s="112"/>
      <c r="G141" s="112"/>
      <c r="H141" s="112"/>
      <c r="I141" s="112"/>
      <c r="J141" s="131"/>
      <c r="K141" s="131"/>
      <c r="L141" s="131"/>
      <c r="M141" s="131"/>
      <c r="N141" s="112"/>
      <c r="O141" s="131"/>
      <c r="P141" s="131"/>
      <c r="Q141" s="131"/>
      <c r="R141" s="131"/>
      <c r="S141" s="112"/>
      <c r="T141" s="131"/>
      <c r="U141" s="131"/>
      <c r="V141" s="131"/>
      <c r="W141" s="131"/>
      <c r="X141" s="112"/>
      <c r="Y141" s="131"/>
      <c r="Z141" s="131"/>
      <c r="AA141" s="131"/>
      <c r="AB141" s="131"/>
      <c r="AC141" s="112"/>
      <c r="AD141" s="131"/>
      <c r="AE141" s="131"/>
      <c r="AF141" s="131"/>
      <c r="AG141" s="131"/>
      <c r="AH141" s="112"/>
      <c r="AI141" s="131"/>
      <c r="AJ141" s="131"/>
      <c r="AK141" s="131"/>
      <c r="AL141" s="131"/>
      <c r="AM141" s="112"/>
      <c r="AN141" s="131"/>
      <c r="AO141" s="131"/>
      <c r="AP141" s="131"/>
      <c r="AQ141" s="131"/>
      <c r="AR141" s="112"/>
      <c r="AS141" s="131"/>
      <c r="AT141" s="131"/>
      <c r="AU141" s="131"/>
      <c r="AV141" s="131"/>
      <c r="AW141" s="112"/>
      <c r="AX141" s="131">
        <f>Data!AX172</f>
        <v>-85.704201101928362</v>
      </c>
      <c r="AY141" s="131">
        <f>Data!AY172</f>
        <v>-85.704201101928362</v>
      </c>
      <c r="AZ141" s="131">
        <f>Data!AZ172</f>
        <v>-85.704201101928362</v>
      </c>
      <c r="BA141" s="131">
        <f>Data!BA172</f>
        <v>-85.704201101928362</v>
      </c>
      <c r="BB141" s="112">
        <f>Data!BB172</f>
        <v>-342.81680440771345</v>
      </c>
      <c r="BC141" s="131">
        <f>Data!BC172</f>
        <v>-110.45971074380165</v>
      </c>
      <c r="BD141" s="131">
        <f>Data!BD172</f>
        <v>-110.45971074380165</v>
      </c>
      <c r="BE141" s="131">
        <f>Data!BE172</f>
        <v>-110.45971074380165</v>
      </c>
      <c r="BF141" s="131">
        <f>Data!BF172</f>
        <v>-110.45971074380165</v>
      </c>
      <c r="BG141" s="112">
        <f>Data!BG172</f>
        <v>-441.8388429752066</v>
      </c>
      <c r="BH141" s="208">
        <f>Data!BH172</f>
        <v>-111.71315426997245</v>
      </c>
      <c r="BI141" s="208">
        <f>Data!BI172</f>
        <v>-111.71315426997245</v>
      </c>
      <c r="BJ141" s="208">
        <f>Data!BJ172</f>
        <v>-111.71315426997245</v>
      </c>
      <c r="BK141" s="208">
        <f>Data!BK172</f>
        <v>-111.71315426997245</v>
      </c>
      <c r="BL141" s="112">
        <f>Data!BL172</f>
        <v>-446.8526170798898</v>
      </c>
      <c r="BM141" s="208">
        <f>Data!BM172</f>
        <v>-113.12327823691459</v>
      </c>
      <c r="BN141" s="208">
        <f>Data!BN172</f>
        <v>-113.12327823691459</v>
      </c>
      <c r="BO141" s="208">
        <f>Data!BO172</f>
        <v>-113.12327823691459</v>
      </c>
      <c r="BP141" s="208">
        <f>Data!BP172</f>
        <v>-113.12327823691459</v>
      </c>
      <c r="BQ141" s="112">
        <f>Data!BQ172</f>
        <v>-452.49311294765835</v>
      </c>
      <c r="BR141" s="425">
        <f>Data!BR172</f>
        <v>-121.89738292011019</v>
      </c>
      <c r="BS141" s="425">
        <f>Data!BS172</f>
        <v>-121.89738292011019</v>
      </c>
      <c r="BT141" s="425">
        <f>Data!BT172</f>
        <v>-121.89738292011019</v>
      </c>
      <c r="BU141" s="425">
        <f>Data!BU172</f>
        <v>-121.89738292011019</v>
      </c>
      <c r="BV141" s="112">
        <f>Data!BV172</f>
        <v>-487.58953168044076</v>
      </c>
      <c r="BW141" s="425">
        <f>Data!BW172</f>
        <v>-130.67148760330576</v>
      </c>
      <c r="BX141" s="425">
        <f>Data!BX172</f>
        <v>-130.67148760330576</v>
      </c>
      <c r="BY141" s="425">
        <f>Data!BY172</f>
        <v>-130.67148760330576</v>
      </c>
      <c r="BZ141" s="425">
        <f>Data!BZ172</f>
        <v>-130.67148760330576</v>
      </c>
      <c r="CA141" s="112">
        <f>Data!CA172</f>
        <v>-522.68595041322305</v>
      </c>
      <c r="CB141" s="425">
        <f>Data!CB172</f>
        <v>-152.92011019283746</v>
      </c>
      <c r="CC141" s="425">
        <f>Data!CC172</f>
        <v>-152.92011019283746</v>
      </c>
      <c r="CD141" s="425">
        <f>Data!CD172</f>
        <v>-152.92011019283746</v>
      </c>
      <c r="CE141" s="425">
        <f>Data!CE172</f>
        <v>-152.92011019283746</v>
      </c>
      <c r="CF141" s="112">
        <f>Data!CF172</f>
        <v>-611.68044077134982</v>
      </c>
      <c r="CG141" s="425">
        <f>Data!CG172</f>
        <v>-588</v>
      </c>
      <c r="CH141" s="425">
        <f>Data!CH172</f>
        <v>-571</v>
      </c>
      <c r="CI141" s="425">
        <f>Data!CI172</f>
        <v>-581</v>
      </c>
      <c r="CJ141" s="425">
        <f>Data!CJ172</f>
        <v>-594</v>
      </c>
      <c r="CK141" s="112">
        <f>Data!CK172</f>
        <v>-2334</v>
      </c>
      <c r="CL141" s="198">
        <f>Data!CL172</f>
        <v>-644</v>
      </c>
      <c r="CM141" s="208">
        <f>Data!CM172</f>
        <v>-545</v>
      </c>
      <c r="CN141" s="208">
        <f>Data!CN172</f>
        <v>-523</v>
      </c>
      <c r="CO141" s="208">
        <f>Data!CO172</f>
        <v>-561</v>
      </c>
      <c r="CP141" s="112">
        <f t="shared" si="225"/>
        <v>-2273</v>
      </c>
      <c r="CQ141" s="208">
        <f>Data!CQ172</f>
        <v>-516</v>
      </c>
      <c r="CR141" s="208">
        <f>Data!CR172</f>
        <v>-519</v>
      </c>
      <c r="CS141" s="208">
        <f>Data!CS172</f>
        <v>-586</v>
      </c>
      <c r="CT141" s="208">
        <f>Data!CT172</f>
        <v>-582</v>
      </c>
      <c r="CU141" s="112">
        <f t="shared" si="226"/>
        <v>-2203</v>
      </c>
      <c r="CV141" s="208">
        <f>Data!CV172</f>
        <v>-484</v>
      </c>
      <c r="CW141" s="208">
        <f>Data!CW172</f>
        <v>-448</v>
      </c>
      <c r="CX141" s="208">
        <f>Data!CX172</f>
        <v>-482</v>
      </c>
      <c r="CY141" s="208">
        <f>Data!CY172</f>
        <v>-479</v>
      </c>
      <c r="CZ141" s="112">
        <f t="shared" si="227"/>
        <v>-1893</v>
      </c>
      <c r="DA141" s="208">
        <f>Data!DA172</f>
        <v>-493</v>
      </c>
      <c r="DB141" s="208">
        <f>Data!DB172</f>
        <v>-489</v>
      </c>
      <c r="DC141" s="208">
        <f>Data!DC172</f>
        <v>-517</v>
      </c>
      <c r="DD141" s="208">
        <f>Data!DD172</f>
        <v>-499</v>
      </c>
      <c r="DE141" s="112">
        <f t="shared" si="228"/>
        <v>-1998</v>
      </c>
      <c r="DF141" s="208">
        <f>Data!DF172</f>
        <v>-500</v>
      </c>
      <c r="DG141" s="208">
        <f>Data!DG172</f>
        <v>0</v>
      </c>
      <c r="DH141" s="208">
        <f>Data!DH172</f>
        <v>0</v>
      </c>
      <c r="DI141" s="208">
        <f>Data!DI172</f>
        <v>0</v>
      </c>
      <c r="DJ141" s="112">
        <f t="shared" si="229"/>
        <v>-500</v>
      </c>
      <c r="DK141" s="208">
        <f>Data!DK172</f>
        <v>-470</v>
      </c>
      <c r="DL141" s="208">
        <f>Data!DL172</f>
        <v>-487</v>
      </c>
      <c r="DM141" s="208">
        <f>Data!DM172</f>
        <v>-507</v>
      </c>
      <c r="DN141" s="69">
        <f>-CFLO!DN9</f>
        <v>-475</v>
      </c>
      <c r="DO141" s="112">
        <f t="shared" si="231"/>
        <v>-1939</v>
      </c>
      <c r="DP141" s="69">
        <f>-CFLO!DP9</f>
        <v>-470</v>
      </c>
      <c r="DQ141" s="69">
        <f>-CFLO!DQ9</f>
        <v>-470</v>
      </c>
      <c r="DR141" s="69">
        <f>-CFLO!DR9</f>
        <v>-470</v>
      </c>
      <c r="DS141" s="69">
        <f>-CFLO!DS9</f>
        <v>-470</v>
      </c>
      <c r="DT141" s="112">
        <f t="shared" si="234"/>
        <v>-1880</v>
      </c>
      <c r="DU141" s="70">
        <f>-CFLO!DU9</f>
        <v>-1850</v>
      </c>
      <c r="DV141" s="70">
        <f>-CFLO!DV9</f>
        <v>-1850</v>
      </c>
    </row>
    <row r="142" spans="1:126" s="92" customFormat="1">
      <c r="B142" s="180" t="s">
        <v>579</v>
      </c>
      <c r="C142" s="112"/>
      <c r="D142" s="112"/>
      <c r="E142" s="112"/>
      <c r="F142" s="112"/>
      <c r="G142" s="112"/>
      <c r="H142" s="112"/>
      <c r="I142" s="112"/>
      <c r="J142" s="131"/>
      <c r="K142" s="131"/>
      <c r="L142" s="131"/>
      <c r="M142" s="131"/>
      <c r="N142" s="112"/>
      <c r="O142" s="131"/>
      <c r="P142" s="131"/>
      <c r="Q142" s="131"/>
      <c r="R142" s="131"/>
      <c r="S142" s="112"/>
      <c r="T142" s="131"/>
      <c r="U142" s="131"/>
      <c r="V142" s="131"/>
      <c r="W142" s="131"/>
      <c r="X142" s="112"/>
      <c r="Y142" s="131"/>
      <c r="Z142" s="131"/>
      <c r="AA142" s="131"/>
      <c r="AB142" s="131"/>
      <c r="AC142" s="112"/>
      <c r="AD142" s="131"/>
      <c r="AE142" s="131"/>
      <c r="AF142" s="131"/>
      <c r="AG142" s="131"/>
      <c r="AH142" s="112"/>
      <c r="AI142" s="131"/>
      <c r="AJ142" s="131"/>
      <c r="AK142" s="131"/>
      <c r="AL142" s="131"/>
      <c r="AM142" s="112"/>
      <c r="AN142" s="131"/>
      <c r="AO142" s="131"/>
      <c r="AP142" s="131"/>
      <c r="AQ142" s="131"/>
      <c r="AR142" s="112"/>
      <c r="AS142" s="131"/>
      <c r="AT142" s="131"/>
      <c r="AU142" s="131"/>
      <c r="AV142" s="131"/>
      <c r="AW142" s="112"/>
      <c r="AX142" s="131"/>
      <c r="AY142" s="131"/>
      <c r="AZ142" s="131"/>
      <c r="BA142" s="131"/>
      <c r="BB142" s="112"/>
      <c r="BC142" s="131"/>
      <c r="BD142" s="131"/>
      <c r="BE142" s="131"/>
      <c r="BF142" s="131"/>
      <c r="BG142" s="112"/>
      <c r="BH142" s="208"/>
      <c r="BI142" s="208"/>
      <c r="BJ142" s="208"/>
      <c r="BK142" s="208"/>
      <c r="BL142" s="112"/>
      <c r="BM142" s="208"/>
      <c r="BN142" s="208"/>
      <c r="BO142" s="208"/>
      <c r="BP142" s="208"/>
      <c r="BQ142" s="112"/>
      <c r="BR142" s="425"/>
      <c r="BS142" s="425"/>
      <c r="BT142" s="425"/>
      <c r="BU142" s="425"/>
      <c r="BV142" s="112"/>
      <c r="BW142" s="425"/>
      <c r="BX142" s="425"/>
      <c r="BY142" s="425"/>
      <c r="BZ142" s="425"/>
      <c r="CA142" s="112"/>
      <c r="CB142" s="425"/>
      <c r="CC142" s="425"/>
      <c r="CD142" s="425"/>
      <c r="CE142" s="425"/>
      <c r="CF142" s="112"/>
      <c r="CG142" s="425"/>
      <c r="CH142" s="425"/>
      <c r="CI142" s="425"/>
      <c r="CJ142" s="425"/>
      <c r="CK142" s="112"/>
      <c r="CL142" s="198">
        <f>Data!CL173</f>
        <v>0</v>
      </c>
      <c r="CM142" s="208">
        <f>Data!CM173</f>
        <v>-3200</v>
      </c>
      <c r="CN142" s="208">
        <f>Data!CN173</f>
        <v>0</v>
      </c>
      <c r="CO142" s="208">
        <f>Data!CO173</f>
        <v>0</v>
      </c>
      <c r="CP142" s="112">
        <f t="shared" si="225"/>
        <v>-3200</v>
      </c>
      <c r="CQ142" s="208">
        <f>Data!CQ173</f>
        <v>0</v>
      </c>
      <c r="CR142" s="208">
        <f>Data!CR173</f>
        <v>0</v>
      </c>
      <c r="CS142" s="208">
        <f>Data!CS173</f>
        <v>0</v>
      </c>
      <c r="CT142" s="208">
        <f>Data!CT173</f>
        <v>0</v>
      </c>
      <c r="CU142" s="112">
        <f t="shared" si="226"/>
        <v>0</v>
      </c>
      <c r="CV142" s="208">
        <f>Data!CV173</f>
        <v>0</v>
      </c>
      <c r="CW142" s="208">
        <f>Data!CW173</f>
        <v>0</v>
      </c>
      <c r="CX142" s="208">
        <f>Data!CX173</f>
        <v>0</v>
      </c>
      <c r="CY142" s="208">
        <f>Data!CY173</f>
        <v>0</v>
      </c>
      <c r="CZ142" s="112">
        <f t="shared" si="227"/>
        <v>0</v>
      </c>
      <c r="DA142" s="208">
        <f>Data!DA173</f>
        <v>0</v>
      </c>
      <c r="DB142" s="208">
        <f>Data!DB173</f>
        <v>0</v>
      </c>
      <c r="DC142" s="208">
        <f>Data!DC173</f>
        <v>0</v>
      </c>
      <c r="DD142" s="208">
        <f>Data!DD173</f>
        <v>0</v>
      </c>
      <c r="DE142" s="112">
        <f t="shared" si="228"/>
        <v>0</v>
      </c>
      <c r="DF142" s="208">
        <f>Data!DF173</f>
        <v>0</v>
      </c>
      <c r="DG142" s="208">
        <f>Data!DG173</f>
        <v>-504</v>
      </c>
      <c r="DH142" s="208">
        <f>Data!DH173</f>
        <v>-534</v>
      </c>
      <c r="DI142" s="208">
        <f>Data!DI173</f>
        <v>-520</v>
      </c>
      <c r="DJ142" s="112">
        <f t="shared" si="229"/>
        <v>-1558</v>
      </c>
      <c r="DK142" s="208">
        <f>Data!DK173</f>
        <v>0</v>
      </c>
      <c r="DL142" s="208">
        <f>Data!DL173</f>
        <v>0</v>
      </c>
      <c r="DM142" s="208">
        <f>Data!DM173</f>
        <v>0</v>
      </c>
      <c r="DN142" s="69">
        <v>0</v>
      </c>
      <c r="DO142" s="112">
        <f t="shared" si="231"/>
        <v>0</v>
      </c>
      <c r="DP142" s="69">
        <v>0</v>
      </c>
      <c r="DQ142" s="69">
        <v>0</v>
      </c>
      <c r="DR142" s="69">
        <v>0</v>
      </c>
      <c r="DS142" s="69">
        <v>0</v>
      </c>
      <c r="DT142" s="112">
        <f t="shared" si="234"/>
        <v>0</v>
      </c>
      <c r="DU142" s="70">
        <v>0</v>
      </c>
      <c r="DV142" s="70">
        <v>0</v>
      </c>
    </row>
    <row r="143" spans="1:126" s="92" customFormat="1">
      <c r="B143" s="180" t="s">
        <v>539</v>
      </c>
      <c r="C143" s="112"/>
      <c r="D143" s="112"/>
      <c r="E143" s="112"/>
      <c r="F143" s="112"/>
      <c r="G143" s="112"/>
      <c r="H143" s="112"/>
      <c r="I143" s="112"/>
      <c r="J143" s="131"/>
      <c r="K143" s="131"/>
      <c r="L143" s="131"/>
      <c r="M143" s="131"/>
      <c r="N143" s="112"/>
      <c r="O143" s="131"/>
      <c r="P143" s="131"/>
      <c r="Q143" s="131"/>
      <c r="R143" s="131"/>
      <c r="S143" s="112"/>
      <c r="T143" s="131"/>
      <c r="U143" s="131"/>
      <c r="V143" s="131"/>
      <c r="W143" s="131"/>
      <c r="X143" s="112"/>
      <c r="Y143" s="131"/>
      <c r="Z143" s="131"/>
      <c r="AA143" s="131"/>
      <c r="AB143" s="131"/>
      <c r="AC143" s="112"/>
      <c r="AD143" s="131"/>
      <c r="AE143" s="131"/>
      <c r="AF143" s="131"/>
      <c r="AG143" s="131"/>
      <c r="AH143" s="112"/>
      <c r="AI143" s="131"/>
      <c r="AJ143" s="131"/>
      <c r="AK143" s="131"/>
      <c r="AL143" s="131"/>
      <c r="AM143" s="112"/>
      <c r="AN143" s="131"/>
      <c r="AO143" s="131"/>
      <c r="AP143" s="131"/>
      <c r="AQ143" s="131"/>
      <c r="AR143" s="112"/>
      <c r="AS143" s="131"/>
      <c r="AT143" s="131"/>
      <c r="AU143" s="131"/>
      <c r="AV143" s="131"/>
      <c r="AW143" s="112"/>
      <c r="AX143" s="131"/>
      <c r="AY143" s="131"/>
      <c r="AZ143" s="131"/>
      <c r="BA143" s="131"/>
      <c r="BB143" s="112"/>
      <c r="BC143" s="131"/>
      <c r="BD143" s="131"/>
      <c r="BE143" s="131"/>
      <c r="BF143" s="131"/>
      <c r="BG143" s="112"/>
      <c r="BH143" s="208"/>
      <c r="BI143" s="208"/>
      <c r="BJ143" s="208"/>
      <c r="BK143" s="208"/>
      <c r="BL143" s="112"/>
      <c r="BM143" s="208"/>
      <c r="BN143" s="208"/>
      <c r="BO143" s="208"/>
      <c r="BP143" s="208"/>
      <c r="BQ143" s="112"/>
      <c r="BR143" s="425"/>
      <c r="BS143" s="425"/>
      <c r="BT143" s="425"/>
      <c r="BU143" s="425"/>
      <c r="BV143" s="112"/>
      <c r="BW143" s="425"/>
      <c r="BX143" s="425"/>
      <c r="BY143" s="425"/>
      <c r="BZ143" s="425"/>
      <c r="CA143" s="112"/>
      <c r="CB143" s="425"/>
      <c r="CC143" s="425"/>
      <c r="CD143" s="425"/>
      <c r="CE143" s="425"/>
      <c r="CF143" s="112"/>
      <c r="CG143" s="425"/>
      <c r="CH143" s="425"/>
      <c r="CI143" s="425"/>
      <c r="CJ143" s="425"/>
      <c r="CK143" s="112"/>
      <c r="CL143" s="198">
        <v>0</v>
      </c>
      <c r="CM143" s="69">
        <v>0</v>
      </c>
      <c r="CN143" s="69">
        <v>0</v>
      </c>
      <c r="CO143" s="69">
        <v>0</v>
      </c>
      <c r="CP143" s="112">
        <f t="shared" si="225"/>
        <v>0</v>
      </c>
      <c r="CQ143" s="69">
        <v>0</v>
      </c>
      <c r="CR143" s="69">
        <v>0</v>
      </c>
      <c r="CS143" s="69">
        <v>0</v>
      </c>
      <c r="CT143" s="69">
        <v>0</v>
      </c>
      <c r="CU143" s="112">
        <f t="shared" si="226"/>
        <v>0</v>
      </c>
      <c r="CV143" s="69">
        <v>0</v>
      </c>
      <c r="CW143" s="69">
        <v>0</v>
      </c>
      <c r="CX143" s="69">
        <v>0</v>
      </c>
      <c r="CY143" s="69">
        <v>0</v>
      </c>
      <c r="CZ143" s="112">
        <f t="shared" si="227"/>
        <v>0</v>
      </c>
      <c r="DA143" s="69">
        <v>0</v>
      </c>
      <c r="DB143" s="69">
        <v>0</v>
      </c>
      <c r="DC143" s="69">
        <v>0</v>
      </c>
      <c r="DD143" s="69">
        <v>0</v>
      </c>
      <c r="DE143" s="112">
        <f t="shared" si="228"/>
        <v>0</v>
      </c>
      <c r="DF143" s="69">
        <v>0</v>
      </c>
      <c r="DG143" s="69">
        <v>0</v>
      </c>
      <c r="DH143" s="69">
        <v>0</v>
      </c>
      <c r="DI143" s="69">
        <v>0</v>
      </c>
      <c r="DJ143" s="112">
        <f t="shared" si="229"/>
        <v>0</v>
      </c>
      <c r="DK143" s="69">
        <v>0</v>
      </c>
      <c r="DL143" s="69">
        <v>0</v>
      </c>
      <c r="DM143" s="69">
        <v>0</v>
      </c>
      <c r="DN143" s="69">
        <f t="shared" ref="DN143" si="244">DN177</f>
        <v>0</v>
      </c>
      <c r="DO143" s="112">
        <f t="shared" si="231"/>
        <v>0</v>
      </c>
      <c r="DP143" s="69">
        <f t="shared" ref="DP143" si="245">DP177</f>
        <v>0</v>
      </c>
      <c r="DQ143" s="69">
        <f t="shared" ref="DQ143:DS143" si="246">DQ177</f>
        <v>0</v>
      </c>
      <c r="DR143" s="69">
        <f t="shared" si="246"/>
        <v>0</v>
      </c>
      <c r="DS143" s="69">
        <f t="shared" si="246"/>
        <v>0</v>
      </c>
      <c r="DT143" s="112">
        <f t="shared" si="234"/>
        <v>0</v>
      </c>
      <c r="DU143" s="70">
        <f t="shared" ref="DU143:DV143" si="247">DU177</f>
        <v>0</v>
      </c>
      <c r="DV143" s="70">
        <f t="shared" si="247"/>
        <v>0</v>
      </c>
    </row>
    <row r="144" spans="1:126" s="92" customFormat="1">
      <c r="B144" s="44" t="s">
        <v>139</v>
      </c>
      <c r="C144" s="77">
        <f>Data!C174</f>
        <v>1117</v>
      </c>
      <c r="D144" s="77">
        <f>Data!D174</f>
        <v>1311</v>
      </c>
      <c r="E144" s="77">
        <f>Data!E174</f>
        <v>881</v>
      </c>
      <c r="F144" s="77">
        <f>Data!F174</f>
        <v>1814</v>
      </c>
      <c r="G144" s="77">
        <f>Data!G174</f>
        <v>1978</v>
      </c>
      <c r="H144" s="77">
        <f>Data!H174</f>
        <v>1847</v>
      </c>
      <c r="I144" s="77">
        <f>Data!I174</f>
        <v>1508</v>
      </c>
      <c r="J144" s="78">
        <f>Data!J174</f>
        <v>216</v>
      </c>
      <c r="K144" s="78">
        <f>Data!K174</f>
        <v>317</v>
      </c>
      <c r="L144" s="78">
        <f>Data!L174</f>
        <v>345</v>
      </c>
      <c r="M144" s="78">
        <f>Data!M174</f>
        <v>314</v>
      </c>
      <c r="N144" s="77">
        <f>Data!N174</f>
        <v>1192</v>
      </c>
      <c r="O144" s="78">
        <f>Data!O174</f>
        <v>376</v>
      </c>
      <c r="P144" s="78">
        <f>Data!P174</f>
        <v>422</v>
      </c>
      <c r="Q144" s="78">
        <f>Data!Q174</f>
        <v>441</v>
      </c>
      <c r="R144" s="78">
        <f>Data!R174</f>
        <v>420</v>
      </c>
      <c r="S144" s="77">
        <f>Data!S174</f>
        <v>1659</v>
      </c>
      <c r="T144" s="78">
        <f>Data!T174</f>
        <v>521</v>
      </c>
      <c r="U144" s="78">
        <f>Data!U174</f>
        <v>647</v>
      </c>
      <c r="V144" s="78">
        <f>Data!V174</f>
        <v>570</v>
      </c>
      <c r="W144" s="78">
        <f>Data!W174</f>
        <v>549</v>
      </c>
      <c r="X144" s="77">
        <f>Data!X174</f>
        <v>2287</v>
      </c>
      <c r="Y144" s="78">
        <f>Data!Y174</f>
        <v>646</v>
      </c>
      <c r="Z144" s="78">
        <f>Data!Z174</f>
        <v>705</v>
      </c>
      <c r="AA144" s="78">
        <f>Data!AA174</f>
        <v>638</v>
      </c>
      <c r="AB144" s="78">
        <f>Data!AB174</f>
        <v>730</v>
      </c>
      <c r="AC144" s="77">
        <f>Data!AC174</f>
        <v>2719</v>
      </c>
      <c r="AD144" s="78">
        <f>Data!AD174</f>
        <v>722</v>
      </c>
      <c r="AE144" s="78">
        <f>Data!AE174</f>
        <v>792</v>
      </c>
      <c r="AF144" s="78">
        <f>Data!AF174</f>
        <v>790</v>
      </c>
      <c r="AG144" s="78">
        <f>Data!AG174</f>
        <v>794</v>
      </c>
      <c r="AH144" s="77">
        <f>Data!AH174</f>
        <v>3098</v>
      </c>
      <c r="AI144" s="78">
        <f>Data!AI174</f>
        <v>639</v>
      </c>
      <c r="AJ144" s="78">
        <f>Data!AJ174</f>
        <v>665</v>
      </c>
      <c r="AK144" s="78">
        <f>Data!AK174</f>
        <v>690</v>
      </c>
      <c r="AL144" s="78">
        <f>Data!AL174</f>
        <v>725</v>
      </c>
      <c r="AM144" s="77">
        <f>Data!AM174</f>
        <v>2719</v>
      </c>
      <c r="AN144" s="78">
        <f>Data!AN174</f>
        <v>604</v>
      </c>
      <c r="AO144" s="78">
        <f>Data!AO174</f>
        <v>671</v>
      </c>
      <c r="AP144" s="78">
        <f>Data!AP174</f>
        <v>740</v>
      </c>
      <c r="AQ144" s="78">
        <f>Data!AQ174</f>
        <v>660</v>
      </c>
      <c r="AR144" s="77">
        <f>Data!AR174</f>
        <v>2675</v>
      </c>
      <c r="AS144" s="78">
        <f>Data!AS174</f>
        <v>511</v>
      </c>
      <c r="AT144" s="78">
        <f>Data!AT174</f>
        <v>519</v>
      </c>
      <c r="AU144" s="78">
        <f>Data!AU174</f>
        <v>625</v>
      </c>
      <c r="AV144" s="78">
        <f>Data!AV174</f>
        <v>634</v>
      </c>
      <c r="AW144" s="77">
        <f>Data!AW174</f>
        <v>2289</v>
      </c>
      <c r="AX144" s="78">
        <f t="shared" ref="AX144:BB144" si="248">SUM(AX137:AX143)</f>
        <v>1188.1032186459488</v>
      </c>
      <c r="AY144" s="78">
        <f t="shared" si="248"/>
        <v>1283.0099889012208</v>
      </c>
      <c r="AZ144" s="78">
        <f t="shared" si="248"/>
        <v>1356.382907880133</v>
      </c>
      <c r="BA144" s="78">
        <f t="shared" si="248"/>
        <v>1260.4594894561599</v>
      </c>
      <c r="BB144" s="77">
        <f t="shared" si="248"/>
        <v>5087.9556048834629</v>
      </c>
      <c r="BC144" s="78">
        <f>SUM(BC137:BC143)</f>
        <v>1539.6792452830189</v>
      </c>
      <c r="BD144" s="78">
        <f t="shared" ref="BD144:CP144" si="249">SUM(BD137:BD143)</f>
        <v>1730.382907880133</v>
      </c>
      <c r="BE144" s="78">
        <f t="shared" si="249"/>
        <v>1601.2641509433961</v>
      </c>
      <c r="BF144" s="78">
        <f t="shared" si="249"/>
        <v>1561.9933407325195</v>
      </c>
      <c r="BG144" s="77">
        <f t="shared" si="249"/>
        <v>6433.3196448390672</v>
      </c>
      <c r="BH144" s="78">
        <f t="shared" si="249"/>
        <v>1704.2807991120976</v>
      </c>
      <c r="BI144" s="78">
        <f t="shared" si="249"/>
        <v>1917.0332963374033</v>
      </c>
      <c r="BJ144" s="78">
        <f t="shared" si="249"/>
        <v>1863.9678135405104</v>
      </c>
      <c r="BK144" s="78">
        <f t="shared" si="249"/>
        <v>1864.5105438401777</v>
      </c>
      <c r="BL144" s="77">
        <f t="shared" si="249"/>
        <v>7349.7924528301883</v>
      </c>
      <c r="BM144" s="78">
        <f t="shared" si="249"/>
        <v>1777.5604883462822</v>
      </c>
      <c r="BN144" s="78">
        <f t="shared" si="249"/>
        <v>1603.7391786903443</v>
      </c>
      <c r="BO144" s="78">
        <f t="shared" si="249"/>
        <v>1600.2641509433963</v>
      </c>
      <c r="BP144" s="78">
        <f t="shared" si="249"/>
        <v>113.75915649278571</v>
      </c>
      <c r="BQ144" s="77">
        <f t="shared" si="249"/>
        <v>5095.3229744728078</v>
      </c>
      <c r="BR144" s="78">
        <f t="shared" si="249"/>
        <v>1497.6792452830189</v>
      </c>
      <c r="BS144" s="78">
        <f t="shared" si="249"/>
        <v>1854.6281908990013</v>
      </c>
      <c r="BT144" s="78">
        <f t="shared" si="249"/>
        <v>1683.8401775804662</v>
      </c>
      <c r="BU144" s="78">
        <f t="shared" si="249"/>
        <v>1363.4716981132074</v>
      </c>
      <c r="BV144" s="77">
        <f t="shared" si="249"/>
        <v>6399.6193118756937</v>
      </c>
      <c r="BW144" s="78">
        <f t="shared" si="249"/>
        <v>1733.433962264151</v>
      </c>
      <c r="BX144" s="78">
        <f t="shared" si="249"/>
        <v>1855.4250832408434</v>
      </c>
      <c r="BY144" s="78">
        <f t="shared" si="249"/>
        <v>1825.7214206437293</v>
      </c>
      <c r="BZ144" s="78">
        <f t="shared" si="249"/>
        <v>1852.3840177580464</v>
      </c>
      <c r="CA144" s="77">
        <f t="shared" si="249"/>
        <v>7266.9644839067696</v>
      </c>
      <c r="CB144" s="78">
        <f t="shared" si="249"/>
        <v>2332.645372604055</v>
      </c>
      <c r="CC144" s="78">
        <f t="shared" si="249"/>
        <v>2255.9172926928454</v>
      </c>
      <c r="CD144" s="78">
        <f t="shared" si="249"/>
        <v>2102.9849952455643</v>
      </c>
      <c r="CE144" s="78">
        <f t="shared" si="249"/>
        <v>2345.5099674986168</v>
      </c>
      <c r="CF144" s="77">
        <f t="shared" si="249"/>
        <v>9037.0576280410805</v>
      </c>
      <c r="CG144" s="78">
        <f t="shared" si="249"/>
        <v>1904</v>
      </c>
      <c r="CH144" s="78">
        <f t="shared" si="249"/>
        <v>2265</v>
      </c>
      <c r="CI144" s="78">
        <f t="shared" si="249"/>
        <v>2344</v>
      </c>
      <c r="CJ144" s="78">
        <f t="shared" si="249"/>
        <v>1932</v>
      </c>
      <c r="CK144" s="77">
        <f t="shared" si="249"/>
        <v>8445</v>
      </c>
      <c r="CL144" s="78">
        <f t="shared" ref="CL144" si="250">SUM(CL137:CL143)</f>
        <v>2179.3111111111111</v>
      </c>
      <c r="CM144" s="78">
        <f t="shared" si="249"/>
        <v>-3592.8180995475113</v>
      </c>
      <c r="CN144" s="78">
        <f t="shared" ref="CN144" si="251">SUM(CN137:CN143)</f>
        <v>421.32715019255454</v>
      </c>
      <c r="CO144" s="78">
        <f t="shared" si="249"/>
        <v>171.17983824384555</v>
      </c>
      <c r="CP144" s="77">
        <f t="shared" si="249"/>
        <v>-821</v>
      </c>
      <c r="CQ144" s="78">
        <f t="shared" ref="CQ144:CV144" si="252">SUM(CQ137:CQ143)</f>
        <v>1018</v>
      </c>
      <c r="CR144" s="78">
        <f t="shared" ref="CR144:CS144" si="253">SUM(CR137:CR143)</f>
        <v>1287</v>
      </c>
      <c r="CS144" s="78">
        <f t="shared" si="253"/>
        <v>1348</v>
      </c>
      <c r="CT144" s="78">
        <f t="shared" ref="CT144" si="254">SUM(CT137:CT143)</f>
        <v>1483</v>
      </c>
      <c r="CU144" s="77">
        <f t="shared" si="252"/>
        <v>5136</v>
      </c>
      <c r="CV144" s="78">
        <f t="shared" si="252"/>
        <v>1102</v>
      </c>
      <c r="CW144" s="78">
        <f t="shared" ref="CW144:CX144" si="255">SUM(CW137:CW143)</f>
        <v>1391</v>
      </c>
      <c r="CX144" s="78">
        <f t="shared" si="255"/>
        <v>1520</v>
      </c>
      <c r="CY144" s="78">
        <f t="shared" ref="CY144" si="256">SUM(CY137:CY143)</f>
        <v>1491</v>
      </c>
      <c r="CZ144" s="77">
        <f t="shared" ref="CZ144" si="257">SUM(CZ137:CZ143)</f>
        <v>5504</v>
      </c>
      <c r="DA144" s="78">
        <f t="shared" ref="DA144:DE144" si="258">SUM(DA137:DA143)</f>
        <v>1687</v>
      </c>
      <c r="DB144" s="78">
        <f t="shared" si="258"/>
        <v>1493</v>
      </c>
      <c r="DC144" s="78">
        <f t="shared" si="258"/>
        <v>-1396</v>
      </c>
      <c r="DD144" s="78">
        <f t="shared" si="258"/>
        <v>1777</v>
      </c>
      <c r="DE144" s="77">
        <f t="shared" si="258"/>
        <v>3561</v>
      </c>
      <c r="DF144" s="78">
        <f t="shared" ref="DF144:DH144" si="259">SUM(DF137:DF143)</f>
        <v>1870</v>
      </c>
      <c r="DG144" s="78">
        <f t="shared" si="259"/>
        <v>529</v>
      </c>
      <c r="DH144" s="78">
        <f t="shared" si="259"/>
        <v>2028</v>
      </c>
      <c r="DI144" s="78">
        <f t="shared" ref="DI144:DK144" si="260">SUM(DI137:DI143)</f>
        <v>2111</v>
      </c>
      <c r="DJ144" s="77">
        <f t="shared" si="260"/>
        <v>6538</v>
      </c>
      <c r="DK144" s="78">
        <f t="shared" si="260"/>
        <v>2035</v>
      </c>
      <c r="DL144" s="78">
        <f t="shared" ref="DL144:DP144" si="261">SUM(DL137:DL143)</f>
        <v>2146</v>
      </c>
      <c r="DM144" s="78">
        <f t="shared" si="261"/>
        <v>2523</v>
      </c>
      <c r="DN144" s="78">
        <f t="shared" si="261"/>
        <v>2323.6336250000004</v>
      </c>
      <c r="DO144" s="77">
        <f t="shared" si="261"/>
        <v>9027.6336250000004</v>
      </c>
      <c r="DP144" s="78">
        <f t="shared" si="261"/>
        <v>2208.9430400000001</v>
      </c>
      <c r="DQ144" s="78">
        <f t="shared" ref="DQ144:DT144" si="262">SUM(DQ137:DQ143)</f>
        <v>2423.3360160000002</v>
      </c>
      <c r="DR144" s="78">
        <f t="shared" si="262"/>
        <v>2687.3779559999998</v>
      </c>
      <c r="DS144" s="78">
        <f t="shared" si="262"/>
        <v>2711.2694715359999</v>
      </c>
      <c r="DT144" s="77">
        <f t="shared" si="262"/>
        <v>10030.926483536001</v>
      </c>
      <c r="DU144" s="77">
        <f t="shared" ref="DU144:DV144" si="263">SUM(DU137:DU143)</f>
        <v>11036.621194674979</v>
      </c>
      <c r="DV144" s="77">
        <f t="shared" si="263"/>
        <v>12046.965752491491</v>
      </c>
    </row>
    <row r="145" spans="1:126" s="92" customFormat="1" hidden="1" outlineLevel="1">
      <c r="B145" s="108"/>
      <c r="C145" s="75"/>
      <c r="D145" s="75"/>
      <c r="E145" s="75"/>
      <c r="F145" s="75"/>
      <c r="G145" s="75"/>
      <c r="H145" s="75"/>
      <c r="I145" s="75"/>
      <c r="J145" s="190"/>
      <c r="K145" s="190"/>
      <c r="L145" s="190"/>
      <c r="M145" s="190"/>
      <c r="N145" s="75"/>
      <c r="O145" s="190"/>
      <c r="P145" s="190"/>
      <c r="Q145" s="190"/>
      <c r="R145" s="190"/>
      <c r="S145" s="75"/>
      <c r="T145" s="190"/>
      <c r="U145" s="190"/>
      <c r="V145" s="190"/>
      <c r="W145" s="190"/>
      <c r="X145" s="75"/>
      <c r="Y145" s="190"/>
      <c r="Z145" s="190"/>
      <c r="AA145" s="190"/>
      <c r="AB145" s="190"/>
      <c r="AC145" s="75"/>
      <c r="AD145" s="190"/>
      <c r="AE145" s="190"/>
      <c r="AF145" s="190"/>
      <c r="AG145" s="190"/>
      <c r="AH145" s="75"/>
      <c r="AI145" s="190"/>
      <c r="AJ145" s="190"/>
      <c r="AK145" s="190"/>
      <c r="AL145" s="190"/>
      <c r="AM145" s="75"/>
      <c r="AN145" s="190"/>
      <c r="AO145" s="190"/>
      <c r="AP145" s="190"/>
      <c r="AQ145" s="190"/>
      <c r="AR145" s="75"/>
      <c r="AS145" s="190"/>
      <c r="AT145" s="190"/>
      <c r="AU145" s="190"/>
      <c r="AV145" s="190"/>
      <c r="AW145" s="75"/>
      <c r="AX145" s="190"/>
      <c r="AY145" s="190"/>
      <c r="AZ145" s="190"/>
      <c r="BA145" s="190"/>
      <c r="BB145" s="75"/>
      <c r="BC145" s="190"/>
      <c r="BD145" s="190"/>
      <c r="BE145" s="190"/>
      <c r="BF145" s="190"/>
      <c r="BG145" s="75"/>
      <c r="BH145" s="190"/>
      <c r="BI145" s="190"/>
      <c r="BJ145" s="190"/>
      <c r="BK145" s="190"/>
      <c r="BL145" s="75"/>
      <c r="BM145" s="190"/>
      <c r="BN145" s="190"/>
      <c r="BO145" s="190"/>
      <c r="BP145" s="190"/>
      <c r="BQ145" s="75"/>
      <c r="BR145" s="190"/>
      <c r="BS145" s="190"/>
      <c r="BT145" s="190"/>
      <c r="BU145" s="190"/>
      <c r="BV145" s="75"/>
      <c r="BW145" s="190"/>
      <c r="BX145" s="190"/>
      <c r="BY145" s="190"/>
      <c r="BZ145" s="190"/>
      <c r="CA145" s="75"/>
      <c r="CB145" s="190"/>
      <c r="CC145" s="190"/>
      <c r="CD145" s="190"/>
      <c r="CE145" s="190"/>
      <c r="CF145" s="75"/>
      <c r="CG145" s="190"/>
      <c r="CH145" s="190"/>
      <c r="CI145" s="190"/>
      <c r="CJ145" s="190"/>
      <c r="CK145" s="75"/>
      <c r="CL145" s="190"/>
      <c r="CM145" s="190"/>
      <c r="CN145" s="190"/>
      <c r="CO145" s="190"/>
      <c r="CP145" s="75"/>
      <c r="CQ145" s="190"/>
      <c r="CR145" s="190"/>
      <c r="CS145" s="190"/>
      <c r="CT145" s="190"/>
      <c r="CU145" s="75"/>
      <c r="CV145" s="190"/>
      <c r="CW145" s="190"/>
      <c r="CX145" s="190"/>
      <c r="CY145" s="190"/>
      <c r="CZ145" s="75"/>
      <c r="DA145" s="190"/>
      <c r="DB145" s="190"/>
      <c r="DC145" s="190"/>
      <c r="DD145" s="190"/>
      <c r="DE145" s="75"/>
      <c r="DF145" s="190"/>
      <c r="DG145" s="190"/>
      <c r="DH145" s="190"/>
      <c r="DI145" s="190"/>
      <c r="DJ145" s="75"/>
      <c r="DK145" s="190"/>
      <c r="DL145" s="190"/>
      <c r="DM145" s="190"/>
      <c r="DN145" s="190"/>
      <c r="DO145" s="75"/>
      <c r="DP145" s="190"/>
      <c r="DQ145" s="190"/>
      <c r="DR145" s="190"/>
      <c r="DS145" s="190"/>
      <c r="DT145" s="75"/>
      <c r="DU145" s="75"/>
      <c r="DV145" s="75"/>
    </row>
    <row r="146" spans="1:126" s="92" customFormat="1" hidden="1" outlineLevel="1">
      <c r="B146" s="64" t="s">
        <v>82</v>
      </c>
      <c r="C146" s="91"/>
      <c r="D146" s="91"/>
      <c r="E146" s="91"/>
      <c r="F146" s="91"/>
      <c r="G146" s="91"/>
      <c r="H146" s="91"/>
      <c r="I146" s="91"/>
      <c r="N146" s="91"/>
      <c r="S146" s="91"/>
      <c r="X146" s="91"/>
      <c r="AC146" s="91"/>
      <c r="AH146" s="91"/>
      <c r="AM146" s="91"/>
      <c r="AR146" s="91"/>
      <c r="AU146" s="3"/>
      <c r="AW146" s="91"/>
      <c r="BB146" s="91"/>
      <c r="BG146" s="91"/>
      <c r="BL146" s="91"/>
      <c r="BQ146" s="91"/>
      <c r="BV146" s="91"/>
      <c r="CA146" s="91"/>
      <c r="CF146" s="91"/>
      <c r="CK146" s="91"/>
      <c r="CP146" s="91"/>
      <c r="CU146" s="91"/>
      <c r="CZ146" s="91"/>
      <c r="DE146" s="91"/>
      <c r="DJ146" s="91"/>
      <c r="DO146" s="91"/>
      <c r="DT146" s="91"/>
      <c r="DU146" s="91"/>
      <c r="DV146" s="91"/>
    </row>
    <row r="147" spans="1:126" s="92" customFormat="1" hidden="1" outlineLevel="1">
      <c r="B147" s="152" t="s">
        <v>194</v>
      </c>
      <c r="C147" s="119">
        <f t="shared" ref="C147:AH147" si="264">C132/C14</f>
        <v>0.11024047554714941</v>
      </c>
      <c r="D147" s="119">
        <f t="shared" si="264"/>
        <v>0.13001523616048755</v>
      </c>
      <c r="E147" s="119">
        <f t="shared" si="264"/>
        <v>8.2616627573625229E-2</v>
      </c>
      <c r="F147" s="119">
        <f t="shared" si="264"/>
        <v>0.1629106706489275</v>
      </c>
      <c r="G147" s="119">
        <f t="shared" si="264"/>
        <v>0.17033467899466076</v>
      </c>
      <c r="H147" s="119">
        <f t="shared" si="264"/>
        <v>0.16769130150425116</v>
      </c>
      <c r="I147" s="119">
        <f t="shared" si="264"/>
        <v>0.14203634420096206</v>
      </c>
      <c r="J147" s="129">
        <f t="shared" si="264"/>
        <v>0.10624033006704486</v>
      </c>
      <c r="K147" s="129">
        <f t="shared" si="264"/>
        <v>0.14182692307692307</v>
      </c>
      <c r="L147" s="129">
        <f t="shared" si="264"/>
        <v>0.1438095238095238</v>
      </c>
      <c r="M147" s="129">
        <f t="shared" si="264"/>
        <v>0.12950971322849214</v>
      </c>
      <c r="N147" s="119">
        <f t="shared" si="264"/>
        <v>0.13078130660548243</v>
      </c>
      <c r="O147" s="129">
        <f t="shared" si="264"/>
        <v>0.16890213611525087</v>
      </c>
      <c r="P147" s="129">
        <f t="shared" si="264"/>
        <v>0.16190057193136823</v>
      </c>
      <c r="Q147" s="129">
        <f t="shared" si="264"/>
        <v>0.15700082850041425</v>
      </c>
      <c r="R147" s="129">
        <f t="shared" si="264"/>
        <v>0.1394990366088632</v>
      </c>
      <c r="S147" s="119">
        <f t="shared" si="264"/>
        <v>0.15589026358257127</v>
      </c>
      <c r="T147" s="129">
        <f t="shared" si="264"/>
        <v>0.1674454828660436</v>
      </c>
      <c r="U147" s="129">
        <f t="shared" si="264"/>
        <v>0.19618628529519619</v>
      </c>
      <c r="V147" s="129">
        <f t="shared" si="264"/>
        <v>0.15987008300252617</v>
      </c>
      <c r="W147" s="129">
        <f t="shared" si="264"/>
        <v>0.13427445830597504</v>
      </c>
      <c r="X147" s="119">
        <f t="shared" si="264"/>
        <v>0.16351691864650827</v>
      </c>
      <c r="Y147" s="129">
        <f t="shared" si="264"/>
        <v>0.17708709794000724</v>
      </c>
      <c r="Z147" s="129">
        <f t="shared" si="264"/>
        <v>0.16795366795366795</v>
      </c>
      <c r="AA147" s="129">
        <f t="shared" si="264"/>
        <v>0.16567852437417654</v>
      </c>
      <c r="AB147" s="129">
        <f t="shared" si="264"/>
        <v>0.11880239520958084</v>
      </c>
      <c r="AC147" s="119">
        <f t="shared" si="264"/>
        <v>0.15367568393703193</v>
      </c>
      <c r="AD147" s="129">
        <f t="shared" si="264"/>
        <v>0.15184757505773672</v>
      </c>
      <c r="AE147" s="129">
        <f t="shared" si="264"/>
        <v>0.15298402913981507</v>
      </c>
      <c r="AF147" s="129">
        <f t="shared" si="264"/>
        <v>0.15492546039169833</v>
      </c>
      <c r="AG147" s="129">
        <f t="shared" si="264"/>
        <v>0.15316642120765833</v>
      </c>
      <c r="AH147" s="119">
        <f t="shared" si="264"/>
        <v>0.15322405949888079</v>
      </c>
      <c r="AI147" s="129">
        <f t="shared" ref="AI147:BN147" si="265">AI132/AI14</f>
        <v>0.13710691823899371</v>
      </c>
      <c r="AJ147" s="129">
        <f t="shared" si="265"/>
        <v>0.15011250401800064</v>
      </c>
      <c r="AK147" s="129">
        <f t="shared" si="265"/>
        <v>0.14648630814912569</v>
      </c>
      <c r="AL147" s="129">
        <f t="shared" si="265"/>
        <v>0.15895765472312703</v>
      </c>
      <c r="AM147" s="119">
        <f t="shared" si="265"/>
        <v>0.14807940606843126</v>
      </c>
      <c r="AN147" s="129">
        <f t="shared" si="265"/>
        <v>0.15346708905315029</v>
      </c>
      <c r="AO147" s="129">
        <f t="shared" si="265"/>
        <v>0.15919487648673375</v>
      </c>
      <c r="AP147" s="129">
        <f t="shared" si="265"/>
        <v>0.16934984520123839</v>
      </c>
      <c r="AQ147" s="129">
        <f t="shared" si="265"/>
        <v>0.13444909344490935</v>
      </c>
      <c r="AR147" s="119">
        <f t="shared" si="265"/>
        <v>0.15361422497100888</v>
      </c>
      <c r="AS147" s="129">
        <f t="shared" si="265"/>
        <v>0.14897319874695442</v>
      </c>
      <c r="AT147" s="129">
        <f t="shared" si="265"/>
        <v>0.12942612942612944</v>
      </c>
      <c r="AU147" s="129">
        <f t="shared" si="265"/>
        <v>0.16098669263226226</v>
      </c>
      <c r="AV147" s="129">
        <f t="shared" si="265"/>
        <v>0.14909508761850043</v>
      </c>
      <c r="AW147" s="119">
        <f t="shared" si="265"/>
        <v>0.14688065455117616</v>
      </c>
      <c r="AX147" s="129">
        <f t="shared" si="265"/>
        <v>0.12756955915050919</v>
      </c>
      <c r="AY147" s="129">
        <f t="shared" si="265"/>
        <v>0.12402343377266274</v>
      </c>
      <c r="AZ147" s="129">
        <f t="shared" si="265"/>
        <v>0.1143936344337747</v>
      </c>
      <c r="BA147" s="129">
        <f t="shared" si="265"/>
        <v>9.2096878384691508E-2</v>
      </c>
      <c r="BB147" s="119">
        <f t="shared" si="265"/>
        <v>0.11343761629926011</v>
      </c>
      <c r="BC147" s="129">
        <f t="shared" si="265"/>
        <v>0.12303349113669296</v>
      </c>
      <c r="BD147" s="129">
        <f t="shared" si="265"/>
        <v>0.1585904988751686</v>
      </c>
      <c r="BE147" s="129">
        <f t="shared" si="265"/>
        <v>0.13252502899225757</v>
      </c>
      <c r="BF147" s="129">
        <f t="shared" si="265"/>
        <v>0.11422608967649964</v>
      </c>
      <c r="BG147" s="119">
        <f t="shared" si="265"/>
        <v>0.13165244697783821</v>
      </c>
      <c r="BH147" s="129">
        <f t="shared" si="265"/>
        <v>0.12119453625354717</v>
      </c>
      <c r="BI147" s="129">
        <f t="shared" si="265"/>
        <v>0.13314468911072599</v>
      </c>
      <c r="BJ147" s="129">
        <f t="shared" si="265"/>
        <v>0.17909686539847883</v>
      </c>
      <c r="BK147" s="129">
        <f t="shared" si="265"/>
        <v>0.1357133791135049</v>
      </c>
      <c r="BL147" s="119">
        <f t="shared" si="265"/>
        <v>0.14240339722412426</v>
      </c>
      <c r="BM147" s="129">
        <f t="shared" si="265"/>
        <v>0.1303741135331046</v>
      </c>
      <c r="BN147" s="129">
        <f t="shared" si="265"/>
        <v>0.13314861473815434</v>
      </c>
      <c r="BO147" s="129">
        <f t="shared" ref="BO147:CT147" si="266">BO132/BO14</f>
        <v>0.13283196579124493</v>
      </c>
      <c r="BP147" s="129">
        <f t="shared" si="266"/>
        <v>-0.13415463579746092</v>
      </c>
      <c r="BQ147" s="119">
        <f t="shared" si="266"/>
        <v>5.9547857777796601E-2</v>
      </c>
      <c r="BR147" s="129">
        <f t="shared" si="266"/>
        <v>0.11878620660502233</v>
      </c>
      <c r="BS147" s="129">
        <f t="shared" si="266"/>
        <v>0.10644309111280816</v>
      </c>
      <c r="BT147" s="129">
        <f t="shared" si="266"/>
        <v>0.10217173507053696</v>
      </c>
      <c r="BU147" s="129">
        <f t="shared" si="266"/>
        <v>8.7372198136071499E-2</v>
      </c>
      <c r="BV147" s="119">
        <f t="shared" si="266"/>
        <v>0.10330102559105042</v>
      </c>
      <c r="BW147" s="129">
        <f t="shared" si="266"/>
        <v>9.7261970865293493E-2</v>
      </c>
      <c r="BX147" s="129">
        <f t="shared" si="266"/>
        <v>9.3530515737934486E-2</v>
      </c>
      <c r="BY147" s="129">
        <f t="shared" si="266"/>
        <v>4.9928845859213297E-2</v>
      </c>
      <c r="BZ147" s="129">
        <f t="shared" si="266"/>
        <v>8.6646098309434622E-2</v>
      </c>
      <c r="CA147" s="236">
        <f t="shared" si="266"/>
        <v>8.1305838507123959E-2</v>
      </c>
      <c r="CB147" s="129">
        <f t="shared" si="266"/>
        <v>0.10550074769318345</v>
      </c>
      <c r="CC147" s="129">
        <f t="shared" si="266"/>
        <v>9.031401291737029E-2</v>
      </c>
      <c r="CD147" s="129">
        <f t="shared" si="266"/>
        <v>2.9524322832910836E-2</v>
      </c>
      <c r="CE147" s="199">
        <f t="shared" si="266"/>
        <v>7.0428126109237349E-2</v>
      </c>
      <c r="CF147" s="236">
        <f t="shared" si="266"/>
        <v>7.3012063051542481E-2</v>
      </c>
      <c r="CG147" s="199">
        <f t="shared" si="266"/>
        <v>9.9211290992112913E-2</v>
      </c>
      <c r="CH147" s="199">
        <f t="shared" si="266"/>
        <v>8.7116802483507949E-2</v>
      </c>
      <c r="CI147" s="199">
        <f t="shared" si="266"/>
        <v>9.8391674550614955E-2</v>
      </c>
      <c r="CJ147" s="199">
        <f t="shared" si="266"/>
        <v>6.2710363153232945E-2</v>
      </c>
      <c r="CK147" s="236">
        <f t="shared" si="266"/>
        <v>8.6164003444646448E-2</v>
      </c>
      <c r="CL147" s="199">
        <f t="shared" si="266"/>
        <v>8.8735288623201944E-2</v>
      </c>
      <c r="CM147" s="199">
        <f t="shared" si="266"/>
        <v>-0.13105821623171782</v>
      </c>
      <c r="CN147" s="199">
        <f t="shared" si="266"/>
        <v>-0.17601602747567258</v>
      </c>
      <c r="CO147" s="199">
        <f t="shared" si="266"/>
        <v>6.7484662576687117E-3</v>
      </c>
      <c r="CP147" s="236">
        <f t="shared" si="266"/>
        <v>-3.2745006967022761E-2</v>
      </c>
      <c r="CQ147" s="199">
        <f t="shared" si="266"/>
        <v>4.9627791563275434E-3</v>
      </c>
      <c r="CR147" s="199">
        <f t="shared" si="266"/>
        <v>2.6168224299065422E-2</v>
      </c>
      <c r="CS147" s="199">
        <f t="shared" si="266"/>
        <v>3.9576719576719578E-2</v>
      </c>
      <c r="CT147" s="199">
        <f t="shared" si="266"/>
        <v>2.6392961876832845E-2</v>
      </c>
      <c r="CU147" s="236">
        <f t="shared" ref="CU147:DV147" si="267">CU132/CU14</f>
        <v>2.5013774104683195E-2</v>
      </c>
      <c r="CV147" s="199">
        <f t="shared" si="267"/>
        <v>3.3340693309781406E-2</v>
      </c>
      <c r="CW147" s="199">
        <f t="shared" si="267"/>
        <v>6.0776816260817067E-2</v>
      </c>
      <c r="CX147" s="199">
        <f t="shared" si="267"/>
        <v>5.8736059479553904E-2</v>
      </c>
      <c r="CY147" s="199">
        <f t="shared" si="267"/>
        <v>5.4140127388535034E-2</v>
      </c>
      <c r="CZ147" s="236">
        <f t="shared" si="267"/>
        <v>5.2362396492937162E-2</v>
      </c>
      <c r="DA147" s="199">
        <f t="shared" si="267"/>
        <v>7.9349904397705548E-2</v>
      </c>
      <c r="DB147" s="199">
        <f t="shared" si="267"/>
        <v>4.0343799333450274E-2</v>
      </c>
      <c r="DC147" s="199">
        <f t="shared" si="267"/>
        <v>-2.6803455723542116</v>
      </c>
      <c r="DD147" s="199">
        <f t="shared" si="267"/>
        <v>5.9325982295387485E-2</v>
      </c>
      <c r="DE147" s="236">
        <f t="shared" si="267"/>
        <v>-7.9525579361609089E-2</v>
      </c>
      <c r="DF147" s="199">
        <f t="shared" si="267"/>
        <v>6.3816604708798019E-2</v>
      </c>
      <c r="DG147" s="199">
        <f t="shared" si="267"/>
        <v>7.9682446339311971E-2</v>
      </c>
      <c r="DH147" s="199">
        <f t="shared" si="267"/>
        <v>7.6944329327255145E-2</v>
      </c>
      <c r="DI147" s="199">
        <f t="shared" si="267"/>
        <v>6.6587395957193818E-2</v>
      </c>
      <c r="DJ147" s="236">
        <f t="shared" si="267"/>
        <v>7.1795054514359011E-2</v>
      </c>
      <c r="DK147" s="199">
        <f t="shared" si="267"/>
        <v>7.874015748031496E-2</v>
      </c>
      <c r="DL147" s="199">
        <f t="shared" si="267"/>
        <v>6.4473856637400073E-2</v>
      </c>
      <c r="DM147" s="199">
        <f t="shared" si="267"/>
        <v>8.9160631603941595E-2</v>
      </c>
      <c r="DN147" s="199">
        <f t="shared" si="267"/>
        <v>8.5000000000000006E-2</v>
      </c>
      <c r="DO147" s="236">
        <f t="shared" si="267"/>
        <v>7.9748728868291568E-2</v>
      </c>
      <c r="DP147" s="199">
        <f t="shared" si="267"/>
        <v>0.08</v>
      </c>
      <c r="DQ147" s="199">
        <f t="shared" si="267"/>
        <v>8.2000000000000003E-2</v>
      </c>
      <c r="DR147" s="199">
        <f t="shared" si="267"/>
        <v>9.1999999999999998E-2</v>
      </c>
      <c r="DS147" s="199">
        <f t="shared" si="267"/>
        <v>0.09</v>
      </c>
      <c r="DT147" s="236">
        <f t="shared" si="267"/>
        <v>8.6305763215441339E-2</v>
      </c>
      <c r="DU147" s="236">
        <f t="shared" si="267"/>
        <v>8.7999999999999995E-2</v>
      </c>
      <c r="DV147" s="236">
        <f t="shared" si="267"/>
        <v>0.09</v>
      </c>
    </row>
    <row r="148" spans="1:126" s="92" customFormat="1" hidden="1" outlineLevel="1">
      <c r="B148" s="152" t="s">
        <v>472</v>
      </c>
      <c r="C148" s="119">
        <f t="shared" ref="C148:AH148" si="268">C133/C26</f>
        <v>0.10734664764621969</v>
      </c>
      <c r="D148" s="119">
        <f t="shared" si="268"/>
        <v>9.9273607748184015E-2</v>
      </c>
      <c r="E148" s="119">
        <f t="shared" si="268"/>
        <v>6.4829396325459324E-2</v>
      </c>
      <c r="F148" s="119">
        <f t="shared" si="268"/>
        <v>0.12299679487179487</v>
      </c>
      <c r="G148" s="119">
        <f t="shared" si="268"/>
        <v>0.12660619803476947</v>
      </c>
      <c r="H148" s="119">
        <f t="shared" si="268"/>
        <v>0.16362583260932523</v>
      </c>
      <c r="I148" s="119">
        <f t="shared" si="268"/>
        <v>0.15397443023902169</v>
      </c>
      <c r="J148" s="153">
        <f t="shared" si="268"/>
        <v>0.14146868250539957</v>
      </c>
      <c r="K148" s="153">
        <f t="shared" si="268"/>
        <v>0.1497326203208556</v>
      </c>
      <c r="L148" s="153">
        <f t="shared" si="268"/>
        <v>0.16326530612244897</v>
      </c>
      <c r="M148" s="153">
        <f t="shared" si="268"/>
        <v>0.14074074074074075</v>
      </c>
      <c r="N148" s="119">
        <f t="shared" si="268"/>
        <v>0.14868655955113491</v>
      </c>
      <c r="O148" s="153">
        <f t="shared" si="268"/>
        <v>0.14785992217898833</v>
      </c>
      <c r="P148" s="153">
        <f t="shared" si="268"/>
        <v>0.15097690941385436</v>
      </c>
      <c r="Q148" s="153">
        <f t="shared" si="268"/>
        <v>0.16620241411327763</v>
      </c>
      <c r="R148" s="153">
        <f t="shared" si="268"/>
        <v>0.15117289313640314</v>
      </c>
      <c r="S148" s="119">
        <f t="shared" si="268"/>
        <v>0.15403925148334094</v>
      </c>
      <c r="T148" s="153">
        <f t="shared" si="268"/>
        <v>0.15549828178694158</v>
      </c>
      <c r="U148" s="153">
        <f t="shared" si="268"/>
        <v>0.16549570647931303</v>
      </c>
      <c r="V148" s="153">
        <f t="shared" si="268"/>
        <v>0.17557861133280128</v>
      </c>
      <c r="W148" s="153">
        <f t="shared" si="268"/>
        <v>0.16885119506553586</v>
      </c>
      <c r="X148" s="119">
        <f t="shared" si="268"/>
        <v>0.16656656656656657</v>
      </c>
      <c r="Y148" s="153">
        <f t="shared" si="268"/>
        <v>0.16603198781416603</v>
      </c>
      <c r="Z148" s="153">
        <f t="shared" si="268"/>
        <v>0.1752136752136752</v>
      </c>
      <c r="AA148" s="153">
        <f t="shared" si="268"/>
        <v>0.17449194113524877</v>
      </c>
      <c r="AB148" s="153">
        <f t="shared" si="268"/>
        <v>0.17024128686327078</v>
      </c>
      <c r="AC148" s="119">
        <f t="shared" si="268"/>
        <v>0.17157558552164656</v>
      </c>
      <c r="AD148" s="153">
        <f t="shared" si="268"/>
        <v>0.1567419575633128</v>
      </c>
      <c r="AE148" s="153">
        <f t="shared" si="268"/>
        <v>0.16969696969696971</v>
      </c>
      <c r="AF148" s="153">
        <f t="shared" si="268"/>
        <v>0.1866840731070496</v>
      </c>
      <c r="AG148" s="153">
        <f t="shared" si="268"/>
        <v>0.20485175202156333</v>
      </c>
      <c r="AH148" s="119">
        <f t="shared" si="268"/>
        <v>0.17937000163212014</v>
      </c>
      <c r="AI148" s="153">
        <f t="shared" ref="AI148:BN148" si="269">AI133/AI26</f>
        <v>0.13902968863142651</v>
      </c>
      <c r="AJ148" s="153">
        <f t="shared" si="269"/>
        <v>0.13338088445078458</v>
      </c>
      <c r="AK148" s="153">
        <f t="shared" si="269"/>
        <v>0.17642857142857143</v>
      </c>
      <c r="AL148" s="153">
        <f t="shared" si="269"/>
        <v>0.16775599128540306</v>
      </c>
      <c r="AM148" s="119">
        <f t="shared" si="269"/>
        <v>0.15413669064748201</v>
      </c>
      <c r="AN148" s="153">
        <f t="shared" si="269"/>
        <v>0.16666666666666666</v>
      </c>
      <c r="AO148" s="153">
        <f t="shared" si="269"/>
        <v>0.14793328498912256</v>
      </c>
      <c r="AP148" s="153">
        <f t="shared" si="269"/>
        <v>0.1795774647887324</v>
      </c>
      <c r="AQ148" s="153">
        <f t="shared" si="269"/>
        <v>0.16048550236008091</v>
      </c>
      <c r="AR148" s="119">
        <f t="shared" si="269"/>
        <v>0.1636947218259629</v>
      </c>
      <c r="AS148" s="153">
        <f t="shared" si="269"/>
        <v>0.15114235500878734</v>
      </c>
      <c r="AT148" s="153">
        <f t="shared" si="269"/>
        <v>0.15798462852263023</v>
      </c>
      <c r="AU148" s="153">
        <f t="shared" si="269"/>
        <v>0.17186183656276327</v>
      </c>
      <c r="AV148" s="153">
        <f t="shared" si="269"/>
        <v>0.15664556962025317</v>
      </c>
      <c r="AW148" s="119">
        <f t="shared" si="269"/>
        <v>0.15945378151260503</v>
      </c>
      <c r="AX148" s="153">
        <f t="shared" si="269"/>
        <v>0.17834290362712005</v>
      </c>
      <c r="AY148" s="153">
        <f t="shared" si="269"/>
        <v>0.18632679781962222</v>
      </c>
      <c r="AZ148" s="153">
        <f t="shared" si="269"/>
        <v>0.10965015061238302</v>
      </c>
      <c r="BA148" s="153">
        <f t="shared" si="269"/>
        <v>8.7725490833783171E-2</v>
      </c>
      <c r="BB148" s="119">
        <f t="shared" si="269"/>
        <v>0.12302522718867495</v>
      </c>
      <c r="BC148" s="153">
        <f t="shared" si="269"/>
        <v>0.16735200282486268</v>
      </c>
      <c r="BD148" s="153">
        <f t="shared" si="269"/>
        <v>0.16188867609745128</v>
      </c>
      <c r="BE148" s="153">
        <f t="shared" si="269"/>
        <v>0.163736715070008</v>
      </c>
      <c r="BF148" s="153">
        <f t="shared" si="269"/>
        <v>0.159205151261788</v>
      </c>
      <c r="BG148" s="119">
        <f t="shared" si="269"/>
        <v>0.1629890504123368</v>
      </c>
      <c r="BH148" s="153">
        <f t="shared" si="269"/>
        <v>0.18529078650671699</v>
      </c>
      <c r="BI148" s="153">
        <f t="shared" si="269"/>
        <v>0.19040668213560671</v>
      </c>
      <c r="BJ148" s="153">
        <f t="shared" si="269"/>
        <v>0.17276172642272516</v>
      </c>
      <c r="BK148" s="153">
        <f t="shared" si="269"/>
        <v>0.17119577928833307</v>
      </c>
      <c r="BL148" s="119">
        <f t="shared" si="269"/>
        <v>0.17991996084135364</v>
      </c>
      <c r="BM148" s="153">
        <f t="shared" si="269"/>
        <v>0.17433709991594384</v>
      </c>
      <c r="BN148" s="153">
        <f t="shared" si="269"/>
        <v>0.16862772869905124</v>
      </c>
      <c r="BO148" s="153">
        <f t="shared" ref="BO148:CT148" si="270">BO133/BO26</f>
        <v>0.17793194637080634</v>
      </c>
      <c r="BP148" s="153">
        <f t="shared" si="270"/>
        <v>3.7020472377811059E-2</v>
      </c>
      <c r="BQ148" s="119">
        <f t="shared" si="270"/>
        <v>0.14006630145811647</v>
      </c>
      <c r="BR148" s="153">
        <f t="shared" si="270"/>
        <v>0.16857697145279452</v>
      </c>
      <c r="BS148" s="153">
        <f t="shared" si="270"/>
        <v>0.17215978142118801</v>
      </c>
      <c r="BT148" s="153">
        <f t="shared" si="270"/>
        <v>0.17961054996879264</v>
      </c>
      <c r="BU148" s="153">
        <f t="shared" si="270"/>
        <v>0.14701931419933703</v>
      </c>
      <c r="BV148" s="119">
        <f t="shared" si="270"/>
        <v>0.16691625235939248</v>
      </c>
      <c r="BW148" s="153">
        <f t="shared" si="270"/>
        <v>0.15993339564042386</v>
      </c>
      <c r="BX148" s="153">
        <f t="shared" si="270"/>
        <v>0.16238034112996275</v>
      </c>
      <c r="BY148" s="153">
        <f t="shared" si="270"/>
        <v>0.17500735045668286</v>
      </c>
      <c r="BZ148" s="153">
        <f t="shared" si="270"/>
        <v>0.15230340145141302</v>
      </c>
      <c r="CA148" s="236">
        <f t="shared" si="270"/>
        <v>0.16229633807782412</v>
      </c>
      <c r="CB148" s="153">
        <f t="shared" si="270"/>
        <v>0.17916390893463577</v>
      </c>
      <c r="CC148" s="153">
        <f t="shared" si="270"/>
        <v>0.16855319271523916</v>
      </c>
      <c r="CD148" s="153">
        <f t="shared" si="270"/>
        <v>0.17612507558471102</v>
      </c>
      <c r="CE148" s="199">
        <f t="shared" si="270"/>
        <v>0.14237682980411567</v>
      </c>
      <c r="CF148" s="236">
        <f t="shared" si="270"/>
        <v>0.16554217559866921</v>
      </c>
      <c r="CG148" s="199">
        <f t="shared" si="270"/>
        <v>0.14801166896975279</v>
      </c>
      <c r="CH148" s="199">
        <f t="shared" si="270"/>
        <v>0.19403892944038931</v>
      </c>
      <c r="CI148" s="199">
        <f t="shared" si="270"/>
        <v>0.19384141647421094</v>
      </c>
      <c r="CJ148" s="199">
        <f t="shared" si="270"/>
        <v>0.15657976412166355</v>
      </c>
      <c r="CK148" s="236">
        <f t="shared" si="270"/>
        <v>0.17319809435992009</v>
      </c>
      <c r="CL148" s="199">
        <f t="shared" si="270"/>
        <v>0.2752291163533791</v>
      </c>
      <c r="CM148" s="199">
        <f t="shared" si="270"/>
        <v>-3.955951937841256E-2</v>
      </c>
      <c r="CN148" s="199">
        <f t="shared" si="270"/>
        <v>0.12643403310702514</v>
      </c>
      <c r="CO148" s="199">
        <f t="shared" si="270"/>
        <v>2.8847730193852662E-2</v>
      </c>
      <c r="CP148" s="236">
        <f t="shared" si="270"/>
        <v>9.1409341034153435E-2</v>
      </c>
      <c r="CQ148" s="199">
        <f t="shared" si="270"/>
        <v>8.8373055941458042E-2</v>
      </c>
      <c r="CR148" s="199">
        <f t="shared" si="270"/>
        <v>0.12493295713995924</v>
      </c>
      <c r="CS148" s="199">
        <f t="shared" si="270"/>
        <v>0.11667339355769828</v>
      </c>
      <c r="CT148" s="199">
        <f t="shared" si="270"/>
        <v>0.1186240444693771</v>
      </c>
      <c r="CU148" s="236">
        <f t="shared" ref="CU148:DV148" si="271">CU133/CU26</f>
        <v>0.11251891074130106</v>
      </c>
      <c r="CV148" s="199">
        <f t="shared" si="271"/>
        <v>0.1035427319211103</v>
      </c>
      <c r="CW148" s="199">
        <f t="shared" si="271"/>
        <v>0.11800248800426515</v>
      </c>
      <c r="CX148" s="199">
        <f t="shared" si="271"/>
        <v>0.12976565232598811</v>
      </c>
      <c r="CY148" s="199">
        <f t="shared" si="271"/>
        <v>0.13529128550794414</v>
      </c>
      <c r="CZ148" s="236">
        <f t="shared" si="271"/>
        <v>0.12215859795245532</v>
      </c>
      <c r="DA148" s="199">
        <f t="shared" si="271"/>
        <v>0.1465686274509804</v>
      </c>
      <c r="DB148" s="199">
        <f t="shared" si="271"/>
        <v>0.14082080200501254</v>
      </c>
      <c r="DC148" s="199">
        <f t="shared" si="271"/>
        <v>0.13621964097148892</v>
      </c>
      <c r="DD148" s="199">
        <f t="shared" si="271"/>
        <v>0.15814606741573034</v>
      </c>
      <c r="DE148" s="236">
        <f t="shared" si="271"/>
        <v>0.14569763455605073</v>
      </c>
      <c r="DF148" s="199">
        <f t="shared" si="271"/>
        <v>0.12722913232429192</v>
      </c>
      <c r="DG148" s="199">
        <f t="shared" si="271"/>
        <v>0.15973710530075724</v>
      </c>
      <c r="DH148" s="199">
        <f t="shared" si="271"/>
        <v>0.15010600706713781</v>
      </c>
      <c r="DI148" s="199">
        <f t="shared" si="271"/>
        <v>0.14674273583653974</v>
      </c>
      <c r="DJ148" s="236">
        <f t="shared" si="271"/>
        <v>0.14619572903408287</v>
      </c>
      <c r="DK148" s="199">
        <f t="shared" si="271"/>
        <v>0.15075516142441459</v>
      </c>
      <c r="DL148" s="199">
        <f t="shared" si="271"/>
        <v>0.15389661506166361</v>
      </c>
      <c r="DM148" s="199">
        <f t="shared" si="271"/>
        <v>0.16533263351266239</v>
      </c>
      <c r="DN148" s="199">
        <f t="shared" si="271"/>
        <v>0.16</v>
      </c>
      <c r="DO148" s="236">
        <f t="shared" si="271"/>
        <v>0.1575732453711661</v>
      </c>
      <c r="DP148" s="199">
        <f t="shared" si="271"/>
        <v>0.16200000000000001</v>
      </c>
      <c r="DQ148" s="199">
        <f t="shared" si="271"/>
        <v>0.16400000000000001</v>
      </c>
      <c r="DR148" s="199">
        <f t="shared" si="271"/>
        <v>0.17</v>
      </c>
      <c r="DS148" s="199">
        <f t="shared" si="271"/>
        <v>0.17399999999999999</v>
      </c>
      <c r="DT148" s="236">
        <f t="shared" si="271"/>
        <v>0.1676712516360867</v>
      </c>
      <c r="DU148" s="236">
        <f t="shared" si="271"/>
        <v>0.17499999999999999</v>
      </c>
      <c r="DV148" s="236">
        <f t="shared" si="271"/>
        <v>0.18099999999999999</v>
      </c>
    </row>
    <row r="149" spans="1:126" s="92" customFormat="1" hidden="1" outlineLevel="2">
      <c r="B149" s="180" t="s">
        <v>570</v>
      </c>
      <c r="C149" s="119"/>
      <c r="D149" s="119"/>
      <c r="E149" s="119"/>
      <c r="F149" s="119"/>
      <c r="G149" s="119"/>
      <c r="H149" s="119"/>
      <c r="I149" s="119"/>
      <c r="J149" s="153"/>
      <c r="K149" s="153"/>
      <c r="L149" s="153"/>
      <c r="M149" s="153"/>
      <c r="N149" s="119"/>
      <c r="O149" s="153"/>
      <c r="P149" s="153"/>
      <c r="Q149" s="153"/>
      <c r="R149" s="153"/>
      <c r="S149" s="119"/>
      <c r="T149" s="153"/>
      <c r="U149" s="153"/>
      <c r="V149" s="153"/>
      <c r="W149" s="153"/>
      <c r="X149" s="119"/>
      <c r="Y149" s="153"/>
      <c r="Z149" s="153"/>
      <c r="AA149" s="153"/>
      <c r="AB149" s="153"/>
      <c r="AC149" s="119"/>
      <c r="AD149" s="153"/>
      <c r="AE149" s="153"/>
      <c r="AF149" s="153"/>
      <c r="AG149" s="153"/>
      <c r="AH149" s="119"/>
      <c r="AI149" s="153"/>
      <c r="AJ149" s="153"/>
      <c r="AK149" s="153"/>
      <c r="AL149" s="153"/>
      <c r="AM149" s="119"/>
      <c r="AN149" s="153"/>
      <c r="AO149" s="153"/>
      <c r="AP149" s="153"/>
      <c r="AQ149" s="153"/>
      <c r="AR149" s="119"/>
      <c r="AS149" s="153"/>
      <c r="AT149" s="153"/>
      <c r="AU149" s="153"/>
      <c r="AV149" s="153"/>
      <c r="AW149" s="119"/>
      <c r="AX149" s="153"/>
      <c r="AY149" s="153"/>
      <c r="AZ149" s="153"/>
      <c r="BA149" s="153"/>
      <c r="BB149" s="119">
        <f t="shared" ref="BB149:CG149" si="272">BB134/BB41</f>
        <v>0.11145433145080899</v>
      </c>
      <c r="BC149" s="153">
        <f t="shared" si="272"/>
        <v>0.10944369113274433</v>
      </c>
      <c r="BD149" s="153">
        <f t="shared" si="272"/>
        <v>0.10444316485688142</v>
      </c>
      <c r="BE149" s="153">
        <f t="shared" si="272"/>
        <v>0.11309935952916739</v>
      </c>
      <c r="BF149" s="153">
        <f t="shared" si="272"/>
        <v>0.11651820709360525</v>
      </c>
      <c r="BG149" s="119">
        <f t="shared" si="272"/>
        <v>0.11080735573017381</v>
      </c>
      <c r="BH149" s="153">
        <f t="shared" si="272"/>
        <v>0.10704378873660976</v>
      </c>
      <c r="BI149" s="153">
        <f t="shared" si="272"/>
        <v>0.11060632817654364</v>
      </c>
      <c r="BJ149" s="153">
        <f t="shared" si="272"/>
        <v>0.11481891436010981</v>
      </c>
      <c r="BK149" s="153">
        <f t="shared" si="272"/>
        <v>0.1030534483608304</v>
      </c>
      <c r="BL149" s="119">
        <f t="shared" si="272"/>
        <v>0.10879096573404193</v>
      </c>
      <c r="BM149" s="153">
        <f t="shared" si="272"/>
        <v>0.16552299502464449</v>
      </c>
      <c r="BN149" s="153">
        <f t="shared" si="272"/>
        <v>9.971994941021603E-2</v>
      </c>
      <c r="BO149" s="153">
        <f t="shared" si="272"/>
        <v>0.10731171847656623</v>
      </c>
      <c r="BP149" s="153">
        <f t="shared" si="272"/>
        <v>9.835361573124482E-2</v>
      </c>
      <c r="BQ149" s="119">
        <f t="shared" si="272"/>
        <v>0.11683215098291821</v>
      </c>
      <c r="BR149" s="153">
        <f t="shared" si="272"/>
        <v>8.8890171112777999E-2</v>
      </c>
      <c r="BS149" s="153">
        <f t="shared" si="272"/>
        <v>9.9544459328664819E-2</v>
      </c>
      <c r="BT149" s="153">
        <f t="shared" si="272"/>
        <v>0.10263747544780615</v>
      </c>
      <c r="BU149" s="153">
        <f t="shared" si="272"/>
        <v>9.6530833684971964E-2</v>
      </c>
      <c r="BV149" s="119">
        <f t="shared" si="272"/>
        <v>9.7034656616239903E-2</v>
      </c>
      <c r="BW149" s="153">
        <f t="shared" si="272"/>
        <v>9.318425495729761E-2</v>
      </c>
      <c r="BX149" s="153">
        <f t="shared" si="272"/>
        <v>0.10146487743445914</v>
      </c>
      <c r="BY149" s="153">
        <f t="shared" si="272"/>
        <v>0.10011575955944209</v>
      </c>
      <c r="BZ149" s="153">
        <f t="shared" si="272"/>
        <v>0.10341943046351267</v>
      </c>
      <c r="CA149" s="236">
        <f t="shared" si="272"/>
        <v>9.9620280366764152E-2</v>
      </c>
      <c r="CB149" s="153">
        <f t="shared" si="272"/>
        <v>9.2972623011468733E-2</v>
      </c>
      <c r="CC149" s="153">
        <f t="shared" si="272"/>
        <v>9.4267220976287994E-2</v>
      </c>
      <c r="CD149" s="153">
        <f t="shared" si="272"/>
        <v>0.10159023837025875</v>
      </c>
      <c r="CE149" s="199">
        <f t="shared" si="272"/>
        <v>0.10782173401193204</v>
      </c>
      <c r="CF149" s="236">
        <f t="shared" si="272"/>
        <v>9.9446544176354415E-2</v>
      </c>
      <c r="CG149" s="199">
        <f t="shared" si="272"/>
        <v>0.11716220194289079</v>
      </c>
      <c r="CH149" s="199">
        <f t="shared" ref="CH149:DE149" si="273">CH134/CH41</f>
        <v>0.10851841439415237</v>
      </c>
      <c r="CI149" s="199">
        <f t="shared" si="273"/>
        <v>0.11379952140388194</v>
      </c>
      <c r="CJ149" s="199">
        <f t="shared" si="273"/>
        <v>0.11394101876675604</v>
      </c>
      <c r="CK149" s="236">
        <f t="shared" si="273"/>
        <v>0.1133264105226722</v>
      </c>
      <c r="CL149" s="199">
        <f t="shared" si="273"/>
        <v>0.10854189336235039</v>
      </c>
      <c r="CM149" s="199">
        <f t="shared" si="273"/>
        <v>9.1363510136073314E-2</v>
      </c>
      <c r="CN149" s="199">
        <f t="shared" si="273"/>
        <v>9.335822886102961E-2</v>
      </c>
      <c r="CO149" s="199">
        <f t="shared" si="273"/>
        <v>9.1787439613526575E-2</v>
      </c>
      <c r="CP149" s="236">
        <f t="shared" si="273"/>
        <v>9.619626980413129E-2</v>
      </c>
      <c r="CQ149" s="199">
        <f t="shared" si="273"/>
        <v>0.10305444887118194</v>
      </c>
      <c r="CR149" s="199">
        <f t="shared" si="273"/>
        <v>0.10906701708278581</v>
      </c>
      <c r="CS149" s="199">
        <f t="shared" si="273"/>
        <v>0.10454545454545454</v>
      </c>
      <c r="CT149" s="199">
        <f t="shared" si="273"/>
        <v>0.16511627906976745</v>
      </c>
      <c r="CU149" s="236">
        <f t="shared" si="273"/>
        <v>0.12075098814229249</v>
      </c>
      <c r="CV149" s="199">
        <f t="shared" si="273"/>
        <v>0.10582306830907055</v>
      </c>
      <c r="CW149" s="199">
        <f t="shared" si="273"/>
        <v>8.8235294117647065E-2</v>
      </c>
      <c r="CX149" s="199">
        <f t="shared" si="273"/>
        <v>0.10231660231660232</v>
      </c>
      <c r="CY149" s="199">
        <f t="shared" si="273"/>
        <v>7.8442437923250563E-2</v>
      </c>
      <c r="CZ149" s="236">
        <f t="shared" si="273"/>
        <v>9.3767467859139184E-2</v>
      </c>
      <c r="DA149" s="199">
        <f t="shared" si="273"/>
        <v>9.0883590462833105E-2</v>
      </c>
      <c r="DB149" s="199">
        <f t="shared" si="273"/>
        <v>7.9616963064295485E-2</v>
      </c>
      <c r="DC149" s="199"/>
      <c r="DD149" s="199"/>
      <c r="DE149" s="236">
        <f t="shared" si="273"/>
        <v>8.5180055401662055E-2</v>
      </c>
      <c r="DF149" s="199"/>
      <c r="DG149" s="199"/>
      <c r="DH149" s="199"/>
      <c r="DI149" s="199"/>
      <c r="DJ149" s="236"/>
      <c r="DK149" s="199"/>
      <c r="DL149" s="199"/>
      <c r="DM149" s="199"/>
      <c r="DN149" s="199"/>
      <c r="DO149" s="236"/>
      <c r="DP149" s="199"/>
      <c r="DQ149" s="199"/>
      <c r="DR149" s="199"/>
      <c r="DS149" s="199"/>
      <c r="DT149" s="236"/>
      <c r="DU149" s="236"/>
      <c r="DV149" s="236"/>
    </row>
    <row r="150" spans="1:126" s="92" customFormat="1" hidden="1" outlineLevel="2">
      <c r="B150" s="180" t="s">
        <v>569</v>
      </c>
      <c r="C150" s="119"/>
      <c r="D150" s="119"/>
      <c r="E150" s="119"/>
      <c r="F150" s="119"/>
      <c r="G150" s="119"/>
      <c r="H150" s="119"/>
      <c r="I150" s="119"/>
      <c r="J150" s="153"/>
      <c r="K150" s="153"/>
      <c r="L150" s="153"/>
      <c r="M150" s="153"/>
      <c r="N150" s="119"/>
      <c r="O150" s="153"/>
      <c r="P150" s="153"/>
      <c r="Q150" s="153"/>
      <c r="R150" s="153"/>
      <c r="S150" s="119"/>
      <c r="T150" s="153"/>
      <c r="U150" s="153"/>
      <c r="V150" s="153"/>
      <c r="W150" s="153"/>
      <c r="X150" s="119"/>
      <c r="Y150" s="153"/>
      <c r="Z150" s="153"/>
      <c r="AA150" s="153"/>
      <c r="AB150" s="153"/>
      <c r="AC150" s="119"/>
      <c r="AD150" s="153"/>
      <c r="AE150" s="153"/>
      <c r="AF150" s="153"/>
      <c r="AG150" s="153"/>
      <c r="AH150" s="119"/>
      <c r="AI150" s="153"/>
      <c r="AJ150" s="153"/>
      <c r="AK150" s="153"/>
      <c r="AL150" s="153"/>
      <c r="AM150" s="119"/>
      <c r="AN150" s="153"/>
      <c r="AO150" s="153"/>
      <c r="AP150" s="153"/>
      <c r="AQ150" s="153"/>
      <c r="AR150" s="119"/>
      <c r="AS150" s="153"/>
      <c r="AT150" s="153"/>
      <c r="AU150" s="153"/>
      <c r="AV150" s="153"/>
      <c r="AW150" s="119"/>
      <c r="AX150" s="153"/>
      <c r="AY150" s="153"/>
      <c r="AZ150" s="153"/>
      <c r="BA150" s="153"/>
      <c r="BB150" s="119">
        <f t="shared" ref="BB150:CG150" si="274">BB135/BB48</f>
        <v>0.14092727844259725</v>
      </c>
      <c r="BC150" s="153">
        <f t="shared" si="274"/>
        <v>0.14375116756958714</v>
      </c>
      <c r="BD150" s="153">
        <f t="shared" si="274"/>
        <v>0.15396473054630658</v>
      </c>
      <c r="BE150" s="153">
        <f t="shared" si="274"/>
        <v>0.14675084783292738</v>
      </c>
      <c r="BF150" s="153">
        <f t="shared" si="274"/>
        <v>0.13278060928732827</v>
      </c>
      <c r="BG150" s="119">
        <f t="shared" si="274"/>
        <v>0.14446700250197417</v>
      </c>
      <c r="BH150" s="153">
        <f t="shared" si="274"/>
        <v>0.13874327670110134</v>
      </c>
      <c r="BI150" s="153">
        <f t="shared" si="274"/>
        <v>0.13418488668319023</v>
      </c>
      <c r="BJ150" s="153">
        <f t="shared" si="274"/>
        <v>0.13932845700225988</v>
      </c>
      <c r="BK150" s="153">
        <f t="shared" si="274"/>
        <v>0.14721008005317862</v>
      </c>
      <c r="BL150" s="119">
        <f t="shared" si="274"/>
        <v>0.14003047731556045</v>
      </c>
      <c r="BM150" s="153">
        <f t="shared" si="274"/>
        <v>0.13655011617786791</v>
      </c>
      <c r="BN150" s="153">
        <f t="shared" si="274"/>
        <v>0.11816806905401737</v>
      </c>
      <c r="BO150" s="153">
        <f t="shared" si="274"/>
        <v>0.13199844718583242</v>
      </c>
      <c r="BP150" s="153">
        <f t="shared" si="274"/>
        <v>0.14407180848744985</v>
      </c>
      <c r="BQ150" s="119">
        <f t="shared" si="274"/>
        <v>0.13288078866029243</v>
      </c>
      <c r="BR150" s="153">
        <f t="shared" si="274"/>
        <v>0.1071651205707902</v>
      </c>
      <c r="BS150" s="153">
        <f t="shared" si="274"/>
        <v>0.19261776785568319</v>
      </c>
      <c r="BT150" s="153">
        <f t="shared" si="274"/>
        <v>0.14019078992567996</v>
      </c>
      <c r="BU150" s="153">
        <f t="shared" si="274"/>
        <v>0.13000348665070047</v>
      </c>
      <c r="BV150" s="119">
        <f t="shared" si="274"/>
        <v>0.14222925794572897</v>
      </c>
      <c r="BW150" s="153">
        <f t="shared" si="274"/>
        <v>0.13073246311960851</v>
      </c>
      <c r="BX150" s="153">
        <f t="shared" si="274"/>
        <v>0.13943901496437533</v>
      </c>
      <c r="BY150" s="153">
        <f t="shared" si="274"/>
        <v>0.1502888144534317</v>
      </c>
      <c r="BZ150" s="153">
        <f t="shared" si="274"/>
        <v>0.13410534873266669</v>
      </c>
      <c r="CA150" s="236">
        <f t="shared" si="274"/>
        <v>0.13861473582398615</v>
      </c>
      <c r="CB150" s="153">
        <f t="shared" si="274"/>
        <v>0.14020490335215058</v>
      </c>
      <c r="CC150" s="153">
        <f t="shared" si="274"/>
        <v>0.13164872130545305</v>
      </c>
      <c r="CD150" s="153">
        <f t="shared" si="274"/>
        <v>0.13291346832967255</v>
      </c>
      <c r="CE150" s="199">
        <f t="shared" si="274"/>
        <v>0.1252656452978875</v>
      </c>
      <c r="CF150" s="236">
        <f t="shared" si="274"/>
        <v>0.13216914974827282</v>
      </c>
      <c r="CG150" s="199">
        <f t="shared" si="274"/>
        <v>0.12531969309462915</v>
      </c>
      <c r="CH150" s="199">
        <f t="shared" ref="CH150:DE150" si="275">CH135/CH48</f>
        <v>0.13354363827549948</v>
      </c>
      <c r="CI150" s="199">
        <f t="shared" si="275"/>
        <v>0.12725399278722307</v>
      </c>
      <c r="CJ150" s="199">
        <f t="shared" si="275"/>
        <v>0.13919328514805315</v>
      </c>
      <c r="CK150" s="236">
        <f t="shared" si="275"/>
        <v>0.13166386988511683</v>
      </c>
      <c r="CL150" s="199">
        <f t="shared" si="275"/>
        <v>0.14782143811815024</v>
      </c>
      <c r="CM150" s="199">
        <f t="shared" si="275"/>
        <v>0.11395474137931035</v>
      </c>
      <c r="CN150" s="199">
        <f t="shared" si="275"/>
        <v>0.1211548839719374</v>
      </c>
      <c r="CO150" s="199">
        <f t="shared" si="275"/>
        <v>7.8871892925430204E-3</v>
      </c>
      <c r="CP150" s="236">
        <f t="shared" si="275"/>
        <v>9.5027048165287106E-2</v>
      </c>
      <c r="CQ150" s="199">
        <f t="shared" si="275"/>
        <v>0.13076720274189296</v>
      </c>
      <c r="CR150" s="199">
        <f t="shared" si="275"/>
        <v>0.13350062735257215</v>
      </c>
      <c r="CS150" s="199">
        <f t="shared" si="275"/>
        <v>0.1255766273705792</v>
      </c>
      <c r="CT150" s="199">
        <f t="shared" si="275"/>
        <v>0.12593936252915264</v>
      </c>
      <c r="CU150" s="236">
        <f t="shared" si="275"/>
        <v>0.12896582791685438</v>
      </c>
      <c r="CV150" s="199">
        <f t="shared" si="275"/>
        <v>0.10972497873546924</v>
      </c>
      <c r="CW150" s="199">
        <f t="shared" si="275"/>
        <v>9.7807757166947729E-2</v>
      </c>
      <c r="CX150" s="199">
        <f t="shared" si="275"/>
        <v>0.11092985318107668</v>
      </c>
      <c r="CY150" s="199">
        <f t="shared" si="275"/>
        <v>9.170731707317073E-2</v>
      </c>
      <c r="CZ150" s="236">
        <f t="shared" si="275"/>
        <v>0.1022000941936352</v>
      </c>
      <c r="DA150" s="199">
        <f t="shared" si="275"/>
        <v>8.9348951239444294E-2</v>
      </c>
      <c r="DB150" s="199">
        <f t="shared" si="275"/>
        <v>0.10375</v>
      </c>
      <c r="DC150" s="199"/>
      <c r="DD150" s="199"/>
      <c r="DE150" s="236">
        <f t="shared" si="275"/>
        <v>9.685829748403077E-2</v>
      </c>
      <c r="DF150" s="199"/>
      <c r="DG150" s="199"/>
      <c r="DH150" s="199"/>
      <c r="DI150" s="199"/>
      <c r="DJ150" s="236"/>
      <c r="DK150" s="199"/>
      <c r="DL150" s="199"/>
      <c r="DM150" s="199"/>
      <c r="DN150" s="199"/>
      <c r="DO150" s="236"/>
      <c r="DP150" s="199"/>
      <c r="DQ150" s="199"/>
      <c r="DR150" s="199"/>
      <c r="DS150" s="199"/>
      <c r="DT150" s="236"/>
      <c r="DU150" s="236"/>
      <c r="DV150" s="236"/>
    </row>
    <row r="151" spans="1:126" s="92" customFormat="1" hidden="1" outlineLevel="1">
      <c r="B151" s="41" t="s">
        <v>629</v>
      </c>
      <c r="C151" s="119"/>
      <c r="D151" s="119"/>
      <c r="E151" s="119"/>
      <c r="F151" s="119"/>
      <c r="G151" s="119"/>
      <c r="H151" s="119"/>
      <c r="I151" s="119"/>
      <c r="J151" s="153"/>
      <c r="K151" s="153"/>
      <c r="L151" s="153"/>
      <c r="M151" s="153"/>
      <c r="N151" s="119"/>
      <c r="O151" s="153"/>
      <c r="P151" s="153"/>
      <c r="Q151" s="153"/>
      <c r="R151" s="153"/>
      <c r="S151" s="119"/>
      <c r="T151" s="153"/>
      <c r="U151" s="153"/>
      <c r="V151" s="153"/>
      <c r="W151" s="153"/>
      <c r="X151" s="119"/>
      <c r="Y151" s="153"/>
      <c r="Z151" s="153"/>
      <c r="AA151" s="153"/>
      <c r="AB151" s="153"/>
      <c r="AC151" s="119"/>
      <c r="AD151" s="153"/>
      <c r="AE151" s="153"/>
      <c r="AF151" s="153"/>
      <c r="AG151" s="153"/>
      <c r="AH151" s="119"/>
      <c r="AI151" s="153"/>
      <c r="AJ151" s="153"/>
      <c r="AK151" s="153"/>
      <c r="AL151" s="153"/>
      <c r="AM151" s="119"/>
      <c r="AN151" s="153"/>
      <c r="AO151" s="153"/>
      <c r="AP151" s="153"/>
      <c r="AQ151" s="153"/>
      <c r="AR151" s="119"/>
      <c r="AS151" s="153"/>
      <c r="AT151" s="153"/>
      <c r="AU151" s="153"/>
      <c r="AV151" s="153"/>
      <c r="AW151" s="119"/>
      <c r="AX151" s="153"/>
      <c r="AY151" s="153"/>
      <c r="AZ151" s="153"/>
      <c r="BA151" s="153"/>
      <c r="BB151" s="119"/>
      <c r="BC151" s="153"/>
      <c r="BD151" s="153"/>
      <c r="BE151" s="153"/>
      <c r="BF151" s="153"/>
      <c r="BG151" s="119"/>
      <c r="BH151" s="153"/>
      <c r="BI151" s="153"/>
      <c r="BJ151" s="153"/>
      <c r="BK151" s="153"/>
      <c r="BL151" s="820"/>
      <c r="BM151" s="153"/>
      <c r="BN151" s="153"/>
      <c r="BO151" s="153"/>
      <c r="BP151" s="153"/>
      <c r="BQ151" s="820"/>
      <c r="BR151" s="153"/>
      <c r="BS151" s="153"/>
      <c r="BT151" s="153"/>
      <c r="BU151" s="153"/>
      <c r="BV151" s="820"/>
      <c r="BW151" s="153"/>
      <c r="BX151" s="153"/>
      <c r="BY151" s="153"/>
      <c r="BZ151" s="153"/>
      <c r="CA151" s="821"/>
      <c r="CB151" s="153"/>
      <c r="CC151" s="153"/>
      <c r="CD151" s="153"/>
      <c r="CE151" s="199"/>
      <c r="CF151" s="821"/>
      <c r="CG151" s="199"/>
      <c r="CH151" s="199"/>
      <c r="CI151" s="199"/>
      <c r="CJ151" s="199"/>
      <c r="CK151" s="821"/>
      <c r="CL151" s="199"/>
      <c r="CM151" s="199"/>
      <c r="CN151" s="199"/>
      <c r="CO151" s="199"/>
      <c r="CP151" s="821"/>
      <c r="CQ151" s="199"/>
      <c r="CR151" s="199"/>
      <c r="CS151" s="199"/>
      <c r="CT151" s="199"/>
      <c r="CU151" s="821"/>
      <c r="CV151" s="199">
        <f t="shared" ref="CV151:DJ151" si="276">CV136/CV50</f>
        <v>0.10783668093513335</v>
      </c>
      <c r="CW151" s="199">
        <f t="shared" si="276"/>
        <v>9.440730474482309E-2</v>
      </c>
      <c r="CX151" s="199">
        <f t="shared" si="276"/>
        <v>0.10875079264426125</v>
      </c>
      <c r="CY151" s="199">
        <f t="shared" si="276"/>
        <v>7.9267377270680076E-2</v>
      </c>
      <c r="CZ151" s="236">
        <f t="shared" si="276"/>
        <v>9.7235462345090562E-2</v>
      </c>
      <c r="DA151" s="199">
        <f t="shared" si="276"/>
        <v>9.0750158931977118E-2</v>
      </c>
      <c r="DB151" s="199">
        <f t="shared" si="276"/>
        <v>9.6119402985074626E-2</v>
      </c>
      <c r="DC151" s="199">
        <f t="shared" si="276"/>
        <v>8.6526576019777507E-2</v>
      </c>
      <c r="DD151" s="199">
        <f t="shared" si="276"/>
        <v>8.7714202730177174E-2</v>
      </c>
      <c r="DE151" s="236">
        <f t="shared" si="276"/>
        <v>9.0284629981024669E-2</v>
      </c>
      <c r="DF151" s="199">
        <f t="shared" si="276"/>
        <v>0.14957200780898033</v>
      </c>
      <c r="DG151" s="199">
        <f t="shared" si="276"/>
        <v>1.9297979030542471E-2</v>
      </c>
      <c r="DH151" s="199">
        <f t="shared" si="276"/>
        <v>0.10131537738803632</v>
      </c>
      <c r="DI151" s="199">
        <f t="shared" si="276"/>
        <v>0.11513203856364398</v>
      </c>
      <c r="DJ151" s="236">
        <f t="shared" si="276"/>
        <v>9.6852481051413211E-2</v>
      </c>
      <c r="DK151" s="199">
        <f t="shared" ref="DK151:DO151" si="277">DK136/DK50</f>
        <v>0.10694006309148266</v>
      </c>
      <c r="DL151" s="199">
        <f t="shared" si="277"/>
        <v>0.11498357377517497</v>
      </c>
      <c r="DM151" s="199">
        <f t="shared" si="277"/>
        <v>0.12193044712562101</v>
      </c>
      <c r="DN151" s="199">
        <f t="shared" si="277"/>
        <v>0.11500000000000002</v>
      </c>
      <c r="DO151" s="236">
        <f t="shared" si="277"/>
        <v>0.11491376438727541</v>
      </c>
      <c r="DP151" s="199">
        <f t="shared" ref="DP151:DT151" si="278">DP136/DP50</f>
        <v>0.114</v>
      </c>
      <c r="DQ151" s="199">
        <f t="shared" si="278"/>
        <v>0.11799999999999999</v>
      </c>
      <c r="DR151" s="199">
        <f t="shared" si="278"/>
        <v>0.12</v>
      </c>
      <c r="DS151" s="199">
        <f t="shared" si="278"/>
        <v>0.12</v>
      </c>
      <c r="DT151" s="236">
        <f t="shared" si="278"/>
        <v>0.11810780249466221</v>
      </c>
      <c r="DU151" s="236">
        <f t="shared" ref="DU151" si="279">DU136/DU50</f>
        <v>0.12</v>
      </c>
      <c r="DV151" s="236">
        <f t="shared" ref="DV151" si="280">DV136/DV50</f>
        <v>0.122</v>
      </c>
    </row>
    <row r="152" spans="1:126" s="92" customFormat="1" hidden="1" outlineLevel="1">
      <c r="B152" s="518" t="s">
        <v>173</v>
      </c>
      <c r="C152" s="419">
        <f t="shared" ref="C152:AH152" si="281">C137/C62</f>
        <v>9.4232992250717129E-2</v>
      </c>
      <c r="D152" s="419">
        <f t="shared" si="281"/>
        <v>0.11214608812196347</v>
      </c>
      <c r="E152" s="419">
        <f t="shared" si="281"/>
        <v>7.7775265656794032E-2</v>
      </c>
      <c r="F152" s="419">
        <f t="shared" si="281"/>
        <v>0.12261636961412009</v>
      </c>
      <c r="G152" s="419">
        <f t="shared" si="281"/>
        <v>0.10981680268192746</v>
      </c>
      <c r="H152" s="419">
        <f t="shared" si="281"/>
        <v>0.12760483663493696</v>
      </c>
      <c r="I152" s="419">
        <f t="shared" si="281"/>
        <v>0.11097178683385579</v>
      </c>
      <c r="J152" s="416">
        <f t="shared" si="281"/>
        <v>9.9650575902678923E-2</v>
      </c>
      <c r="K152" s="416">
        <f t="shared" si="281"/>
        <v>0.12022471910112359</v>
      </c>
      <c r="L152" s="416">
        <f t="shared" si="281"/>
        <v>0.12304614230336376</v>
      </c>
      <c r="M152" s="416">
        <f t="shared" si="281"/>
        <v>0.11715109829154648</v>
      </c>
      <c r="N152" s="419">
        <f t="shared" si="281"/>
        <v>0.11521314278734579</v>
      </c>
      <c r="O152" s="416">
        <f t="shared" si="281"/>
        <v>0.13010685103708358</v>
      </c>
      <c r="P152" s="416">
        <f t="shared" si="281"/>
        <v>0.12800270666516297</v>
      </c>
      <c r="Q152" s="416">
        <f t="shared" si="281"/>
        <v>0.13180417665183156</v>
      </c>
      <c r="R152" s="416">
        <f t="shared" si="281"/>
        <v>0.12470944921677615</v>
      </c>
      <c r="S152" s="419">
        <f t="shared" si="281"/>
        <v>0.12849492671927848</v>
      </c>
      <c r="T152" s="416">
        <f t="shared" si="281"/>
        <v>0.13620515127657182</v>
      </c>
      <c r="U152" s="416">
        <f t="shared" si="281"/>
        <v>0.14547689785882595</v>
      </c>
      <c r="V152" s="416">
        <f t="shared" si="281"/>
        <v>0.13829457364341086</v>
      </c>
      <c r="W152" s="416">
        <f t="shared" si="281"/>
        <v>0.16668738346799253</v>
      </c>
      <c r="X152" s="415">
        <f t="shared" si="281"/>
        <v>0.14249972506323547</v>
      </c>
      <c r="Y152" s="416">
        <f t="shared" si="281"/>
        <v>0.14830694810905892</v>
      </c>
      <c r="Z152" s="416">
        <f t="shared" si="281"/>
        <v>0.14985298590692486</v>
      </c>
      <c r="AA152" s="416">
        <f t="shared" si="281"/>
        <v>0.14734794183903338</v>
      </c>
      <c r="AB152" s="416">
        <f t="shared" si="281"/>
        <v>0.13672014260249554</v>
      </c>
      <c r="AC152" s="419">
        <f t="shared" si="281"/>
        <v>0.14519964951808736</v>
      </c>
      <c r="AD152" s="416">
        <f t="shared" si="281"/>
        <v>0.14024449877750611</v>
      </c>
      <c r="AE152" s="416">
        <f t="shared" si="281"/>
        <v>0.1446089563084749</v>
      </c>
      <c r="AF152" s="416">
        <f t="shared" si="281"/>
        <v>0.1462937062937063</v>
      </c>
      <c r="AG152" s="416">
        <f t="shared" si="281"/>
        <v>0.15090858776865604</v>
      </c>
      <c r="AH152" s="419">
        <f t="shared" si="281"/>
        <v>0.14558411214953271</v>
      </c>
      <c r="AI152" s="416">
        <f t="shared" ref="AI152:BN152" si="282">AI137/AI62</f>
        <v>0.13328829263584596</v>
      </c>
      <c r="AJ152" s="416">
        <f t="shared" si="282"/>
        <v>0.13933649289099526</v>
      </c>
      <c r="AK152" s="416">
        <f t="shared" si="282"/>
        <v>0.14291115311909264</v>
      </c>
      <c r="AL152" s="416">
        <f t="shared" si="282"/>
        <v>0.14470684781617579</v>
      </c>
      <c r="AM152" s="419">
        <f t="shared" si="282"/>
        <v>0.14013848980168636</v>
      </c>
      <c r="AN152" s="416">
        <f t="shared" si="282"/>
        <v>0.1447615285869458</v>
      </c>
      <c r="AO152" s="416">
        <f t="shared" si="282"/>
        <v>0.11312517794438645</v>
      </c>
      <c r="AP152" s="416">
        <f t="shared" si="282"/>
        <v>0.15418664699372925</v>
      </c>
      <c r="AQ152" s="416">
        <f t="shared" si="282"/>
        <v>0.13867813184960379</v>
      </c>
      <c r="AR152" s="419">
        <f t="shared" si="282"/>
        <v>0.13776804242563984</v>
      </c>
      <c r="AS152" s="416">
        <f t="shared" si="282"/>
        <v>0.13185822987585102</v>
      </c>
      <c r="AT152" s="416">
        <f t="shared" si="282"/>
        <v>0.13581764872789179</v>
      </c>
      <c r="AU152" s="416">
        <f t="shared" si="282"/>
        <v>0.15018919181139032</v>
      </c>
      <c r="AV152" s="416">
        <f t="shared" si="282"/>
        <v>0.15414449355100568</v>
      </c>
      <c r="AW152" s="419">
        <f t="shared" si="282"/>
        <v>0.14324871886545107</v>
      </c>
      <c r="AX152" s="416">
        <f t="shared" si="282"/>
        <v>0.13836059368686768</v>
      </c>
      <c r="AY152" s="416">
        <f t="shared" si="282"/>
        <v>0.14177772564453611</v>
      </c>
      <c r="AZ152" s="416">
        <f t="shared" si="282"/>
        <v>0.12777369648866579</v>
      </c>
      <c r="BA152" s="416">
        <f t="shared" si="282"/>
        <v>0.11131515367862052</v>
      </c>
      <c r="BB152" s="419">
        <f t="shared" si="282"/>
        <v>0.12831801025988471</v>
      </c>
      <c r="BC152" s="416">
        <f t="shared" si="282"/>
        <v>0.14290168599405134</v>
      </c>
      <c r="BD152" s="416">
        <f t="shared" si="282"/>
        <v>0.15307687222542721</v>
      </c>
      <c r="BE152" s="416">
        <f t="shared" si="282"/>
        <v>0.14681344132320379</v>
      </c>
      <c r="BF152" s="416">
        <f t="shared" si="282"/>
        <v>0.13641575368752357</v>
      </c>
      <c r="BG152" s="419">
        <f t="shared" si="282"/>
        <v>0.14474609630549298</v>
      </c>
      <c r="BH152" s="416">
        <f t="shared" si="282"/>
        <v>0.14656886027469479</v>
      </c>
      <c r="BI152" s="416">
        <f t="shared" si="282"/>
        <v>0.15095959412349985</v>
      </c>
      <c r="BJ152" s="416">
        <f t="shared" si="282"/>
        <v>0.16148337516141284</v>
      </c>
      <c r="BK152" s="519">
        <f t="shared" si="282"/>
        <v>0.14664564958608284</v>
      </c>
      <c r="BL152" s="520">
        <f t="shared" si="282"/>
        <v>0.15141441947048873</v>
      </c>
      <c r="BM152" s="416">
        <f t="shared" si="282"/>
        <v>0.1587273901164245</v>
      </c>
      <c r="BN152" s="416">
        <f t="shared" si="282"/>
        <v>0.13691122758360244</v>
      </c>
      <c r="BO152" s="416">
        <f t="shared" ref="BO152:CU152" si="283">BO137/BO62</f>
        <v>0.14426057690740479</v>
      </c>
      <c r="BP152" s="519">
        <f t="shared" si="283"/>
        <v>3.0890973585324385E-2</v>
      </c>
      <c r="BQ152" s="520">
        <f t="shared" si="283"/>
        <v>0.11573230419833951</v>
      </c>
      <c r="BR152" s="416">
        <f t="shared" si="283"/>
        <v>0.12670779690862791</v>
      </c>
      <c r="BS152" s="416">
        <f t="shared" si="283"/>
        <v>0.14614751859301256</v>
      </c>
      <c r="BT152" s="416">
        <f t="shared" si="283"/>
        <v>0.13689047251214528</v>
      </c>
      <c r="BU152" s="519">
        <f t="shared" si="283"/>
        <v>0.1184430126106983</v>
      </c>
      <c r="BV152" s="520">
        <f t="shared" si="283"/>
        <v>0.13201906188860049</v>
      </c>
      <c r="BW152" s="416">
        <f t="shared" si="283"/>
        <v>0.12506215073769603</v>
      </c>
      <c r="BX152" s="416">
        <f t="shared" si="283"/>
        <v>0.12841525407616608</v>
      </c>
      <c r="BY152" s="416">
        <f t="shared" si="283"/>
        <v>0.11987656596968847</v>
      </c>
      <c r="BZ152" s="519">
        <f t="shared" si="283"/>
        <v>0.12266451149550994</v>
      </c>
      <c r="CA152" s="520">
        <f t="shared" si="283"/>
        <v>0.12395702311509593</v>
      </c>
      <c r="CB152" s="416">
        <f t="shared" si="283"/>
        <v>0.14059433203193425</v>
      </c>
      <c r="CC152" s="416">
        <f t="shared" si="283"/>
        <v>0.13068519871020248</v>
      </c>
      <c r="CD152" s="416">
        <f t="shared" si="283"/>
        <v>0.11705651945725311</v>
      </c>
      <c r="CE152" s="519">
        <f t="shared" si="283"/>
        <v>0.11628801058442133</v>
      </c>
      <c r="CF152" s="520">
        <f t="shared" si="283"/>
        <v>0.12558329883082547</v>
      </c>
      <c r="CG152" s="416">
        <f t="shared" si="283"/>
        <v>0.12944047213710136</v>
      </c>
      <c r="CH152" s="416">
        <f t="shared" si="283"/>
        <v>0.14221329278887923</v>
      </c>
      <c r="CI152" s="416">
        <f t="shared" si="283"/>
        <v>0.14403796928327645</v>
      </c>
      <c r="CJ152" s="519">
        <f t="shared" si="283"/>
        <v>0.12264102432251761</v>
      </c>
      <c r="CK152" s="520">
        <f t="shared" si="283"/>
        <v>0.13451513396284873</v>
      </c>
      <c r="CL152" s="416">
        <f t="shared" si="283"/>
        <v>0.15279180744892226</v>
      </c>
      <c r="CM152" s="416">
        <f t="shared" si="283"/>
        <v>-9.6174162901707368E-4</v>
      </c>
      <c r="CN152" s="416">
        <f t="shared" si="283"/>
        <v>4.4641275497278775E-2</v>
      </c>
      <c r="CO152" s="519">
        <f t="shared" si="283"/>
        <v>2.2957420709147868E-2</v>
      </c>
      <c r="CP152" s="520">
        <f t="shared" si="283"/>
        <v>5.8900928792569661E-2</v>
      </c>
      <c r="CQ152" s="416">
        <f t="shared" si="283"/>
        <v>7.4890375984119795E-2</v>
      </c>
      <c r="CR152" s="416">
        <f t="shared" si="283"/>
        <v>9.3283248474386737E-2</v>
      </c>
      <c r="CS152" s="416">
        <f t="shared" si="283"/>
        <v>9.065307034795532E-2</v>
      </c>
      <c r="CT152" s="519">
        <f t="shared" si="283"/>
        <v>0.1034707255015124</v>
      </c>
      <c r="CU152" s="520">
        <f t="shared" si="283"/>
        <v>9.6803752251972422E-2</v>
      </c>
      <c r="CV152" s="416">
        <f t="shared" ref="CV152:DJ152" si="284">CV137/(CV62-CV61)</f>
        <v>8.5390882517569502E-2</v>
      </c>
      <c r="CW152" s="416">
        <f t="shared" si="284"/>
        <v>9.2354593819116509E-2</v>
      </c>
      <c r="CX152" s="416">
        <f t="shared" si="284"/>
        <v>0.10019533494197404</v>
      </c>
      <c r="CY152" s="416">
        <f t="shared" si="284"/>
        <v>9.0433563416738569E-2</v>
      </c>
      <c r="CZ152" s="415">
        <f t="shared" si="284"/>
        <v>9.2192908461560835E-2</v>
      </c>
      <c r="DA152" s="416">
        <f t="shared" si="284"/>
        <v>0.10673393039337943</v>
      </c>
      <c r="DB152" s="416">
        <f t="shared" si="284"/>
        <v>9.4383816875166351E-2</v>
      </c>
      <c r="DC152" s="416">
        <f t="shared" si="284"/>
        <v>-7.2645612033934548E-2</v>
      </c>
      <c r="DD152" s="416">
        <f t="shared" si="284"/>
        <v>0.1033015407190022</v>
      </c>
      <c r="DE152" s="415">
        <f t="shared" si="284"/>
        <v>6.6982609063597515E-2</v>
      </c>
      <c r="DF152" s="416">
        <f t="shared" si="284"/>
        <v>0.11405902567212452</v>
      </c>
      <c r="DG152" s="416">
        <f t="shared" si="284"/>
        <v>8.767539986262389E-2</v>
      </c>
      <c r="DH152" s="416">
        <f t="shared" si="284"/>
        <v>0.10946859903381642</v>
      </c>
      <c r="DI152" s="416">
        <f t="shared" si="284"/>
        <v>0.10932938058662355</v>
      </c>
      <c r="DJ152" s="415">
        <f t="shared" si="284"/>
        <v>0.1051808547748788</v>
      </c>
      <c r="DK152" s="416">
        <f t="shared" ref="DK152:DO152" si="285">DK137/(DK62-DK61)</f>
        <v>0.11212541222578024</v>
      </c>
      <c r="DL152" s="416">
        <f t="shared" si="285"/>
        <v>0.11099128246607351</v>
      </c>
      <c r="DM152" s="416">
        <f t="shared" si="285"/>
        <v>0.12430161548789467</v>
      </c>
      <c r="DN152" s="416">
        <f t="shared" si="285"/>
        <v>0.11843722386461242</v>
      </c>
      <c r="DO152" s="415">
        <f t="shared" si="285"/>
        <v>0.11662447831575574</v>
      </c>
      <c r="DP152" s="416">
        <f t="shared" ref="DP152:DT152" si="286">DP137/(DP62-DP61)</f>
        <v>0.11716029872674517</v>
      </c>
      <c r="DQ152" s="416">
        <f t="shared" si="286"/>
        <v>0.12026253368920713</v>
      </c>
      <c r="DR152" s="416">
        <f t="shared" si="286"/>
        <v>0.12578543058835168</v>
      </c>
      <c r="DS152" s="416">
        <f t="shared" si="286"/>
        <v>0.12594658324338359</v>
      </c>
      <c r="DT152" s="415">
        <f t="shared" si="286"/>
        <v>0.12247024099610584</v>
      </c>
      <c r="DU152" s="415">
        <f t="shared" ref="DU152" si="287">DU137/(DU62-DU61)</f>
        <v>0.12574470096443643</v>
      </c>
      <c r="DV152" s="415">
        <f t="shared" ref="DV152" si="288">DV137/(DV62-DV61)</f>
        <v>0.12877233319874334</v>
      </c>
    </row>
    <row r="153" spans="1:126" s="92" customFormat="1" hidden="1" outlineLevel="1">
      <c r="B153" s="387" t="s">
        <v>235</v>
      </c>
      <c r="C153" s="121">
        <f t="shared" ref="C153:AH153" si="289">IF(ISERROR(C144/C62),"",(C144/C62))</f>
        <v>4.7822922464357577E-2</v>
      </c>
      <c r="D153" s="121">
        <f t="shared" si="289"/>
        <v>4.3926955939018263E-2</v>
      </c>
      <c r="E153" s="121">
        <f t="shared" si="289"/>
        <v>2.8455153257323729E-2</v>
      </c>
      <c r="F153" s="121">
        <f t="shared" si="289"/>
        <v>6.2779027513410621E-2</v>
      </c>
      <c r="G153" s="121">
        <f t="shared" si="289"/>
        <v>6.6980461210253625E-2</v>
      </c>
      <c r="H153" s="121">
        <f t="shared" si="289"/>
        <v>6.7881950825094642E-2</v>
      </c>
      <c r="I153" s="121">
        <f t="shared" si="289"/>
        <v>5.2525252525252523E-2</v>
      </c>
      <c r="J153" s="124">
        <f t="shared" si="289"/>
        <v>2.7953927785686554E-2</v>
      </c>
      <c r="K153" s="124">
        <f t="shared" si="289"/>
        <v>3.9575530586766543E-2</v>
      </c>
      <c r="L153" s="124">
        <f t="shared" si="289"/>
        <v>4.314117794172815E-2</v>
      </c>
      <c r="M153" s="124">
        <f t="shared" si="289"/>
        <v>3.4834701575327268E-2</v>
      </c>
      <c r="N153" s="121">
        <f t="shared" si="289"/>
        <v>3.6399169414926102E-2</v>
      </c>
      <c r="O153" s="124">
        <f t="shared" si="289"/>
        <v>4.7265870521684475E-2</v>
      </c>
      <c r="P153" s="124">
        <f t="shared" si="289"/>
        <v>4.7592195782113454E-2</v>
      </c>
      <c r="Q153" s="124">
        <f t="shared" si="289"/>
        <v>5.0325231085244782E-2</v>
      </c>
      <c r="R153" s="124">
        <f t="shared" si="289"/>
        <v>4.2445679636179887E-2</v>
      </c>
      <c r="S153" s="121">
        <f t="shared" si="289"/>
        <v>4.6758737316798193E-2</v>
      </c>
      <c r="T153" s="124">
        <f t="shared" si="289"/>
        <v>5.8598582836576311E-2</v>
      </c>
      <c r="U153" s="124">
        <f t="shared" si="289"/>
        <v>6.6284192193422811E-2</v>
      </c>
      <c r="V153" s="124">
        <f t="shared" si="289"/>
        <v>5.8914728682170542E-2</v>
      </c>
      <c r="W153" s="124">
        <f t="shared" si="289"/>
        <v>6.8241143567433188E-2</v>
      </c>
      <c r="X153" s="121">
        <f t="shared" si="289"/>
        <v>6.2878038051248211E-2</v>
      </c>
      <c r="Y153" s="124">
        <f t="shared" si="289"/>
        <v>7.1020228671943714E-2</v>
      </c>
      <c r="Z153" s="124">
        <f t="shared" si="289"/>
        <v>7.1479265943424922E-2</v>
      </c>
      <c r="AA153" s="124">
        <f t="shared" si="289"/>
        <v>6.5328691378251078E-2</v>
      </c>
      <c r="AB153" s="124">
        <f t="shared" si="289"/>
        <v>6.5062388591800357E-2</v>
      </c>
      <c r="AC153" s="121">
        <f t="shared" si="289"/>
        <v>6.8068594317186135E-2</v>
      </c>
      <c r="AD153" s="124">
        <f t="shared" si="289"/>
        <v>7.0611246943765277E-2</v>
      </c>
      <c r="AE153" s="124">
        <f t="shared" si="289"/>
        <v>7.1941139068035245E-2</v>
      </c>
      <c r="AF153" s="124">
        <f t="shared" si="289"/>
        <v>7.3659673659673658E-2</v>
      </c>
      <c r="AG153" s="124">
        <f t="shared" si="289"/>
        <v>7.3240475970851399E-2</v>
      </c>
      <c r="AH153" s="121">
        <f t="shared" si="289"/>
        <v>7.2383177570093452E-2</v>
      </c>
      <c r="AI153" s="124">
        <f t="shared" ref="AI153:BN153" si="290">IF(ISERROR(AI144/AI62),"",(AI144/AI62))</f>
        <v>6.1673583630923658E-2</v>
      </c>
      <c r="AJ153" s="124">
        <f t="shared" si="290"/>
        <v>6.3033175355450236E-2</v>
      </c>
      <c r="AK153" s="124">
        <f t="shared" si="290"/>
        <v>6.5217391304347824E-2</v>
      </c>
      <c r="AL153" s="124">
        <f t="shared" si="290"/>
        <v>6.610741314853652E-2</v>
      </c>
      <c r="AM153" s="121">
        <f t="shared" si="290"/>
        <v>6.4039756936266429E-2</v>
      </c>
      <c r="AN153" s="124">
        <f t="shared" si="290"/>
        <v>5.9642539745235507E-2</v>
      </c>
      <c r="AO153" s="124">
        <f t="shared" si="290"/>
        <v>6.3680364430103442E-2</v>
      </c>
      <c r="AP153" s="124">
        <f t="shared" si="290"/>
        <v>6.8240501659904099E-2</v>
      </c>
      <c r="AQ153" s="124">
        <f t="shared" si="290"/>
        <v>5.5639858371269599E-2</v>
      </c>
      <c r="AR153" s="121">
        <f t="shared" si="290"/>
        <v>6.1678579663361773E-2</v>
      </c>
      <c r="AS153" s="124">
        <f t="shared" si="290"/>
        <v>5.1161393672406887E-2</v>
      </c>
      <c r="AT153" s="124">
        <f t="shared" si="290"/>
        <v>4.9087297834105738E-2</v>
      </c>
      <c r="AU153" s="124">
        <f t="shared" si="290"/>
        <v>6.0638401086640148E-2</v>
      </c>
      <c r="AV153" s="124">
        <f t="shared" si="290"/>
        <v>5.7184089474158928E-2</v>
      </c>
      <c r="AW153" s="121">
        <f t="shared" si="290"/>
        <v>5.4558455488022885E-2</v>
      </c>
      <c r="AX153" s="124">
        <f t="shared" si="290"/>
        <v>0.11736671131541528</v>
      </c>
      <c r="AY153" s="124">
        <f t="shared" si="290"/>
        <v>0.12157774935101116</v>
      </c>
      <c r="AZ153" s="124">
        <f t="shared" si="290"/>
        <v>0.11203294853226504</v>
      </c>
      <c r="BA153" s="124">
        <f t="shared" si="290"/>
        <v>9.4636195619502955E-2</v>
      </c>
      <c r="BB153" s="121">
        <f t="shared" si="290"/>
        <v>0.11016467694886788</v>
      </c>
      <c r="BC153" s="124">
        <f t="shared" si="290"/>
        <v>0.12438837011496355</v>
      </c>
      <c r="BD153" s="124">
        <f t="shared" si="290"/>
        <v>0.13440911199938893</v>
      </c>
      <c r="BE153" s="124">
        <f t="shared" si="290"/>
        <v>0.12978312132788103</v>
      </c>
      <c r="BF153" s="124">
        <f t="shared" si="290"/>
        <v>0.11836869814584113</v>
      </c>
      <c r="BG153" s="121">
        <f t="shared" si="290"/>
        <v>0.12667506093882305</v>
      </c>
      <c r="BH153" s="124">
        <f t="shared" si="290"/>
        <v>0.14101280813437841</v>
      </c>
      <c r="BI153" s="124">
        <f t="shared" si="290"/>
        <v>0.15078128805548241</v>
      </c>
      <c r="BJ153" s="124">
        <f t="shared" si="290"/>
        <v>0.15098969733013451</v>
      </c>
      <c r="BK153" s="439">
        <f t="shared" si="290"/>
        <v>0.13785660213236064</v>
      </c>
      <c r="BL153" s="439">
        <f t="shared" si="290"/>
        <v>0.14513808161197053</v>
      </c>
      <c r="BM153" s="124">
        <f t="shared" si="290"/>
        <v>0.14856335046772104</v>
      </c>
      <c r="BN153" s="124">
        <f t="shared" si="290"/>
        <v>0.12395572566782688</v>
      </c>
      <c r="BO153" s="124">
        <f t="shared" ref="BO153:CT153" si="291">IF(ISERROR(BO144/BO62),"",(BO144/BO62))</f>
        <v>0.13064447309522381</v>
      </c>
      <c r="BP153" s="439">
        <f t="shared" si="291"/>
        <v>8.4818935649258655E-3</v>
      </c>
      <c r="BQ153" s="439">
        <f t="shared" si="291"/>
        <v>0.10076977641153405</v>
      </c>
      <c r="BR153" s="124">
        <f t="shared" si="291"/>
        <v>0.1181414565972248</v>
      </c>
      <c r="BS153" s="124">
        <f t="shared" si="291"/>
        <v>0.13889224825125449</v>
      </c>
      <c r="BT153" s="124">
        <f t="shared" si="291"/>
        <v>0.12998611838663471</v>
      </c>
      <c r="BU153" s="439">
        <f t="shared" si="291"/>
        <v>0.1003659696807661</v>
      </c>
      <c r="BV153" s="439">
        <f t="shared" si="291"/>
        <v>0.12173751282839114</v>
      </c>
      <c r="BW153" s="124">
        <f t="shared" si="291"/>
        <v>0.13213156202943449</v>
      </c>
      <c r="BX153" s="124">
        <f t="shared" si="291"/>
        <v>0.13525478081650702</v>
      </c>
      <c r="BY153" s="124">
        <f t="shared" si="291"/>
        <v>0.1314698221821653</v>
      </c>
      <c r="BZ153" s="439">
        <f t="shared" si="291"/>
        <v>0.12607255276376822</v>
      </c>
      <c r="CA153" s="439">
        <f t="shared" si="291"/>
        <v>0.13113240492821282</v>
      </c>
      <c r="CB153" s="124">
        <f t="shared" si="291"/>
        <v>0.14619465538154303</v>
      </c>
      <c r="CC153" s="124">
        <f t="shared" si="291"/>
        <v>0.13419492245693057</v>
      </c>
      <c r="CD153" s="124">
        <f t="shared" si="291"/>
        <v>0.12317787089048714</v>
      </c>
      <c r="CE153" s="520">
        <f t="shared" si="291"/>
        <v>0.1213231416895484</v>
      </c>
      <c r="CF153" s="439">
        <f t="shared" si="291"/>
        <v>0.13064618094085872</v>
      </c>
      <c r="CG153" s="124">
        <f t="shared" si="291"/>
        <v>0.108046759732153</v>
      </c>
      <c r="CH153" s="124">
        <f t="shared" si="291"/>
        <v>0.12299087749782797</v>
      </c>
      <c r="CI153" s="124">
        <f t="shared" si="291"/>
        <v>0.125</v>
      </c>
      <c r="CJ153" s="439">
        <f t="shared" si="291"/>
        <v>9.9346942973209229E-2</v>
      </c>
      <c r="CK153" s="439">
        <f t="shared" si="291"/>
        <v>0.11375729083880005</v>
      </c>
      <c r="CL153" s="124">
        <f t="shared" si="291"/>
        <v>0.12530745168222143</v>
      </c>
      <c r="CM153" s="124">
        <f t="shared" si="291"/>
        <v>-0.23318528268364683</v>
      </c>
      <c r="CN153" s="124">
        <f t="shared" si="291"/>
        <v>2.7049974074823031E-2</v>
      </c>
      <c r="CO153" s="439">
        <f t="shared" si="291"/>
        <v>8.411851800497968E-3</v>
      </c>
      <c r="CP153" s="439">
        <f t="shared" si="291"/>
        <v>-1.2708978328173375E-2</v>
      </c>
      <c r="CQ153" s="124">
        <f t="shared" si="291"/>
        <v>6.259310570758124E-2</v>
      </c>
      <c r="CR153" s="124">
        <f t="shared" si="291"/>
        <v>7.6712805614399832E-2</v>
      </c>
      <c r="CS153" s="124">
        <f t="shared" si="291"/>
        <v>7.9042909979976567E-2</v>
      </c>
      <c r="CT153" s="439">
        <f t="shared" si="291"/>
        <v>8.0591956890096059E-2</v>
      </c>
      <c r="CU153" s="439">
        <f t="shared" ref="CU153:DJ153" si="292">IF(ISERROR(CU144/CU62),"",(CU144/CU62))</f>
        <v>7.976641610237932E-2</v>
      </c>
      <c r="CV153" s="124">
        <f t="shared" si="292"/>
        <v>7.0119623313820309E-2</v>
      </c>
      <c r="CW153" s="124">
        <f t="shared" si="292"/>
        <v>8.5264190266029175E-2</v>
      </c>
      <c r="CX153" s="124">
        <f t="shared" si="292"/>
        <v>8.9670225945371954E-2</v>
      </c>
      <c r="CY153" s="124">
        <f t="shared" si="292"/>
        <v>8.2407560935168295E-2</v>
      </c>
      <c r="CZ153" s="121">
        <f t="shared" si="292"/>
        <v>8.2058621820675678E-2</v>
      </c>
      <c r="DA153" s="124">
        <f t="shared" si="292"/>
        <v>9.8001626583013826E-2</v>
      </c>
      <c r="DB153" s="124">
        <f t="shared" si="292"/>
        <v>8.1517881517881516E-2</v>
      </c>
      <c r="DC153" s="124">
        <f t="shared" si="292"/>
        <v>-0.10368389780154486</v>
      </c>
      <c r="DD153" s="124">
        <f t="shared" si="292"/>
        <v>8.9175490540472732E-2</v>
      </c>
      <c r="DE153" s="121">
        <f t="shared" si="292"/>
        <v>5.1668601276842717E-2</v>
      </c>
      <c r="DF153" s="124">
        <f t="shared" si="292"/>
        <v>9.686609686609686E-2</v>
      </c>
      <c r="DG153" s="124">
        <f t="shared" si="292"/>
        <v>2.6729321408721137E-2</v>
      </c>
      <c r="DH153" s="124">
        <f t="shared" si="292"/>
        <v>0.10095076907760465</v>
      </c>
      <c r="DI153" s="124">
        <f t="shared" si="292"/>
        <v>9.7627526245201865E-2</v>
      </c>
      <c r="DJ153" s="121">
        <f t="shared" si="292"/>
        <v>8.0907830907830908E-2</v>
      </c>
      <c r="DK153" s="124">
        <f t="shared" ref="DK153:DO153" si="293">IF(ISERROR(DK144/DK62),"",(DK144/DK62))</f>
        <v>0.10021668472372698</v>
      </c>
      <c r="DL153" s="124">
        <f t="shared" si="293"/>
        <v>9.943932162550391E-2</v>
      </c>
      <c r="DM153" s="124">
        <f t="shared" si="293"/>
        <v>0.1122430821247442</v>
      </c>
      <c r="DN153" s="124">
        <f t="shared" si="293"/>
        <v>0.10281386835298559</v>
      </c>
      <c r="DO153" s="121">
        <f t="shared" si="293"/>
        <v>0.10380719871655611</v>
      </c>
      <c r="DP153" s="124">
        <f t="shared" ref="DP153:DT153" si="294">IF(ISERROR(DP144/DP62),"",(DP144/DP62))</f>
        <v>0.10316335490837186</v>
      </c>
      <c r="DQ153" s="124">
        <f t="shared" si="294"/>
        <v>0.10694269513651639</v>
      </c>
      <c r="DR153" s="124">
        <f t="shared" si="294"/>
        <v>0.11251533652636005</v>
      </c>
      <c r="DS153" s="124">
        <f t="shared" si="294"/>
        <v>0.11189267297848242</v>
      </c>
      <c r="DT153" s="121">
        <f t="shared" si="294"/>
        <v>0.10880974649565575</v>
      </c>
      <c r="DU153" s="121">
        <f t="shared" ref="DU153" si="295">IF(ISERROR(DU144/DU62),"",(DU144/DU62))</f>
        <v>0.11223748223587204</v>
      </c>
      <c r="DV153" s="121">
        <f t="shared" ref="DV153" si="296">IF(ISERROR(DV144/DV62),"",(DV144/DV62))</f>
        <v>0.11558522328393546</v>
      </c>
    </row>
    <row r="154" spans="1:126" s="92" customFormat="1" hidden="1" outlineLevel="1">
      <c r="B154" s="108"/>
      <c r="C154" s="75"/>
      <c r="D154" s="75"/>
      <c r="E154" s="75"/>
      <c r="F154" s="75"/>
      <c r="G154" s="75"/>
      <c r="H154" s="75"/>
      <c r="I154" s="75"/>
      <c r="J154" s="190"/>
      <c r="K154" s="190"/>
      <c r="L154" s="190"/>
      <c r="M154" s="190"/>
      <c r="N154" s="75"/>
      <c r="O154" s="190"/>
      <c r="P154" s="190"/>
      <c r="Q154" s="190"/>
      <c r="R154" s="190"/>
      <c r="S154" s="75"/>
      <c r="T154" s="190"/>
      <c r="U154" s="190"/>
      <c r="V154" s="190"/>
      <c r="W154" s="190"/>
      <c r="X154" s="75"/>
      <c r="Y154" s="190"/>
      <c r="Z154" s="190"/>
      <c r="AA154" s="190"/>
      <c r="AB154" s="190"/>
      <c r="AC154" s="75"/>
      <c r="AD154" s="190"/>
      <c r="AE154" s="190"/>
      <c r="AF154" s="190"/>
      <c r="AG154" s="190"/>
      <c r="AH154" s="75"/>
      <c r="AI154" s="190"/>
      <c r="AJ154" s="190"/>
      <c r="AK154" s="190"/>
      <c r="AL154" s="190"/>
      <c r="AM154" s="75"/>
      <c r="AN154" s="190"/>
      <c r="AO154" s="190"/>
      <c r="AP154" s="190"/>
      <c r="AQ154" s="190"/>
      <c r="AR154" s="75"/>
      <c r="AS154" s="190"/>
      <c r="AT154" s="190"/>
      <c r="AU154" s="190"/>
      <c r="AV154" s="190"/>
      <c r="AW154" s="75"/>
      <c r="AX154" s="190"/>
      <c r="AY154" s="190"/>
      <c r="AZ154" s="190"/>
      <c r="BA154" s="190"/>
      <c r="BB154" s="75"/>
      <c r="BC154" s="190"/>
      <c r="BD154" s="190"/>
      <c r="BE154" s="190"/>
      <c r="BF154" s="190"/>
      <c r="BG154" s="75"/>
      <c r="BH154" s="190"/>
      <c r="BI154" s="190"/>
      <c r="BJ154" s="190"/>
      <c r="BK154" s="190"/>
      <c r="BL154" s="75"/>
      <c r="BM154" s="190"/>
      <c r="BN154" s="190"/>
      <c r="BO154" s="190"/>
      <c r="BP154" s="190"/>
      <c r="BQ154" s="75"/>
      <c r="BR154" s="190"/>
      <c r="BS154" s="190"/>
      <c r="BT154" s="190"/>
      <c r="BU154" s="190"/>
      <c r="BV154" s="75"/>
      <c r="BW154" s="190"/>
      <c r="BX154" s="190"/>
      <c r="BY154" s="190"/>
      <c r="BZ154" s="190"/>
      <c r="CA154" s="75"/>
      <c r="CB154" s="190"/>
      <c r="CC154" s="190"/>
      <c r="CD154" s="190"/>
      <c r="CE154" s="190"/>
      <c r="CF154" s="75"/>
      <c r="CG154" s="190"/>
      <c r="CH154" s="190"/>
      <c r="CI154" s="190"/>
      <c r="CJ154" s="190"/>
      <c r="CK154" s="75"/>
      <c r="CL154" s="190"/>
      <c r="CM154" s="190"/>
      <c r="CN154" s="190"/>
      <c r="CO154" s="190"/>
      <c r="CP154" s="75"/>
      <c r="CQ154" s="190"/>
      <c r="CR154" s="190"/>
      <c r="CS154" s="190"/>
      <c r="CT154" s="190"/>
      <c r="CU154" s="75"/>
      <c r="CV154" s="190"/>
      <c r="CW154" s="190"/>
      <c r="CX154" s="190"/>
      <c r="CY154" s="190"/>
      <c r="CZ154" s="75"/>
      <c r="DA154" s="190"/>
      <c r="DB154" s="190"/>
      <c r="DC154" s="190"/>
      <c r="DD154" s="190"/>
      <c r="DE154" s="75"/>
      <c r="DF154" s="190"/>
      <c r="DG154" s="190"/>
      <c r="DH154" s="190"/>
      <c r="DI154" s="190"/>
      <c r="DJ154" s="75"/>
      <c r="DK154" s="190"/>
      <c r="DL154" s="190"/>
      <c r="DM154" s="190"/>
      <c r="DN154" s="190"/>
      <c r="DO154" s="75"/>
      <c r="DP154" s="190"/>
      <c r="DQ154" s="190"/>
      <c r="DR154" s="190"/>
      <c r="DS154" s="190"/>
      <c r="DT154" s="75"/>
      <c r="DU154" s="75"/>
      <c r="DV154" s="75"/>
    </row>
    <row r="155" spans="1:126" s="92" customFormat="1" hidden="1" outlineLevel="1">
      <c r="B155" s="382" t="s">
        <v>231</v>
      </c>
      <c r="C155" s="91"/>
      <c r="D155" s="91"/>
      <c r="E155" s="91"/>
      <c r="F155" s="91"/>
      <c r="G155" s="91"/>
      <c r="H155" s="91"/>
      <c r="I155" s="91"/>
      <c r="N155" s="91"/>
      <c r="S155" s="91"/>
      <c r="X155" s="91"/>
      <c r="AC155" s="91"/>
      <c r="AH155" s="91"/>
      <c r="AM155" s="91"/>
      <c r="AR155" s="91"/>
      <c r="AU155" s="3"/>
      <c r="AW155" s="91"/>
      <c r="BB155" s="91"/>
      <c r="BG155" s="91"/>
      <c r="BL155" s="91"/>
      <c r="BQ155" s="91"/>
      <c r="BV155" s="91"/>
      <c r="CA155" s="91"/>
      <c r="CF155" s="91"/>
      <c r="CK155" s="91"/>
      <c r="CP155" s="91"/>
      <c r="CU155" s="91"/>
      <c r="CZ155" s="91"/>
      <c r="DE155" s="91"/>
      <c r="DJ155" s="91"/>
      <c r="DO155" s="91"/>
      <c r="DT155" s="91"/>
      <c r="DU155" s="91"/>
      <c r="DV155" s="91"/>
    </row>
    <row r="156" spans="1:126" s="128" customFormat="1" hidden="1" outlineLevel="1">
      <c r="A156" s="92"/>
      <c r="B156" s="115" t="str">
        <f>+B132</f>
        <v>Pratt &amp; Whitney</v>
      </c>
      <c r="C156" s="112"/>
      <c r="D156" s="112"/>
      <c r="E156" s="112"/>
      <c r="F156" s="112"/>
      <c r="G156" s="112"/>
      <c r="H156" s="112"/>
      <c r="I156" s="112"/>
      <c r="J156" s="131"/>
      <c r="K156" s="131"/>
      <c r="L156" s="131"/>
      <c r="M156" s="131"/>
      <c r="N156" s="112"/>
      <c r="O156" s="131"/>
      <c r="P156" s="131"/>
      <c r="Q156" s="131"/>
      <c r="R156" s="131"/>
      <c r="S156" s="112"/>
      <c r="T156" s="113">
        <v>-12</v>
      </c>
      <c r="U156" s="113">
        <v>-11</v>
      </c>
      <c r="V156" s="113">
        <v>-13</v>
      </c>
      <c r="W156" s="113">
        <v>-32</v>
      </c>
      <c r="X156" s="112">
        <f t="shared" ref="X156:X157" si="297">SUM(T156:W156)</f>
        <v>-68</v>
      </c>
      <c r="Y156" s="113">
        <v>20</v>
      </c>
      <c r="Z156" s="113">
        <v>-7</v>
      </c>
      <c r="AA156" s="113">
        <v>-12</v>
      </c>
      <c r="AB156" s="113">
        <v>-14</v>
      </c>
      <c r="AC156" s="112">
        <f t="shared" ref="AC156:AC157" si="298">SUM(Y156:AB156)</f>
        <v>-13</v>
      </c>
      <c r="AD156" s="113">
        <v>-14</v>
      </c>
      <c r="AE156" s="113">
        <v>-17</v>
      </c>
      <c r="AF156" s="113">
        <v>-15</v>
      </c>
      <c r="AG156" s="113">
        <v>-33</v>
      </c>
      <c r="AH156" s="112">
        <f t="shared" ref="AH156:AH157" si="299">SUM(AD156:AG156)</f>
        <v>-79</v>
      </c>
      <c r="AI156" s="113">
        <v>-64</v>
      </c>
      <c r="AJ156" s="113">
        <v>-56</v>
      </c>
      <c r="AK156" s="113">
        <v>-57</v>
      </c>
      <c r="AL156" s="113">
        <v>-13</v>
      </c>
      <c r="AM156" s="112">
        <f t="shared" ref="AM156:AM157" si="300">SUM(AI156:AL156)</f>
        <v>-190</v>
      </c>
      <c r="AN156" s="113">
        <v>-26</v>
      </c>
      <c r="AO156" s="113">
        <v>-9</v>
      </c>
      <c r="AP156" s="113">
        <v>-13</v>
      </c>
      <c r="AQ156" s="113">
        <v>-90</v>
      </c>
      <c r="AR156" s="112">
        <f t="shared" ref="AR156:AR157" si="301">SUM(AN156:AQ156)</f>
        <v>-138</v>
      </c>
      <c r="AS156" s="113">
        <v>-4</v>
      </c>
      <c r="AT156" s="113">
        <v>-25</v>
      </c>
      <c r="AU156" s="113">
        <v>36</v>
      </c>
      <c r="AV156" s="113">
        <v>-18</v>
      </c>
      <c r="AW156" s="112">
        <f t="shared" ref="AW156:AW157" si="302">SUM(AS156:AV156)</f>
        <v>-11</v>
      </c>
      <c r="AX156" s="113">
        <v>-37</v>
      </c>
      <c r="AY156" s="113">
        <v>-17</v>
      </c>
      <c r="AZ156" s="113">
        <v>-3</v>
      </c>
      <c r="BA156" s="208">
        <v>-39</v>
      </c>
      <c r="BB156" s="112">
        <f>SUM(AX156:BA156)</f>
        <v>-96</v>
      </c>
      <c r="BC156" s="208">
        <v>-7</v>
      </c>
      <c r="BD156" s="208">
        <f>-93+193</f>
        <v>100</v>
      </c>
      <c r="BE156" s="208">
        <f>-22-25</f>
        <v>-47</v>
      </c>
      <c r="BF156" s="208">
        <v>-32</v>
      </c>
      <c r="BG156" s="112">
        <f>SUM(BC156:BF156)</f>
        <v>14</v>
      </c>
      <c r="BH156" s="208">
        <v>-42</v>
      </c>
      <c r="BI156" s="208">
        <f>-5-82</f>
        <v>-87</v>
      </c>
      <c r="BJ156" s="208">
        <f>-8+83</f>
        <v>75</v>
      </c>
      <c r="BK156" s="208">
        <v>-9</v>
      </c>
      <c r="BL156" s="112">
        <f t="shared" ref="BL156:BL157" si="303">SUM(BH156:BK156)</f>
        <v>-63</v>
      </c>
      <c r="BM156" s="208">
        <v>-13</v>
      </c>
      <c r="BN156" s="208">
        <v>-2</v>
      </c>
      <c r="BO156" s="208">
        <v>-22</v>
      </c>
      <c r="BP156" s="208">
        <f>-68-947</f>
        <v>-1015</v>
      </c>
      <c r="BQ156" s="112">
        <f t="shared" ref="BQ156:BQ157" si="304">SUM(BM156:BP156)</f>
        <v>-1052</v>
      </c>
      <c r="BR156" s="208">
        <v>-5</v>
      </c>
      <c r="BS156" s="210">
        <v>-66</v>
      </c>
      <c r="BT156" s="210">
        <f>21-95</f>
        <v>-74</v>
      </c>
      <c r="BU156" s="208">
        <v>-61</v>
      </c>
      <c r="BV156" s="112">
        <f t="shared" ref="BV156:BV157" si="305">SUM(BR156:BU156)</f>
        <v>-206</v>
      </c>
      <c r="BW156" s="208">
        <v>0</v>
      </c>
      <c r="BX156" s="208">
        <v>-6</v>
      </c>
      <c r="BY156" s="208">
        <f>2-196</f>
        <v>-194</v>
      </c>
      <c r="BZ156" s="208">
        <v>-1</v>
      </c>
      <c r="CA156" s="112">
        <f t="shared" ref="CA156:CA157" si="306">SUM(BW156:BZ156)</f>
        <v>-201</v>
      </c>
      <c r="CB156" s="208">
        <v>0</v>
      </c>
      <c r="CC156" s="208">
        <v>-3</v>
      </c>
      <c r="CD156" s="208">
        <f>0-300</f>
        <v>-300</v>
      </c>
      <c r="CE156" s="208">
        <f>10</f>
        <v>10</v>
      </c>
      <c r="CF156" s="112">
        <f t="shared" ref="CF156:CF157" si="307">SUM(CB156:CE156)</f>
        <v>-293</v>
      </c>
      <c r="CG156" s="208">
        <v>-14</v>
      </c>
      <c r="CH156" s="208">
        <v>-3</v>
      </c>
      <c r="CI156" s="208">
        <v>0</v>
      </c>
      <c r="CJ156" s="208">
        <v>-116</v>
      </c>
      <c r="CK156" s="112">
        <f t="shared" ref="CK156:CK159" si="308">SUM(CG156:CJ156)</f>
        <v>-133</v>
      </c>
      <c r="CL156" s="437">
        <f t="shared" ref="CL156:CM159" si="309">CL132-CL168</f>
        <v>-40</v>
      </c>
      <c r="CM156" s="437">
        <f t="shared" si="309"/>
        <v>-306</v>
      </c>
      <c r="CN156" s="437">
        <f t="shared" ref="CN156:CO156" si="310">CN132-CN168</f>
        <v>-572</v>
      </c>
      <c r="CO156" s="437">
        <f t="shared" si="310"/>
        <v>-72</v>
      </c>
      <c r="CP156" s="112">
        <f t="shared" ref="CP156:CP159" si="311">SUM(CL156:CO156)</f>
        <v>-990</v>
      </c>
      <c r="CQ156" s="437">
        <f>CQ132-CQ168</f>
        <v>-20</v>
      </c>
      <c r="CR156" s="437">
        <f>CR132-CR168</f>
        <v>16</v>
      </c>
      <c r="CS156" s="437">
        <f>CS132-CS168</f>
        <v>-2</v>
      </c>
      <c r="CT156" s="437">
        <f>CT132-CT168</f>
        <v>-27</v>
      </c>
      <c r="CU156" s="112">
        <f t="shared" ref="CU156:CU159" si="312">SUM(CQ156:CT156)</f>
        <v>-33</v>
      </c>
      <c r="CV156" s="437">
        <f>CV132-CV168</f>
        <v>-157</v>
      </c>
      <c r="CW156" s="437">
        <f>CW132-CW168</f>
        <v>-1</v>
      </c>
      <c r="CX156" s="437">
        <f t="shared" ref="CX156:CY156" si="313">CX132-CX168</f>
        <v>-2</v>
      </c>
      <c r="CY156" s="437">
        <f t="shared" si="313"/>
        <v>-15</v>
      </c>
      <c r="CZ156" s="112">
        <f t="shared" ref="CZ156:CZ159" si="314">SUM(CV156:CY156)</f>
        <v>-175</v>
      </c>
      <c r="DA156" s="437">
        <f>DA132-DA168</f>
        <v>-19</v>
      </c>
      <c r="DB156" s="437">
        <f>DB132-DB168</f>
        <v>-206</v>
      </c>
      <c r="DC156" s="437">
        <f t="shared" ref="DC156:DD156" si="315">DC132-DC168</f>
        <v>-2895</v>
      </c>
      <c r="DD156" s="437">
        <f t="shared" si="315"/>
        <v>-23</v>
      </c>
      <c r="DE156" s="112">
        <f t="shared" ref="DE156:DE160" si="316">SUM(DA156:DD156)</f>
        <v>-3143</v>
      </c>
      <c r="DF156" s="437">
        <f t="shared" ref="DF156:DG156" si="317">DF132-DF168</f>
        <v>-18</v>
      </c>
      <c r="DG156" s="437">
        <f t="shared" si="317"/>
        <v>5</v>
      </c>
      <c r="DH156" s="437">
        <f t="shared" ref="DH156:DI156" si="318">DH132-DH168</f>
        <v>-40</v>
      </c>
      <c r="DI156" s="437">
        <f t="shared" si="318"/>
        <v>-213</v>
      </c>
      <c r="DJ156" s="112">
        <f t="shared" ref="DJ156:DJ160" si="319">SUM(DF156:DI156)</f>
        <v>-266</v>
      </c>
      <c r="DK156" s="437">
        <f t="shared" ref="DK156:DL156" si="320">DK132-DK168</f>
        <v>-10</v>
      </c>
      <c r="DL156" s="437">
        <f t="shared" si="320"/>
        <v>-116</v>
      </c>
      <c r="DM156" s="437">
        <v>0</v>
      </c>
      <c r="DN156" s="437">
        <v>0</v>
      </c>
      <c r="DO156" s="112">
        <f t="shared" ref="DO156:DO160" si="321">SUM(DK156:DN156)</f>
        <v>-126</v>
      </c>
      <c r="DP156" s="437">
        <v>0</v>
      </c>
      <c r="DQ156" s="437">
        <v>0</v>
      </c>
      <c r="DR156" s="437">
        <v>0</v>
      </c>
      <c r="DS156" s="437">
        <v>0</v>
      </c>
      <c r="DT156" s="112">
        <f t="shared" ref="DT156:DT160" si="322">SUM(DP156:DS156)</f>
        <v>0</v>
      </c>
      <c r="DU156" s="109"/>
      <c r="DV156" s="109"/>
    </row>
    <row r="157" spans="1:126" s="92" customFormat="1" hidden="1" outlineLevel="1">
      <c r="B157" s="115" t="str">
        <f>+B133</f>
        <v>Collins Aerospace</v>
      </c>
      <c r="C157" s="112"/>
      <c r="D157" s="112"/>
      <c r="E157" s="112"/>
      <c r="F157" s="112"/>
      <c r="G157" s="112"/>
      <c r="H157" s="112"/>
      <c r="I157" s="112"/>
      <c r="J157" s="131"/>
      <c r="K157" s="131"/>
      <c r="L157" s="131"/>
      <c r="M157" s="131"/>
      <c r="N157" s="112"/>
      <c r="O157" s="131"/>
      <c r="P157" s="131"/>
      <c r="Q157" s="131"/>
      <c r="R157" s="131"/>
      <c r="S157" s="112"/>
      <c r="T157" s="113">
        <v>-8</v>
      </c>
      <c r="U157" s="113">
        <v>-9</v>
      </c>
      <c r="V157" s="113">
        <v>-12</v>
      </c>
      <c r="W157" s="113">
        <v>-11</v>
      </c>
      <c r="X157" s="112">
        <f t="shared" si="297"/>
        <v>-40</v>
      </c>
      <c r="Y157" s="113">
        <v>-6</v>
      </c>
      <c r="Z157" s="113">
        <v>-6</v>
      </c>
      <c r="AA157" s="113">
        <v>-8</v>
      </c>
      <c r="AB157" s="113">
        <v>-3</v>
      </c>
      <c r="AC157" s="112">
        <f t="shared" si="298"/>
        <v>-23</v>
      </c>
      <c r="AD157" s="113">
        <v>-1</v>
      </c>
      <c r="AE157" s="113">
        <v>0</v>
      </c>
      <c r="AF157" s="113">
        <v>-2</v>
      </c>
      <c r="AG157" s="113">
        <v>12</v>
      </c>
      <c r="AH157" s="112">
        <f t="shared" si="299"/>
        <v>9</v>
      </c>
      <c r="AI157" s="113">
        <v>-19</v>
      </c>
      <c r="AJ157" s="113">
        <v>-37</v>
      </c>
      <c r="AK157" s="113">
        <v>-13</v>
      </c>
      <c r="AL157" s="113">
        <v>-19</v>
      </c>
      <c r="AM157" s="112">
        <f t="shared" si="300"/>
        <v>-88</v>
      </c>
      <c r="AN157" s="113">
        <v>-2</v>
      </c>
      <c r="AO157" s="113">
        <v>-35</v>
      </c>
      <c r="AP157" s="113">
        <v>-2</v>
      </c>
      <c r="AQ157" s="113">
        <v>-26</v>
      </c>
      <c r="AR157" s="112">
        <f t="shared" si="301"/>
        <v>-65</v>
      </c>
      <c r="AS157" s="113">
        <v>-2</v>
      </c>
      <c r="AT157" s="113">
        <v>-2</v>
      </c>
      <c r="AU157" s="113">
        <v>-1</v>
      </c>
      <c r="AV157" s="198">
        <v>-6</v>
      </c>
      <c r="AW157" s="112">
        <f t="shared" si="302"/>
        <v>-11</v>
      </c>
      <c r="AX157" s="113">
        <v>-2</v>
      </c>
      <c r="AY157" s="113">
        <v>-3</v>
      </c>
      <c r="AZ157" s="113">
        <v>-35</v>
      </c>
      <c r="BA157" s="208">
        <v>-75</v>
      </c>
      <c r="BB157" s="112">
        <f>SUM(AX157:BA157)</f>
        <v>-115</v>
      </c>
      <c r="BC157" s="208">
        <v>-8</v>
      </c>
      <c r="BD157" s="208">
        <v>-33</v>
      </c>
      <c r="BE157" s="208">
        <v>-24</v>
      </c>
      <c r="BF157" s="208">
        <v>-27</v>
      </c>
      <c r="BG157" s="112">
        <f>SUM(BC157:BF157)</f>
        <v>-92</v>
      </c>
      <c r="BH157" s="208">
        <v>-6</v>
      </c>
      <c r="BI157" s="208">
        <v>-4</v>
      </c>
      <c r="BJ157" s="208">
        <v>-26</v>
      </c>
      <c r="BK157" s="208">
        <v>-46</v>
      </c>
      <c r="BL157" s="112">
        <f t="shared" si="303"/>
        <v>-82</v>
      </c>
      <c r="BM157" s="208">
        <v>-50</v>
      </c>
      <c r="BN157" s="208">
        <v>0</v>
      </c>
      <c r="BO157" s="208">
        <v>-14</v>
      </c>
      <c r="BP157" s="208">
        <f>-47-356</f>
        <v>-403</v>
      </c>
      <c r="BQ157" s="112">
        <f t="shared" si="304"/>
        <v>-467</v>
      </c>
      <c r="BR157" s="208">
        <v>-13</v>
      </c>
      <c r="BS157" s="210">
        <v>-8</v>
      </c>
      <c r="BT157" s="210">
        <v>-11</v>
      </c>
      <c r="BU157" s="208">
        <v>-17</v>
      </c>
      <c r="BV157" s="112">
        <f t="shared" si="305"/>
        <v>-49</v>
      </c>
      <c r="BW157" s="208">
        <v>-23</v>
      </c>
      <c r="BX157" s="208">
        <v>-24</v>
      </c>
      <c r="BY157" s="208">
        <v>-17</v>
      </c>
      <c r="BZ157" s="208">
        <v>-16</v>
      </c>
      <c r="CA157" s="112">
        <f t="shared" si="306"/>
        <v>-80</v>
      </c>
      <c r="CB157" s="208">
        <v>-27</v>
      </c>
      <c r="CC157" s="208">
        <f>-33-48</f>
        <v>-81</v>
      </c>
      <c r="CD157" s="208">
        <f>-17</f>
        <v>-17</v>
      </c>
      <c r="CE157" s="208">
        <f>-83-102</f>
        <v>-185</v>
      </c>
      <c r="CF157" s="112">
        <f t="shared" si="307"/>
        <v>-310</v>
      </c>
      <c r="CG157" s="208">
        <f>-39-25-181</f>
        <v>-245</v>
      </c>
      <c r="CH157" s="208">
        <v>-17</v>
      </c>
      <c r="CI157" s="208">
        <f>-27</f>
        <v>-27</v>
      </c>
      <c r="CJ157" s="208">
        <f>-19-33</f>
        <v>-52</v>
      </c>
      <c r="CK157" s="112">
        <f t="shared" si="308"/>
        <v>-341</v>
      </c>
      <c r="CL157" s="437">
        <f t="shared" si="309"/>
        <v>-46.888888888888687</v>
      </c>
      <c r="CM157" s="437">
        <f t="shared" si="309"/>
        <v>-357.01809954751127</v>
      </c>
      <c r="CN157" s="437">
        <f t="shared" ref="CN157:CO157" si="323">CN133-CN169</f>
        <v>422.17715019255456</v>
      </c>
      <c r="CO157" s="437">
        <f t="shared" si="323"/>
        <v>-22.270161756154721</v>
      </c>
      <c r="CP157" s="112">
        <f t="shared" si="311"/>
        <v>-4.0000000000001137</v>
      </c>
      <c r="CQ157" s="437">
        <f t="shared" ref="CQ157:CR157" si="324">CQ133-CQ169</f>
        <v>-126.56292386084522</v>
      </c>
      <c r="CR157" s="437">
        <f t="shared" si="324"/>
        <v>39.145872738862863</v>
      </c>
      <c r="CS157" s="437">
        <f t="shared" ref="CS157:CT157" si="325">CS133-CS169</f>
        <v>-20.425621170032059</v>
      </c>
      <c r="CT157" s="437">
        <f t="shared" si="325"/>
        <v>67.84267229201464</v>
      </c>
      <c r="CU157" s="112">
        <f t="shared" si="312"/>
        <v>-39.999999999999773</v>
      </c>
      <c r="CV157" s="437">
        <f t="shared" ref="CV157:CW157" si="326">CV133-CV169</f>
        <v>-144</v>
      </c>
      <c r="CW157" s="437">
        <f t="shared" si="326"/>
        <v>-71</v>
      </c>
      <c r="CX157" s="437">
        <f t="shared" ref="CX157:CY157" si="327">CX133-CX169</f>
        <v>-14</v>
      </c>
      <c r="CY157" s="437">
        <f t="shared" si="327"/>
        <v>-2</v>
      </c>
      <c r="CZ157" s="112">
        <f t="shared" si="314"/>
        <v>-231</v>
      </c>
      <c r="DA157" s="437">
        <f t="shared" ref="DA157:DC157" si="328">DA133-DA169</f>
        <v>-6</v>
      </c>
      <c r="DB157" s="437">
        <f t="shared" si="328"/>
        <v>-16</v>
      </c>
      <c r="DC157" s="437">
        <f t="shared" si="328"/>
        <v>-140</v>
      </c>
      <c r="DD157" s="437">
        <f t="shared" ref="DD157" si="329">DD133-DD169</f>
        <v>91</v>
      </c>
      <c r="DE157" s="112">
        <f t="shared" si="316"/>
        <v>-71</v>
      </c>
      <c r="DF157" s="437">
        <f t="shared" ref="DF157:DG157" si="330">DF133-DF169</f>
        <v>-199</v>
      </c>
      <c r="DG157" s="437">
        <f t="shared" si="330"/>
        <v>-27</v>
      </c>
      <c r="DH157" s="437">
        <f t="shared" ref="DH157" si="331">DH133-DH169</f>
        <v>-34</v>
      </c>
      <c r="DI157" s="437">
        <f t="shared" ref="DI157" si="332">DI133-DI169</f>
        <v>-101</v>
      </c>
      <c r="DJ157" s="112">
        <f t="shared" si="319"/>
        <v>-361</v>
      </c>
      <c r="DK157" s="437">
        <f t="shared" ref="DK157:DL157" si="333">DK133-DK169</f>
        <v>-139</v>
      </c>
      <c r="DL157" s="437">
        <f t="shared" si="333"/>
        <v>-76</v>
      </c>
      <c r="DM157" s="437">
        <v>0</v>
      </c>
      <c r="DN157" s="437">
        <v>0</v>
      </c>
      <c r="DO157" s="112">
        <f t="shared" si="321"/>
        <v>-215</v>
      </c>
      <c r="DP157" s="437">
        <v>0</v>
      </c>
      <c r="DQ157" s="437">
        <v>0</v>
      </c>
      <c r="DR157" s="437">
        <v>0</v>
      </c>
      <c r="DS157" s="437">
        <v>0</v>
      </c>
      <c r="DT157" s="112">
        <f t="shared" si="322"/>
        <v>0</v>
      </c>
      <c r="DU157" s="109"/>
      <c r="DV157" s="109"/>
    </row>
    <row r="158" spans="1:126" s="92" customFormat="1" hidden="1" outlineLevel="2">
      <c r="B158" s="180" t="s">
        <v>570</v>
      </c>
      <c r="C158" s="112"/>
      <c r="D158" s="112"/>
      <c r="E158" s="112"/>
      <c r="F158" s="112"/>
      <c r="G158" s="112"/>
      <c r="H158" s="112"/>
      <c r="I158" s="112"/>
      <c r="J158" s="131"/>
      <c r="K158" s="131"/>
      <c r="L158" s="131"/>
      <c r="M158" s="131"/>
      <c r="N158" s="112"/>
      <c r="O158" s="131"/>
      <c r="P158" s="131"/>
      <c r="Q158" s="131"/>
      <c r="R158" s="131"/>
      <c r="S158" s="112"/>
      <c r="T158" s="113"/>
      <c r="U158" s="113"/>
      <c r="V158" s="113"/>
      <c r="W158" s="113"/>
      <c r="X158" s="112"/>
      <c r="Y158" s="113"/>
      <c r="Z158" s="113"/>
      <c r="AA158" s="113"/>
      <c r="AB158" s="113"/>
      <c r="AC158" s="112"/>
      <c r="AD158" s="113"/>
      <c r="AE158" s="113"/>
      <c r="AF158" s="113"/>
      <c r="AG158" s="113"/>
      <c r="AH158" s="112"/>
      <c r="AI158" s="113"/>
      <c r="AJ158" s="113"/>
      <c r="AK158" s="113"/>
      <c r="AL158" s="113"/>
      <c r="AM158" s="112"/>
      <c r="AN158" s="113"/>
      <c r="AO158" s="113"/>
      <c r="AP158" s="113"/>
      <c r="AQ158" s="113"/>
      <c r="AR158" s="112"/>
      <c r="AS158" s="113"/>
      <c r="AT158" s="113"/>
      <c r="AU158" s="113"/>
      <c r="AV158" s="198"/>
      <c r="AW158" s="112"/>
      <c r="AX158" s="113"/>
      <c r="AY158" s="113"/>
      <c r="AZ158" s="113"/>
      <c r="BA158" s="208"/>
      <c r="BB158" s="112"/>
      <c r="BC158" s="208"/>
      <c r="BD158" s="208"/>
      <c r="BE158" s="208"/>
      <c r="BF158" s="208"/>
      <c r="BG158" s="112"/>
      <c r="BH158" s="208"/>
      <c r="BI158" s="208"/>
      <c r="BJ158" s="208"/>
      <c r="BK158" s="208"/>
      <c r="BL158" s="112"/>
      <c r="BM158" s="208"/>
      <c r="BN158" s="208"/>
      <c r="BO158" s="208"/>
      <c r="BP158" s="208"/>
      <c r="BQ158" s="112"/>
      <c r="BR158" s="208"/>
      <c r="BS158" s="210"/>
      <c r="BT158" s="210"/>
      <c r="BU158" s="208"/>
      <c r="BV158" s="112"/>
      <c r="BW158" s="208"/>
      <c r="BX158" s="208"/>
      <c r="BY158" s="208"/>
      <c r="BZ158" s="208"/>
      <c r="CA158" s="112"/>
      <c r="CB158" s="208"/>
      <c r="CC158" s="208"/>
      <c r="CD158" s="208"/>
      <c r="CE158" s="208"/>
      <c r="CF158" s="112"/>
      <c r="CG158" s="208">
        <v>20</v>
      </c>
      <c r="CH158" s="208">
        <v>-11.5</v>
      </c>
      <c r="CI158" s="208">
        <f>14-8</f>
        <v>6</v>
      </c>
      <c r="CJ158" s="208">
        <v>-6</v>
      </c>
      <c r="CK158" s="112">
        <f t="shared" si="308"/>
        <v>8.5</v>
      </c>
      <c r="CL158" s="437">
        <f t="shared" si="309"/>
        <v>0</v>
      </c>
      <c r="CM158" s="437">
        <f t="shared" si="309"/>
        <v>0</v>
      </c>
      <c r="CN158" s="437">
        <f t="shared" ref="CN158:CO158" si="334">CN134-CN170</f>
        <v>0</v>
      </c>
      <c r="CO158" s="437">
        <f t="shared" si="334"/>
        <v>0</v>
      </c>
      <c r="CP158" s="112">
        <f t="shared" si="311"/>
        <v>0</v>
      </c>
      <c r="CQ158" s="437">
        <f t="shared" ref="CQ158:CR158" si="335">CQ134-CQ170</f>
        <v>0</v>
      </c>
      <c r="CR158" s="437">
        <f t="shared" si="335"/>
        <v>0</v>
      </c>
      <c r="CS158" s="437">
        <f t="shared" ref="CS158:CT158" si="336">CS134-CS170</f>
        <v>0</v>
      </c>
      <c r="CT158" s="437">
        <f t="shared" si="336"/>
        <v>239</v>
      </c>
      <c r="CU158" s="112">
        <f t="shared" si="312"/>
        <v>239</v>
      </c>
      <c r="CV158" s="437">
        <f t="shared" ref="CV158:CW158" si="337">CV134-CV170</f>
        <v>0</v>
      </c>
      <c r="CW158" s="437">
        <f t="shared" si="337"/>
        <v>0</v>
      </c>
      <c r="CX158" s="437"/>
      <c r="CY158" s="437"/>
      <c r="CZ158" s="112">
        <f t="shared" si="314"/>
        <v>0</v>
      </c>
      <c r="DA158" s="437"/>
      <c r="DB158" s="437"/>
      <c r="DC158" s="437"/>
      <c r="DD158" s="437"/>
      <c r="DE158" s="112">
        <f t="shared" si="316"/>
        <v>0</v>
      </c>
      <c r="DF158" s="437"/>
      <c r="DG158" s="437"/>
      <c r="DH158" s="437"/>
      <c r="DI158" s="437"/>
      <c r="DJ158" s="112">
        <f t="shared" si="319"/>
        <v>0</v>
      </c>
      <c r="DK158" s="437"/>
      <c r="DL158" s="437"/>
      <c r="DM158" s="437"/>
      <c r="DN158" s="437"/>
      <c r="DO158" s="112">
        <f t="shared" si="321"/>
        <v>0</v>
      </c>
      <c r="DP158" s="437"/>
      <c r="DQ158" s="437"/>
      <c r="DR158" s="437"/>
      <c r="DS158" s="437"/>
      <c r="DT158" s="112">
        <f t="shared" si="322"/>
        <v>0</v>
      </c>
      <c r="DU158" s="109"/>
      <c r="DV158" s="109"/>
    </row>
    <row r="159" spans="1:126" s="92" customFormat="1" hidden="1" outlineLevel="2">
      <c r="B159" s="180" t="s">
        <v>569</v>
      </c>
      <c r="C159" s="112"/>
      <c r="D159" s="112"/>
      <c r="E159" s="112"/>
      <c r="F159" s="112"/>
      <c r="G159" s="112"/>
      <c r="H159" s="112"/>
      <c r="I159" s="112"/>
      <c r="J159" s="131"/>
      <c r="K159" s="131"/>
      <c r="L159" s="131"/>
      <c r="M159" s="131"/>
      <c r="N159" s="112"/>
      <c r="O159" s="131"/>
      <c r="P159" s="131"/>
      <c r="Q159" s="131"/>
      <c r="R159" s="131"/>
      <c r="S159" s="112"/>
      <c r="T159" s="113"/>
      <c r="U159" s="113"/>
      <c r="V159" s="113"/>
      <c r="W159" s="113"/>
      <c r="X159" s="112"/>
      <c r="Y159" s="113"/>
      <c r="Z159" s="113"/>
      <c r="AA159" s="113"/>
      <c r="AB159" s="113"/>
      <c r="AC159" s="112"/>
      <c r="AD159" s="113"/>
      <c r="AE159" s="113"/>
      <c r="AF159" s="113"/>
      <c r="AG159" s="113"/>
      <c r="AH159" s="112"/>
      <c r="AI159" s="113"/>
      <c r="AJ159" s="113"/>
      <c r="AK159" s="113"/>
      <c r="AL159" s="113"/>
      <c r="AM159" s="112"/>
      <c r="AN159" s="113"/>
      <c r="AO159" s="113"/>
      <c r="AP159" s="113"/>
      <c r="AQ159" s="113"/>
      <c r="AR159" s="112"/>
      <c r="AS159" s="113"/>
      <c r="AT159" s="113"/>
      <c r="AU159" s="113"/>
      <c r="AV159" s="198"/>
      <c r="AW159" s="112"/>
      <c r="AX159" s="113"/>
      <c r="AY159" s="113"/>
      <c r="AZ159" s="113"/>
      <c r="BA159" s="208"/>
      <c r="BB159" s="112"/>
      <c r="BC159" s="208"/>
      <c r="BD159" s="208"/>
      <c r="BE159" s="208"/>
      <c r="BF159" s="208"/>
      <c r="BG159" s="112"/>
      <c r="BH159" s="208"/>
      <c r="BI159" s="208"/>
      <c r="BJ159" s="208"/>
      <c r="BK159" s="208"/>
      <c r="BL159" s="112"/>
      <c r="BM159" s="208"/>
      <c r="BN159" s="208"/>
      <c r="BO159" s="208"/>
      <c r="BP159" s="208"/>
      <c r="BQ159" s="112"/>
      <c r="BR159" s="208"/>
      <c r="BS159" s="210"/>
      <c r="BT159" s="210"/>
      <c r="BU159" s="208"/>
      <c r="BV159" s="112"/>
      <c r="BW159" s="208"/>
      <c r="BX159" s="208"/>
      <c r="BY159" s="208"/>
      <c r="BZ159" s="208"/>
      <c r="CA159" s="112"/>
      <c r="CB159" s="208"/>
      <c r="CC159" s="208"/>
      <c r="CD159" s="208"/>
      <c r="CE159" s="208"/>
      <c r="CF159" s="112"/>
      <c r="CG159" s="208"/>
      <c r="CH159" s="208">
        <v>-11.5</v>
      </c>
      <c r="CI159" s="208">
        <v>-8</v>
      </c>
      <c r="CJ159" s="208">
        <v>-6</v>
      </c>
      <c r="CK159" s="112">
        <f t="shared" si="308"/>
        <v>-25.5</v>
      </c>
      <c r="CL159" s="437">
        <f t="shared" si="309"/>
        <v>14</v>
      </c>
      <c r="CM159" s="437">
        <f t="shared" si="309"/>
        <v>12</v>
      </c>
      <c r="CN159" s="437">
        <f t="shared" ref="CN159:CO159" si="338">CN135-CN171</f>
        <v>18</v>
      </c>
      <c r="CO159" s="437">
        <f t="shared" si="338"/>
        <v>-546</v>
      </c>
      <c r="CP159" s="112">
        <f t="shared" si="311"/>
        <v>-502</v>
      </c>
      <c r="CQ159" s="437">
        <f t="shared" ref="CQ159:CR159" si="339">CQ135-CQ171</f>
        <v>0</v>
      </c>
      <c r="CR159" s="437">
        <f t="shared" si="339"/>
        <v>0</v>
      </c>
      <c r="CS159" s="437">
        <f t="shared" ref="CS159:CT159" si="340">CS135-CS171</f>
        <v>0</v>
      </c>
      <c r="CT159" s="437">
        <f t="shared" si="340"/>
        <v>0</v>
      </c>
      <c r="CU159" s="112">
        <f t="shared" si="312"/>
        <v>0</v>
      </c>
      <c r="CV159" s="437">
        <f t="shared" ref="CV159:DB160" si="341">CV135-CV171</f>
        <v>0</v>
      </c>
      <c r="CW159" s="437">
        <f t="shared" si="341"/>
        <v>0</v>
      </c>
      <c r="CX159" s="437"/>
      <c r="CY159" s="437"/>
      <c r="CZ159" s="112">
        <f t="shared" si="314"/>
        <v>0</v>
      </c>
      <c r="DA159" s="437"/>
      <c r="DB159" s="437"/>
      <c r="DC159" s="437"/>
      <c r="DD159" s="437"/>
      <c r="DE159" s="112">
        <f t="shared" si="316"/>
        <v>0</v>
      </c>
      <c r="DF159" s="437"/>
      <c r="DG159" s="437"/>
      <c r="DH159" s="437"/>
      <c r="DI159" s="437"/>
      <c r="DJ159" s="112">
        <f t="shared" si="319"/>
        <v>0</v>
      </c>
      <c r="DK159" s="437"/>
      <c r="DL159" s="437"/>
      <c r="DM159" s="437"/>
      <c r="DN159" s="437"/>
      <c r="DO159" s="112">
        <f t="shared" si="321"/>
        <v>0</v>
      </c>
      <c r="DP159" s="437"/>
      <c r="DQ159" s="437"/>
      <c r="DR159" s="437"/>
      <c r="DS159" s="437"/>
      <c r="DT159" s="112">
        <f t="shared" si="322"/>
        <v>0</v>
      </c>
      <c r="DU159" s="109"/>
      <c r="DV159" s="109"/>
    </row>
    <row r="160" spans="1:126" s="92" customFormat="1" hidden="1" outlineLevel="1">
      <c r="B160" s="41" t="s">
        <v>629</v>
      </c>
      <c r="C160" s="112"/>
      <c r="D160" s="112"/>
      <c r="E160" s="112"/>
      <c r="F160" s="112"/>
      <c r="G160" s="112"/>
      <c r="H160" s="112"/>
      <c r="I160" s="112"/>
      <c r="J160" s="131"/>
      <c r="K160" s="131"/>
      <c r="L160" s="131"/>
      <c r="M160" s="131"/>
      <c r="N160" s="112"/>
      <c r="O160" s="131"/>
      <c r="P160" s="131"/>
      <c r="Q160" s="131"/>
      <c r="R160" s="131"/>
      <c r="S160" s="112"/>
      <c r="T160" s="113"/>
      <c r="U160" s="113"/>
      <c r="V160" s="113"/>
      <c r="W160" s="113"/>
      <c r="X160" s="112"/>
      <c r="Y160" s="113"/>
      <c r="Z160" s="113"/>
      <c r="AA160" s="113"/>
      <c r="AB160" s="113"/>
      <c r="AC160" s="112"/>
      <c r="AD160" s="113"/>
      <c r="AE160" s="113"/>
      <c r="AF160" s="113"/>
      <c r="AG160" s="113"/>
      <c r="AH160" s="112"/>
      <c r="AI160" s="113"/>
      <c r="AJ160" s="113"/>
      <c r="AK160" s="113"/>
      <c r="AL160" s="113"/>
      <c r="AM160" s="112"/>
      <c r="AN160" s="113"/>
      <c r="AO160" s="113"/>
      <c r="AP160" s="113"/>
      <c r="AQ160" s="113"/>
      <c r="AR160" s="112"/>
      <c r="AS160" s="113"/>
      <c r="AT160" s="113"/>
      <c r="AU160" s="113"/>
      <c r="AV160" s="198"/>
      <c r="AW160" s="112"/>
      <c r="AX160" s="113"/>
      <c r="AY160" s="113"/>
      <c r="AZ160" s="113"/>
      <c r="BA160" s="208"/>
      <c r="BB160" s="112"/>
      <c r="BC160" s="208"/>
      <c r="BD160" s="208"/>
      <c r="BE160" s="208"/>
      <c r="BF160" s="208"/>
      <c r="BG160" s="112"/>
      <c r="BH160" s="208"/>
      <c r="BI160" s="208"/>
      <c r="BJ160" s="208"/>
      <c r="BK160" s="208"/>
      <c r="BL160" s="112"/>
      <c r="BM160" s="208"/>
      <c r="BN160" s="208"/>
      <c r="BO160" s="208"/>
      <c r="BP160" s="208"/>
      <c r="BQ160" s="112"/>
      <c r="BR160" s="208"/>
      <c r="BS160" s="210"/>
      <c r="BT160" s="210"/>
      <c r="BU160" s="208"/>
      <c r="BV160" s="112"/>
      <c r="BW160" s="208"/>
      <c r="BX160" s="208"/>
      <c r="BY160" s="208"/>
      <c r="BZ160" s="208"/>
      <c r="CA160" s="112"/>
      <c r="CB160" s="208"/>
      <c r="CC160" s="208"/>
      <c r="CD160" s="208"/>
      <c r="CE160" s="208"/>
      <c r="CF160" s="112"/>
      <c r="CG160" s="208"/>
      <c r="CH160" s="208"/>
      <c r="CI160" s="208"/>
      <c r="CJ160" s="208"/>
      <c r="CK160" s="112"/>
      <c r="CL160" s="437"/>
      <c r="CM160" s="437"/>
      <c r="CN160" s="437"/>
      <c r="CO160" s="437"/>
      <c r="CP160" s="112"/>
      <c r="CQ160" s="437"/>
      <c r="CR160" s="437"/>
      <c r="CS160" s="437"/>
      <c r="CT160" s="437"/>
      <c r="CU160" s="112"/>
      <c r="CV160" s="437">
        <f t="shared" si="341"/>
        <v>0</v>
      </c>
      <c r="CW160" s="437">
        <f t="shared" si="341"/>
        <v>0</v>
      </c>
      <c r="CX160" s="437">
        <f t="shared" si="341"/>
        <v>-8</v>
      </c>
      <c r="CY160" s="437">
        <f t="shared" si="341"/>
        <v>-42</v>
      </c>
      <c r="CZ160" s="112"/>
      <c r="DA160" s="437">
        <f t="shared" si="341"/>
        <v>-13</v>
      </c>
      <c r="DB160" s="437">
        <f t="shared" si="341"/>
        <v>-18</v>
      </c>
      <c r="DC160" s="437">
        <f t="shared" ref="DC160:DD160" si="342">DC136-DC172</f>
        <v>-10</v>
      </c>
      <c r="DD160" s="437">
        <f t="shared" si="342"/>
        <v>-14</v>
      </c>
      <c r="DE160" s="112">
        <f t="shared" si="316"/>
        <v>-55</v>
      </c>
      <c r="DF160" s="437">
        <f t="shared" ref="DF160:DG160" si="343">DF136-DF172</f>
        <v>366</v>
      </c>
      <c r="DG160" s="437">
        <f t="shared" si="343"/>
        <v>-582</v>
      </c>
      <c r="DH160" s="437">
        <f t="shared" ref="DH160" si="344">DH136-DH172</f>
        <v>-14</v>
      </c>
      <c r="DI160" s="437">
        <f t="shared" ref="DI160" si="345">DI136-DI172</f>
        <v>96</v>
      </c>
      <c r="DJ160" s="112">
        <f t="shared" si="319"/>
        <v>-134</v>
      </c>
      <c r="DK160" s="437">
        <f t="shared" ref="DK160:DL160" si="346">DK136-DK172</f>
        <v>0</v>
      </c>
      <c r="DL160" s="437">
        <f t="shared" si="346"/>
        <v>-4</v>
      </c>
      <c r="DM160" s="437">
        <v>0</v>
      </c>
      <c r="DN160" s="437">
        <v>0</v>
      </c>
      <c r="DO160" s="112">
        <f t="shared" si="321"/>
        <v>-4</v>
      </c>
      <c r="DP160" s="437">
        <v>0</v>
      </c>
      <c r="DQ160" s="437">
        <v>0</v>
      </c>
      <c r="DR160" s="437">
        <v>0</v>
      </c>
      <c r="DS160" s="437">
        <v>0</v>
      </c>
      <c r="DT160" s="112">
        <f t="shared" si="322"/>
        <v>0</v>
      </c>
      <c r="DU160" s="109"/>
      <c r="DV160" s="109"/>
    </row>
    <row r="161" spans="1:126" s="92" customFormat="1" hidden="1" outlineLevel="1">
      <c r="B161" s="149" t="str">
        <f>+B137</f>
        <v>Total business segment</v>
      </c>
      <c r="C161" s="150"/>
      <c r="D161" s="150"/>
      <c r="E161" s="150"/>
      <c r="F161" s="150"/>
      <c r="G161" s="150"/>
      <c r="H161" s="150"/>
      <c r="I161" s="150"/>
      <c r="J161" s="151"/>
      <c r="K161" s="151"/>
      <c r="L161" s="151"/>
      <c r="M161" s="151"/>
      <c r="N161" s="150"/>
      <c r="O161" s="151"/>
      <c r="P161" s="151"/>
      <c r="Q161" s="151"/>
      <c r="R161" s="151"/>
      <c r="S161" s="150"/>
      <c r="T161" s="151">
        <f t="shared" ref="T161:BA161" si="347">SUM(T156:T157)</f>
        <v>-20</v>
      </c>
      <c r="U161" s="151">
        <f t="shared" si="347"/>
        <v>-20</v>
      </c>
      <c r="V161" s="151">
        <f t="shared" si="347"/>
        <v>-25</v>
      </c>
      <c r="W161" s="151">
        <f t="shared" si="347"/>
        <v>-43</v>
      </c>
      <c r="X161" s="150">
        <f t="shared" si="347"/>
        <v>-108</v>
      </c>
      <c r="Y161" s="151">
        <f t="shared" si="347"/>
        <v>14</v>
      </c>
      <c r="Z161" s="151">
        <f t="shared" si="347"/>
        <v>-13</v>
      </c>
      <c r="AA161" s="151">
        <f t="shared" si="347"/>
        <v>-20</v>
      </c>
      <c r="AB161" s="151">
        <f t="shared" si="347"/>
        <v>-17</v>
      </c>
      <c r="AC161" s="150">
        <f t="shared" si="347"/>
        <v>-36</v>
      </c>
      <c r="AD161" s="151">
        <f t="shared" si="347"/>
        <v>-15</v>
      </c>
      <c r="AE161" s="151">
        <f t="shared" si="347"/>
        <v>-17</v>
      </c>
      <c r="AF161" s="151">
        <f t="shared" si="347"/>
        <v>-17</v>
      </c>
      <c r="AG161" s="151">
        <f t="shared" si="347"/>
        <v>-21</v>
      </c>
      <c r="AH161" s="150">
        <f t="shared" si="347"/>
        <v>-70</v>
      </c>
      <c r="AI161" s="151">
        <f t="shared" si="347"/>
        <v>-83</v>
      </c>
      <c r="AJ161" s="151">
        <f t="shared" si="347"/>
        <v>-93</v>
      </c>
      <c r="AK161" s="151">
        <f t="shared" si="347"/>
        <v>-70</v>
      </c>
      <c r="AL161" s="151">
        <f t="shared" si="347"/>
        <v>-32</v>
      </c>
      <c r="AM161" s="150">
        <f t="shared" si="347"/>
        <v>-278</v>
      </c>
      <c r="AN161" s="151">
        <f t="shared" si="347"/>
        <v>-28</v>
      </c>
      <c r="AO161" s="151">
        <f t="shared" si="347"/>
        <v>-44</v>
      </c>
      <c r="AP161" s="151">
        <f t="shared" si="347"/>
        <v>-15</v>
      </c>
      <c r="AQ161" s="151">
        <f t="shared" si="347"/>
        <v>-116</v>
      </c>
      <c r="AR161" s="150">
        <f t="shared" si="347"/>
        <v>-203</v>
      </c>
      <c r="AS161" s="151">
        <f t="shared" si="347"/>
        <v>-6</v>
      </c>
      <c r="AT161" s="151">
        <f t="shared" si="347"/>
        <v>-27</v>
      </c>
      <c r="AU161" s="151">
        <f t="shared" si="347"/>
        <v>35</v>
      </c>
      <c r="AV161" s="151">
        <f t="shared" si="347"/>
        <v>-24</v>
      </c>
      <c r="AW161" s="150">
        <f t="shared" si="347"/>
        <v>-22</v>
      </c>
      <c r="AX161" s="151">
        <f t="shared" si="347"/>
        <v>-39</v>
      </c>
      <c r="AY161" s="151">
        <f t="shared" si="347"/>
        <v>-20</v>
      </c>
      <c r="AZ161" s="151">
        <f t="shared" si="347"/>
        <v>-38</v>
      </c>
      <c r="BA161" s="151">
        <f t="shared" si="347"/>
        <v>-114</v>
      </c>
      <c r="BB161" s="150">
        <f>SUM(BB156:BB159)</f>
        <v>-211</v>
      </c>
      <c r="BC161" s="151">
        <f t="shared" ref="BC161:CK161" si="348">SUM(BC156:BC159)</f>
        <v>-15</v>
      </c>
      <c r="BD161" s="151">
        <f t="shared" si="348"/>
        <v>67</v>
      </c>
      <c r="BE161" s="151">
        <f t="shared" si="348"/>
        <v>-71</v>
      </c>
      <c r="BF161" s="151">
        <f t="shared" si="348"/>
        <v>-59</v>
      </c>
      <c r="BG161" s="150">
        <f t="shared" si="348"/>
        <v>-78</v>
      </c>
      <c r="BH161" s="151">
        <f t="shared" si="348"/>
        <v>-48</v>
      </c>
      <c r="BI161" s="151">
        <f t="shared" si="348"/>
        <v>-91</v>
      </c>
      <c r="BJ161" s="151">
        <f t="shared" si="348"/>
        <v>49</v>
      </c>
      <c r="BK161" s="151">
        <f t="shared" si="348"/>
        <v>-55</v>
      </c>
      <c r="BL161" s="150">
        <f t="shared" si="348"/>
        <v>-145</v>
      </c>
      <c r="BM161" s="151">
        <f t="shared" si="348"/>
        <v>-63</v>
      </c>
      <c r="BN161" s="151">
        <f t="shared" si="348"/>
        <v>-2</v>
      </c>
      <c r="BO161" s="151">
        <f t="shared" si="348"/>
        <v>-36</v>
      </c>
      <c r="BP161" s="151">
        <f t="shared" si="348"/>
        <v>-1418</v>
      </c>
      <c r="BQ161" s="150">
        <f t="shared" si="348"/>
        <v>-1519</v>
      </c>
      <c r="BR161" s="151">
        <f t="shared" si="348"/>
        <v>-18</v>
      </c>
      <c r="BS161" s="151">
        <f t="shared" si="348"/>
        <v>-74</v>
      </c>
      <c r="BT161" s="151">
        <f t="shared" si="348"/>
        <v>-85</v>
      </c>
      <c r="BU161" s="151">
        <f t="shared" si="348"/>
        <v>-78</v>
      </c>
      <c r="BV161" s="150">
        <f t="shared" si="348"/>
        <v>-255</v>
      </c>
      <c r="BW161" s="151">
        <f t="shared" si="348"/>
        <v>-23</v>
      </c>
      <c r="BX161" s="151">
        <f t="shared" si="348"/>
        <v>-30</v>
      </c>
      <c r="BY161" s="151">
        <f t="shared" si="348"/>
        <v>-211</v>
      </c>
      <c r="BZ161" s="151">
        <f t="shared" si="348"/>
        <v>-17</v>
      </c>
      <c r="CA161" s="150">
        <f t="shared" si="348"/>
        <v>-281</v>
      </c>
      <c r="CB161" s="151">
        <f t="shared" si="348"/>
        <v>-27</v>
      </c>
      <c r="CC161" s="151">
        <f t="shared" si="348"/>
        <v>-84</v>
      </c>
      <c r="CD161" s="151">
        <f t="shared" si="348"/>
        <v>-317</v>
      </c>
      <c r="CE161" s="151">
        <f t="shared" si="348"/>
        <v>-175</v>
      </c>
      <c r="CF161" s="150">
        <f t="shared" si="348"/>
        <v>-603</v>
      </c>
      <c r="CG161" s="151">
        <f t="shared" si="348"/>
        <v>-239</v>
      </c>
      <c r="CH161" s="151">
        <f t="shared" si="348"/>
        <v>-43</v>
      </c>
      <c r="CI161" s="151">
        <f t="shared" si="348"/>
        <v>-29</v>
      </c>
      <c r="CJ161" s="151">
        <f t="shared" si="348"/>
        <v>-180</v>
      </c>
      <c r="CK161" s="150">
        <f t="shared" si="348"/>
        <v>-491</v>
      </c>
      <c r="CL161" s="151">
        <f t="shared" ref="CL161" si="349">SUM(CL156:CL159)</f>
        <v>-72.888888888888687</v>
      </c>
      <c r="CM161" s="151">
        <f t="shared" ref="CM161" si="350">SUM(CM156:CM159)</f>
        <v>-651.01809954751127</v>
      </c>
      <c r="CN161" s="151">
        <f t="shared" ref="CN161" si="351">SUM(CN156:CN159)</f>
        <v>-131.82284980744544</v>
      </c>
      <c r="CO161" s="151">
        <f t="shared" ref="CO161" si="352">SUM(CO156:CO159)</f>
        <v>-640.27016175615472</v>
      </c>
      <c r="CP161" s="150">
        <f t="shared" ref="CP161:CQ161" si="353">SUM(CP156:CP159)</f>
        <v>-1496</v>
      </c>
      <c r="CQ161" s="151">
        <f t="shared" si="353"/>
        <v>-146.56292386084522</v>
      </c>
      <c r="CR161" s="151">
        <f t="shared" ref="CR161:CS161" si="354">SUM(CR156:CR159)</f>
        <v>55.145872738862863</v>
      </c>
      <c r="CS161" s="151">
        <f t="shared" si="354"/>
        <v>-22.425621170032059</v>
      </c>
      <c r="CT161" s="151">
        <f t="shared" ref="CT161" si="355">SUM(CT156:CT159)</f>
        <v>279.84267229201464</v>
      </c>
      <c r="CU161" s="150">
        <f t="shared" ref="CU161" si="356">SUM(CU156:CU159)</f>
        <v>166.00000000000023</v>
      </c>
      <c r="CV161" s="151">
        <f>SUM(CV156:CV160)</f>
        <v>-301</v>
      </c>
      <c r="CW161" s="151">
        <f t="shared" ref="CW161:DJ161" si="357">SUM(CW156:CW160)</f>
        <v>-72</v>
      </c>
      <c r="CX161" s="151">
        <f t="shared" si="357"/>
        <v>-24</v>
      </c>
      <c r="CY161" s="151">
        <f t="shared" si="357"/>
        <v>-59</v>
      </c>
      <c r="CZ161" s="150">
        <f t="shared" si="357"/>
        <v>-406</v>
      </c>
      <c r="DA161" s="151">
        <f t="shared" si="357"/>
        <v>-38</v>
      </c>
      <c r="DB161" s="151">
        <f t="shared" si="357"/>
        <v>-240</v>
      </c>
      <c r="DC161" s="151">
        <f t="shared" si="357"/>
        <v>-3045</v>
      </c>
      <c r="DD161" s="151">
        <f t="shared" si="357"/>
        <v>54</v>
      </c>
      <c r="DE161" s="150">
        <f t="shared" si="357"/>
        <v>-3269</v>
      </c>
      <c r="DF161" s="151">
        <f t="shared" si="357"/>
        <v>149</v>
      </c>
      <c r="DG161" s="151">
        <f t="shared" ref="DG161:DH161" si="358">SUM(DG156:DG160)</f>
        <v>-604</v>
      </c>
      <c r="DH161" s="151">
        <f t="shared" si="358"/>
        <v>-88</v>
      </c>
      <c r="DI161" s="151">
        <f t="shared" si="357"/>
        <v>-218</v>
      </c>
      <c r="DJ161" s="150">
        <f t="shared" si="357"/>
        <v>-761</v>
      </c>
      <c r="DK161" s="151">
        <f t="shared" ref="DK161:DO161" si="359">SUM(DK156:DK160)</f>
        <v>-149</v>
      </c>
      <c r="DL161" s="151">
        <f t="shared" si="359"/>
        <v>-196</v>
      </c>
      <c r="DM161" s="151">
        <f t="shared" si="359"/>
        <v>0</v>
      </c>
      <c r="DN161" s="151">
        <f t="shared" si="359"/>
        <v>0</v>
      </c>
      <c r="DO161" s="150">
        <f t="shared" si="359"/>
        <v>-345</v>
      </c>
      <c r="DP161" s="151">
        <f t="shared" ref="DP161:DT161" si="360">SUM(DP156:DP160)</f>
        <v>0</v>
      </c>
      <c r="DQ161" s="151">
        <f t="shared" si="360"/>
        <v>0</v>
      </c>
      <c r="DR161" s="151">
        <f t="shared" si="360"/>
        <v>0</v>
      </c>
      <c r="DS161" s="151">
        <f t="shared" si="360"/>
        <v>0</v>
      </c>
      <c r="DT161" s="150">
        <f t="shared" si="360"/>
        <v>0</v>
      </c>
      <c r="DU161" s="150">
        <f t="shared" ref="DU161" si="361">SUM(DU156:DU160)</f>
        <v>0</v>
      </c>
      <c r="DV161" s="150">
        <f t="shared" ref="DV161" si="362">SUM(DV156:DV160)</f>
        <v>0</v>
      </c>
    </row>
    <row r="162" spans="1:126" s="92" customFormat="1" hidden="1" outlineLevel="1">
      <c r="B162" s="41" t="s">
        <v>573</v>
      </c>
      <c r="C162" s="195"/>
      <c r="D162" s="195"/>
      <c r="E162" s="195"/>
      <c r="F162" s="195"/>
      <c r="G162" s="195"/>
      <c r="H162" s="195"/>
      <c r="I162" s="195"/>
      <c r="J162" s="208"/>
      <c r="K162" s="208"/>
      <c r="L162" s="208"/>
      <c r="M162" s="208"/>
      <c r="N162" s="195"/>
      <c r="O162" s="208"/>
      <c r="P162" s="208"/>
      <c r="Q162" s="208"/>
      <c r="R162" s="208"/>
      <c r="S162" s="195"/>
      <c r="T162" s="208"/>
      <c r="U162" s="208"/>
      <c r="V162" s="208"/>
      <c r="W162" s="208"/>
      <c r="X162" s="195"/>
      <c r="Y162" s="208"/>
      <c r="Z162" s="208"/>
      <c r="AA162" s="208"/>
      <c r="AB162" s="208"/>
      <c r="AC162" s="195"/>
      <c r="AD162" s="208"/>
      <c r="AE162" s="208"/>
      <c r="AF162" s="208"/>
      <c r="AG162" s="208"/>
      <c r="AH162" s="195"/>
      <c r="AI162" s="208"/>
      <c r="AJ162" s="208"/>
      <c r="AK162" s="208"/>
      <c r="AL162" s="208"/>
      <c r="AM162" s="195"/>
      <c r="AN162" s="208"/>
      <c r="AO162" s="208"/>
      <c r="AP162" s="208"/>
      <c r="AQ162" s="208"/>
      <c r="AR162" s="195"/>
      <c r="AS162" s="208"/>
      <c r="AT162" s="208"/>
      <c r="AU162" s="208"/>
      <c r="AV162" s="208"/>
      <c r="AW162" s="195"/>
      <c r="AX162" s="208"/>
      <c r="AY162" s="208"/>
      <c r="AZ162" s="208"/>
      <c r="BA162" s="208"/>
      <c r="BB162" s="195"/>
      <c r="BC162" s="208"/>
      <c r="BD162" s="208"/>
      <c r="BE162" s="208"/>
      <c r="BF162" s="208"/>
      <c r="BG162" s="195"/>
      <c r="BH162" s="208"/>
      <c r="BI162" s="208"/>
      <c r="BJ162" s="208"/>
      <c r="BK162" s="208"/>
      <c r="BL162" s="195"/>
      <c r="BM162" s="208"/>
      <c r="BN162" s="208"/>
      <c r="BO162" s="208"/>
      <c r="BP162" s="208"/>
      <c r="BQ162" s="195"/>
      <c r="BR162" s="208"/>
      <c r="BS162" s="208"/>
      <c r="BT162" s="208"/>
      <c r="BU162" s="208"/>
      <c r="BV162" s="195"/>
      <c r="BW162" s="208"/>
      <c r="BX162" s="208"/>
      <c r="BY162" s="208"/>
      <c r="BZ162" s="208"/>
      <c r="CA162" s="195"/>
      <c r="CB162" s="208"/>
      <c r="CC162" s="208"/>
      <c r="CD162" s="208"/>
      <c r="CE162" s="208"/>
      <c r="CF162" s="195"/>
      <c r="CG162" s="208"/>
      <c r="CH162" s="208"/>
      <c r="CI162" s="208"/>
      <c r="CJ162" s="208"/>
      <c r="CK162" s="195"/>
      <c r="CL162" s="437">
        <f t="shared" ref="CL162:CO163" si="363">CL138-CL174</f>
        <v>-40.5</v>
      </c>
      <c r="CM162" s="437">
        <f t="shared" si="363"/>
        <v>6.5</v>
      </c>
      <c r="CN162" s="437">
        <f t="shared" si="363"/>
        <v>-14.5</v>
      </c>
      <c r="CO162" s="437">
        <f t="shared" si="363"/>
        <v>28.5</v>
      </c>
      <c r="CP162" s="195"/>
      <c r="CQ162" s="437">
        <f t="shared" ref="CQ162:CR162" si="364">CQ138-CQ174</f>
        <v>6.75</v>
      </c>
      <c r="CR162" s="437">
        <f t="shared" si="364"/>
        <v>-2.25</v>
      </c>
      <c r="CS162" s="437">
        <f t="shared" ref="CS162:CT162" si="365">CS138-CS174</f>
        <v>10.75</v>
      </c>
      <c r="CT162" s="437">
        <f t="shared" si="365"/>
        <v>-15.25</v>
      </c>
      <c r="CU162" s="195"/>
      <c r="CV162" s="208"/>
      <c r="CW162" s="208"/>
      <c r="CX162" s="208"/>
      <c r="CY162" s="208"/>
      <c r="CZ162" s="195"/>
      <c r="DA162" s="208"/>
      <c r="DB162" s="208"/>
      <c r="DC162" s="437">
        <f t="shared" ref="DC162:DD162" si="366">DC138-DC174</f>
        <v>-30</v>
      </c>
      <c r="DD162" s="437">
        <f t="shared" si="366"/>
        <v>-9</v>
      </c>
      <c r="DE162" s="195"/>
      <c r="DF162" s="437">
        <f t="shared" ref="DF162:DG162" si="367">DF138-DF174</f>
        <v>0</v>
      </c>
      <c r="DG162" s="437">
        <f t="shared" si="367"/>
        <v>0</v>
      </c>
      <c r="DH162" s="437">
        <f t="shared" ref="DH162:DI162" si="368">DH138-DH174</f>
        <v>0</v>
      </c>
      <c r="DI162" s="437">
        <f t="shared" si="368"/>
        <v>0</v>
      </c>
      <c r="DJ162" s="195"/>
      <c r="DK162" s="437">
        <f t="shared" ref="DK162" si="369">DK138-DK174</f>
        <v>0</v>
      </c>
      <c r="DL162" s="437">
        <f>DL138-DL174</f>
        <v>41</v>
      </c>
      <c r="DM162" s="437">
        <v>0</v>
      </c>
      <c r="DN162" s="437">
        <v>0</v>
      </c>
      <c r="DO162" s="195"/>
      <c r="DP162" s="437">
        <v>0</v>
      </c>
      <c r="DQ162" s="437">
        <v>0</v>
      </c>
      <c r="DR162" s="437">
        <v>0</v>
      </c>
      <c r="DS162" s="437">
        <v>0</v>
      </c>
      <c r="DT162" s="195"/>
      <c r="DU162" s="195"/>
      <c r="DV162" s="195"/>
    </row>
    <row r="163" spans="1:126" s="92" customFormat="1" hidden="1" outlineLevel="1">
      <c r="B163" s="41" t="s">
        <v>574</v>
      </c>
      <c r="C163" s="195"/>
      <c r="D163" s="195"/>
      <c r="E163" s="195"/>
      <c r="F163" s="195"/>
      <c r="G163" s="195"/>
      <c r="H163" s="195"/>
      <c r="I163" s="195"/>
      <c r="J163" s="208"/>
      <c r="K163" s="208"/>
      <c r="L163" s="208"/>
      <c r="M163" s="208"/>
      <c r="N163" s="195"/>
      <c r="O163" s="208"/>
      <c r="P163" s="208"/>
      <c r="Q163" s="208"/>
      <c r="R163" s="208"/>
      <c r="S163" s="195"/>
      <c r="T163" s="208"/>
      <c r="U163" s="208"/>
      <c r="V163" s="208"/>
      <c r="W163" s="208"/>
      <c r="X163" s="195"/>
      <c r="Y163" s="208"/>
      <c r="Z163" s="208"/>
      <c r="AA163" s="208"/>
      <c r="AB163" s="208"/>
      <c r="AC163" s="195"/>
      <c r="AD163" s="208"/>
      <c r="AE163" s="208"/>
      <c r="AF163" s="208"/>
      <c r="AG163" s="208"/>
      <c r="AH163" s="195"/>
      <c r="AI163" s="208">
        <v>0</v>
      </c>
      <c r="AJ163" s="208">
        <v>-3</v>
      </c>
      <c r="AK163" s="208">
        <v>-59</v>
      </c>
      <c r="AL163" s="208">
        <v>0</v>
      </c>
      <c r="AM163" s="195">
        <f>SUM(AI163:AL163)</f>
        <v>-62</v>
      </c>
      <c r="AN163" s="208">
        <v>0</v>
      </c>
      <c r="AO163" s="208">
        <v>-11</v>
      </c>
      <c r="AP163" s="208">
        <v>-1</v>
      </c>
      <c r="AQ163" s="208">
        <v>-6</v>
      </c>
      <c r="AR163" s="195">
        <f>SUM(AN163:AQ163)</f>
        <v>-18</v>
      </c>
      <c r="AS163" s="208">
        <v>0</v>
      </c>
      <c r="AT163" s="208">
        <v>0</v>
      </c>
      <c r="AU163" s="208">
        <v>0</v>
      </c>
      <c r="AV163" s="208">
        <v>-44</v>
      </c>
      <c r="AW163" s="195">
        <f>SUM(AS163:AV163)</f>
        <v>-44</v>
      </c>
      <c r="AX163" s="208">
        <v>-6</v>
      </c>
      <c r="AY163" s="208">
        <v>2</v>
      </c>
      <c r="AZ163" s="208">
        <f>-10+34</f>
        <v>24</v>
      </c>
      <c r="BA163" s="208">
        <v>-5</v>
      </c>
      <c r="BB163" s="195">
        <f>SUM(AX163:BA163)</f>
        <v>15</v>
      </c>
      <c r="BC163" s="208">
        <v>0</v>
      </c>
      <c r="BD163" s="208"/>
      <c r="BE163" s="208">
        <v>1</v>
      </c>
      <c r="BF163" s="208">
        <v>-1</v>
      </c>
      <c r="BG163" s="195">
        <f>SUM(BC163:BF163)</f>
        <v>0</v>
      </c>
      <c r="BH163" s="208">
        <v>0</v>
      </c>
      <c r="BI163" s="208">
        <v>220</v>
      </c>
      <c r="BJ163" s="208">
        <v>0</v>
      </c>
      <c r="BK163" s="208">
        <v>-5</v>
      </c>
      <c r="BL163" s="195">
        <f>SUM(BH163:BK163)</f>
        <v>215</v>
      </c>
      <c r="BM163" s="208"/>
      <c r="BN163" s="208">
        <v>-1</v>
      </c>
      <c r="BO163" s="208">
        <v>-4</v>
      </c>
      <c r="BP163" s="208">
        <f>-16-264</f>
        <v>-280</v>
      </c>
      <c r="BQ163" s="195">
        <f>SUM(BM163:BP163)</f>
        <v>-285</v>
      </c>
      <c r="BR163" s="208">
        <v>-1</v>
      </c>
      <c r="BS163" s="208">
        <v>-1</v>
      </c>
      <c r="BT163" s="208">
        <v>-5</v>
      </c>
      <c r="BU163" s="208">
        <f>1-423</f>
        <v>-422</v>
      </c>
      <c r="BV163" s="195">
        <f>SUM(BR163:BU163)</f>
        <v>-429</v>
      </c>
      <c r="BW163" s="208">
        <f>-1+1</f>
        <v>0</v>
      </c>
      <c r="BX163" s="208">
        <v>0</v>
      </c>
      <c r="BY163" s="208">
        <f>-1+93</f>
        <v>92</v>
      </c>
      <c r="BZ163" s="208">
        <f>-5-38</f>
        <v>-43</v>
      </c>
      <c r="CA163" s="195">
        <f>SUM(BW163:BZ163)</f>
        <v>49</v>
      </c>
      <c r="CB163" s="208">
        <f>-2-30</f>
        <v>-32</v>
      </c>
      <c r="CC163" s="208">
        <f>-2+2-20</f>
        <v>-20</v>
      </c>
      <c r="CD163" s="208">
        <f>-21-23</f>
        <v>-44</v>
      </c>
      <c r="CE163" s="208">
        <f>-1-47-4-11+21</f>
        <v>-42</v>
      </c>
      <c r="CF163" s="195">
        <f>SUM(CB163:CE163)</f>
        <v>-138</v>
      </c>
      <c r="CG163" s="437">
        <f t="shared" ref="CG163:CJ163" si="370">CG139-CG175</f>
        <v>-10</v>
      </c>
      <c r="CH163" s="437">
        <f t="shared" si="370"/>
        <v>-11</v>
      </c>
      <c r="CI163" s="437">
        <f t="shared" si="370"/>
        <v>-12</v>
      </c>
      <c r="CJ163" s="437">
        <f t="shared" si="370"/>
        <v>-23</v>
      </c>
      <c r="CK163" s="195">
        <f>SUM(CG163:CJ163)</f>
        <v>-56</v>
      </c>
      <c r="CL163" s="437">
        <f t="shared" si="363"/>
        <v>-19</v>
      </c>
      <c r="CM163" s="437">
        <f t="shared" si="363"/>
        <v>-152</v>
      </c>
      <c r="CN163" s="437">
        <f t="shared" si="363"/>
        <v>-74</v>
      </c>
      <c r="CO163" s="437">
        <f t="shared" si="363"/>
        <v>-38</v>
      </c>
      <c r="CP163" s="195">
        <f>SUM(CL163:CO163)</f>
        <v>-283</v>
      </c>
      <c r="CQ163" s="437">
        <f t="shared" ref="CQ163:CR163" si="371">CQ139-CQ175</f>
        <v>22.543650793650798</v>
      </c>
      <c r="CR163" s="437">
        <f t="shared" si="371"/>
        <v>-113.77380952380952</v>
      </c>
      <c r="CS163" s="437">
        <f t="shared" ref="CS163:CT163" si="372">CS139-CS175</f>
        <v>-6.8055555555555429</v>
      </c>
      <c r="CT163" s="437">
        <f t="shared" si="372"/>
        <v>-169.96428571428572</v>
      </c>
      <c r="CU163" s="195">
        <f>SUM(CQ163:CT163)</f>
        <v>-268</v>
      </c>
      <c r="CV163" s="208">
        <v>0</v>
      </c>
      <c r="CW163" s="208">
        <v>0</v>
      </c>
      <c r="CX163" s="208">
        <v>0</v>
      </c>
      <c r="CY163" s="208">
        <v>0</v>
      </c>
      <c r="CZ163" s="195">
        <f>SUM(CV163:CY163)</f>
        <v>0</v>
      </c>
      <c r="DA163" s="208">
        <v>0</v>
      </c>
      <c r="DB163" s="208">
        <v>0</v>
      </c>
      <c r="DC163" s="437">
        <f t="shared" ref="DC163:DD163" si="373">DC139-DC175</f>
        <v>-32</v>
      </c>
      <c r="DD163" s="437">
        <f t="shared" si="373"/>
        <v>-40</v>
      </c>
      <c r="DE163" s="195">
        <f>SUM(DA163:DD163)</f>
        <v>-72</v>
      </c>
      <c r="DF163" s="437">
        <f t="shared" ref="DF163:DG163" si="374">DF139-DF175</f>
        <v>-71</v>
      </c>
      <c r="DG163" s="437">
        <f t="shared" si="374"/>
        <v>-923</v>
      </c>
      <c r="DH163" s="437">
        <f t="shared" ref="DH163" si="375">DH139-DH175</f>
        <v>171</v>
      </c>
      <c r="DI163" s="437">
        <f t="shared" ref="DI163" si="376">DI139-DI175</f>
        <v>-3</v>
      </c>
      <c r="DJ163" s="195">
        <f>SUM(DF163:DI163)</f>
        <v>-826</v>
      </c>
      <c r="DK163" s="437">
        <f t="shared" ref="DK163:DL163" si="377">DK139-DK175</f>
        <v>-9</v>
      </c>
      <c r="DL163" s="437">
        <f t="shared" si="377"/>
        <v>-5</v>
      </c>
      <c r="DM163" s="208">
        <v>0</v>
      </c>
      <c r="DN163" s="208">
        <v>0</v>
      </c>
      <c r="DO163" s="195">
        <f>SUM(DK163:DN163)</f>
        <v>-14</v>
      </c>
      <c r="DP163" s="437">
        <v>0</v>
      </c>
      <c r="DQ163" s="208">
        <v>0</v>
      </c>
      <c r="DR163" s="208">
        <v>0</v>
      </c>
      <c r="DS163" s="208">
        <v>0</v>
      </c>
      <c r="DT163" s="195">
        <f>SUM(DP163:DS163)</f>
        <v>0</v>
      </c>
      <c r="DU163" s="195">
        <v>0</v>
      </c>
      <c r="DV163" s="195">
        <v>0</v>
      </c>
    </row>
    <row r="164" spans="1:126" s="92" customFormat="1" hidden="1" outlineLevel="1">
      <c r="B164" s="180" t="s">
        <v>63</v>
      </c>
      <c r="C164" s="146"/>
      <c r="D164" s="146"/>
      <c r="E164" s="146"/>
      <c r="F164" s="146"/>
      <c r="G164" s="146"/>
      <c r="H164" s="146"/>
      <c r="I164" s="146"/>
      <c r="J164" s="147"/>
      <c r="K164" s="147"/>
      <c r="L164" s="147"/>
      <c r="M164" s="147"/>
      <c r="N164" s="146"/>
      <c r="O164" s="147"/>
      <c r="P164" s="147"/>
      <c r="Q164" s="147"/>
      <c r="R164" s="147"/>
      <c r="S164" s="146"/>
      <c r="T164" s="147"/>
      <c r="U164" s="147"/>
      <c r="V164" s="147"/>
      <c r="W164" s="147"/>
      <c r="X164" s="146"/>
      <c r="Y164" s="147"/>
      <c r="Z164" s="147"/>
      <c r="AA164" s="147"/>
      <c r="AB164" s="147"/>
      <c r="AC164" s="146"/>
      <c r="AD164" s="147"/>
      <c r="AE164" s="147"/>
      <c r="AF164" s="147"/>
      <c r="AG164" s="147"/>
      <c r="AH164" s="146"/>
      <c r="AI164" s="385"/>
      <c r="AJ164" s="147"/>
      <c r="AK164" s="147"/>
      <c r="AL164" s="147"/>
      <c r="AM164" s="146"/>
      <c r="AN164" s="385"/>
      <c r="AO164" s="147"/>
      <c r="AP164" s="147"/>
      <c r="AQ164" s="147"/>
      <c r="AR164" s="146"/>
      <c r="AS164" s="385"/>
      <c r="AT164" s="147"/>
      <c r="AU164" s="147"/>
      <c r="AV164" s="147"/>
      <c r="AW164" s="146"/>
      <c r="AX164" s="147"/>
      <c r="AY164" s="147"/>
      <c r="AZ164" s="147"/>
      <c r="BA164" s="385"/>
      <c r="BB164" s="146"/>
      <c r="BC164" s="148"/>
      <c r="BD164" s="385"/>
      <c r="BE164" s="385"/>
      <c r="BF164" s="385"/>
      <c r="BG164" s="146"/>
      <c r="BH164" s="148"/>
      <c r="BI164" s="385"/>
      <c r="BJ164" s="385"/>
      <c r="BK164" s="385"/>
      <c r="BL164" s="146"/>
      <c r="BM164" s="148"/>
      <c r="BN164" s="385"/>
      <c r="BO164" s="385"/>
      <c r="BP164" s="385"/>
      <c r="BQ164" s="146"/>
      <c r="BR164" s="385"/>
      <c r="BS164" s="497"/>
      <c r="BT164" s="497"/>
      <c r="BU164" s="385"/>
      <c r="BV164" s="146"/>
      <c r="BW164" s="385"/>
      <c r="BX164" s="385"/>
      <c r="BY164" s="385"/>
      <c r="BZ164" s="385"/>
      <c r="CA164" s="146"/>
      <c r="CB164" s="385"/>
      <c r="CC164" s="385"/>
      <c r="CD164" s="385"/>
      <c r="CE164" s="385"/>
      <c r="CF164" s="146"/>
      <c r="CG164" s="385"/>
      <c r="CH164" s="385"/>
      <c r="CI164" s="385"/>
      <c r="CJ164" s="385"/>
      <c r="CK164" s="146"/>
      <c r="CL164" s="437">
        <f>CL142</f>
        <v>0</v>
      </c>
      <c r="CM164" s="437">
        <f>CM142</f>
        <v>-3200</v>
      </c>
      <c r="CN164" s="437">
        <f>CN142</f>
        <v>0</v>
      </c>
      <c r="CO164" s="437">
        <f>CO142</f>
        <v>0</v>
      </c>
      <c r="CP164" s="146"/>
      <c r="CQ164" s="437">
        <f>CQ142</f>
        <v>0</v>
      </c>
      <c r="CR164" s="437">
        <f>CR142</f>
        <v>0</v>
      </c>
      <c r="CS164" s="437">
        <f>CS142</f>
        <v>0</v>
      </c>
      <c r="CT164" s="437">
        <f>CT142</f>
        <v>0</v>
      </c>
      <c r="CU164" s="146"/>
      <c r="CV164" s="148"/>
      <c r="CW164" s="148"/>
      <c r="CX164" s="148"/>
      <c r="CY164" s="148"/>
      <c r="CZ164" s="146"/>
      <c r="DA164" s="148"/>
      <c r="DB164" s="148"/>
      <c r="DC164" s="437">
        <f>DC142</f>
        <v>0</v>
      </c>
      <c r="DD164" s="437">
        <f>DD142</f>
        <v>0</v>
      </c>
      <c r="DE164" s="146"/>
      <c r="DF164" s="437">
        <f>DF142</f>
        <v>0</v>
      </c>
      <c r="DG164" s="437">
        <f>DG142</f>
        <v>-504</v>
      </c>
      <c r="DH164" s="437">
        <f>DH142</f>
        <v>-534</v>
      </c>
      <c r="DI164" s="437">
        <f>DI142</f>
        <v>-520</v>
      </c>
      <c r="DJ164" s="146"/>
      <c r="DK164" s="437">
        <f>DK142</f>
        <v>0</v>
      </c>
      <c r="DL164" s="437">
        <f>DL142</f>
        <v>0</v>
      </c>
      <c r="DM164" s="437">
        <f t="shared" ref="DM164:DN164" si="378">DM142</f>
        <v>0</v>
      </c>
      <c r="DN164" s="437">
        <f t="shared" si="378"/>
        <v>0</v>
      </c>
      <c r="DO164" s="146"/>
      <c r="DP164" s="437">
        <f>DP142</f>
        <v>0</v>
      </c>
      <c r="DQ164" s="437">
        <f t="shared" ref="DQ164:DS164" si="379">DQ142</f>
        <v>0</v>
      </c>
      <c r="DR164" s="437">
        <f t="shared" si="379"/>
        <v>0</v>
      </c>
      <c r="DS164" s="437">
        <f t="shared" si="379"/>
        <v>0</v>
      </c>
      <c r="DT164" s="146"/>
      <c r="DU164" s="109"/>
      <c r="DV164" s="109"/>
    </row>
    <row r="165" spans="1:126" s="92" customFormat="1" hidden="1" outlineLevel="1">
      <c r="B165" s="44" t="s">
        <v>132</v>
      </c>
      <c r="C165" s="383"/>
      <c r="D165" s="383"/>
      <c r="E165" s="383"/>
      <c r="F165" s="383"/>
      <c r="G165" s="383"/>
      <c r="H165" s="383"/>
      <c r="I165" s="383"/>
      <c r="J165" s="384"/>
      <c r="K165" s="384"/>
      <c r="L165" s="384"/>
      <c r="M165" s="384"/>
      <c r="N165" s="383"/>
      <c r="O165" s="384"/>
      <c r="P165" s="384"/>
      <c r="Q165" s="384"/>
      <c r="R165" s="384"/>
      <c r="S165" s="383"/>
      <c r="T165" s="384">
        <f t="shared" ref="T165:AH165" si="380">SUM(T161:T163)</f>
        <v>-20</v>
      </c>
      <c r="U165" s="384">
        <f t="shared" si="380"/>
        <v>-20</v>
      </c>
      <c r="V165" s="384">
        <f t="shared" si="380"/>
        <v>-25</v>
      </c>
      <c r="W165" s="384">
        <f t="shared" si="380"/>
        <v>-43</v>
      </c>
      <c r="X165" s="383">
        <f t="shared" si="380"/>
        <v>-108</v>
      </c>
      <c r="Y165" s="384">
        <f t="shared" si="380"/>
        <v>14</v>
      </c>
      <c r="Z165" s="384">
        <f t="shared" si="380"/>
        <v>-13</v>
      </c>
      <c r="AA165" s="384">
        <f t="shared" si="380"/>
        <v>-20</v>
      </c>
      <c r="AB165" s="384">
        <f t="shared" si="380"/>
        <v>-17</v>
      </c>
      <c r="AC165" s="383">
        <f t="shared" si="380"/>
        <v>-36</v>
      </c>
      <c r="AD165" s="384">
        <f t="shared" si="380"/>
        <v>-15</v>
      </c>
      <c r="AE165" s="384">
        <f t="shared" si="380"/>
        <v>-17</v>
      </c>
      <c r="AF165" s="384">
        <f t="shared" si="380"/>
        <v>-17</v>
      </c>
      <c r="AG165" s="384">
        <f t="shared" si="380"/>
        <v>-21</v>
      </c>
      <c r="AH165" s="383">
        <f t="shared" si="380"/>
        <v>-70</v>
      </c>
      <c r="AI165" s="384">
        <f t="shared" ref="AI165:BA165" si="381">SUM(AI161:AI163)</f>
        <v>-83</v>
      </c>
      <c r="AJ165" s="384">
        <f t="shared" si="381"/>
        <v>-96</v>
      </c>
      <c r="AK165" s="384">
        <f t="shared" si="381"/>
        <v>-129</v>
      </c>
      <c r="AL165" s="384">
        <f t="shared" si="381"/>
        <v>-32</v>
      </c>
      <c r="AM165" s="383">
        <f t="shared" si="381"/>
        <v>-340</v>
      </c>
      <c r="AN165" s="384">
        <f t="shared" si="381"/>
        <v>-28</v>
      </c>
      <c r="AO165" s="384">
        <f t="shared" si="381"/>
        <v>-55</v>
      </c>
      <c r="AP165" s="384">
        <f t="shared" si="381"/>
        <v>-16</v>
      </c>
      <c r="AQ165" s="384">
        <f t="shared" si="381"/>
        <v>-122</v>
      </c>
      <c r="AR165" s="383">
        <f t="shared" si="381"/>
        <v>-221</v>
      </c>
      <c r="AS165" s="384">
        <f t="shared" si="381"/>
        <v>-6</v>
      </c>
      <c r="AT165" s="384">
        <f t="shared" si="381"/>
        <v>-27</v>
      </c>
      <c r="AU165" s="384">
        <f t="shared" si="381"/>
        <v>35</v>
      </c>
      <c r="AV165" s="384">
        <f t="shared" si="381"/>
        <v>-68</v>
      </c>
      <c r="AW165" s="383">
        <f t="shared" si="381"/>
        <v>-66</v>
      </c>
      <c r="AX165" s="384">
        <f t="shared" si="381"/>
        <v>-45</v>
      </c>
      <c r="AY165" s="384">
        <f t="shared" si="381"/>
        <v>-18</v>
      </c>
      <c r="AZ165" s="384">
        <f t="shared" si="381"/>
        <v>-14</v>
      </c>
      <c r="BA165" s="384">
        <f t="shared" si="381"/>
        <v>-119</v>
      </c>
      <c r="BB165" s="383">
        <f>SUM(BB161:BB163)</f>
        <v>-196</v>
      </c>
      <c r="BC165" s="384">
        <f>SUM(BC161:BC163)</f>
        <v>-15</v>
      </c>
      <c r="BD165" s="384">
        <f t="shared" ref="BD165:CE165" si="382">SUM(BD161:BD163)</f>
        <v>67</v>
      </c>
      <c r="BE165" s="384">
        <f t="shared" si="382"/>
        <v>-70</v>
      </c>
      <c r="BF165" s="384">
        <f t="shared" si="382"/>
        <v>-60</v>
      </c>
      <c r="BG165" s="383">
        <f>SUM(BG161:BG163)</f>
        <v>-78</v>
      </c>
      <c r="BH165" s="384">
        <f t="shared" si="382"/>
        <v>-48</v>
      </c>
      <c r="BI165" s="384">
        <f t="shared" si="382"/>
        <v>129</v>
      </c>
      <c r="BJ165" s="384">
        <f t="shared" si="382"/>
        <v>49</v>
      </c>
      <c r="BK165" s="384">
        <f t="shared" si="382"/>
        <v>-60</v>
      </c>
      <c r="BL165" s="383">
        <f>SUM(BL161:BL163)</f>
        <v>70</v>
      </c>
      <c r="BM165" s="384">
        <f t="shared" si="382"/>
        <v>-63</v>
      </c>
      <c r="BN165" s="384">
        <f t="shared" si="382"/>
        <v>-3</v>
      </c>
      <c r="BO165" s="384">
        <f t="shared" si="382"/>
        <v>-40</v>
      </c>
      <c r="BP165" s="384">
        <f t="shared" si="382"/>
        <v>-1698</v>
      </c>
      <c r="BQ165" s="383">
        <f>SUM(BQ161:BQ163)</f>
        <v>-1804</v>
      </c>
      <c r="BR165" s="384">
        <f t="shared" si="382"/>
        <v>-19</v>
      </c>
      <c r="BS165" s="384">
        <f t="shared" si="382"/>
        <v>-75</v>
      </c>
      <c r="BT165" s="384">
        <f t="shared" si="382"/>
        <v>-90</v>
      </c>
      <c r="BU165" s="384">
        <f t="shared" si="382"/>
        <v>-500</v>
      </c>
      <c r="BV165" s="383">
        <f>SUM(BV161:BV163)</f>
        <v>-684</v>
      </c>
      <c r="BW165" s="384">
        <f t="shared" si="382"/>
        <v>-23</v>
      </c>
      <c r="BX165" s="384">
        <f t="shared" si="382"/>
        <v>-30</v>
      </c>
      <c r="BY165" s="384">
        <f t="shared" si="382"/>
        <v>-119</v>
      </c>
      <c r="BZ165" s="384">
        <f t="shared" si="382"/>
        <v>-60</v>
      </c>
      <c r="CA165" s="383">
        <f>SUM(CA161:CA163)</f>
        <v>-232</v>
      </c>
      <c r="CB165" s="384">
        <f t="shared" si="382"/>
        <v>-59</v>
      </c>
      <c r="CC165" s="384">
        <f t="shared" si="382"/>
        <v>-104</v>
      </c>
      <c r="CD165" s="384">
        <f t="shared" si="382"/>
        <v>-361</v>
      </c>
      <c r="CE165" s="384">
        <f t="shared" si="382"/>
        <v>-217</v>
      </c>
      <c r="CF165" s="383">
        <f>SUM(CF161:CF163)</f>
        <v>-741</v>
      </c>
      <c r="CG165" s="384">
        <f>SUM(CG161:CG164)</f>
        <v>-249</v>
      </c>
      <c r="CH165" s="384">
        <f t="shared" ref="CH165:CP165" si="383">SUM(CH161:CH164)</f>
        <v>-54</v>
      </c>
      <c r="CI165" s="384">
        <f t="shared" si="383"/>
        <v>-41</v>
      </c>
      <c r="CJ165" s="384">
        <f t="shared" si="383"/>
        <v>-203</v>
      </c>
      <c r="CK165" s="383">
        <f t="shared" si="383"/>
        <v>-547</v>
      </c>
      <c r="CL165" s="384">
        <f t="shared" si="383"/>
        <v>-132.38888888888869</v>
      </c>
      <c r="CM165" s="384">
        <f t="shared" si="383"/>
        <v>-3996.5180995475112</v>
      </c>
      <c r="CN165" s="384">
        <f t="shared" si="383"/>
        <v>-220.32284980744544</v>
      </c>
      <c r="CO165" s="384">
        <f t="shared" si="383"/>
        <v>-649.77016175615472</v>
      </c>
      <c r="CP165" s="383">
        <f t="shared" si="383"/>
        <v>-1779</v>
      </c>
      <c r="CQ165" s="384">
        <f t="shared" ref="CQ165:CV165" si="384">SUM(CQ161:CQ164)</f>
        <v>-117.26927306719442</v>
      </c>
      <c r="CR165" s="384">
        <f t="shared" ref="CR165:CS165" si="385">SUM(CR161:CR164)</f>
        <v>-60.877936784946655</v>
      </c>
      <c r="CS165" s="384">
        <f t="shared" si="385"/>
        <v>-18.481176725587602</v>
      </c>
      <c r="CT165" s="384">
        <f t="shared" ref="CT165" si="386">SUM(CT161:CT164)</f>
        <v>94.628386577728918</v>
      </c>
      <c r="CU165" s="383">
        <f t="shared" si="384"/>
        <v>-101.99999999999977</v>
      </c>
      <c r="CV165" s="384">
        <f t="shared" si="384"/>
        <v>-301</v>
      </c>
      <c r="CW165" s="384">
        <f t="shared" ref="CW165:CZ165" si="387">SUM(CW161:CW164)</f>
        <v>-72</v>
      </c>
      <c r="CX165" s="384">
        <f t="shared" si="387"/>
        <v>-24</v>
      </c>
      <c r="CY165" s="384">
        <f t="shared" si="387"/>
        <v>-59</v>
      </c>
      <c r="CZ165" s="383">
        <f t="shared" si="387"/>
        <v>-406</v>
      </c>
      <c r="DA165" s="384">
        <f t="shared" ref="DA165:DF165" si="388">SUM(DA161:DA164)</f>
        <v>-38</v>
      </c>
      <c r="DB165" s="384">
        <f t="shared" si="388"/>
        <v>-240</v>
      </c>
      <c r="DC165" s="384">
        <f t="shared" si="388"/>
        <v>-3107</v>
      </c>
      <c r="DD165" s="384">
        <f t="shared" si="388"/>
        <v>5</v>
      </c>
      <c r="DE165" s="383">
        <f t="shared" si="388"/>
        <v>-3341</v>
      </c>
      <c r="DF165" s="384">
        <f t="shared" si="388"/>
        <v>78</v>
      </c>
      <c r="DG165" s="384">
        <f t="shared" ref="DG165:DH165" si="389">SUM(DG161:DG164)</f>
        <v>-2031</v>
      </c>
      <c r="DH165" s="384">
        <f t="shared" si="389"/>
        <v>-451</v>
      </c>
      <c r="DI165" s="384">
        <f t="shared" ref="DI165:DK165" si="390">SUM(DI161:DI164)</f>
        <v>-741</v>
      </c>
      <c r="DJ165" s="383">
        <f t="shared" si="390"/>
        <v>-1587</v>
      </c>
      <c r="DK165" s="384">
        <f t="shared" si="390"/>
        <v>-158</v>
      </c>
      <c r="DL165" s="384">
        <f t="shared" ref="DL165:DP165" si="391">SUM(DL161:DL164)</f>
        <v>-160</v>
      </c>
      <c r="DM165" s="384">
        <f t="shared" si="391"/>
        <v>0</v>
      </c>
      <c r="DN165" s="384">
        <f t="shared" si="391"/>
        <v>0</v>
      </c>
      <c r="DO165" s="383">
        <f t="shared" si="391"/>
        <v>-359</v>
      </c>
      <c r="DP165" s="384">
        <f t="shared" si="391"/>
        <v>0</v>
      </c>
      <c r="DQ165" s="384">
        <f t="shared" ref="DQ165:DT165" si="392">SUM(DQ161:DQ164)</f>
        <v>0</v>
      </c>
      <c r="DR165" s="384">
        <f t="shared" si="392"/>
        <v>0</v>
      </c>
      <c r="DS165" s="384">
        <f t="shared" si="392"/>
        <v>0</v>
      </c>
      <c r="DT165" s="383">
        <f t="shared" si="392"/>
        <v>0</v>
      </c>
      <c r="DU165" s="383">
        <f t="shared" ref="DU165:DV165" si="393">SUM(DU161:DU164)</f>
        <v>0</v>
      </c>
      <c r="DV165" s="383">
        <f t="shared" si="393"/>
        <v>0</v>
      </c>
    </row>
    <row r="166" spans="1:126" s="92" customFormat="1" collapsed="1">
      <c r="B166" s="382"/>
      <c r="C166" s="91"/>
      <c r="D166" s="91"/>
      <c r="E166" s="91"/>
      <c r="F166" s="91"/>
      <c r="G166" s="91"/>
      <c r="H166" s="91"/>
      <c r="I166" s="91"/>
      <c r="N166" s="91"/>
      <c r="S166" s="91"/>
      <c r="T166" s="407"/>
      <c r="U166" s="407"/>
      <c r="V166" s="407"/>
      <c r="W166" s="407"/>
      <c r="X166" s="91"/>
      <c r="Y166" s="407"/>
      <c r="Z166" s="407"/>
      <c r="AA166" s="407"/>
      <c r="AB166" s="407"/>
      <c r="AC166" s="91"/>
      <c r="AD166" s="407"/>
      <c r="AE166" s="407"/>
      <c r="AF166" s="407"/>
      <c r="AG166" s="407"/>
      <c r="AH166" s="91"/>
      <c r="AI166" s="407"/>
      <c r="AJ166" s="407"/>
      <c r="AK166" s="407"/>
      <c r="AL166" s="407"/>
      <c r="AM166" s="91"/>
      <c r="AN166" s="407"/>
      <c r="AO166" s="407"/>
      <c r="AP166" s="407"/>
      <c r="AQ166" s="407"/>
      <c r="AR166" s="91"/>
      <c r="AS166" s="407"/>
      <c r="AT166" s="407"/>
      <c r="AU166" s="407"/>
      <c r="AV166" s="407"/>
      <c r="AW166" s="91"/>
      <c r="AX166" s="407"/>
      <c r="AY166" s="407"/>
      <c r="BB166" s="91"/>
      <c r="BG166" s="91"/>
      <c r="BK166" s="3"/>
      <c r="BL166" s="91"/>
      <c r="BQ166" s="91"/>
      <c r="BV166" s="91"/>
      <c r="CA166" s="91"/>
      <c r="CF166" s="91"/>
      <c r="CG166" s="466"/>
      <c r="CK166" s="91"/>
      <c r="CP166" s="91"/>
      <c r="CU166" s="91"/>
      <c r="CZ166" s="91"/>
      <c r="DE166" s="91"/>
      <c r="DJ166" s="91"/>
      <c r="DO166" s="91"/>
      <c r="DT166" s="91"/>
      <c r="DU166" s="91"/>
      <c r="DV166" s="91"/>
    </row>
    <row r="167" spans="1:126" s="92" customFormat="1">
      <c r="B167" s="64" t="s">
        <v>232</v>
      </c>
      <c r="C167" s="91"/>
      <c r="D167" s="91"/>
      <c r="E167" s="91"/>
      <c r="F167" s="91"/>
      <c r="G167" s="91"/>
      <c r="H167" s="91"/>
      <c r="I167" s="91"/>
      <c r="N167" s="91"/>
      <c r="S167" s="91"/>
      <c r="T167" s="407"/>
      <c r="U167" s="407"/>
      <c r="V167" s="407"/>
      <c r="W167" s="407"/>
      <c r="X167" s="91"/>
      <c r="Y167" s="407"/>
      <c r="Z167" s="407"/>
      <c r="AA167" s="407"/>
      <c r="AB167" s="407"/>
      <c r="AC167" s="91"/>
      <c r="AD167" s="407"/>
      <c r="AE167" s="407"/>
      <c r="AF167" s="407"/>
      <c r="AG167" s="407"/>
      <c r="AH167" s="91"/>
      <c r="AI167" s="407"/>
      <c r="AJ167" s="407"/>
      <c r="AK167" s="407"/>
      <c r="AL167" s="407"/>
      <c r="AM167" s="91"/>
      <c r="AN167" s="407"/>
      <c r="AO167" s="407"/>
      <c r="AP167" s="407"/>
      <c r="AQ167" s="407"/>
      <c r="AR167" s="91"/>
      <c r="AS167" s="407"/>
      <c r="AT167" s="407"/>
      <c r="AU167" s="407"/>
      <c r="AV167" s="407"/>
      <c r="AW167" s="91"/>
      <c r="AX167" s="407"/>
      <c r="AY167" s="407"/>
      <c r="BB167" s="91"/>
      <c r="BG167" s="91"/>
      <c r="BK167" s="3"/>
      <c r="BL167" s="91"/>
      <c r="BQ167" s="91"/>
      <c r="BV167" s="91"/>
      <c r="CA167" s="91"/>
      <c r="CF167" s="91"/>
      <c r="CG167" s="466"/>
      <c r="CK167" s="91"/>
      <c r="CP167" s="91"/>
      <c r="CQ167" s="92">
        <f>CV172/$CZ$172</f>
        <v>0.26220976781425143</v>
      </c>
      <c r="CR167" s="92">
        <f t="shared" ref="CR167:CT167" si="394">CW172/$CZ$172</f>
        <v>0.23178542834267413</v>
      </c>
      <c r="CS167" s="92">
        <f t="shared" si="394"/>
        <v>0.27782225780624498</v>
      </c>
      <c r="CT167" s="92">
        <f t="shared" si="394"/>
        <v>0.22818254603682947</v>
      </c>
      <c r="CU167" s="119"/>
      <c r="CV167" s="470"/>
      <c r="CW167" s="470"/>
      <c r="CX167" s="470"/>
      <c r="CY167" s="470"/>
      <c r="CZ167" s="119"/>
      <c r="DE167" s="91"/>
      <c r="DJ167" s="91"/>
      <c r="DO167" s="91"/>
      <c r="DT167" s="91"/>
      <c r="DU167" s="91"/>
      <c r="DV167" s="91"/>
    </row>
    <row r="168" spans="1:126" s="128" customFormat="1">
      <c r="A168" s="92"/>
      <c r="B168" s="115" t="str">
        <f>+B132</f>
        <v>Pratt &amp; Whitney</v>
      </c>
      <c r="C168" s="112">
        <f t="shared" ref="C168:AH168" si="395">+C132-C156</f>
        <v>816</v>
      </c>
      <c r="D168" s="112">
        <f t="shared" si="395"/>
        <v>1024</v>
      </c>
      <c r="E168" s="112">
        <f t="shared" si="395"/>
        <v>634</v>
      </c>
      <c r="F168" s="112">
        <f t="shared" si="395"/>
        <v>1200</v>
      </c>
      <c r="G168" s="112">
        <f t="shared" si="395"/>
        <v>1308</v>
      </c>
      <c r="H168" s="112">
        <f t="shared" si="395"/>
        <v>1282</v>
      </c>
      <c r="I168" s="112">
        <f t="shared" si="395"/>
        <v>1063</v>
      </c>
      <c r="J168" s="113">
        <f t="shared" si="395"/>
        <v>206</v>
      </c>
      <c r="K168" s="113">
        <f t="shared" si="395"/>
        <v>295</v>
      </c>
      <c r="L168" s="113">
        <f t="shared" si="395"/>
        <v>302</v>
      </c>
      <c r="M168" s="113">
        <f t="shared" si="395"/>
        <v>280</v>
      </c>
      <c r="N168" s="112">
        <f t="shared" si="395"/>
        <v>1083</v>
      </c>
      <c r="O168" s="113">
        <f t="shared" si="395"/>
        <v>340</v>
      </c>
      <c r="P168" s="113">
        <f t="shared" si="395"/>
        <v>368</v>
      </c>
      <c r="Q168" s="113">
        <f t="shared" si="395"/>
        <v>379</v>
      </c>
      <c r="R168" s="113">
        <f t="shared" si="395"/>
        <v>362</v>
      </c>
      <c r="S168" s="112">
        <f t="shared" si="395"/>
        <v>1449</v>
      </c>
      <c r="T168" s="113">
        <f t="shared" si="395"/>
        <v>442</v>
      </c>
      <c r="U168" s="113">
        <f t="shared" si="395"/>
        <v>546</v>
      </c>
      <c r="V168" s="113">
        <f t="shared" si="395"/>
        <v>456</v>
      </c>
      <c r="W168" s="113">
        <f t="shared" si="395"/>
        <v>441</v>
      </c>
      <c r="X168" s="112">
        <f t="shared" si="395"/>
        <v>1885</v>
      </c>
      <c r="Y168" s="113">
        <f t="shared" si="395"/>
        <v>470</v>
      </c>
      <c r="Z168" s="113">
        <f t="shared" si="395"/>
        <v>529</v>
      </c>
      <c r="AA168" s="113">
        <f t="shared" si="395"/>
        <v>515</v>
      </c>
      <c r="AB168" s="113">
        <f t="shared" si="395"/>
        <v>510</v>
      </c>
      <c r="AC168" s="112">
        <f t="shared" si="395"/>
        <v>2024</v>
      </c>
      <c r="AD168" s="113">
        <f t="shared" si="395"/>
        <v>540</v>
      </c>
      <c r="AE168" s="113">
        <f t="shared" si="395"/>
        <v>563</v>
      </c>
      <c r="AF168" s="113">
        <f t="shared" si="395"/>
        <v>545</v>
      </c>
      <c r="AG168" s="113">
        <f t="shared" si="395"/>
        <v>553</v>
      </c>
      <c r="AH168" s="112">
        <f t="shared" si="395"/>
        <v>2201</v>
      </c>
      <c r="AI168" s="113">
        <f t="shared" ref="AI168:BN168" si="396">+AI132-AI156</f>
        <v>500</v>
      </c>
      <c r="AJ168" s="113">
        <f t="shared" si="396"/>
        <v>523</v>
      </c>
      <c r="AK168" s="113">
        <f t="shared" si="396"/>
        <v>501</v>
      </c>
      <c r="AL168" s="113">
        <f t="shared" si="396"/>
        <v>501</v>
      </c>
      <c r="AM168" s="112">
        <f t="shared" si="396"/>
        <v>2025</v>
      </c>
      <c r="AN168" s="113">
        <f t="shared" si="396"/>
        <v>462</v>
      </c>
      <c r="AO168" s="113">
        <f t="shared" si="396"/>
        <v>531</v>
      </c>
      <c r="AP168" s="113">
        <f t="shared" si="396"/>
        <v>560</v>
      </c>
      <c r="AQ168" s="113">
        <f t="shared" si="396"/>
        <v>572</v>
      </c>
      <c r="AR168" s="112">
        <f t="shared" si="396"/>
        <v>2125</v>
      </c>
      <c r="AS168" s="113">
        <f t="shared" si="396"/>
        <v>432</v>
      </c>
      <c r="AT168" s="113">
        <f t="shared" si="396"/>
        <v>449</v>
      </c>
      <c r="AU168" s="113">
        <f t="shared" si="396"/>
        <v>460</v>
      </c>
      <c r="AV168" s="113">
        <f t="shared" si="396"/>
        <v>537</v>
      </c>
      <c r="AW168" s="112">
        <f t="shared" si="396"/>
        <v>1878</v>
      </c>
      <c r="AX168" s="113">
        <f t="shared" si="396"/>
        <v>426.34229452735406</v>
      </c>
      <c r="AY168" s="113">
        <f t="shared" si="396"/>
        <v>444.50877621436848</v>
      </c>
      <c r="AZ168" s="113">
        <f t="shared" si="396"/>
        <v>411.84284946631078</v>
      </c>
      <c r="BA168" s="113">
        <f t="shared" si="396"/>
        <v>397.34895379483464</v>
      </c>
      <c r="BB168" s="112">
        <f t="shared" si="396"/>
        <v>1680.0428740028681</v>
      </c>
      <c r="BC168" s="113">
        <f t="shared" si="396"/>
        <v>425.55993684702946</v>
      </c>
      <c r="BD168" s="113">
        <f t="shared" si="396"/>
        <v>474.73196792361102</v>
      </c>
      <c r="BE168" s="113">
        <f t="shared" si="396"/>
        <v>495.72974816778418</v>
      </c>
      <c r="BF168" s="113">
        <f t="shared" si="396"/>
        <v>499.07048068720701</v>
      </c>
      <c r="BG168" s="112">
        <f t="shared" si="396"/>
        <v>1895.0921336256317</v>
      </c>
      <c r="BH168" s="113">
        <f t="shared" si="396"/>
        <v>445.45661118805856</v>
      </c>
      <c r="BI168" s="113">
        <f t="shared" si="396"/>
        <v>565.25572328572775</v>
      </c>
      <c r="BJ168" s="113">
        <f t="shared" si="396"/>
        <v>563.30122828017852</v>
      </c>
      <c r="BK168" s="113">
        <f t="shared" si="396"/>
        <v>554.97492417363014</v>
      </c>
      <c r="BL168" s="112">
        <f t="shared" si="396"/>
        <v>2128.9884869275947</v>
      </c>
      <c r="BM168" s="113">
        <f t="shared" si="396"/>
        <v>447.40654629230454</v>
      </c>
      <c r="BN168" s="113">
        <f t="shared" si="396"/>
        <v>491.58745639219353</v>
      </c>
      <c r="BO168" s="113">
        <f t="shared" ref="BO168:CK168" si="397">+BO132-BO156</f>
        <v>451.5785773688861</v>
      </c>
      <c r="BP168" s="113">
        <f t="shared" si="397"/>
        <v>499.98035317354754</v>
      </c>
      <c r="BQ168" s="112">
        <f t="shared" si="397"/>
        <v>1890.5529332269316</v>
      </c>
      <c r="BR168" s="113">
        <f t="shared" si="397"/>
        <v>431.2049092988201</v>
      </c>
      <c r="BS168" s="113">
        <f t="shared" si="397"/>
        <v>471.86750641313751</v>
      </c>
      <c r="BT168" s="113">
        <f t="shared" si="397"/>
        <v>431.70324448194992</v>
      </c>
      <c r="BU168" s="113">
        <f t="shared" si="397"/>
        <v>409.78981495919743</v>
      </c>
      <c r="BV168" s="112">
        <f t="shared" si="397"/>
        <v>1744.5654751531049</v>
      </c>
      <c r="BW168" s="113">
        <f t="shared" si="397"/>
        <v>365.51048651177297</v>
      </c>
      <c r="BX168" s="113">
        <f t="shared" si="397"/>
        <v>386.66919905339336</v>
      </c>
      <c r="BY168" s="113">
        <f t="shared" si="397"/>
        <v>406.4971679768118</v>
      </c>
      <c r="BZ168" s="113">
        <f t="shared" si="397"/>
        <v>387.52824455838783</v>
      </c>
      <c r="CA168" s="112">
        <f t="shared" si="397"/>
        <v>1546.2050981003658</v>
      </c>
      <c r="CB168" s="113">
        <f t="shared" si="397"/>
        <v>456.71273676379116</v>
      </c>
      <c r="CC168" s="113">
        <f t="shared" si="397"/>
        <v>430.72716517666572</v>
      </c>
      <c r="CD168" s="113">
        <f t="shared" si="397"/>
        <v>441.39198204680997</v>
      </c>
      <c r="CE168" s="113">
        <f t="shared" si="397"/>
        <v>380.3831030235026</v>
      </c>
      <c r="CF168" s="195">
        <f t="shared" si="397"/>
        <v>1709.2149870107694</v>
      </c>
      <c r="CG168" s="208">
        <f t="shared" si="397"/>
        <v>492</v>
      </c>
      <c r="CH168" s="208">
        <f t="shared" si="397"/>
        <v>452</v>
      </c>
      <c r="CI168" s="208">
        <f t="shared" si="397"/>
        <v>520</v>
      </c>
      <c r="CJ168" s="208">
        <f t="shared" si="397"/>
        <v>470</v>
      </c>
      <c r="CK168" s="195">
        <f t="shared" si="397"/>
        <v>1934</v>
      </c>
      <c r="CL168" s="208">
        <v>515</v>
      </c>
      <c r="CM168" s="208">
        <v>-151</v>
      </c>
      <c r="CN168" s="208">
        <v>-43</v>
      </c>
      <c r="CO168" s="208">
        <v>105</v>
      </c>
      <c r="CP168" s="195">
        <f>+CP132-CP156</f>
        <v>426</v>
      </c>
      <c r="CQ168" s="208">
        <v>40</v>
      </c>
      <c r="CR168" s="208">
        <v>96</v>
      </c>
      <c r="CS168" s="208">
        <v>189</v>
      </c>
      <c r="CT168" s="208">
        <v>162</v>
      </c>
      <c r="CU168" s="195">
        <f>+CU132-CU156</f>
        <v>487</v>
      </c>
      <c r="CV168" s="208">
        <v>308</v>
      </c>
      <c r="CW168" s="208">
        <v>303</v>
      </c>
      <c r="CX168" s="208">
        <v>318</v>
      </c>
      <c r="CY168" s="208">
        <v>321</v>
      </c>
      <c r="CZ168" s="195">
        <f>+CZ132-CZ156</f>
        <v>1250</v>
      </c>
      <c r="DA168" s="208">
        <v>434</v>
      </c>
      <c r="DB168" s="208">
        <v>436</v>
      </c>
      <c r="DC168" s="208">
        <v>413</v>
      </c>
      <c r="DD168" s="208">
        <v>405</v>
      </c>
      <c r="DE168" s="195">
        <f>+DE132-DE156</f>
        <v>1688</v>
      </c>
      <c r="DF168" s="208">
        <v>430</v>
      </c>
      <c r="DG168" s="208">
        <v>537</v>
      </c>
      <c r="DH168" s="208">
        <v>597</v>
      </c>
      <c r="DI168" s="208">
        <v>717</v>
      </c>
      <c r="DJ168" s="195">
        <f>+DJ132-DJ156</f>
        <v>2281</v>
      </c>
      <c r="DK168" s="208">
        <v>590</v>
      </c>
      <c r="DL168" s="843">
        <v>608</v>
      </c>
      <c r="DM168" s="843">
        <v>751</v>
      </c>
      <c r="DN168" s="132">
        <f>DN14*DN189</f>
        <v>723.7856250000001</v>
      </c>
      <c r="DO168" s="195">
        <f>+DO132-DO156</f>
        <v>2672.785625</v>
      </c>
      <c r="DP168" s="132">
        <f>DP14*DP189</f>
        <v>645.26159999999993</v>
      </c>
      <c r="DQ168" s="132">
        <f>DQ14*DQ189</f>
        <v>683.31026400000019</v>
      </c>
      <c r="DR168" s="132">
        <f>DR14*DR189</f>
        <v>845.433356</v>
      </c>
      <c r="DS168" s="132">
        <f>DS14*DS189</f>
        <v>838.3992075000001</v>
      </c>
      <c r="DT168" s="195">
        <f>+DT132-DT156</f>
        <v>3012.4044275000001</v>
      </c>
      <c r="DU168" s="70">
        <f>DU14*DU189</f>
        <v>3323.4061003880006</v>
      </c>
      <c r="DV168" s="70">
        <f>DV14*DV189</f>
        <v>3640.2626592772654</v>
      </c>
    </row>
    <row r="169" spans="1:126" s="92" customFormat="1">
      <c r="B169" s="115" t="str">
        <f>+B133</f>
        <v>Collins Aerospace</v>
      </c>
      <c r="C169" s="112">
        <f t="shared" ref="C169:AH169" si="398">+C133-C157</f>
        <v>301</v>
      </c>
      <c r="D169" s="112">
        <f t="shared" si="398"/>
        <v>287</v>
      </c>
      <c r="E169" s="112">
        <f t="shared" si="398"/>
        <v>247</v>
      </c>
      <c r="F169" s="112">
        <f t="shared" si="398"/>
        <v>614</v>
      </c>
      <c r="G169" s="112">
        <f t="shared" si="398"/>
        <v>670</v>
      </c>
      <c r="H169" s="112">
        <f t="shared" si="398"/>
        <v>565</v>
      </c>
      <c r="I169" s="112">
        <f t="shared" si="398"/>
        <v>554</v>
      </c>
      <c r="J169" s="113">
        <f t="shared" si="398"/>
        <v>131</v>
      </c>
      <c r="K169" s="113">
        <f t="shared" si="398"/>
        <v>140</v>
      </c>
      <c r="L169" s="113">
        <f t="shared" si="398"/>
        <v>160</v>
      </c>
      <c r="M169" s="113">
        <f t="shared" si="398"/>
        <v>152</v>
      </c>
      <c r="N169" s="112">
        <f t="shared" si="398"/>
        <v>583</v>
      </c>
      <c r="O169" s="113">
        <f t="shared" si="398"/>
        <v>152</v>
      </c>
      <c r="P169" s="113">
        <f t="shared" si="398"/>
        <v>170</v>
      </c>
      <c r="Q169" s="113">
        <f t="shared" si="398"/>
        <v>179</v>
      </c>
      <c r="R169" s="113">
        <f t="shared" si="398"/>
        <v>174</v>
      </c>
      <c r="S169" s="112">
        <f t="shared" si="398"/>
        <v>675</v>
      </c>
      <c r="T169" s="113">
        <f t="shared" si="398"/>
        <v>189</v>
      </c>
      <c r="U169" s="113">
        <f t="shared" si="398"/>
        <v>221</v>
      </c>
      <c r="V169" s="113">
        <f t="shared" si="398"/>
        <v>232</v>
      </c>
      <c r="W169" s="113">
        <f t="shared" si="398"/>
        <v>230</v>
      </c>
      <c r="X169" s="112">
        <f t="shared" si="398"/>
        <v>872</v>
      </c>
      <c r="Y169" s="113">
        <f t="shared" si="398"/>
        <v>224</v>
      </c>
      <c r="Z169" s="113">
        <f t="shared" si="398"/>
        <v>252</v>
      </c>
      <c r="AA169" s="113">
        <f t="shared" si="398"/>
        <v>257</v>
      </c>
      <c r="AB169" s="113">
        <f t="shared" si="398"/>
        <v>257</v>
      </c>
      <c r="AC169" s="112">
        <f t="shared" si="398"/>
        <v>990</v>
      </c>
      <c r="AD169" s="113">
        <f t="shared" si="398"/>
        <v>230</v>
      </c>
      <c r="AE169" s="113">
        <f t="shared" si="398"/>
        <v>280</v>
      </c>
      <c r="AF169" s="113">
        <f t="shared" si="398"/>
        <v>288</v>
      </c>
      <c r="AG169" s="113">
        <f t="shared" si="398"/>
        <v>292</v>
      </c>
      <c r="AH169" s="112">
        <f t="shared" si="398"/>
        <v>1090</v>
      </c>
      <c r="AI169" s="113">
        <f t="shared" ref="AI169:BN169" si="399">+AI133-AI157</f>
        <v>211</v>
      </c>
      <c r="AJ169" s="113">
        <f t="shared" si="399"/>
        <v>224</v>
      </c>
      <c r="AK169" s="113">
        <f t="shared" si="399"/>
        <v>260</v>
      </c>
      <c r="AL169" s="113">
        <f t="shared" si="399"/>
        <v>250</v>
      </c>
      <c r="AM169" s="112">
        <f t="shared" si="399"/>
        <v>945</v>
      </c>
      <c r="AN169" s="113">
        <f t="shared" si="399"/>
        <v>223</v>
      </c>
      <c r="AO169" s="113">
        <f t="shared" si="399"/>
        <v>239</v>
      </c>
      <c r="AP169" s="113">
        <f t="shared" si="399"/>
        <v>257</v>
      </c>
      <c r="AQ169" s="113">
        <f t="shared" si="399"/>
        <v>264</v>
      </c>
      <c r="AR169" s="112">
        <f t="shared" si="399"/>
        <v>983</v>
      </c>
      <c r="AS169" s="113">
        <f t="shared" si="399"/>
        <v>174</v>
      </c>
      <c r="AT169" s="113">
        <f t="shared" si="399"/>
        <v>187</v>
      </c>
      <c r="AU169" s="113">
        <f t="shared" si="399"/>
        <v>205</v>
      </c>
      <c r="AV169" s="113">
        <f t="shared" si="399"/>
        <v>204</v>
      </c>
      <c r="AW169" s="112">
        <f t="shared" si="399"/>
        <v>770</v>
      </c>
      <c r="AX169" s="113">
        <f t="shared" si="399"/>
        <v>222.43182888312037</v>
      </c>
      <c r="AY169" s="113">
        <f t="shared" si="399"/>
        <v>236.65380446580627</v>
      </c>
      <c r="AZ169" s="113">
        <f t="shared" si="399"/>
        <v>327.76590213506267</v>
      </c>
      <c r="BA169" s="113">
        <f t="shared" si="399"/>
        <v>353.4407079064278</v>
      </c>
      <c r="BB169" s="112">
        <f t="shared" si="399"/>
        <v>1140.2922433904171</v>
      </c>
      <c r="BC169" s="113">
        <f t="shared" si="399"/>
        <v>554.06958521752688</v>
      </c>
      <c r="BD169" s="113">
        <f t="shared" si="399"/>
        <v>570.63229331963566</v>
      </c>
      <c r="BE169" s="113">
        <f t="shared" si="399"/>
        <v>566.29600031186646</v>
      </c>
      <c r="BF169" s="113">
        <f t="shared" si="399"/>
        <v>576.41697700443035</v>
      </c>
      <c r="BG169" s="112">
        <f t="shared" si="399"/>
        <v>2267.4148558534594</v>
      </c>
      <c r="BH169" s="113">
        <f t="shared" si="399"/>
        <v>645.2532134481736</v>
      </c>
      <c r="BI169" s="113">
        <f t="shared" si="399"/>
        <v>696.31869624506601</v>
      </c>
      <c r="BJ169" s="113">
        <f t="shared" si="399"/>
        <v>636.71270290433347</v>
      </c>
      <c r="BK169" s="113">
        <f t="shared" si="399"/>
        <v>661.27763076226904</v>
      </c>
      <c r="BL169" s="112">
        <f t="shared" si="399"/>
        <v>2639.5622433598419</v>
      </c>
      <c r="BM169" s="113">
        <f t="shared" si="399"/>
        <v>668.54803050176872</v>
      </c>
      <c r="BN169" s="113">
        <f t="shared" si="399"/>
        <v>612.45591063495408</v>
      </c>
      <c r="BO169" s="113">
        <f t="shared" ref="BO169:CK169" si="400">+BO133-BO157</f>
        <v>629.11073860387751</v>
      </c>
      <c r="BP169" s="113">
        <f t="shared" si="400"/>
        <v>530.9797730100928</v>
      </c>
      <c r="BQ169" s="112">
        <f t="shared" si="400"/>
        <v>2441.0944527506936</v>
      </c>
      <c r="BR169" s="113">
        <f t="shared" si="400"/>
        <v>603.86228494204477</v>
      </c>
      <c r="BS169" s="113">
        <f t="shared" si="400"/>
        <v>647.74574776113468</v>
      </c>
      <c r="BT169" s="113">
        <f t="shared" si="400"/>
        <v>665.86006518621798</v>
      </c>
      <c r="BU169" s="113">
        <f t="shared" si="400"/>
        <v>545.97549248921462</v>
      </c>
      <c r="BV169" s="112">
        <f t="shared" si="400"/>
        <v>2463.443590378612</v>
      </c>
      <c r="BW169" s="113">
        <f t="shared" si="400"/>
        <v>600.5194916575706</v>
      </c>
      <c r="BX169" s="113">
        <f t="shared" si="400"/>
        <v>615.06444171306441</v>
      </c>
      <c r="BY169" s="113">
        <f t="shared" si="400"/>
        <v>653.50173361095563</v>
      </c>
      <c r="BZ169" s="113">
        <f t="shared" si="400"/>
        <v>595.20983571972374</v>
      </c>
      <c r="CA169" s="112">
        <f t="shared" si="400"/>
        <v>2464.295502701314</v>
      </c>
      <c r="CB169" s="113">
        <f t="shared" si="400"/>
        <v>1052.8477515824907</v>
      </c>
      <c r="CC169" s="113">
        <f t="shared" si="400"/>
        <v>1070.5336561329902</v>
      </c>
      <c r="CD169" s="113">
        <f t="shared" si="400"/>
        <v>1049.7534119598492</v>
      </c>
      <c r="CE169" s="113">
        <f t="shared" si="400"/>
        <v>1154.4082399287727</v>
      </c>
      <c r="CF169" s="195">
        <f t="shared" si="400"/>
        <v>4327.5430596041024</v>
      </c>
      <c r="CG169" s="208">
        <f t="shared" si="400"/>
        <v>1209</v>
      </c>
      <c r="CH169" s="208">
        <f t="shared" si="400"/>
        <v>1293</v>
      </c>
      <c r="CI169" s="208">
        <f t="shared" si="400"/>
        <v>1286</v>
      </c>
      <c r="CJ169" s="208">
        <f t="shared" si="400"/>
        <v>1061</v>
      </c>
      <c r="CK169" s="195">
        <f t="shared" si="400"/>
        <v>4849</v>
      </c>
      <c r="CL169" s="208">
        <f>1284+120+16</f>
        <v>1420</v>
      </c>
      <c r="CM169" s="208">
        <f>24+120+16</f>
        <v>160</v>
      </c>
      <c r="CN169" s="208">
        <f>73+120+16</f>
        <v>209</v>
      </c>
      <c r="CO169" s="208">
        <f>89+120+16</f>
        <v>225</v>
      </c>
      <c r="CP169" s="195">
        <v>2014</v>
      </c>
      <c r="CQ169" s="208">
        <v>567.67403497195642</v>
      </c>
      <c r="CR169" s="208">
        <v>586.83602771362587</v>
      </c>
      <c r="CS169" s="208">
        <v>603.60277136258662</v>
      </c>
      <c r="CT169" s="208">
        <v>661.88716595183087</v>
      </c>
      <c r="CU169" s="195">
        <v>2420</v>
      </c>
      <c r="CV169" s="208">
        <f>584+127</f>
        <v>711</v>
      </c>
      <c r="CW169" s="208">
        <f>617+118</f>
        <v>735</v>
      </c>
      <c r="CX169" s="208">
        <f>630+126</f>
        <v>756</v>
      </c>
      <c r="CY169" s="208">
        <f>743+102</f>
        <v>845</v>
      </c>
      <c r="CZ169" s="195">
        <f>+CZ133-CZ157</f>
        <v>3047</v>
      </c>
      <c r="DA169" s="208">
        <f>800+103</f>
        <v>903</v>
      </c>
      <c r="DB169" s="208">
        <f>837+78</f>
        <v>915</v>
      </c>
      <c r="DC169" s="208">
        <v>1043</v>
      </c>
      <c r="DD169" s="208">
        <v>1035</v>
      </c>
      <c r="DE169" s="195">
        <f>+DE133-DE157</f>
        <v>3896</v>
      </c>
      <c r="DF169" s="208">
        <v>1048</v>
      </c>
      <c r="DG169" s="208">
        <v>1145</v>
      </c>
      <c r="DH169" s="208">
        <v>1096</v>
      </c>
      <c r="DI169" s="208">
        <v>1207</v>
      </c>
      <c r="DJ169" s="195">
        <f>+DJ133-DJ157</f>
        <v>4496</v>
      </c>
      <c r="DK169" s="208">
        <v>1227</v>
      </c>
      <c r="DL169" s="843">
        <v>1249</v>
      </c>
      <c r="DM169" s="843">
        <v>1194</v>
      </c>
      <c r="DN169" s="132">
        <f>DN26*DN190</f>
        <v>1193.0396800000001</v>
      </c>
      <c r="DO169" s="195">
        <f>+DO133-DO157</f>
        <v>4929.0396799999999</v>
      </c>
      <c r="DP169" s="132">
        <f>DP26*DP190</f>
        <v>1160.3282400000001</v>
      </c>
      <c r="DQ169" s="132">
        <f>DQ26*DQ190</f>
        <v>1257.5585600000002</v>
      </c>
      <c r="DR169" s="132">
        <f>DR26*DR190</f>
        <v>1358.4292</v>
      </c>
      <c r="DS169" s="132">
        <f>DS26*DS190</f>
        <v>1379.168783076</v>
      </c>
      <c r="DT169" s="195">
        <f>+DT133-DT157</f>
        <v>5155.484783076</v>
      </c>
      <c r="DU169" s="70">
        <f>DU26*DU190</f>
        <v>5692.9139507960999</v>
      </c>
      <c r="DV169" s="70">
        <f>DV26*DV190</f>
        <v>6194.2807497084978</v>
      </c>
    </row>
    <row r="170" spans="1:126" s="92" customFormat="1" hidden="1" outlineLevel="1">
      <c r="B170" s="180" t="s">
        <v>570</v>
      </c>
      <c r="C170" s="112"/>
      <c r="D170" s="112"/>
      <c r="E170" s="112"/>
      <c r="F170" s="112"/>
      <c r="G170" s="112"/>
      <c r="H170" s="112"/>
      <c r="I170" s="112"/>
      <c r="J170" s="113"/>
      <c r="K170" s="113"/>
      <c r="L170" s="113"/>
      <c r="M170" s="113"/>
      <c r="N170" s="112"/>
      <c r="O170" s="113"/>
      <c r="P170" s="113"/>
      <c r="Q170" s="113"/>
      <c r="R170" s="113"/>
      <c r="S170" s="112"/>
      <c r="T170" s="113"/>
      <c r="U170" s="113"/>
      <c r="V170" s="113"/>
      <c r="W170" s="113"/>
      <c r="X170" s="112"/>
      <c r="Y170" s="113"/>
      <c r="Z170" s="113"/>
      <c r="AA170" s="113"/>
      <c r="AB170" s="113"/>
      <c r="AC170" s="112"/>
      <c r="AD170" s="113"/>
      <c r="AE170" s="113"/>
      <c r="AF170" s="113"/>
      <c r="AG170" s="113"/>
      <c r="AH170" s="112"/>
      <c r="AI170" s="113"/>
      <c r="AJ170" s="113"/>
      <c r="AK170" s="113"/>
      <c r="AL170" s="113"/>
      <c r="AM170" s="112"/>
      <c r="AN170" s="113"/>
      <c r="AO170" s="113"/>
      <c r="AP170" s="113"/>
      <c r="AQ170" s="113"/>
      <c r="AR170" s="112"/>
      <c r="AS170" s="113"/>
      <c r="AT170" s="113"/>
      <c r="AU170" s="113"/>
      <c r="AV170" s="113"/>
      <c r="AW170" s="112"/>
      <c r="AX170" s="113"/>
      <c r="AY170" s="113"/>
      <c r="AZ170" s="113"/>
      <c r="BA170" s="113"/>
      <c r="BB170" s="112">
        <f t="shared" ref="BB170:CK170" si="401">+BB134-BB158</f>
        <v>1466.5160932297447</v>
      </c>
      <c r="BC170" s="113">
        <f t="shared" si="401"/>
        <v>339.60377358490564</v>
      </c>
      <c r="BD170" s="113">
        <f t="shared" si="401"/>
        <v>333.17369589345174</v>
      </c>
      <c r="BE170" s="113">
        <f t="shared" si="401"/>
        <v>345.17924528301887</v>
      </c>
      <c r="BF170" s="113">
        <f t="shared" si="401"/>
        <v>357.82741398446171</v>
      </c>
      <c r="BG170" s="112">
        <f t="shared" si="401"/>
        <v>1375.784128745838</v>
      </c>
      <c r="BH170" s="113">
        <f t="shared" si="401"/>
        <v>304.86071032186459</v>
      </c>
      <c r="BI170" s="113">
        <f t="shared" si="401"/>
        <v>334.36293007769143</v>
      </c>
      <c r="BJ170" s="113">
        <f t="shared" si="401"/>
        <v>339.74916759156491</v>
      </c>
      <c r="BK170" s="113">
        <f t="shared" si="401"/>
        <v>329.56492785793563</v>
      </c>
      <c r="BL170" s="112">
        <f t="shared" si="401"/>
        <v>1308.5377358490564</v>
      </c>
      <c r="BM170" s="113">
        <f t="shared" si="401"/>
        <v>466.60932297447283</v>
      </c>
      <c r="BN170" s="113">
        <f t="shared" si="401"/>
        <v>300.15704772475027</v>
      </c>
      <c r="BO170" s="113">
        <f t="shared" si="401"/>
        <v>318.17924528301887</v>
      </c>
      <c r="BP170" s="113">
        <f t="shared" si="401"/>
        <v>306.17480577136513</v>
      </c>
      <c r="BQ170" s="112">
        <f t="shared" si="401"/>
        <v>1391.1204217536072</v>
      </c>
      <c r="BR170" s="113">
        <f t="shared" si="401"/>
        <v>261.60377358490564</v>
      </c>
      <c r="BS170" s="113">
        <f t="shared" si="401"/>
        <v>317.44728079911209</v>
      </c>
      <c r="BT170" s="113">
        <f t="shared" si="401"/>
        <v>321.35793562708102</v>
      </c>
      <c r="BU170" s="113">
        <f t="shared" si="401"/>
        <v>302.14150943396226</v>
      </c>
      <c r="BV170" s="112">
        <f t="shared" si="401"/>
        <v>1202.5504994450612</v>
      </c>
      <c r="BW170" s="113">
        <f t="shared" si="401"/>
        <v>285.33018867924528</v>
      </c>
      <c r="BX170" s="113">
        <f t="shared" si="401"/>
        <v>320.93340732519425</v>
      </c>
      <c r="BY170" s="113">
        <f t="shared" si="401"/>
        <v>314.36348501664816</v>
      </c>
      <c r="BZ170" s="113">
        <f t="shared" si="401"/>
        <v>335.28579356270808</v>
      </c>
      <c r="CA170" s="112">
        <f t="shared" si="401"/>
        <v>1255.9128745837957</v>
      </c>
      <c r="CB170" s="113">
        <f t="shared" si="401"/>
        <v>292.86376248612652</v>
      </c>
      <c r="CC170" s="113">
        <f t="shared" si="401"/>
        <v>310.32769145394008</v>
      </c>
      <c r="CD170" s="113">
        <f t="shared" si="401"/>
        <v>349.16564927857934</v>
      </c>
      <c r="CE170" s="113">
        <f t="shared" si="401"/>
        <v>387.18784683684794</v>
      </c>
      <c r="CF170" s="195">
        <f t="shared" si="401"/>
        <v>1339.5449500554939</v>
      </c>
      <c r="CG170" s="208">
        <f t="shared" si="401"/>
        <v>378</v>
      </c>
      <c r="CH170" s="208">
        <f t="shared" si="401"/>
        <v>397.5</v>
      </c>
      <c r="CI170" s="208">
        <f t="shared" si="401"/>
        <v>422</v>
      </c>
      <c r="CJ170" s="208">
        <f t="shared" si="401"/>
        <v>431</v>
      </c>
      <c r="CK170" s="195">
        <f t="shared" si="401"/>
        <v>1628.5</v>
      </c>
      <c r="CL170" s="208">
        <v>399</v>
      </c>
      <c r="CM170" s="208">
        <v>329</v>
      </c>
      <c r="CN170" s="208">
        <v>350</v>
      </c>
      <c r="CO170" s="208">
        <v>361</v>
      </c>
      <c r="CP170" s="195">
        <f>+CP134-CP158</f>
        <v>1439</v>
      </c>
      <c r="CQ170" s="208">
        <v>388</v>
      </c>
      <c r="CR170" s="208">
        <v>415</v>
      </c>
      <c r="CS170" s="208">
        <v>391</v>
      </c>
      <c r="CT170" s="208">
        <v>400</v>
      </c>
      <c r="CU170" s="195">
        <f>+CU134-CU158</f>
        <v>1594</v>
      </c>
      <c r="CV170" s="208">
        <v>378</v>
      </c>
      <c r="CW170" s="208">
        <v>315</v>
      </c>
      <c r="CX170" s="208">
        <v>371</v>
      </c>
      <c r="CY170" s="208">
        <v>278</v>
      </c>
      <c r="CZ170" s="195">
        <f>+CZ134-CZ158</f>
        <v>1342</v>
      </c>
      <c r="DA170" s="208">
        <v>330</v>
      </c>
      <c r="DB170" s="208">
        <v>297</v>
      </c>
      <c r="DC170" s="208">
        <f>DC41*DC191</f>
        <v>0</v>
      </c>
      <c r="DD170" s="208">
        <v>0</v>
      </c>
      <c r="DE170" s="195">
        <f>+DE134-DE158</f>
        <v>615</v>
      </c>
      <c r="DF170" s="208">
        <v>0</v>
      </c>
      <c r="DG170" s="208">
        <v>0</v>
      </c>
      <c r="DH170" s="208">
        <v>0</v>
      </c>
      <c r="DI170" s="208">
        <f>DI41*DI191</f>
        <v>0</v>
      </c>
      <c r="DJ170" s="195">
        <f t="shared" ref="DJ170:DJ171" si="402">SUM(DF170:DI170)</f>
        <v>0</v>
      </c>
      <c r="DK170" s="208">
        <f>DK41*DK191</f>
        <v>0</v>
      </c>
      <c r="DL170" s="843">
        <f>DL41*DL191</f>
        <v>0</v>
      </c>
      <c r="DM170" s="843">
        <f>DM41*DM191</f>
        <v>0</v>
      </c>
      <c r="DN170" s="132">
        <f>DN41*DN191</f>
        <v>0</v>
      </c>
      <c r="DO170" s="195">
        <f t="shared" ref="DO170:DO171" si="403">SUM(DK170:DN170)</f>
        <v>0</v>
      </c>
      <c r="DP170" s="132">
        <f>DP41*DP191</f>
        <v>0</v>
      </c>
      <c r="DQ170" s="132">
        <f>DQ41*DQ191</f>
        <v>0</v>
      </c>
      <c r="DR170" s="132">
        <f>DR41*DR191</f>
        <v>0</v>
      </c>
      <c r="DS170" s="132">
        <f>DS41*DS191</f>
        <v>0</v>
      </c>
      <c r="DT170" s="195">
        <f t="shared" ref="DT170:DT171" si="404">SUM(DP170:DS170)</f>
        <v>0</v>
      </c>
      <c r="DU170" s="70">
        <f>DU41*DU191</f>
        <v>0</v>
      </c>
      <c r="DV170" s="70">
        <f>DV41*DV191</f>
        <v>0</v>
      </c>
    </row>
    <row r="171" spans="1:126" s="92" customFormat="1" hidden="1" outlineLevel="1">
      <c r="B171" s="180" t="s">
        <v>569</v>
      </c>
      <c r="C171" s="112"/>
      <c r="D171" s="112"/>
      <c r="E171" s="112"/>
      <c r="F171" s="112"/>
      <c r="G171" s="112"/>
      <c r="H171" s="112"/>
      <c r="I171" s="112"/>
      <c r="J171" s="113"/>
      <c r="K171" s="113"/>
      <c r="L171" s="113"/>
      <c r="M171" s="113"/>
      <c r="N171" s="112"/>
      <c r="O171" s="113"/>
      <c r="P171" s="113"/>
      <c r="Q171" s="113"/>
      <c r="R171" s="113"/>
      <c r="S171" s="112"/>
      <c r="T171" s="113"/>
      <c r="U171" s="113"/>
      <c r="V171" s="113"/>
      <c r="W171" s="113"/>
      <c r="X171" s="112"/>
      <c r="Y171" s="113"/>
      <c r="Z171" s="113"/>
      <c r="AA171" s="113"/>
      <c r="AB171" s="113"/>
      <c r="AC171" s="112"/>
      <c r="AD171" s="113"/>
      <c r="AE171" s="113"/>
      <c r="AF171" s="113"/>
      <c r="AG171" s="113"/>
      <c r="AH171" s="112"/>
      <c r="AI171" s="113"/>
      <c r="AJ171" s="113"/>
      <c r="AK171" s="113"/>
      <c r="AL171" s="113"/>
      <c r="AM171" s="112"/>
      <c r="AN171" s="113"/>
      <c r="AO171" s="113"/>
      <c r="AP171" s="113"/>
      <c r="AQ171" s="113"/>
      <c r="AR171" s="112"/>
      <c r="AS171" s="113"/>
      <c r="AT171" s="113"/>
      <c r="AU171" s="113"/>
      <c r="AV171" s="113"/>
      <c r="AW171" s="112"/>
      <c r="AX171" s="113"/>
      <c r="AY171" s="113"/>
      <c r="AZ171" s="113"/>
      <c r="BA171" s="113"/>
      <c r="BB171" s="112">
        <f t="shared" ref="BB171:CK171" si="405">+BB135-BB159</f>
        <v>1850.5160932297447</v>
      </c>
      <c r="BC171" s="113">
        <f t="shared" si="405"/>
        <v>464.60377358490564</v>
      </c>
      <c r="BD171" s="113">
        <f t="shared" si="405"/>
        <v>525.17369589345174</v>
      </c>
      <c r="BE171" s="113">
        <f t="shared" si="405"/>
        <v>475.17924528301887</v>
      </c>
      <c r="BF171" s="113">
        <f t="shared" si="405"/>
        <v>425.82741398446171</v>
      </c>
      <c r="BG171" s="112">
        <f t="shared" si="405"/>
        <v>1890.7841287458377</v>
      </c>
      <c r="BH171" s="113">
        <f t="shared" si="405"/>
        <v>423.86071032186459</v>
      </c>
      <c r="BI171" s="113">
        <f t="shared" si="405"/>
        <v>414.36293007769143</v>
      </c>
      <c r="BJ171" s="113">
        <f t="shared" si="405"/>
        <v>404.74916759156491</v>
      </c>
      <c r="BK171" s="113">
        <f t="shared" si="405"/>
        <v>492.56492785793563</v>
      </c>
      <c r="BL171" s="112">
        <f t="shared" si="405"/>
        <v>1735.5377358490564</v>
      </c>
      <c r="BM171" s="113">
        <f t="shared" si="405"/>
        <v>379.60932297447283</v>
      </c>
      <c r="BN171" s="113">
        <f t="shared" si="405"/>
        <v>369.15704772475027</v>
      </c>
      <c r="BO171" s="113">
        <f t="shared" si="405"/>
        <v>404.17924528301887</v>
      </c>
      <c r="BP171" s="113">
        <f t="shared" si="405"/>
        <v>495.17480577136513</v>
      </c>
      <c r="BQ171" s="112">
        <f t="shared" si="405"/>
        <v>1648.1204217536072</v>
      </c>
      <c r="BR171" s="113">
        <f t="shared" si="405"/>
        <v>327.60377358490564</v>
      </c>
      <c r="BS171" s="113">
        <f t="shared" si="405"/>
        <v>588.44728079911215</v>
      </c>
      <c r="BT171" s="113">
        <f t="shared" si="405"/>
        <v>439.35793562708102</v>
      </c>
      <c r="BU171" s="113">
        <f t="shared" si="405"/>
        <v>429.14150943396226</v>
      </c>
      <c r="BV171" s="112">
        <f t="shared" si="405"/>
        <v>1784.5504994450612</v>
      </c>
      <c r="BW171" s="113">
        <f t="shared" si="405"/>
        <v>412.33018867924528</v>
      </c>
      <c r="BX171" s="113">
        <f t="shared" si="405"/>
        <v>468.93340732519425</v>
      </c>
      <c r="BY171" s="113">
        <f t="shared" si="405"/>
        <v>501.36348501664816</v>
      </c>
      <c r="BZ171" s="113">
        <f t="shared" si="405"/>
        <v>501.28579356270808</v>
      </c>
      <c r="CA171" s="112">
        <f t="shared" si="405"/>
        <v>1883.9128745837957</v>
      </c>
      <c r="CB171" s="113">
        <f t="shared" si="405"/>
        <v>467.86376248612652</v>
      </c>
      <c r="CC171" s="113">
        <f t="shared" si="405"/>
        <v>469.32769145394008</v>
      </c>
      <c r="CD171" s="113">
        <f t="shared" si="405"/>
        <v>475.16564927857934</v>
      </c>
      <c r="CE171" s="113">
        <f t="shared" si="405"/>
        <v>501.18784683684794</v>
      </c>
      <c r="CF171" s="195">
        <f t="shared" si="405"/>
        <v>1913.5449500554939</v>
      </c>
      <c r="CG171" s="208">
        <f t="shared" si="405"/>
        <v>441</v>
      </c>
      <c r="CH171" s="208">
        <f t="shared" si="405"/>
        <v>519.5</v>
      </c>
      <c r="CI171" s="208">
        <f t="shared" si="405"/>
        <v>502</v>
      </c>
      <c r="CJ171" s="208">
        <f t="shared" si="405"/>
        <v>603</v>
      </c>
      <c r="CK171" s="195">
        <f t="shared" si="405"/>
        <v>2065.5</v>
      </c>
      <c r="CL171" s="208">
        <v>539</v>
      </c>
      <c r="CM171" s="208">
        <v>411</v>
      </c>
      <c r="CN171" s="208">
        <v>431</v>
      </c>
      <c r="CO171" s="208">
        <v>579</v>
      </c>
      <c r="CP171" s="195">
        <f>+CP135-CP159</f>
        <v>1960</v>
      </c>
      <c r="CQ171" s="208">
        <v>496</v>
      </c>
      <c r="CR171" s="208">
        <v>532</v>
      </c>
      <c r="CS171" s="208">
        <v>490</v>
      </c>
      <c r="CT171" s="208">
        <v>486</v>
      </c>
      <c r="CU171" s="195">
        <f>+CU135-CU159</f>
        <v>2004</v>
      </c>
      <c r="CV171" s="208">
        <v>387</v>
      </c>
      <c r="CW171" s="208">
        <v>348</v>
      </c>
      <c r="CX171" s="208">
        <v>416</v>
      </c>
      <c r="CY171" s="208">
        <v>418</v>
      </c>
      <c r="CZ171" s="195">
        <f>+CZ135-CZ159</f>
        <v>1519</v>
      </c>
      <c r="DA171" s="208">
        <v>335</v>
      </c>
      <c r="DB171" s="208">
        <v>427</v>
      </c>
      <c r="DC171" s="208">
        <f>DC48*DC192</f>
        <v>0</v>
      </c>
      <c r="DD171" s="208">
        <v>0</v>
      </c>
      <c r="DE171" s="195">
        <f>+DE135-DE159</f>
        <v>743</v>
      </c>
      <c r="DF171" s="208">
        <v>0</v>
      </c>
      <c r="DG171" s="208">
        <v>0</v>
      </c>
      <c r="DH171" s="208">
        <v>0</v>
      </c>
      <c r="DI171" s="208">
        <f>DI48*DI192</f>
        <v>0</v>
      </c>
      <c r="DJ171" s="195">
        <f t="shared" si="402"/>
        <v>0</v>
      </c>
      <c r="DK171" s="208">
        <f>DK48*DK192</f>
        <v>0</v>
      </c>
      <c r="DL171" s="843">
        <f>DL48*DL192</f>
        <v>0</v>
      </c>
      <c r="DM171" s="843">
        <f>DM48*DM192</f>
        <v>0</v>
      </c>
      <c r="DN171" s="132">
        <f>DN48*DN192</f>
        <v>0</v>
      </c>
      <c r="DO171" s="195">
        <f t="shared" si="403"/>
        <v>0</v>
      </c>
      <c r="DP171" s="132">
        <f>DP48*DP192</f>
        <v>0</v>
      </c>
      <c r="DQ171" s="132">
        <f>DQ48*DQ192</f>
        <v>0</v>
      </c>
      <c r="DR171" s="132">
        <f>DR48*DR192</f>
        <v>0</v>
      </c>
      <c r="DS171" s="132">
        <f>DS48*DS192</f>
        <v>0</v>
      </c>
      <c r="DT171" s="195">
        <f t="shared" si="404"/>
        <v>0</v>
      </c>
      <c r="DU171" s="70">
        <f>DU48*DU192</f>
        <v>0</v>
      </c>
      <c r="DV171" s="70">
        <f>DV48*DV192</f>
        <v>0</v>
      </c>
    </row>
    <row r="172" spans="1:126" s="92" customFormat="1" collapsed="1">
      <c r="B172" s="41" t="s">
        <v>629</v>
      </c>
      <c r="C172" s="112"/>
      <c r="D172" s="112"/>
      <c r="E172" s="112"/>
      <c r="F172" s="112"/>
      <c r="G172" s="112"/>
      <c r="H172" s="112"/>
      <c r="I172" s="112"/>
      <c r="J172" s="113"/>
      <c r="K172" s="113"/>
      <c r="L172" s="113"/>
      <c r="M172" s="113"/>
      <c r="N172" s="112"/>
      <c r="O172" s="113"/>
      <c r="P172" s="113"/>
      <c r="Q172" s="113"/>
      <c r="R172" s="113"/>
      <c r="S172" s="112"/>
      <c r="T172" s="113"/>
      <c r="U172" s="113"/>
      <c r="V172" s="113"/>
      <c r="W172" s="113"/>
      <c r="X172" s="112"/>
      <c r="Y172" s="113"/>
      <c r="Z172" s="113"/>
      <c r="AA172" s="113"/>
      <c r="AB172" s="113"/>
      <c r="AC172" s="112"/>
      <c r="AD172" s="113"/>
      <c r="AE172" s="113"/>
      <c r="AF172" s="113"/>
      <c r="AG172" s="113"/>
      <c r="AH172" s="112"/>
      <c r="AI172" s="113"/>
      <c r="AJ172" s="113"/>
      <c r="AK172" s="113"/>
      <c r="AL172" s="113"/>
      <c r="AM172" s="112"/>
      <c r="AN172" s="113"/>
      <c r="AO172" s="113"/>
      <c r="AP172" s="113"/>
      <c r="AQ172" s="113"/>
      <c r="AR172" s="112"/>
      <c r="AS172" s="113"/>
      <c r="AT172" s="113"/>
      <c r="AU172" s="113"/>
      <c r="AV172" s="113"/>
      <c r="AW172" s="112"/>
      <c r="AX172" s="113"/>
      <c r="AY172" s="113"/>
      <c r="AZ172" s="113"/>
      <c r="BA172" s="113"/>
      <c r="BB172" s="112"/>
      <c r="BC172" s="113"/>
      <c r="BD172" s="113"/>
      <c r="BE172" s="113"/>
      <c r="BF172" s="113"/>
      <c r="BG172" s="112"/>
      <c r="BH172" s="113"/>
      <c r="BI172" s="113"/>
      <c r="BJ172" s="113"/>
      <c r="BK172" s="113"/>
      <c r="BL172" s="112"/>
      <c r="BM172" s="113"/>
      <c r="BN172" s="113"/>
      <c r="BO172" s="113"/>
      <c r="BP172" s="113"/>
      <c r="BQ172" s="112"/>
      <c r="BR172" s="113"/>
      <c r="BS172" s="113"/>
      <c r="BT172" s="113"/>
      <c r="BU172" s="113"/>
      <c r="BV172" s="112"/>
      <c r="BW172" s="113"/>
      <c r="BX172" s="113"/>
      <c r="BY172" s="113"/>
      <c r="BZ172" s="113"/>
      <c r="CA172" s="112"/>
      <c r="CB172" s="113"/>
      <c r="CC172" s="113"/>
      <c r="CD172" s="113"/>
      <c r="CE172" s="113"/>
      <c r="CF172" s="195"/>
      <c r="CG172" s="208"/>
      <c r="CH172" s="208"/>
      <c r="CI172" s="208"/>
      <c r="CJ172" s="208"/>
      <c r="CK172" s="195"/>
      <c r="CL172" s="208">
        <v>750.18214571657336</v>
      </c>
      <c r="CM172" s="208">
        <v>663.13811048839068</v>
      </c>
      <c r="CN172" s="208">
        <v>794.84947958366683</v>
      </c>
      <c r="CO172" s="208">
        <v>652.83026421136913</v>
      </c>
      <c r="CP172" s="195">
        <v>2861</v>
      </c>
      <c r="CQ172" s="208">
        <v>756.8888888888888</v>
      </c>
      <c r="CR172" s="208">
        <v>827.01809954751104</v>
      </c>
      <c r="CS172" s="208">
        <v>776.89199491740783</v>
      </c>
      <c r="CT172" s="208">
        <v>799.20101664619233</v>
      </c>
      <c r="CU172" s="195">
        <v>3160</v>
      </c>
      <c r="CV172" s="208">
        <v>655</v>
      </c>
      <c r="CW172" s="208">
        <v>579</v>
      </c>
      <c r="CX172" s="208">
        <v>694</v>
      </c>
      <c r="CY172" s="208">
        <v>570</v>
      </c>
      <c r="CZ172" s="195">
        <f>SUM(CV172:CY172)</f>
        <v>2498</v>
      </c>
      <c r="DA172" s="208">
        <v>584</v>
      </c>
      <c r="DB172" s="208">
        <v>662</v>
      </c>
      <c r="DC172" s="208">
        <v>570</v>
      </c>
      <c r="DD172" s="208">
        <v>618</v>
      </c>
      <c r="DE172" s="195">
        <f>+DE136-DE160</f>
        <v>2434</v>
      </c>
      <c r="DF172" s="208">
        <v>630</v>
      </c>
      <c r="DG172" s="208">
        <v>709</v>
      </c>
      <c r="DH172" s="208">
        <v>661</v>
      </c>
      <c r="DI172" s="208">
        <v>728</v>
      </c>
      <c r="DJ172" s="195">
        <f>+DJ136-DJ160</f>
        <v>2728</v>
      </c>
      <c r="DK172" s="208">
        <v>678</v>
      </c>
      <c r="DL172" s="843">
        <v>809</v>
      </c>
      <c r="DM172" s="843">
        <v>859</v>
      </c>
      <c r="DN172" s="132">
        <f t="shared" ref="DN172:DS172" si="406">DN50*DN193</f>
        <v>842.80832000000009</v>
      </c>
      <c r="DO172" s="195">
        <f>+DO136-DO160</f>
        <v>3188.8083200000001</v>
      </c>
      <c r="DP172" s="132">
        <f t="shared" si="406"/>
        <v>773.35320000000002</v>
      </c>
      <c r="DQ172" s="132">
        <f t="shared" si="406"/>
        <v>862.46719199999995</v>
      </c>
      <c r="DR172" s="132">
        <f t="shared" si="406"/>
        <v>888.51539999999989</v>
      </c>
      <c r="DS172" s="132">
        <f t="shared" si="406"/>
        <v>928.70148096000003</v>
      </c>
      <c r="DT172" s="195">
        <f>+DT136-DT160</f>
        <v>3453.0372729599999</v>
      </c>
      <c r="DU172" s="70">
        <f>DU50*DU193</f>
        <v>3694.3011434908794</v>
      </c>
      <c r="DV172" s="70">
        <f>DV50*DV193</f>
        <v>3947.4223435057293</v>
      </c>
    </row>
    <row r="173" spans="1:126" s="92" customFormat="1">
      <c r="B173" s="515" t="str">
        <f>+B137</f>
        <v>Total business segment</v>
      </c>
      <c r="C173" s="516">
        <f t="shared" ref="C173:AH173" si="407">C137-C161</f>
        <v>2201</v>
      </c>
      <c r="D173" s="516">
        <f t="shared" si="407"/>
        <v>3347</v>
      </c>
      <c r="E173" s="516">
        <f t="shared" si="407"/>
        <v>2408</v>
      </c>
      <c r="F173" s="516">
        <f t="shared" si="407"/>
        <v>3543</v>
      </c>
      <c r="G173" s="516">
        <f t="shared" si="407"/>
        <v>3243</v>
      </c>
      <c r="H173" s="516">
        <f t="shared" si="407"/>
        <v>3472</v>
      </c>
      <c r="I173" s="516">
        <f t="shared" si="407"/>
        <v>3186</v>
      </c>
      <c r="J173" s="517">
        <f t="shared" si="407"/>
        <v>770</v>
      </c>
      <c r="K173" s="517">
        <f t="shared" si="407"/>
        <v>963</v>
      </c>
      <c r="L173" s="517">
        <f t="shared" si="407"/>
        <v>984</v>
      </c>
      <c r="M173" s="517">
        <f t="shared" si="407"/>
        <v>1056</v>
      </c>
      <c r="N173" s="516">
        <f t="shared" si="407"/>
        <v>3773</v>
      </c>
      <c r="O173" s="517">
        <f t="shared" si="407"/>
        <v>1035</v>
      </c>
      <c r="P173" s="517">
        <f t="shared" si="407"/>
        <v>1135</v>
      </c>
      <c r="Q173" s="517">
        <f t="shared" si="407"/>
        <v>1155</v>
      </c>
      <c r="R173" s="517">
        <f t="shared" si="407"/>
        <v>1234</v>
      </c>
      <c r="S173" s="516">
        <f t="shared" si="407"/>
        <v>4559</v>
      </c>
      <c r="T173" s="517">
        <f t="shared" si="407"/>
        <v>1231</v>
      </c>
      <c r="U173" s="517">
        <f t="shared" si="407"/>
        <v>1440</v>
      </c>
      <c r="V173" s="517">
        <f t="shared" si="407"/>
        <v>1363</v>
      </c>
      <c r="W173" s="517">
        <f t="shared" si="407"/>
        <v>1384</v>
      </c>
      <c r="X173" s="516">
        <f t="shared" si="407"/>
        <v>5291</v>
      </c>
      <c r="Y173" s="517">
        <f t="shared" si="407"/>
        <v>1335</v>
      </c>
      <c r="Z173" s="517">
        <f t="shared" si="407"/>
        <v>1491</v>
      </c>
      <c r="AA173" s="517">
        <f t="shared" si="407"/>
        <v>1459</v>
      </c>
      <c r="AB173" s="517">
        <f t="shared" si="407"/>
        <v>1551</v>
      </c>
      <c r="AC173" s="516">
        <f t="shared" si="407"/>
        <v>5836</v>
      </c>
      <c r="AD173" s="517">
        <f t="shared" si="407"/>
        <v>1449</v>
      </c>
      <c r="AE173" s="517">
        <f t="shared" si="407"/>
        <v>1609</v>
      </c>
      <c r="AF173" s="517">
        <f t="shared" si="407"/>
        <v>1586</v>
      </c>
      <c r="AG173" s="517">
        <f t="shared" si="407"/>
        <v>1657</v>
      </c>
      <c r="AH173" s="516">
        <f t="shared" si="407"/>
        <v>6301</v>
      </c>
      <c r="AI173" s="517">
        <f t="shared" ref="AI173:BA173" si="408">AI137-AI161</f>
        <v>1464</v>
      </c>
      <c r="AJ173" s="517">
        <f t="shared" si="408"/>
        <v>1563</v>
      </c>
      <c r="AK173" s="517">
        <f t="shared" si="408"/>
        <v>1582</v>
      </c>
      <c r="AL173" s="517">
        <f t="shared" si="408"/>
        <v>1619</v>
      </c>
      <c r="AM173" s="516">
        <f t="shared" si="408"/>
        <v>6228</v>
      </c>
      <c r="AN173" s="517">
        <f t="shared" si="408"/>
        <v>1494</v>
      </c>
      <c r="AO173" s="517">
        <f t="shared" si="408"/>
        <v>1236</v>
      </c>
      <c r="AP173" s="517">
        <f t="shared" si="408"/>
        <v>1687</v>
      </c>
      <c r="AQ173" s="517">
        <f t="shared" si="408"/>
        <v>1761</v>
      </c>
      <c r="AR173" s="516">
        <f t="shared" si="408"/>
        <v>6178</v>
      </c>
      <c r="AS173" s="517">
        <f t="shared" si="408"/>
        <v>1323</v>
      </c>
      <c r="AT173" s="517">
        <f t="shared" si="408"/>
        <v>1463</v>
      </c>
      <c r="AU173" s="517">
        <f t="shared" si="408"/>
        <v>1513</v>
      </c>
      <c r="AV173" s="517">
        <f t="shared" si="408"/>
        <v>1733</v>
      </c>
      <c r="AW173" s="516">
        <f t="shared" si="408"/>
        <v>6032</v>
      </c>
      <c r="AX173" s="517">
        <f t="shared" si="408"/>
        <v>1439.6242898921614</v>
      </c>
      <c r="AY173" s="517">
        <f t="shared" si="408"/>
        <v>1516.1803387267896</v>
      </c>
      <c r="AZ173" s="517">
        <f t="shared" si="408"/>
        <v>1584.9561433882768</v>
      </c>
      <c r="BA173" s="517">
        <f t="shared" si="408"/>
        <v>1596.6065318455467</v>
      </c>
      <c r="BB173" s="516">
        <f>SUM(BB168:BB171)</f>
        <v>6137.367303852775</v>
      </c>
      <c r="BC173" s="517">
        <f t="shared" ref="BC173:CK173" si="409">SUM(BC168:BC171)</f>
        <v>1783.8370692343676</v>
      </c>
      <c r="BD173" s="517">
        <f t="shared" si="409"/>
        <v>1903.71165303015</v>
      </c>
      <c r="BE173" s="517">
        <f t="shared" si="409"/>
        <v>1882.3842390456884</v>
      </c>
      <c r="BF173" s="517">
        <f t="shared" si="409"/>
        <v>1859.1422856605604</v>
      </c>
      <c r="BG173" s="516">
        <f t="shared" si="409"/>
        <v>7429.0752469707668</v>
      </c>
      <c r="BH173" s="517">
        <f t="shared" si="409"/>
        <v>1819.4312452799613</v>
      </c>
      <c r="BI173" s="517">
        <f t="shared" si="409"/>
        <v>2010.300279686177</v>
      </c>
      <c r="BJ173" s="517">
        <f t="shared" si="409"/>
        <v>1944.5122663676416</v>
      </c>
      <c r="BK173" s="517">
        <f t="shared" si="409"/>
        <v>2038.3824106517704</v>
      </c>
      <c r="BL173" s="516">
        <f t="shared" si="409"/>
        <v>7812.6262019855494</v>
      </c>
      <c r="BM173" s="517">
        <f t="shared" si="409"/>
        <v>1962.1732227430191</v>
      </c>
      <c r="BN173" s="517">
        <f t="shared" si="409"/>
        <v>1773.3574624766484</v>
      </c>
      <c r="BO173" s="517">
        <f t="shared" si="409"/>
        <v>1803.0478065388013</v>
      </c>
      <c r="BP173" s="517">
        <f t="shared" si="409"/>
        <v>1832.3097377263705</v>
      </c>
      <c r="BQ173" s="516">
        <f t="shared" si="409"/>
        <v>7370.888229484839</v>
      </c>
      <c r="BR173" s="517">
        <f t="shared" si="409"/>
        <v>1624.2747414106761</v>
      </c>
      <c r="BS173" s="517">
        <f t="shared" si="409"/>
        <v>2025.5078157724965</v>
      </c>
      <c r="BT173" s="517">
        <f t="shared" si="409"/>
        <v>1858.2791809223299</v>
      </c>
      <c r="BU173" s="517">
        <f t="shared" si="409"/>
        <v>1687.0483263163364</v>
      </c>
      <c r="BV173" s="516">
        <f t="shared" si="409"/>
        <v>7195.1100644218395</v>
      </c>
      <c r="BW173" s="517">
        <f t="shared" si="409"/>
        <v>1663.6903555278343</v>
      </c>
      <c r="BX173" s="517">
        <f t="shared" si="409"/>
        <v>1791.6004554168462</v>
      </c>
      <c r="BY173" s="517">
        <f t="shared" si="409"/>
        <v>1875.7258716210638</v>
      </c>
      <c r="BZ173" s="517">
        <f t="shared" si="409"/>
        <v>1819.3096674035276</v>
      </c>
      <c r="CA173" s="516">
        <f t="shared" si="409"/>
        <v>7150.3263499692712</v>
      </c>
      <c r="CB173" s="517">
        <f t="shared" si="409"/>
        <v>2270.2880133185349</v>
      </c>
      <c r="CC173" s="517">
        <f t="shared" si="409"/>
        <v>2280.9162042175362</v>
      </c>
      <c r="CD173" s="517">
        <f t="shared" si="409"/>
        <v>2315.4766925638178</v>
      </c>
      <c r="CE173" s="517">
        <f t="shared" si="409"/>
        <v>2423.1670366259714</v>
      </c>
      <c r="CF173" s="516">
        <f t="shared" si="409"/>
        <v>9289.8479467258603</v>
      </c>
      <c r="CG173" s="517">
        <f t="shared" si="409"/>
        <v>2520</v>
      </c>
      <c r="CH173" s="517">
        <f t="shared" si="409"/>
        <v>2662</v>
      </c>
      <c r="CI173" s="517">
        <f t="shared" si="409"/>
        <v>2730</v>
      </c>
      <c r="CJ173" s="517">
        <f t="shared" si="409"/>
        <v>2565</v>
      </c>
      <c r="CK173" s="516">
        <f t="shared" si="409"/>
        <v>10477</v>
      </c>
      <c r="CL173" s="517">
        <f t="shared" ref="CL173:CP173" si="410">SUM(CL168:CL169,CL172)</f>
        <v>2685.1821457165734</v>
      </c>
      <c r="CM173" s="517">
        <f t="shared" si="410"/>
        <v>672.13811048839068</v>
      </c>
      <c r="CN173" s="517">
        <f t="shared" si="410"/>
        <v>960.84947958366683</v>
      </c>
      <c r="CO173" s="517">
        <f t="shared" si="410"/>
        <v>982.83026421136913</v>
      </c>
      <c r="CP173" s="516">
        <f t="shared" si="410"/>
        <v>5301</v>
      </c>
      <c r="CQ173" s="517">
        <f>SUM(CQ168:CQ169,CQ172)</f>
        <v>1364.5629238608453</v>
      </c>
      <c r="CR173" s="517">
        <f t="shared" ref="CR173:CU173" si="411">SUM(CR168:CR169,CR172)</f>
        <v>1509.8541272611369</v>
      </c>
      <c r="CS173" s="517">
        <f t="shared" si="411"/>
        <v>1569.4947662799946</v>
      </c>
      <c r="CT173" s="517">
        <f t="shared" si="411"/>
        <v>1623.0881825980232</v>
      </c>
      <c r="CU173" s="516">
        <f t="shared" si="411"/>
        <v>6067</v>
      </c>
      <c r="CV173" s="517">
        <f>SUM(CV168,CV169,CV172)</f>
        <v>1674</v>
      </c>
      <c r="CW173" s="517">
        <f t="shared" ref="CW173:DJ173" si="412">SUM(CW168,CW169,CW172)</f>
        <v>1617</v>
      </c>
      <c r="CX173" s="517">
        <f t="shared" si="412"/>
        <v>1768</v>
      </c>
      <c r="CY173" s="517">
        <f t="shared" si="412"/>
        <v>1736</v>
      </c>
      <c r="CZ173" s="516">
        <f t="shared" si="412"/>
        <v>6795</v>
      </c>
      <c r="DA173" s="517">
        <f t="shared" si="412"/>
        <v>1921</v>
      </c>
      <c r="DB173" s="517">
        <f t="shared" si="412"/>
        <v>2013</v>
      </c>
      <c r="DC173" s="517">
        <f t="shared" si="412"/>
        <v>2026</v>
      </c>
      <c r="DD173" s="517">
        <f t="shared" si="412"/>
        <v>2058</v>
      </c>
      <c r="DE173" s="516">
        <f t="shared" si="412"/>
        <v>8018</v>
      </c>
      <c r="DF173" s="517">
        <f>SUM(DF168,DF169,DF172)</f>
        <v>2108</v>
      </c>
      <c r="DG173" s="517">
        <f t="shared" si="412"/>
        <v>2391</v>
      </c>
      <c r="DH173" s="517">
        <f t="shared" si="412"/>
        <v>2354</v>
      </c>
      <c r="DI173" s="517">
        <f t="shared" si="412"/>
        <v>2652</v>
      </c>
      <c r="DJ173" s="516">
        <f t="shared" si="412"/>
        <v>9505</v>
      </c>
      <c r="DK173" s="517">
        <f>SUM(DK168,DK169,DK172)</f>
        <v>2495</v>
      </c>
      <c r="DL173" s="517">
        <f t="shared" ref="DL173:DO173" si="413">SUM(DL168,DL169,DL172)</f>
        <v>2666</v>
      </c>
      <c r="DM173" s="517">
        <f t="shared" si="413"/>
        <v>2804</v>
      </c>
      <c r="DN173" s="517">
        <f t="shared" si="413"/>
        <v>2759.6336250000004</v>
      </c>
      <c r="DO173" s="516">
        <f t="shared" si="413"/>
        <v>10790.633625</v>
      </c>
      <c r="DP173" s="517">
        <f>SUM(DP168,DP169,DP172)</f>
        <v>2578.9430400000001</v>
      </c>
      <c r="DQ173" s="517">
        <f t="shared" ref="DQ173:DT173" si="414">SUM(DQ168,DQ169,DQ172)</f>
        <v>2803.3360160000002</v>
      </c>
      <c r="DR173" s="517">
        <f t="shared" si="414"/>
        <v>3092.3779559999998</v>
      </c>
      <c r="DS173" s="517">
        <f t="shared" si="414"/>
        <v>3146.2694715359999</v>
      </c>
      <c r="DT173" s="516">
        <f t="shared" si="414"/>
        <v>11620.926483536001</v>
      </c>
      <c r="DU173" s="516">
        <f t="shared" ref="DU173" si="415">SUM(DU168,DU169,DU172)</f>
        <v>12710.621194674979</v>
      </c>
      <c r="DV173" s="516">
        <f t="shared" ref="DV173" si="416">SUM(DV168,DV169,DV172)</f>
        <v>13781.965752491491</v>
      </c>
    </row>
    <row r="174" spans="1:126" s="128" customFormat="1">
      <c r="B174" s="180" t="s">
        <v>573</v>
      </c>
      <c r="C174" s="112"/>
      <c r="D174" s="112"/>
      <c r="E174" s="112"/>
      <c r="F174" s="112"/>
      <c r="G174" s="112"/>
      <c r="H174" s="112"/>
      <c r="I174" s="112"/>
      <c r="J174" s="131"/>
      <c r="K174" s="131"/>
      <c r="L174" s="131"/>
      <c r="M174" s="131"/>
      <c r="N174" s="112"/>
      <c r="O174" s="131"/>
      <c r="P174" s="131"/>
      <c r="Q174" s="131"/>
      <c r="R174" s="131"/>
      <c r="S174" s="112"/>
      <c r="T174" s="131"/>
      <c r="U174" s="131"/>
      <c r="V174" s="131"/>
      <c r="W174" s="131"/>
      <c r="X174" s="112"/>
      <c r="Y174" s="131"/>
      <c r="Z174" s="131"/>
      <c r="AA174" s="131"/>
      <c r="AB174" s="131"/>
      <c r="AC174" s="112"/>
      <c r="AD174" s="131"/>
      <c r="AE174" s="131"/>
      <c r="AF174" s="131"/>
      <c r="AG174" s="131"/>
      <c r="AH174" s="112"/>
      <c r="AI174" s="131"/>
      <c r="AJ174" s="131"/>
      <c r="AK174" s="131"/>
      <c r="AL174" s="131"/>
      <c r="AM174" s="112"/>
      <c r="AN174" s="131"/>
      <c r="AO174" s="131"/>
      <c r="AP174" s="131"/>
      <c r="AQ174" s="131"/>
      <c r="AR174" s="112"/>
      <c r="AS174" s="131"/>
      <c r="AT174" s="131"/>
      <c r="AU174" s="131"/>
      <c r="AV174" s="131"/>
      <c r="AW174" s="112"/>
      <c r="AX174" s="131">
        <f t="shared" ref="AX174:CJ174" si="417">AX138-AX162</f>
        <v>0</v>
      </c>
      <c r="AY174" s="131">
        <f t="shared" si="417"/>
        <v>0</v>
      </c>
      <c r="AZ174" s="131">
        <f t="shared" si="417"/>
        <v>0</v>
      </c>
      <c r="BA174" s="131">
        <f t="shared" si="417"/>
        <v>0</v>
      </c>
      <c r="BB174" s="112">
        <f t="shared" si="417"/>
        <v>0</v>
      </c>
      <c r="BC174" s="131">
        <f t="shared" si="417"/>
        <v>0</v>
      </c>
      <c r="BD174" s="131">
        <f t="shared" si="417"/>
        <v>0</v>
      </c>
      <c r="BE174" s="131">
        <f t="shared" si="417"/>
        <v>0</v>
      </c>
      <c r="BF174" s="131">
        <f t="shared" si="417"/>
        <v>0</v>
      </c>
      <c r="BG174" s="112">
        <f t="shared" si="417"/>
        <v>0</v>
      </c>
      <c r="BH174" s="131">
        <f t="shared" si="417"/>
        <v>0</v>
      </c>
      <c r="BI174" s="131">
        <f t="shared" si="417"/>
        <v>0</v>
      </c>
      <c r="BJ174" s="131">
        <f t="shared" si="417"/>
        <v>4</v>
      </c>
      <c r="BK174" s="131">
        <f t="shared" si="417"/>
        <v>0</v>
      </c>
      <c r="BL174" s="112">
        <f t="shared" si="417"/>
        <v>4</v>
      </c>
      <c r="BM174" s="131">
        <f t="shared" si="417"/>
        <v>-14</v>
      </c>
      <c r="BN174" s="131">
        <f t="shared" si="417"/>
        <v>-33</v>
      </c>
      <c r="BO174" s="131">
        <f t="shared" si="417"/>
        <v>-43</v>
      </c>
      <c r="BP174" s="131">
        <f t="shared" si="417"/>
        <v>-48</v>
      </c>
      <c r="BQ174" s="112">
        <f t="shared" si="417"/>
        <v>-138</v>
      </c>
      <c r="BR174" s="131">
        <f t="shared" si="417"/>
        <v>-44</v>
      </c>
      <c r="BS174" s="131">
        <f t="shared" si="417"/>
        <v>-44</v>
      </c>
      <c r="BT174" s="131">
        <f t="shared" si="417"/>
        <v>-27</v>
      </c>
      <c r="BU174" s="131">
        <f t="shared" si="417"/>
        <v>-32</v>
      </c>
      <c r="BV174" s="112">
        <f t="shared" si="417"/>
        <v>-147</v>
      </c>
      <c r="BW174" s="131">
        <f t="shared" si="417"/>
        <v>-26</v>
      </c>
      <c r="BX174" s="131">
        <f t="shared" si="417"/>
        <v>-40</v>
      </c>
      <c r="BY174" s="131">
        <f t="shared" si="417"/>
        <v>-16</v>
      </c>
      <c r="BZ174" s="131">
        <f t="shared" si="417"/>
        <v>-45</v>
      </c>
      <c r="CA174" s="112">
        <f t="shared" si="417"/>
        <v>-127</v>
      </c>
      <c r="CB174" s="131">
        <f t="shared" si="417"/>
        <v>-40</v>
      </c>
      <c r="CC174" s="131">
        <f t="shared" si="417"/>
        <v>-42</v>
      </c>
      <c r="CD174" s="131">
        <f t="shared" si="417"/>
        <v>-12</v>
      </c>
      <c r="CE174" s="131">
        <f t="shared" si="417"/>
        <v>-27</v>
      </c>
      <c r="CF174" s="609">
        <f t="shared" si="417"/>
        <v>-121</v>
      </c>
      <c r="CG174" s="749">
        <f t="shared" si="417"/>
        <v>-84</v>
      </c>
      <c r="CH174" s="749">
        <f t="shared" si="417"/>
        <v>-85</v>
      </c>
      <c r="CI174" s="749">
        <f t="shared" si="417"/>
        <v>-75</v>
      </c>
      <c r="CJ174" s="749">
        <f t="shared" si="417"/>
        <v>-62</v>
      </c>
      <c r="CK174" s="609">
        <f>CK138-CK162</f>
        <v>-306</v>
      </c>
      <c r="CL174" s="425">
        <v>-4.5</v>
      </c>
      <c r="CM174" s="425">
        <v>-4.5</v>
      </c>
      <c r="CN174" s="425">
        <v>-4.5</v>
      </c>
      <c r="CO174" s="425">
        <v>-4.5</v>
      </c>
      <c r="CP174" s="636">
        <v>-18</v>
      </c>
      <c r="CQ174" s="425">
        <v>-2.75</v>
      </c>
      <c r="CR174" s="425">
        <v>-2.75</v>
      </c>
      <c r="CS174" s="425">
        <v>-2.75</v>
      </c>
      <c r="CT174" s="425">
        <v>-2.75</v>
      </c>
      <c r="CU174" s="636">
        <v>-11</v>
      </c>
      <c r="CV174" s="425">
        <f>-40+35</f>
        <v>-5</v>
      </c>
      <c r="CW174" s="425">
        <f>-47+34</f>
        <v>-13</v>
      </c>
      <c r="CX174" s="425">
        <f>-50+37</f>
        <v>-13</v>
      </c>
      <c r="CY174" s="425">
        <f>-43+45</f>
        <v>2</v>
      </c>
      <c r="CZ174" s="636">
        <f>SUM(CV174:CY174)</f>
        <v>-29</v>
      </c>
      <c r="DA174" s="425">
        <f>-55+38</f>
        <v>-17</v>
      </c>
      <c r="DB174" s="425">
        <f>-70+44</f>
        <v>-26</v>
      </c>
      <c r="DC174" s="425">
        <v>-39</v>
      </c>
      <c r="DD174" s="425">
        <v>1</v>
      </c>
      <c r="DE174" s="636">
        <f>SUM(DA174:DD174)</f>
        <v>-81</v>
      </c>
      <c r="DF174" s="425">
        <v>-5</v>
      </c>
      <c r="DG174" s="425">
        <v>-36</v>
      </c>
      <c r="DH174" s="425">
        <v>-14</v>
      </c>
      <c r="DI174" s="631">
        <v>7</v>
      </c>
      <c r="DJ174" s="636">
        <f>SUM(DF174:DI174)</f>
        <v>-48</v>
      </c>
      <c r="DK174" s="425">
        <v>12</v>
      </c>
      <c r="DL174" s="844">
        <v>-17</v>
      </c>
      <c r="DM174" s="513">
        <v>-14</v>
      </c>
      <c r="DN174" s="513">
        <v>-55</v>
      </c>
      <c r="DO174" s="636">
        <f>SUM(DK174:DN174)</f>
        <v>-74</v>
      </c>
      <c r="DP174" s="513">
        <v>-15</v>
      </c>
      <c r="DQ174" s="513">
        <v>-20</v>
      </c>
      <c r="DR174" s="513">
        <v>-25</v>
      </c>
      <c r="DS174" s="513">
        <v>-45</v>
      </c>
      <c r="DT174" s="636">
        <f>SUM(DP174:DS174)</f>
        <v>-105</v>
      </c>
      <c r="DU174" s="109">
        <v>-109</v>
      </c>
      <c r="DV174" s="109">
        <v>-115</v>
      </c>
    </row>
    <row r="175" spans="1:126" s="128" customFormat="1">
      <c r="B175" s="180" t="s">
        <v>574</v>
      </c>
      <c r="C175" s="112">
        <f t="shared" ref="C175:AH175" si="418">C139-C163</f>
        <v>0</v>
      </c>
      <c r="D175" s="112">
        <f t="shared" si="418"/>
        <v>-332</v>
      </c>
      <c r="E175" s="112">
        <f t="shared" si="418"/>
        <v>-316</v>
      </c>
      <c r="F175" s="112">
        <f t="shared" si="418"/>
        <v>-267</v>
      </c>
      <c r="G175" s="112">
        <f t="shared" si="418"/>
        <v>-182</v>
      </c>
      <c r="H175" s="112">
        <f t="shared" si="418"/>
        <v>-202</v>
      </c>
      <c r="I175" s="112">
        <f t="shared" si="418"/>
        <v>-367</v>
      </c>
      <c r="J175" s="131">
        <f t="shared" si="418"/>
        <v>142</v>
      </c>
      <c r="K175" s="131">
        <f t="shared" si="418"/>
        <v>4</v>
      </c>
      <c r="L175" s="131">
        <f t="shared" si="418"/>
        <v>-105</v>
      </c>
      <c r="M175" s="131">
        <f t="shared" si="418"/>
        <v>21</v>
      </c>
      <c r="N175" s="112">
        <f t="shared" si="418"/>
        <v>62</v>
      </c>
      <c r="O175" s="131">
        <f t="shared" si="418"/>
        <v>-70</v>
      </c>
      <c r="P175" s="131">
        <f t="shared" si="418"/>
        <v>20</v>
      </c>
      <c r="Q175" s="131">
        <f t="shared" si="418"/>
        <v>-103</v>
      </c>
      <c r="R175" s="131">
        <f t="shared" si="418"/>
        <v>-90</v>
      </c>
      <c r="S175" s="112">
        <f t="shared" si="418"/>
        <v>-243</v>
      </c>
      <c r="T175" s="131">
        <f t="shared" si="418"/>
        <v>-40</v>
      </c>
      <c r="U175" s="131">
        <f t="shared" si="418"/>
        <v>5</v>
      </c>
      <c r="V175" s="131">
        <f t="shared" si="418"/>
        <v>-49</v>
      </c>
      <c r="W175" s="131">
        <f t="shared" si="418"/>
        <v>-66</v>
      </c>
      <c r="X175" s="112">
        <f t="shared" si="418"/>
        <v>-150</v>
      </c>
      <c r="Y175" s="131">
        <f t="shared" si="418"/>
        <v>-150</v>
      </c>
      <c r="Z175" s="131">
        <f t="shared" si="418"/>
        <v>-112</v>
      </c>
      <c r="AA175" s="131">
        <f t="shared" si="418"/>
        <v>-73</v>
      </c>
      <c r="AB175" s="131">
        <f t="shared" si="418"/>
        <v>-111</v>
      </c>
      <c r="AC175" s="112">
        <f t="shared" si="418"/>
        <v>-446</v>
      </c>
      <c r="AD175" s="131">
        <f t="shared" si="418"/>
        <v>-106</v>
      </c>
      <c r="AE175" s="131">
        <f t="shared" si="418"/>
        <v>-122</v>
      </c>
      <c r="AF175" s="131">
        <f t="shared" si="418"/>
        <v>-123</v>
      </c>
      <c r="AG175" s="131">
        <f t="shared" si="418"/>
        <v>-174</v>
      </c>
      <c r="AH175" s="112">
        <f t="shared" si="418"/>
        <v>-525</v>
      </c>
      <c r="AI175" s="131">
        <f t="shared" ref="AI175:BN175" si="419">AI139-AI163</f>
        <v>-115</v>
      </c>
      <c r="AJ175" s="131">
        <f t="shared" si="419"/>
        <v>-93</v>
      </c>
      <c r="AK175" s="131">
        <f t="shared" si="419"/>
        <v>-112</v>
      </c>
      <c r="AL175" s="131">
        <f t="shared" si="419"/>
        <v>-221</v>
      </c>
      <c r="AM175" s="112">
        <f t="shared" si="419"/>
        <v>-541</v>
      </c>
      <c r="AN175" s="131">
        <f t="shared" si="419"/>
        <v>-137</v>
      </c>
      <c r="AO175" s="131">
        <f t="shared" si="419"/>
        <v>-144</v>
      </c>
      <c r="AP175" s="131">
        <f t="shared" si="419"/>
        <v>-281</v>
      </c>
      <c r="AQ175" s="131">
        <f t="shared" si="419"/>
        <v>-206</v>
      </c>
      <c r="AR175" s="112">
        <f t="shared" si="419"/>
        <v>-768</v>
      </c>
      <c r="AS175" s="131">
        <f t="shared" si="419"/>
        <v>-142</v>
      </c>
      <c r="AT175" s="131">
        <f t="shared" si="419"/>
        <v>-144</v>
      </c>
      <c r="AU175" s="131">
        <f t="shared" si="419"/>
        <v>-111</v>
      </c>
      <c r="AV175" s="131">
        <f t="shared" si="419"/>
        <v>-206</v>
      </c>
      <c r="AW175" s="112">
        <f t="shared" si="419"/>
        <v>-603</v>
      </c>
      <c r="AX175" s="131">
        <f t="shared" si="419"/>
        <v>-50.816870144284131</v>
      </c>
      <c r="AY175" s="131">
        <f t="shared" si="419"/>
        <v>-58.466148723640401</v>
      </c>
      <c r="AZ175" s="131">
        <f t="shared" si="419"/>
        <v>-81.86903440621532</v>
      </c>
      <c r="BA175" s="131">
        <f t="shared" si="419"/>
        <v>-64.442841287458378</v>
      </c>
      <c r="BB175" s="112">
        <f t="shared" si="419"/>
        <v>-255.59489456159824</v>
      </c>
      <c r="BC175" s="131">
        <f t="shared" si="419"/>
        <v>-47.698113207547166</v>
      </c>
      <c r="BD175" s="131">
        <f t="shared" si="419"/>
        <v>-57.869034406215313</v>
      </c>
      <c r="BE175" s="131">
        <f t="shared" si="419"/>
        <v>-54.660377358490564</v>
      </c>
      <c r="BF175" s="131">
        <f t="shared" si="419"/>
        <v>-66.689234184239737</v>
      </c>
      <c r="BG175" s="112">
        <f t="shared" si="419"/>
        <v>-226.91675915649279</v>
      </c>
      <c r="BH175" s="131">
        <f t="shared" si="419"/>
        <v>-42.437291897891228</v>
      </c>
      <c r="BI175" s="131">
        <f t="shared" si="419"/>
        <v>-197.55382907880133</v>
      </c>
      <c r="BJ175" s="131">
        <f t="shared" si="419"/>
        <v>-63.831298557158711</v>
      </c>
      <c r="BK175" s="131">
        <f t="shared" si="419"/>
        <v>-72.158712541620417</v>
      </c>
      <c r="BL175" s="112">
        <f t="shared" si="419"/>
        <v>-375.98113207547169</v>
      </c>
      <c r="BM175" s="131">
        <f t="shared" si="419"/>
        <v>-43.489456159822417</v>
      </c>
      <c r="BN175" s="131">
        <f t="shared" si="419"/>
        <v>-69.49500554938956</v>
      </c>
      <c r="BO175" s="131">
        <f t="shared" ref="BO175:CF175" si="420">BO139-BO163</f>
        <v>-49.660377358490564</v>
      </c>
      <c r="BP175" s="131">
        <f t="shared" si="420"/>
        <v>96.572697003329637</v>
      </c>
      <c r="BQ175" s="112">
        <f t="shared" si="420"/>
        <v>-66.072142064372883</v>
      </c>
      <c r="BR175" s="131">
        <f t="shared" si="420"/>
        <v>-46.698113207547166</v>
      </c>
      <c r="BS175" s="131">
        <f t="shared" si="420"/>
        <v>-38.982241953385127</v>
      </c>
      <c r="BT175" s="131">
        <f t="shared" si="420"/>
        <v>-39.541620421753606</v>
      </c>
      <c r="BU175" s="131">
        <f t="shared" si="420"/>
        <v>213.32075471698113</v>
      </c>
      <c r="BV175" s="112">
        <f t="shared" si="420"/>
        <v>88.098779134295228</v>
      </c>
      <c r="BW175" s="131">
        <f t="shared" si="420"/>
        <v>-65.584905660377359</v>
      </c>
      <c r="BX175" s="131">
        <f t="shared" si="420"/>
        <v>-50.503884572697004</v>
      </c>
      <c r="BY175" s="131">
        <f t="shared" si="420"/>
        <v>-132.33296337402885</v>
      </c>
      <c r="BZ175" s="131">
        <f t="shared" si="420"/>
        <v>-56.254162042175366</v>
      </c>
      <c r="CA175" s="112">
        <f t="shared" si="420"/>
        <v>-304.67591564927858</v>
      </c>
      <c r="CB175" s="131">
        <f t="shared" si="420"/>
        <v>-39.722530521642625</v>
      </c>
      <c r="CC175" s="131">
        <f t="shared" si="420"/>
        <v>-79.078801331853498</v>
      </c>
      <c r="CD175" s="131">
        <f t="shared" si="420"/>
        <v>-51.571587125416201</v>
      </c>
      <c r="CE175" s="131">
        <f t="shared" si="420"/>
        <v>-36.736958934517205</v>
      </c>
      <c r="CF175" s="609">
        <f t="shared" si="420"/>
        <v>-207.1098779134295</v>
      </c>
      <c r="CG175" s="749">
        <v>-51</v>
      </c>
      <c r="CH175" s="749">
        <v>-40</v>
      </c>
      <c r="CI175" s="749">
        <v>-40</v>
      </c>
      <c r="CJ175" s="749">
        <v>-129</v>
      </c>
      <c r="CK175" s="609">
        <f>CK139-CK163</f>
        <v>-260</v>
      </c>
      <c r="CL175" s="425">
        <v>-121</v>
      </c>
      <c r="CM175" s="425">
        <v>-32</v>
      </c>
      <c r="CN175" s="425">
        <v>-10</v>
      </c>
      <c r="CO175" s="425">
        <v>-61</v>
      </c>
      <c r="CP175" s="636">
        <v>-224</v>
      </c>
      <c r="CQ175" s="425">
        <v>-103.5436507936508</v>
      </c>
      <c r="CR175" s="425">
        <v>-35.226190476190474</v>
      </c>
      <c r="CS175" s="425">
        <v>-82.194444444444457</v>
      </c>
      <c r="CT175" s="425">
        <v>-48.035714285714278</v>
      </c>
      <c r="CU175" s="636">
        <v>-269</v>
      </c>
      <c r="CV175" s="425">
        <v>-97</v>
      </c>
      <c r="CW175" s="425">
        <v>-33</v>
      </c>
      <c r="CX175" s="425">
        <v>-77</v>
      </c>
      <c r="CY175" s="425">
        <v>-45</v>
      </c>
      <c r="CZ175" s="636">
        <f>SUM(CV175:CY175)</f>
        <v>-252</v>
      </c>
      <c r="DA175" s="425">
        <v>-40</v>
      </c>
      <c r="DB175" s="425">
        <v>-28</v>
      </c>
      <c r="DC175" s="425">
        <v>-31</v>
      </c>
      <c r="DD175" s="425">
        <v>-70</v>
      </c>
      <c r="DE175" s="636">
        <f>SUM(DA175:DD175)</f>
        <v>-169</v>
      </c>
      <c r="DF175" s="425">
        <v>-25</v>
      </c>
      <c r="DG175" s="425">
        <v>-7</v>
      </c>
      <c r="DH175" s="425">
        <v>-71</v>
      </c>
      <c r="DI175" s="631">
        <v>-4</v>
      </c>
      <c r="DJ175" s="636">
        <f>SUM(DF175:DI175)</f>
        <v>-107</v>
      </c>
      <c r="DK175" s="425">
        <v>-29</v>
      </c>
      <c r="DL175" s="844">
        <v>-42</v>
      </c>
      <c r="DM175" s="513">
        <v>-23</v>
      </c>
      <c r="DN175" s="513">
        <v>-81</v>
      </c>
      <c r="DO175" s="636">
        <f>SUM(DK175:DN175)</f>
        <v>-175</v>
      </c>
      <c r="DP175" s="513">
        <v>-35</v>
      </c>
      <c r="DQ175" s="513">
        <v>-40</v>
      </c>
      <c r="DR175" s="513">
        <v>-60</v>
      </c>
      <c r="DS175" s="513">
        <v>-70</v>
      </c>
      <c r="DT175" s="636">
        <f>SUM(DP175:DS175)</f>
        <v>-205</v>
      </c>
      <c r="DU175" s="109">
        <v>-215</v>
      </c>
      <c r="DV175" s="109">
        <v>-220</v>
      </c>
    </row>
    <row r="176" spans="1:126" s="92" customFormat="1">
      <c r="B176" s="180" t="s">
        <v>507</v>
      </c>
      <c r="C176" s="112">
        <f>Data!C171</f>
        <v>0</v>
      </c>
      <c r="D176" s="112">
        <f>Data!D171</f>
        <v>0</v>
      </c>
      <c r="E176" s="112">
        <f>Data!E171</f>
        <v>0</v>
      </c>
      <c r="F176" s="112">
        <f>Data!F171</f>
        <v>0</v>
      </c>
      <c r="G176" s="112">
        <f>Data!G171</f>
        <v>0</v>
      </c>
      <c r="H176" s="112">
        <f>Data!H171</f>
        <v>0</v>
      </c>
      <c r="I176" s="112">
        <f>Data!I171</f>
        <v>-109</v>
      </c>
      <c r="J176" s="131">
        <f>Data!J171</f>
        <v>-121</v>
      </c>
      <c r="K176" s="131">
        <f>Data!K171</f>
        <v>-118</v>
      </c>
      <c r="L176" s="131">
        <f>Data!L171</f>
        <v>-117</v>
      </c>
      <c r="M176" s="131">
        <f>Data!M171</f>
        <v>-118</v>
      </c>
      <c r="N176" s="112">
        <f>Data!N171</f>
        <v>-474</v>
      </c>
      <c r="O176" s="131">
        <f>Data!O171</f>
        <v>-116</v>
      </c>
      <c r="P176" s="131">
        <f>Data!P171</f>
        <v>-116</v>
      </c>
      <c r="Q176" s="131">
        <f>Data!Q171</f>
        <v>-117</v>
      </c>
      <c r="R176" s="131">
        <f>Data!R171</f>
        <v>-116</v>
      </c>
      <c r="S176" s="112">
        <f>Data!S171</f>
        <v>-465</v>
      </c>
      <c r="T176" s="131">
        <f>Data!T171</f>
        <v>-90</v>
      </c>
      <c r="U176" s="131">
        <f>Data!U171</f>
        <v>-100</v>
      </c>
      <c r="V176" s="131">
        <f>Data!V171</f>
        <v>-93</v>
      </c>
      <c r="W176" s="131">
        <f>Data!W171</f>
        <v>-79</v>
      </c>
      <c r="X176" s="112">
        <f>Data!X171</f>
        <v>-362</v>
      </c>
      <c r="Y176" s="131">
        <f>Data!Y171</f>
        <v>-62</v>
      </c>
      <c r="Z176" s="131">
        <f>Data!Z171</f>
        <v>-63</v>
      </c>
      <c r="AA176" s="131">
        <f>Data!AA171</f>
        <v>-114</v>
      </c>
      <c r="AB176" s="131">
        <f>Data!AB171</f>
        <v>-20</v>
      </c>
      <c r="AC176" s="112">
        <f>Data!AC171</f>
        <v>-259</v>
      </c>
      <c r="AD176" s="131">
        <f>Data!AD171</f>
        <v>-33</v>
      </c>
      <c r="AE176" s="131">
        <f>Data!AE171</f>
        <v>-34</v>
      </c>
      <c r="AF176" s="131">
        <f>Data!AF171</f>
        <v>-26</v>
      </c>
      <c r="AG176" s="131">
        <f>Data!AG171</f>
        <v>-30</v>
      </c>
      <c r="AH176" s="112">
        <f>Data!AH171</f>
        <v>-123</v>
      </c>
      <c r="AI176" s="131">
        <f>Data!AI171</f>
        <v>11</v>
      </c>
      <c r="AJ176" s="131">
        <f>Data!AJ171</f>
        <v>11</v>
      </c>
      <c r="AK176" s="131">
        <f>Data!AK171</f>
        <v>-1</v>
      </c>
      <c r="AL176" s="131">
        <f>Data!AL171</f>
        <v>6</v>
      </c>
      <c r="AM176" s="112">
        <f>Data!AM171</f>
        <v>27</v>
      </c>
      <c r="AN176" s="131">
        <f>Data!AN171</f>
        <v>-53</v>
      </c>
      <c r="AO176" s="131">
        <f>Data!AO171</f>
        <v>-55</v>
      </c>
      <c r="AP176" s="131">
        <f>Data!AP171</f>
        <v>-62</v>
      </c>
      <c r="AQ176" s="131">
        <f>Data!AQ171</f>
        <v>-60</v>
      </c>
      <c r="AR176" s="112">
        <f>Data!AR171</f>
        <v>-230</v>
      </c>
      <c r="AS176" s="131">
        <f>Data!AS171</f>
        <v>-89</v>
      </c>
      <c r="AT176" s="131">
        <f>Data!AT171</f>
        <v>-90</v>
      </c>
      <c r="AU176" s="131">
        <f>Data!AU171</f>
        <v>-75</v>
      </c>
      <c r="AV176" s="131">
        <f>Data!AV171</f>
        <v>-83</v>
      </c>
      <c r="AW176" s="112">
        <f>Data!AW171</f>
        <v>-337</v>
      </c>
      <c r="AX176" s="131">
        <f>Data!AX171</f>
        <v>-70</v>
      </c>
      <c r="AY176" s="131">
        <f>Data!AY171</f>
        <v>-71</v>
      </c>
      <c r="AZ176" s="131">
        <f>Data!AZ171</f>
        <v>-47</v>
      </c>
      <c r="BA176" s="131">
        <f>Data!BA171</f>
        <v>-67</v>
      </c>
      <c r="BB176" s="112">
        <f>Data!BB171</f>
        <v>-255</v>
      </c>
      <c r="BC176" s="131">
        <f>Data!BC171</f>
        <v>-71</v>
      </c>
      <c r="BD176" s="131">
        <f>Data!BD171</f>
        <v>-72</v>
      </c>
      <c r="BE176" s="131">
        <f>Data!BE171</f>
        <v>-46</v>
      </c>
      <c r="BF176" s="131">
        <f>Data!BF171</f>
        <v>-60</v>
      </c>
      <c r="BG176" s="112">
        <f>Data!BG171</f>
        <v>-249</v>
      </c>
      <c r="BH176" s="131">
        <f>Data!BH171</f>
        <v>87</v>
      </c>
      <c r="BI176" s="131">
        <f>Data!BI171</f>
        <v>87</v>
      </c>
      <c r="BJ176" s="131">
        <f>Data!BJ171</f>
        <v>42</v>
      </c>
      <c r="BK176" s="131">
        <f>Data!BK171</f>
        <v>70</v>
      </c>
      <c r="BL176" s="112">
        <f>Data!BL171</f>
        <v>286</v>
      </c>
      <c r="BM176" s="131">
        <f>Data!BM171</f>
        <v>49</v>
      </c>
      <c r="BN176" s="131">
        <f>Data!BN171</f>
        <v>49</v>
      </c>
      <c r="BO176" s="131">
        <f>Data!BO171</f>
        <v>43</v>
      </c>
      <c r="BP176" s="131">
        <f>Data!BP171</f>
        <v>44</v>
      </c>
      <c r="BQ176" s="112">
        <f>Data!BQ171</f>
        <v>185</v>
      </c>
      <c r="BR176" s="131">
        <f>Data!BR171</f>
        <v>105</v>
      </c>
      <c r="BS176" s="131">
        <f>Data!BS171</f>
        <v>109</v>
      </c>
      <c r="BT176" s="131">
        <f>Data!BT171</f>
        <v>104</v>
      </c>
      <c r="BU176" s="131">
        <f>Data!BU171</f>
        <v>117</v>
      </c>
      <c r="BV176" s="112">
        <f>Data!BV171</f>
        <v>435</v>
      </c>
      <c r="BW176" s="131">
        <f>Data!BW171</f>
        <v>315</v>
      </c>
      <c r="BX176" s="131">
        <f>Data!BX171</f>
        <v>315</v>
      </c>
      <c r="BY176" s="131">
        <f>Data!BY171</f>
        <v>348</v>
      </c>
      <c r="BZ176" s="131">
        <f>Data!BZ171</f>
        <v>325</v>
      </c>
      <c r="CA176" s="112">
        <f>Data!CA171</f>
        <v>1303</v>
      </c>
      <c r="CB176" s="131">
        <f>Data!CB171</f>
        <v>354</v>
      </c>
      <c r="CC176" s="131">
        <f>Data!CC171</f>
        <v>353</v>
      </c>
      <c r="CD176" s="131">
        <f>Data!CD171</f>
        <v>365</v>
      </c>
      <c r="CE176" s="131">
        <f>Data!CE171</f>
        <v>356</v>
      </c>
      <c r="CF176" s="112">
        <f>Data!CF171</f>
        <v>1428</v>
      </c>
      <c r="CG176" s="131">
        <f>Data!CG171</f>
        <v>356</v>
      </c>
      <c r="CH176" s="131">
        <f>Data!CH171</f>
        <v>353</v>
      </c>
      <c r="CI176" s="131">
        <f>Data!CI171</f>
        <v>351</v>
      </c>
      <c r="CJ176" s="131">
        <f>Data!CJ171</f>
        <v>355</v>
      </c>
      <c r="CK176" s="112">
        <f>Data!CK171</f>
        <v>1415</v>
      </c>
      <c r="CL176" s="131">
        <f>Data!CL171</f>
        <v>351</v>
      </c>
      <c r="CM176" s="131">
        <f>Data!CM171</f>
        <v>349</v>
      </c>
      <c r="CN176" s="131">
        <f>Data!CN171</f>
        <v>352</v>
      </c>
      <c r="CO176" s="131">
        <f>Data!CO171</f>
        <v>340</v>
      </c>
      <c r="CP176" s="636">
        <f>SUM(CL176:CO176)</f>
        <v>1392</v>
      </c>
      <c r="CQ176" s="131">
        <v>411.43102215868481</v>
      </c>
      <c r="CR176" s="131">
        <v>412.61329521086492</v>
      </c>
      <c r="CS176" s="131">
        <v>411.43102215868481</v>
      </c>
      <c r="CT176" s="619">
        <v>418.5246604717654</v>
      </c>
      <c r="CU176" s="636">
        <v>1654</v>
      </c>
      <c r="CV176" s="822">
        <f>Data!CV171</f>
        <v>348</v>
      </c>
      <c r="CW176" s="822">
        <f>Data!CW171</f>
        <v>349</v>
      </c>
      <c r="CX176" s="822">
        <f>Data!CX171</f>
        <v>348</v>
      </c>
      <c r="CY176" s="822">
        <f>Data!CY171</f>
        <v>354</v>
      </c>
      <c r="CZ176" s="823">
        <f>Data!CZ171</f>
        <v>1399</v>
      </c>
      <c r="DA176" s="822">
        <f>Data!DA171</f>
        <v>289</v>
      </c>
      <c r="DB176" s="822">
        <f>Data!DB171</f>
        <v>284</v>
      </c>
      <c r="DC176" s="822">
        <f>Data!DC171</f>
        <v>272</v>
      </c>
      <c r="DD176" s="822">
        <v>282</v>
      </c>
      <c r="DE176" s="636">
        <f>SUM(DA176:DD176)</f>
        <v>1127</v>
      </c>
      <c r="DF176" s="822">
        <v>214</v>
      </c>
      <c r="DG176" s="619">
        <v>212</v>
      </c>
      <c r="DH176" s="619">
        <v>210</v>
      </c>
      <c r="DI176" s="622">
        <v>197</v>
      </c>
      <c r="DJ176" s="636">
        <f>SUM(DF176:DI176)</f>
        <v>833</v>
      </c>
      <c r="DK176" s="822">
        <v>185</v>
      </c>
      <c r="DL176" s="845">
        <v>186</v>
      </c>
      <c r="DM176" s="653">
        <v>199</v>
      </c>
      <c r="DN176" s="653">
        <v>175</v>
      </c>
      <c r="DO176" s="636">
        <f>SUM(DK176:DN176)</f>
        <v>745</v>
      </c>
      <c r="DP176" s="653">
        <v>150</v>
      </c>
      <c r="DQ176" s="653">
        <v>150</v>
      </c>
      <c r="DR176" s="653">
        <v>150</v>
      </c>
      <c r="DS176" s="653">
        <v>150</v>
      </c>
      <c r="DT176" s="636">
        <f>SUM(DP176:DS176)</f>
        <v>600</v>
      </c>
      <c r="DU176" s="654">
        <v>500</v>
      </c>
      <c r="DV176" s="654">
        <v>450</v>
      </c>
    </row>
    <row r="177" spans="2:126" s="128" customFormat="1">
      <c r="B177" s="180" t="s">
        <v>630</v>
      </c>
      <c r="C177" s="112"/>
      <c r="D177" s="112"/>
      <c r="E177" s="112"/>
      <c r="F177" s="112"/>
      <c r="G177" s="112"/>
      <c r="H177" s="112"/>
      <c r="I177" s="112"/>
      <c r="J177" s="131"/>
      <c r="K177" s="131"/>
      <c r="L177" s="131"/>
      <c r="M177" s="131"/>
      <c r="N177" s="112"/>
      <c r="O177" s="131"/>
      <c r="P177" s="131"/>
      <c r="Q177" s="131"/>
      <c r="R177" s="131"/>
      <c r="S177" s="112"/>
      <c r="T177" s="131"/>
      <c r="U177" s="131"/>
      <c r="V177" s="131"/>
      <c r="W177" s="131"/>
      <c r="X177" s="112"/>
      <c r="Y177" s="131"/>
      <c r="Z177" s="131"/>
      <c r="AA177" s="131"/>
      <c r="AB177" s="131"/>
      <c r="AC177" s="112"/>
      <c r="AD177" s="131"/>
      <c r="AE177" s="131"/>
      <c r="AF177" s="131"/>
      <c r="AG177" s="131"/>
      <c r="AH177" s="112"/>
      <c r="AI177" s="131"/>
      <c r="AJ177" s="131"/>
      <c r="AK177" s="131"/>
      <c r="AL177" s="131"/>
      <c r="AM177" s="112"/>
      <c r="AN177" s="131"/>
      <c r="AO177" s="131"/>
      <c r="AP177" s="131"/>
      <c r="AQ177" s="131"/>
      <c r="AR177" s="112"/>
      <c r="AS177" s="131"/>
      <c r="AT177" s="131"/>
      <c r="AU177" s="131"/>
      <c r="AV177" s="131"/>
      <c r="AW177" s="112"/>
      <c r="AX177" s="131"/>
      <c r="AY177" s="131"/>
      <c r="AZ177" s="131"/>
      <c r="BA177" s="131"/>
      <c r="BB177" s="112"/>
      <c r="BC177" s="131"/>
      <c r="BD177" s="131"/>
      <c r="BE177" s="131"/>
      <c r="BF177" s="131"/>
      <c r="BG177" s="112"/>
      <c r="BH177" s="131"/>
      <c r="BI177" s="131"/>
      <c r="BJ177" s="131"/>
      <c r="BK177" s="131"/>
      <c r="BL177" s="112"/>
      <c r="BM177" s="131"/>
      <c r="BN177" s="131"/>
      <c r="BO177" s="131"/>
      <c r="BP177" s="131"/>
      <c r="BQ177" s="112"/>
      <c r="BR177" s="131"/>
      <c r="BS177" s="131"/>
      <c r="BT177" s="131"/>
      <c r="BU177" s="131"/>
      <c r="BV177" s="112"/>
      <c r="BW177" s="131"/>
      <c r="BX177" s="131"/>
      <c r="BY177" s="131"/>
      <c r="BZ177" s="131"/>
      <c r="CA177" s="112"/>
      <c r="CB177" s="131"/>
      <c r="CC177" s="131"/>
      <c r="CD177" s="131"/>
      <c r="CE177" s="131"/>
      <c r="CF177" s="112"/>
      <c r="CG177" s="131"/>
      <c r="CH177" s="131"/>
      <c r="CI177" s="131"/>
      <c r="CJ177" s="131"/>
      <c r="CK177" s="112"/>
      <c r="CL177" s="513">
        <v>0</v>
      </c>
      <c r="CM177" s="425">
        <v>0</v>
      </c>
      <c r="CN177" s="425">
        <v>0</v>
      </c>
      <c r="CO177" s="425">
        <v>0</v>
      </c>
      <c r="CP177" s="636">
        <f>SUM(CL177:CO177)</f>
        <v>0</v>
      </c>
      <c r="CQ177" s="425">
        <v>0</v>
      </c>
      <c r="CR177" s="425">
        <v>0</v>
      </c>
      <c r="CS177" s="810">
        <v>0</v>
      </c>
      <c r="CT177" s="631">
        <v>0</v>
      </c>
      <c r="CU177" s="636"/>
      <c r="CV177" s="631">
        <v>0</v>
      </c>
      <c r="CW177" s="810">
        <v>0</v>
      </c>
      <c r="CX177" s="810">
        <v>0</v>
      </c>
      <c r="CY177" s="810">
        <v>0</v>
      </c>
      <c r="CZ177" s="636"/>
      <c r="DA177" s="810">
        <v>0</v>
      </c>
      <c r="DB177" s="810">
        <v>0</v>
      </c>
      <c r="DC177" s="810">
        <v>0</v>
      </c>
      <c r="DD177" s="810">
        <v>0</v>
      </c>
      <c r="DE177" s="636"/>
      <c r="DF177" s="810">
        <v>0</v>
      </c>
      <c r="DG177" s="810">
        <v>0</v>
      </c>
      <c r="DH177" s="631">
        <v>0</v>
      </c>
      <c r="DI177" s="631">
        <v>0</v>
      </c>
      <c r="DJ177" s="636"/>
      <c r="DK177" s="810">
        <v>0</v>
      </c>
      <c r="DL177" s="631">
        <v>0</v>
      </c>
      <c r="DM177" s="810">
        <v>0</v>
      </c>
      <c r="DN177" s="810">
        <v>0</v>
      </c>
      <c r="DO177" s="636"/>
      <c r="DP177" s="810">
        <v>0</v>
      </c>
      <c r="DQ177" s="810">
        <v>0</v>
      </c>
      <c r="DR177" s="810">
        <v>0</v>
      </c>
      <c r="DS177" s="810">
        <v>0</v>
      </c>
      <c r="DT177" s="636"/>
      <c r="DU177" s="74">
        <v>0</v>
      </c>
      <c r="DV177" s="74">
        <v>0</v>
      </c>
    </row>
    <row r="178" spans="2:126" s="92" customFormat="1">
      <c r="B178" s="44" t="s">
        <v>233</v>
      </c>
      <c r="C178" s="77">
        <f t="shared" ref="C178:AW178" si="421">SUM(C173:C176)</f>
        <v>2201</v>
      </c>
      <c r="D178" s="77">
        <f t="shared" si="421"/>
        <v>3015</v>
      </c>
      <c r="E178" s="77">
        <f t="shared" si="421"/>
        <v>2092</v>
      </c>
      <c r="F178" s="77">
        <f t="shared" si="421"/>
        <v>3276</v>
      </c>
      <c r="G178" s="77">
        <f t="shared" si="421"/>
        <v>3061</v>
      </c>
      <c r="H178" s="77">
        <f t="shared" si="421"/>
        <v>3270</v>
      </c>
      <c r="I178" s="77">
        <f t="shared" si="421"/>
        <v>2710</v>
      </c>
      <c r="J178" s="78">
        <f t="shared" si="421"/>
        <v>791</v>
      </c>
      <c r="K178" s="78">
        <f t="shared" si="421"/>
        <v>849</v>
      </c>
      <c r="L178" s="78">
        <f t="shared" si="421"/>
        <v>762</v>
      </c>
      <c r="M178" s="78">
        <f t="shared" si="421"/>
        <v>959</v>
      </c>
      <c r="N178" s="77">
        <f t="shared" si="421"/>
        <v>3361</v>
      </c>
      <c r="O178" s="78">
        <f t="shared" si="421"/>
        <v>849</v>
      </c>
      <c r="P178" s="78">
        <f t="shared" si="421"/>
        <v>1039</v>
      </c>
      <c r="Q178" s="78">
        <f t="shared" si="421"/>
        <v>935</v>
      </c>
      <c r="R178" s="78">
        <f t="shared" si="421"/>
        <v>1028</v>
      </c>
      <c r="S178" s="77">
        <f t="shared" si="421"/>
        <v>3851</v>
      </c>
      <c r="T178" s="78">
        <f t="shared" si="421"/>
        <v>1101</v>
      </c>
      <c r="U178" s="78">
        <f t="shared" si="421"/>
        <v>1345</v>
      </c>
      <c r="V178" s="78">
        <f t="shared" si="421"/>
        <v>1221</v>
      </c>
      <c r="W178" s="78">
        <f t="shared" si="421"/>
        <v>1239</v>
      </c>
      <c r="X178" s="77">
        <f t="shared" si="421"/>
        <v>4779</v>
      </c>
      <c r="Y178" s="78">
        <f t="shared" si="421"/>
        <v>1123</v>
      </c>
      <c r="Z178" s="78">
        <f t="shared" si="421"/>
        <v>1316</v>
      </c>
      <c r="AA178" s="78">
        <f t="shared" si="421"/>
        <v>1272</v>
      </c>
      <c r="AB178" s="78">
        <f t="shared" si="421"/>
        <v>1420</v>
      </c>
      <c r="AC178" s="77">
        <f t="shared" si="421"/>
        <v>5131</v>
      </c>
      <c r="AD178" s="78">
        <f t="shared" si="421"/>
        <v>1310</v>
      </c>
      <c r="AE178" s="78">
        <f t="shared" si="421"/>
        <v>1453</v>
      </c>
      <c r="AF178" s="78">
        <f t="shared" si="421"/>
        <v>1437</v>
      </c>
      <c r="AG178" s="78">
        <f t="shared" si="421"/>
        <v>1453</v>
      </c>
      <c r="AH178" s="77">
        <f t="shared" si="421"/>
        <v>5653</v>
      </c>
      <c r="AI178" s="78">
        <f t="shared" si="421"/>
        <v>1360</v>
      </c>
      <c r="AJ178" s="78">
        <f t="shared" si="421"/>
        <v>1481</v>
      </c>
      <c r="AK178" s="78">
        <f t="shared" si="421"/>
        <v>1469</v>
      </c>
      <c r="AL178" s="78">
        <f t="shared" si="421"/>
        <v>1404</v>
      </c>
      <c r="AM178" s="77">
        <f t="shared" si="421"/>
        <v>5714</v>
      </c>
      <c r="AN178" s="78">
        <f t="shared" si="421"/>
        <v>1304</v>
      </c>
      <c r="AO178" s="78">
        <f t="shared" si="421"/>
        <v>1037</v>
      </c>
      <c r="AP178" s="78">
        <f t="shared" si="421"/>
        <v>1344</v>
      </c>
      <c r="AQ178" s="78">
        <f t="shared" si="421"/>
        <v>1495</v>
      </c>
      <c r="AR178" s="77">
        <f t="shared" si="421"/>
        <v>5180</v>
      </c>
      <c r="AS178" s="78">
        <f t="shared" si="421"/>
        <v>1092</v>
      </c>
      <c r="AT178" s="78">
        <f t="shared" si="421"/>
        <v>1229</v>
      </c>
      <c r="AU178" s="78">
        <f t="shared" si="421"/>
        <v>1327</v>
      </c>
      <c r="AV178" s="78">
        <f t="shared" si="421"/>
        <v>1444</v>
      </c>
      <c r="AW178" s="77">
        <f t="shared" si="421"/>
        <v>5092</v>
      </c>
      <c r="AX178" s="78">
        <f t="shared" ref="AX178:CP178" si="422">SUM(AX173:AX177)</f>
        <v>1318.8074197478772</v>
      </c>
      <c r="AY178" s="78">
        <f t="shared" si="422"/>
        <v>1386.7141900031493</v>
      </c>
      <c r="AZ178" s="78">
        <f t="shared" si="422"/>
        <v>1456.0871089820614</v>
      </c>
      <c r="BA178" s="78">
        <f t="shared" si="422"/>
        <v>1465.1636905580883</v>
      </c>
      <c r="BB178" s="77">
        <f t="shared" si="422"/>
        <v>5626.7724092911767</v>
      </c>
      <c r="BC178" s="78">
        <f t="shared" si="422"/>
        <v>1665.1389560268206</v>
      </c>
      <c r="BD178" s="78">
        <f t="shared" si="422"/>
        <v>1773.8426186239346</v>
      </c>
      <c r="BE178" s="78">
        <f t="shared" si="422"/>
        <v>1781.7238616871978</v>
      </c>
      <c r="BF178" s="78">
        <f t="shared" si="422"/>
        <v>1732.4530514763208</v>
      </c>
      <c r="BG178" s="77">
        <f t="shared" si="422"/>
        <v>6953.1584878142739</v>
      </c>
      <c r="BH178" s="78">
        <f t="shared" si="422"/>
        <v>1863.99395338207</v>
      </c>
      <c r="BI178" s="78">
        <f t="shared" si="422"/>
        <v>1899.7464506073757</v>
      </c>
      <c r="BJ178" s="78">
        <f t="shared" si="422"/>
        <v>1926.6809678104828</v>
      </c>
      <c r="BK178" s="78">
        <f t="shared" si="422"/>
        <v>2036.2236981101501</v>
      </c>
      <c r="BL178" s="77">
        <f t="shared" si="422"/>
        <v>7726.6450699100778</v>
      </c>
      <c r="BM178" s="78">
        <f t="shared" si="422"/>
        <v>1953.6837665831968</v>
      </c>
      <c r="BN178" s="78">
        <f t="shared" si="422"/>
        <v>1719.8624569272588</v>
      </c>
      <c r="BO178" s="78">
        <f t="shared" si="422"/>
        <v>1753.3874291803108</v>
      </c>
      <c r="BP178" s="78">
        <f t="shared" si="422"/>
        <v>1924.8824347297002</v>
      </c>
      <c r="BQ178" s="77">
        <f t="shared" si="422"/>
        <v>7351.8160874204659</v>
      </c>
      <c r="BR178" s="78">
        <f t="shared" si="422"/>
        <v>1638.5766282031291</v>
      </c>
      <c r="BS178" s="78">
        <f t="shared" si="422"/>
        <v>2051.5255738191117</v>
      </c>
      <c r="BT178" s="78">
        <f t="shared" si="422"/>
        <v>1895.7375605005764</v>
      </c>
      <c r="BU178" s="78">
        <f t="shared" si="422"/>
        <v>1985.3690810333176</v>
      </c>
      <c r="BV178" s="77">
        <f t="shared" si="422"/>
        <v>7571.2088435561345</v>
      </c>
      <c r="BW178" s="78">
        <f t="shared" si="422"/>
        <v>1887.1054498674569</v>
      </c>
      <c r="BX178" s="78">
        <f t="shared" si="422"/>
        <v>2016.0965708441493</v>
      </c>
      <c r="BY178" s="78">
        <f t="shared" si="422"/>
        <v>2075.3929082470349</v>
      </c>
      <c r="BZ178" s="78">
        <f t="shared" si="422"/>
        <v>2043.0555053613523</v>
      </c>
      <c r="CA178" s="77">
        <f t="shared" si="422"/>
        <v>8021.6504343199922</v>
      </c>
      <c r="CB178" s="78">
        <f t="shared" si="422"/>
        <v>2544.5654827968924</v>
      </c>
      <c r="CC178" s="78">
        <f t="shared" si="422"/>
        <v>2512.8374028856829</v>
      </c>
      <c r="CD178" s="78">
        <f t="shared" si="422"/>
        <v>2616.9051054384017</v>
      </c>
      <c r="CE178" s="78">
        <f t="shared" si="422"/>
        <v>2715.4300776914542</v>
      </c>
      <c r="CF178" s="77">
        <f t="shared" si="422"/>
        <v>10389.73806881243</v>
      </c>
      <c r="CG178" s="78">
        <f t="shared" si="422"/>
        <v>2741</v>
      </c>
      <c r="CH178" s="78">
        <f t="shared" si="422"/>
        <v>2890</v>
      </c>
      <c r="CI178" s="78">
        <f t="shared" si="422"/>
        <v>2966</v>
      </c>
      <c r="CJ178" s="78">
        <f t="shared" si="422"/>
        <v>2729</v>
      </c>
      <c r="CK178" s="77">
        <f t="shared" si="422"/>
        <v>11326</v>
      </c>
      <c r="CL178" s="78">
        <f t="shared" si="422"/>
        <v>2910.6821457165734</v>
      </c>
      <c r="CM178" s="78">
        <f t="shared" si="422"/>
        <v>984.63811048839068</v>
      </c>
      <c r="CN178" s="78">
        <f t="shared" si="422"/>
        <v>1298.3494795836668</v>
      </c>
      <c r="CO178" s="78">
        <f t="shared" si="422"/>
        <v>1257.330264211369</v>
      </c>
      <c r="CP178" s="77">
        <f t="shared" si="422"/>
        <v>6451</v>
      </c>
      <c r="CQ178" s="78">
        <f t="shared" ref="CQ178:CV178" si="423">SUM(CQ173:CQ177)</f>
        <v>1669.7002952258792</v>
      </c>
      <c r="CR178" s="78">
        <f t="shared" ref="CR178" si="424">SUM(CR173:CR177)</f>
        <v>1884.4912319958114</v>
      </c>
      <c r="CS178" s="78">
        <f t="shared" si="423"/>
        <v>1895.981343994235</v>
      </c>
      <c r="CT178" s="78">
        <f t="shared" si="423"/>
        <v>1990.8271287840744</v>
      </c>
      <c r="CU178" s="77">
        <f t="shared" si="423"/>
        <v>7441</v>
      </c>
      <c r="CV178" s="78">
        <f t="shared" si="423"/>
        <v>1920</v>
      </c>
      <c r="CW178" s="78">
        <f t="shared" ref="CW178:CZ178" si="425">SUM(CW173:CW177)</f>
        <v>1920</v>
      </c>
      <c r="CX178" s="78">
        <f t="shared" si="425"/>
        <v>2026</v>
      </c>
      <c r="CY178" s="78">
        <f t="shared" si="425"/>
        <v>2047</v>
      </c>
      <c r="CZ178" s="77">
        <f t="shared" si="425"/>
        <v>7913</v>
      </c>
      <c r="DA178" s="78">
        <f t="shared" ref="DA178:DF178" si="426">SUM(DA173:DA177)</f>
        <v>2153</v>
      </c>
      <c r="DB178" s="78">
        <f t="shared" si="426"/>
        <v>2243</v>
      </c>
      <c r="DC178" s="78">
        <f t="shared" si="426"/>
        <v>2228</v>
      </c>
      <c r="DD178" s="78">
        <f t="shared" si="426"/>
        <v>2271</v>
      </c>
      <c r="DE178" s="77">
        <f t="shared" si="426"/>
        <v>8895</v>
      </c>
      <c r="DF178" s="78">
        <f t="shared" si="426"/>
        <v>2292</v>
      </c>
      <c r="DG178" s="78">
        <f t="shared" ref="DG178:DK178" si="427">SUM(DG173:DG177)</f>
        <v>2560</v>
      </c>
      <c r="DH178" s="78">
        <f t="shared" si="427"/>
        <v>2479</v>
      </c>
      <c r="DI178" s="78">
        <f t="shared" si="427"/>
        <v>2852</v>
      </c>
      <c r="DJ178" s="77">
        <f t="shared" si="427"/>
        <v>10183</v>
      </c>
      <c r="DK178" s="78">
        <f t="shared" si="427"/>
        <v>2663</v>
      </c>
      <c r="DL178" s="78">
        <f t="shared" ref="DL178:DP178" si="428">SUM(DL173:DL177)</f>
        <v>2793</v>
      </c>
      <c r="DM178" s="78">
        <f t="shared" si="428"/>
        <v>2966</v>
      </c>
      <c r="DN178" s="78">
        <f t="shared" si="428"/>
        <v>2798.6336250000004</v>
      </c>
      <c r="DO178" s="77">
        <f t="shared" si="428"/>
        <v>11286.633625</v>
      </c>
      <c r="DP178" s="78">
        <f t="shared" si="428"/>
        <v>2678.9430400000001</v>
      </c>
      <c r="DQ178" s="78">
        <f t="shared" ref="DQ178:DT178" si="429">SUM(DQ173:DQ177)</f>
        <v>2893.3360160000002</v>
      </c>
      <c r="DR178" s="78">
        <f t="shared" si="429"/>
        <v>3157.3779559999998</v>
      </c>
      <c r="DS178" s="78">
        <f t="shared" si="429"/>
        <v>3181.2694715359999</v>
      </c>
      <c r="DT178" s="77">
        <f t="shared" si="429"/>
        <v>11910.926483536001</v>
      </c>
      <c r="DU178" s="77">
        <f t="shared" ref="DU178:DV178" si="430">SUM(DU173:DU177)</f>
        <v>12886.621194674979</v>
      </c>
      <c r="DV178" s="77">
        <f t="shared" si="430"/>
        <v>13896.965752491491</v>
      </c>
    </row>
    <row r="179" spans="2:126" s="92" customFormat="1">
      <c r="B179" s="108"/>
      <c r="C179" s="75"/>
      <c r="D179" s="75"/>
      <c r="E179" s="75"/>
      <c r="F179" s="75"/>
      <c r="G179" s="75"/>
      <c r="H179" s="75"/>
      <c r="I179" s="75"/>
      <c r="J179" s="190"/>
      <c r="K179" s="190"/>
      <c r="L179" s="190"/>
      <c r="M179" s="190"/>
      <c r="N179" s="75"/>
      <c r="O179" s="190"/>
      <c r="P179" s="190"/>
      <c r="Q179" s="190"/>
      <c r="R179" s="190"/>
      <c r="S179" s="75"/>
      <c r="T179" s="190"/>
      <c r="U179" s="190"/>
      <c r="V179" s="190"/>
      <c r="W179" s="190"/>
      <c r="X179" s="75"/>
      <c r="Y179" s="190"/>
      <c r="Z179" s="190"/>
      <c r="AA179" s="190"/>
      <c r="AB179" s="190"/>
      <c r="AC179" s="75"/>
      <c r="AD179" s="190"/>
      <c r="AE179" s="190"/>
      <c r="AF179" s="190"/>
      <c r="AG179" s="190"/>
      <c r="AH179" s="75"/>
      <c r="AI179" s="190"/>
      <c r="AJ179" s="190"/>
      <c r="AK179" s="190"/>
      <c r="AL179" s="190"/>
      <c r="AM179" s="75"/>
      <c r="AN179" s="190"/>
      <c r="AO179" s="190"/>
      <c r="AP179" s="190"/>
      <c r="AQ179" s="190"/>
      <c r="AR179" s="75"/>
      <c r="AS179" s="190"/>
      <c r="AT179" s="190"/>
      <c r="AU179" s="190"/>
      <c r="AV179" s="190"/>
      <c r="AW179" s="75"/>
      <c r="AX179" s="190"/>
      <c r="AY179" s="190"/>
      <c r="AZ179" s="190"/>
      <c r="BA179" s="190"/>
      <c r="BB179" s="75"/>
      <c r="BC179" s="190"/>
      <c r="BD179" s="190"/>
      <c r="BE179" s="190"/>
      <c r="BF179" s="190"/>
      <c r="BG179" s="75"/>
      <c r="BH179" s="190"/>
      <c r="BI179" s="190"/>
      <c r="BJ179" s="190"/>
      <c r="BK179" s="190"/>
      <c r="BL179" s="75"/>
      <c r="BM179" s="190"/>
      <c r="BN179" s="190"/>
      <c r="BO179" s="190"/>
      <c r="BP179" s="190"/>
      <c r="BQ179" s="75"/>
      <c r="BR179" s="190"/>
      <c r="BS179" s="190"/>
      <c r="BT179" s="190"/>
      <c r="BU179" s="190"/>
      <c r="BV179" s="75"/>
      <c r="BW179" s="190"/>
      <c r="BX179" s="190"/>
      <c r="BY179" s="190"/>
      <c r="BZ179" s="190"/>
      <c r="CA179" s="75"/>
      <c r="CB179" s="190"/>
      <c r="CC179" s="190"/>
      <c r="CD179" s="190"/>
      <c r="CE179" s="190"/>
      <c r="CF179" s="75"/>
      <c r="CG179" s="190"/>
      <c r="CH179" s="190"/>
      <c r="CI179" s="190"/>
      <c r="CJ179" s="190"/>
      <c r="CK179" s="75"/>
      <c r="CL179" s="190"/>
      <c r="CM179" s="190"/>
      <c r="CN179" s="190"/>
      <c r="CO179" s="190"/>
      <c r="CP179" s="75"/>
      <c r="CQ179" s="190"/>
      <c r="CR179" s="190"/>
      <c r="CS179" s="190"/>
      <c r="CT179" s="190"/>
      <c r="CU179" s="75"/>
      <c r="CV179" s="190"/>
      <c r="CW179" s="190"/>
      <c r="CX179" s="190"/>
      <c r="CY179" s="190"/>
      <c r="CZ179" s="75"/>
      <c r="DA179" s="190"/>
      <c r="DB179" s="190"/>
      <c r="DC179" s="190"/>
      <c r="DD179" s="190"/>
      <c r="DE179" s="75"/>
      <c r="DF179" s="190"/>
      <c r="DG179" s="190"/>
      <c r="DH179" s="190"/>
      <c r="DI179" s="190"/>
      <c r="DJ179" s="75"/>
      <c r="DK179" s="190"/>
      <c r="DL179" s="190"/>
      <c r="DM179" s="190"/>
      <c r="DN179" s="190"/>
      <c r="DO179" s="75"/>
      <c r="DP179" s="190"/>
      <c r="DQ179" s="190"/>
      <c r="DR179" s="190"/>
      <c r="DS179" s="190"/>
      <c r="DT179" s="75"/>
      <c r="DU179" s="75"/>
      <c r="DV179" s="75"/>
    </row>
    <row r="180" spans="2:126" s="92" customFormat="1" hidden="1" outlineLevel="1">
      <c r="B180" s="54" t="s">
        <v>81</v>
      </c>
      <c r="C180" s="91"/>
      <c r="D180" s="91"/>
      <c r="E180" s="91"/>
      <c r="F180" s="91"/>
      <c r="G180" s="91"/>
      <c r="H180" s="91"/>
      <c r="I180" s="91"/>
      <c r="N180" s="91"/>
      <c r="S180" s="91"/>
      <c r="X180" s="91"/>
      <c r="AC180" s="91"/>
      <c r="AH180" s="91"/>
      <c r="AM180" s="91"/>
      <c r="AR180" s="91"/>
      <c r="AU180" s="3"/>
      <c r="AW180" s="91"/>
      <c r="BB180" s="91"/>
      <c r="BG180" s="91"/>
      <c r="BL180" s="91"/>
      <c r="BQ180" s="91"/>
      <c r="BV180" s="91"/>
      <c r="CA180" s="91"/>
      <c r="CF180" s="91"/>
      <c r="CK180" s="91"/>
      <c r="CP180" s="91"/>
      <c r="CU180" s="91"/>
      <c r="CZ180" s="91"/>
      <c r="DE180" s="91"/>
      <c r="DJ180" s="91"/>
      <c r="DO180" s="91"/>
      <c r="DT180" s="91"/>
      <c r="DU180" s="91"/>
      <c r="DV180" s="91"/>
    </row>
    <row r="181" spans="2:126" s="92" customFormat="1" hidden="1" outlineLevel="1">
      <c r="B181" s="115" t="str">
        <f>+B132</f>
        <v>Pratt &amp; Whitney</v>
      </c>
      <c r="C181" s="120"/>
      <c r="D181" s="120"/>
      <c r="E181" s="120"/>
      <c r="F181" s="120"/>
      <c r="G181" s="120"/>
      <c r="H181" s="120"/>
      <c r="I181" s="120"/>
      <c r="J181" s="133"/>
      <c r="K181" s="133"/>
      <c r="L181" s="133"/>
      <c r="M181" s="133"/>
      <c r="N181" s="120"/>
      <c r="O181" s="133"/>
      <c r="P181" s="133"/>
      <c r="Q181" s="133"/>
      <c r="R181" s="133"/>
      <c r="S181" s="120"/>
      <c r="T181" s="133"/>
      <c r="U181" s="133"/>
      <c r="V181" s="133"/>
      <c r="W181" s="133"/>
      <c r="X181" s="120"/>
      <c r="Y181" s="133"/>
      <c r="Z181" s="133"/>
      <c r="AA181" s="133"/>
      <c r="AB181" s="133"/>
      <c r="AC181" s="120"/>
      <c r="AD181" s="133"/>
      <c r="AE181" s="133"/>
      <c r="AF181" s="133"/>
      <c r="AG181" s="133"/>
      <c r="AH181" s="120"/>
      <c r="AI181" s="133"/>
      <c r="AJ181" s="133"/>
      <c r="AK181" s="133"/>
      <c r="AL181" s="133"/>
      <c r="AM181" s="120"/>
      <c r="AN181" s="133"/>
      <c r="AO181" s="133"/>
      <c r="AP181" s="133"/>
      <c r="AQ181" s="133"/>
      <c r="AR181" s="120"/>
      <c r="AS181" s="133"/>
      <c r="AT181" s="133"/>
      <c r="AU181" s="133"/>
      <c r="AV181" s="133"/>
      <c r="AW181" s="120"/>
      <c r="AX181" s="133"/>
      <c r="AY181" s="133"/>
      <c r="AZ181" s="133"/>
      <c r="BA181" s="133"/>
      <c r="BB181" s="120">
        <f t="shared" ref="BB181:CP181" si="431">BB168/BB$173</f>
        <v>0.27373999156742818</v>
      </c>
      <c r="BC181" s="133">
        <f t="shared" si="431"/>
        <v>0.23856435331825571</v>
      </c>
      <c r="BD181" s="133">
        <f t="shared" si="431"/>
        <v>0.24937178231166318</v>
      </c>
      <c r="BE181" s="133">
        <f t="shared" si="431"/>
        <v>0.26335204996143829</v>
      </c>
      <c r="BF181" s="133">
        <f t="shared" si="431"/>
        <v>0.26844125085879877</v>
      </c>
      <c r="BG181" s="120">
        <f t="shared" si="431"/>
        <v>0.25509125572504637</v>
      </c>
      <c r="BH181" s="133">
        <f t="shared" si="431"/>
        <v>0.24483289068695466</v>
      </c>
      <c r="BI181" s="133">
        <f t="shared" si="431"/>
        <v>0.28117974662669221</v>
      </c>
      <c r="BJ181" s="133">
        <f t="shared" si="431"/>
        <v>0.28968767028270176</v>
      </c>
      <c r="BK181" s="133">
        <f t="shared" si="431"/>
        <v>0.27226241811818691</v>
      </c>
      <c r="BL181" s="120">
        <f t="shared" si="431"/>
        <v>0.27250612430254506</v>
      </c>
      <c r="BM181" s="133">
        <f t="shared" si="431"/>
        <v>0.22801582505893786</v>
      </c>
      <c r="BN181" s="133">
        <f t="shared" si="431"/>
        <v>0.27720719978568154</v>
      </c>
      <c r="BO181" s="133">
        <f t="shared" si="431"/>
        <v>0.25045291407761028</v>
      </c>
      <c r="BP181" s="133">
        <f t="shared" si="431"/>
        <v>0.27286890577460465</v>
      </c>
      <c r="BQ181" s="120">
        <f t="shared" si="431"/>
        <v>0.25648916037885233</v>
      </c>
      <c r="BR181" s="133">
        <f t="shared" si="431"/>
        <v>0.26547535235592001</v>
      </c>
      <c r="BS181" s="133">
        <f t="shared" si="431"/>
        <v>0.23296257004724255</v>
      </c>
      <c r="BT181" s="133">
        <f t="shared" si="431"/>
        <v>0.23231344833109538</v>
      </c>
      <c r="BU181" s="133">
        <f t="shared" si="431"/>
        <v>0.24290342402577875</v>
      </c>
      <c r="BV181" s="120">
        <f t="shared" si="431"/>
        <v>0.24246543270819149</v>
      </c>
      <c r="BW181" s="133">
        <f t="shared" si="431"/>
        <v>0.21969862678912297</v>
      </c>
      <c r="BX181" s="133">
        <f t="shared" si="431"/>
        <v>0.2158233426902251</v>
      </c>
      <c r="BY181" s="133">
        <f t="shared" si="431"/>
        <v>0.21671459253558389</v>
      </c>
      <c r="BZ181" s="133">
        <f t="shared" si="431"/>
        <v>0.21300840175903549</v>
      </c>
      <c r="CA181" s="120">
        <f t="shared" si="431"/>
        <v>0.21624259123599451</v>
      </c>
      <c r="CB181" s="133">
        <f t="shared" si="431"/>
        <v>0.20116951421339846</v>
      </c>
      <c r="CC181" s="133">
        <f t="shared" si="431"/>
        <v>0.18883953929575673</v>
      </c>
      <c r="CD181" s="133">
        <f t="shared" si="431"/>
        <v>0.19062683008831219</v>
      </c>
      <c r="CE181" s="133">
        <f t="shared" si="431"/>
        <v>0.15697766487990433</v>
      </c>
      <c r="CF181" s="120">
        <f t="shared" si="431"/>
        <v>0.1839874018189038</v>
      </c>
      <c r="CG181" s="133">
        <f t="shared" si="431"/>
        <v>0.19523809523809524</v>
      </c>
      <c r="CH181" s="133">
        <f t="shared" si="431"/>
        <v>0.16979714500375656</v>
      </c>
      <c r="CI181" s="133">
        <f t="shared" si="431"/>
        <v>0.19047619047619047</v>
      </c>
      <c r="CJ181" s="133">
        <f t="shared" si="431"/>
        <v>0.18323586744639375</v>
      </c>
      <c r="CK181" s="120">
        <f t="shared" si="431"/>
        <v>0.18459482676338645</v>
      </c>
      <c r="CL181" s="133">
        <f t="shared" si="431"/>
        <v>0.19179332054681378</v>
      </c>
      <c r="CM181" s="133">
        <f t="shared" si="431"/>
        <v>-0.22465620925776697</v>
      </c>
      <c r="CN181" s="133">
        <f t="shared" si="431"/>
        <v>-4.4752066701052667E-2</v>
      </c>
      <c r="CO181" s="133">
        <f t="shared" si="431"/>
        <v>0.10683431699597981</v>
      </c>
      <c r="CP181" s="120">
        <f t="shared" si="431"/>
        <v>8.0362195812110918E-2</v>
      </c>
      <c r="CQ181" s="133">
        <f t="shared" ref="CQ181:CV181" si="432">CQ168/CQ$173</f>
        <v>2.931341552709452E-2</v>
      </c>
      <c r="CR181" s="133">
        <f t="shared" si="432"/>
        <v>6.3582301274457034E-2</v>
      </c>
      <c r="CS181" s="133">
        <f t="shared" si="432"/>
        <v>0.12042091764852868</v>
      </c>
      <c r="CT181" s="133">
        <f t="shared" si="432"/>
        <v>9.9809734145616169E-2</v>
      </c>
      <c r="CU181" s="120">
        <f t="shared" si="432"/>
        <v>8.0270314817867144E-2</v>
      </c>
      <c r="CV181" s="133">
        <f t="shared" si="432"/>
        <v>0.18399044205495818</v>
      </c>
      <c r="CW181" s="133">
        <f t="shared" ref="CW181:DA181" si="433">CW168/CW$173</f>
        <v>0.18738404452690166</v>
      </c>
      <c r="CX181" s="133">
        <f t="shared" si="433"/>
        <v>0.17986425339366516</v>
      </c>
      <c r="CY181" s="133">
        <f t="shared" si="433"/>
        <v>0.18490783410138248</v>
      </c>
      <c r="CZ181" s="120">
        <f t="shared" si="433"/>
        <v>0.18395879323031641</v>
      </c>
      <c r="DA181" s="133">
        <f t="shared" si="433"/>
        <v>0.22592399791775117</v>
      </c>
      <c r="DB181" s="133">
        <f t="shared" ref="DB181:DF181" si="434">DB168/DB$173</f>
        <v>0.21659215101838053</v>
      </c>
      <c r="DC181" s="133">
        <f t="shared" si="434"/>
        <v>0.20384995064165845</v>
      </c>
      <c r="DD181" s="133">
        <f t="shared" si="434"/>
        <v>0.1967930029154519</v>
      </c>
      <c r="DE181" s="120">
        <f t="shared" si="434"/>
        <v>0.21052631578947367</v>
      </c>
      <c r="DF181" s="133">
        <f t="shared" si="434"/>
        <v>0.20398481973434535</v>
      </c>
      <c r="DG181" s="133">
        <f t="shared" ref="DG181:DK181" si="435">DG168/DG$173</f>
        <v>0.2245922208281054</v>
      </c>
      <c r="DH181" s="133">
        <f t="shared" si="435"/>
        <v>0.25361087510620223</v>
      </c>
      <c r="DI181" s="133">
        <f t="shared" si="435"/>
        <v>0.27036199095022623</v>
      </c>
      <c r="DJ181" s="120">
        <f t="shared" si="435"/>
        <v>0.23997895844292477</v>
      </c>
      <c r="DK181" s="133">
        <f t="shared" si="435"/>
        <v>0.23647294589178355</v>
      </c>
      <c r="DL181" s="133">
        <f t="shared" ref="DL181:DP181" si="436">DL168/DL$173</f>
        <v>0.22805701425356339</v>
      </c>
      <c r="DM181" s="133">
        <f t="shared" si="436"/>
        <v>0.26783166904422256</v>
      </c>
      <c r="DN181" s="133">
        <f t="shared" si="436"/>
        <v>0.26227598418974912</v>
      </c>
      <c r="DO181" s="120">
        <f t="shared" si="436"/>
        <v>0.24769496564201993</v>
      </c>
      <c r="DP181" s="133">
        <f t="shared" si="436"/>
        <v>0.25020389748507199</v>
      </c>
      <c r="DQ181" s="133">
        <f t="shared" ref="DQ181:DT181" si="437">DQ168/DQ$173</f>
        <v>0.24374896912108168</v>
      </c>
      <c r="DR181" s="133">
        <f t="shared" si="437"/>
        <v>0.27339263441573958</v>
      </c>
      <c r="DS181" s="133">
        <f t="shared" si="437"/>
        <v>0.26647406240467253</v>
      </c>
      <c r="DT181" s="120">
        <f t="shared" si="437"/>
        <v>0.25922239778109235</v>
      </c>
      <c r="DU181" s="27">
        <f t="shared" ref="DU181:DV181" si="438">DU168/DU$173</f>
        <v>0.26146685118586627</v>
      </c>
      <c r="DV181" s="27">
        <f t="shared" si="438"/>
        <v>0.26413232514521245</v>
      </c>
    </row>
    <row r="182" spans="2:126" s="92" customFormat="1" hidden="1" outlineLevel="1">
      <c r="B182" s="115" t="str">
        <f>+B133</f>
        <v>Collins Aerospace</v>
      </c>
      <c r="C182" s="120"/>
      <c r="D182" s="120"/>
      <c r="E182" s="120"/>
      <c r="F182" s="120"/>
      <c r="G182" s="120"/>
      <c r="H182" s="120"/>
      <c r="I182" s="120"/>
      <c r="J182" s="133"/>
      <c r="K182" s="133"/>
      <c r="L182" s="133"/>
      <c r="M182" s="133"/>
      <c r="N182" s="120"/>
      <c r="O182" s="133"/>
      <c r="P182" s="133"/>
      <c r="Q182" s="133"/>
      <c r="R182" s="133"/>
      <c r="S182" s="120"/>
      <c r="T182" s="133"/>
      <c r="U182" s="133"/>
      <c r="V182" s="133"/>
      <c r="W182" s="133"/>
      <c r="X182" s="120"/>
      <c r="Y182" s="133"/>
      <c r="Z182" s="133"/>
      <c r="AA182" s="133"/>
      <c r="AB182" s="133"/>
      <c r="AC182" s="120"/>
      <c r="AD182" s="133"/>
      <c r="AE182" s="133"/>
      <c r="AF182" s="133"/>
      <c r="AG182" s="133"/>
      <c r="AH182" s="120"/>
      <c r="AI182" s="133"/>
      <c r="AJ182" s="133"/>
      <c r="AK182" s="133"/>
      <c r="AL182" s="133"/>
      <c r="AM182" s="120"/>
      <c r="AN182" s="133"/>
      <c r="AO182" s="133"/>
      <c r="AP182" s="133"/>
      <c r="AQ182" s="133"/>
      <c r="AR182" s="120"/>
      <c r="AS182" s="133"/>
      <c r="AT182" s="133"/>
      <c r="AU182" s="133"/>
      <c r="AV182" s="133"/>
      <c r="AW182" s="120"/>
      <c r="AX182" s="133"/>
      <c r="AY182" s="133"/>
      <c r="AZ182" s="133"/>
      <c r="BA182" s="133"/>
      <c r="BB182" s="120">
        <f t="shared" ref="BB182:CP182" si="439">BB169/BB$173</f>
        <v>0.1857950138774635</v>
      </c>
      <c r="BC182" s="133">
        <f t="shared" si="439"/>
        <v>0.31060548901774787</v>
      </c>
      <c r="BD182" s="133">
        <f t="shared" si="439"/>
        <v>0.2997472292672877</v>
      </c>
      <c r="BE182" s="133">
        <f t="shared" si="439"/>
        <v>0.30083974810528658</v>
      </c>
      <c r="BF182" s="133">
        <f t="shared" si="439"/>
        <v>0.31004457348439429</v>
      </c>
      <c r="BG182" s="120">
        <f t="shared" si="439"/>
        <v>0.30520822316048102</v>
      </c>
      <c r="BH182" s="133">
        <f t="shared" si="439"/>
        <v>0.35464556032117966</v>
      </c>
      <c r="BI182" s="133">
        <f t="shared" si="439"/>
        <v>0.34637546603424174</v>
      </c>
      <c r="BJ182" s="133">
        <f t="shared" si="439"/>
        <v>0.32744082612228304</v>
      </c>
      <c r="BK182" s="133">
        <f t="shared" si="439"/>
        <v>0.32441294003848192</v>
      </c>
      <c r="BL182" s="120">
        <f t="shared" si="439"/>
        <v>0.33785850943297491</v>
      </c>
      <c r="BM182" s="133">
        <f t="shared" si="439"/>
        <v>0.34071815003528194</v>
      </c>
      <c r="BN182" s="133">
        <f t="shared" si="439"/>
        <v>0.34536517515177451</v>
      </c>
      <c r="BO182" s="133">
        <f t="shared" si="439"/>
        <v>0.34891517369777469</v>
      </c>
      <c r="BP182" s="133">
        <f t="shared" si="439"/>
        <v>0.28978712609417301</v>
      </c>
      <c r="BQ182" s="120">
        <f t="shared" si="439"/>
        <v>0.33118050047019976</v>
      </c>
      <c r="BR182" s="133">
        <f t="shared" si="439"/>
        <v>0.37177348729660892</v>
      </c>
      <c r="BS182" s="133">
        <f t="shared" si="439"/>
        <v>0.31979424750533225</v>
      </c>
      <c r="BT182" s="133">
        <f t="shared" si="439"/>
        <v>0.35832079055835303</v>
      </c>
      <c r="BU182" s="133">
        <f t="shared" si="439"/>
        <v>0.32362765427197338</v>
      </c>
      <c r="BV182" s="120">
        <f t="shared" si="439"/>
        <v>0.34237747141072555</v>
      </c>
      <c r="BW182" s="133">
        <f t="shared" si="439"/>
        <v>0.36095628592319723</v>
      </c>
      <c r="BX182" s="133">
        <f t="shared" si="439"/>
        <v>0.34330446827775518</v>
      </c>
      <c r="BY182" s="133">
        <f t="shared" si="439"/>
        <v>0.3483993815397865</v>
      </c>
      <c r="BZ182" s="133">
        <f t="shared" si="439"/>
        <v>0.32716246518339676</v>
      </c>
      <c r="CA182" s="120">
        <f t="shared" si="439"/>
        <v>0.34464098309469532</v>
      </c>
      <c r="CB182" s="133">
        <f t="shared" si="439"/>
        <v>0.46375074237542119</v>
      </c>
      <c r="CC182" s="133">
        <f t="shared" si="439"/>
        <v>0.46934370239183543</v>
      </c>
      <c r="CD182" s="133">
        <f t="shared" si="439"/>
        <v>0.45336384310459499</v>
      </c>
      <c r="CE182" s="133">
        <f t="shared" si="439"/>
        <v>0.47640473086666607</v>
      </c>
      <c r="CF182" s="120">
        <f t="shared" si="439"/>
        <v>0.46583572566753512</v>
      </c>
      <c r="CG182" s="133">
        <f t="shared" si="439"/>
        <v>0.47976190476190478</v>
      </c>
      <c r="CH182" s="133">
        <f t="shared" si="439"/>
        <v>0.48572501878287</v>
      </c>
      <c r="CI182" s="133">
        <f t="shared" si="439"/>
        <v>0.47106227106227105</v>
      </c>
      <c r="CJ182" s="133">
        <f t="shared" si="439"/>
        <v>0.41364522417153998</v>
      </c>
      <c r="CK182" s="120">
        <f t="shared" si="439"/>
        <v>0.46282332728834591</v>
      </c>
      <c r="CL182" s="133">
        <f t="shared" si="439"/>
        <v>0.52882818480869043</v>
      </c>
      <c r="CM182" s="133">
        <f t="shared" si="439"/>
        <v>0.23804631444531602</v>
      </c>
      <c r="CN182" s="133">
        <f t="shared" si="439"/>
        <v>0.21751585908186064</v>
      </c>
      <c r="CO182" s="133">
        <f t="shared" si="439"/>
        <v>0.22893067927709959</v>
      </c>
      <c r="CP182" s="120">
        <f t="shared" si="439"/>
        <v>0.37992831541218636</v>
      </c>
      <c r="CQ182" s="133">
        <f t="shared" ref="CQ182:CV182" si="440">CQ169/CQ$173</f>
        <v>0.41601162177688361</v>
      </c>
      <c r="CR182" s="133">
        <f t="shared" si="440"/>
        <v>0.38867067825826435</v>
      </c>
      <c r="CS182" s="133">
        <f t="shared" si="440"/>
        <v>0.38458412498771288</v>
      </c>
      <c r="CT182" s="133">
        <f t="shared" si="440"/>
        <v>0.40779495103733066</v>
      </c>
      <c r="CU182" s="120">
        <f t="shared" si="440"/>
        <v>0.39887918246250204</v>
      </c>
      <c r="CV182" s="133">
        <f t="shared" si="440"/>
        <v>0.42473118279569894</v>
      </c>
      <c r="CW182" s="133">
        <f t="shared" ref="CW182:DA182" si="441">CW169/CW$173</f>
        <v>0.45454545454545453</v>
      </c>
      <c r="CX182" s="133">
        <f t="shared" si="441"/>
        <v>0.42760180995475111</v>
      </c>
      <c r="CY182" s="133">
        <f t="shared" si="441"/>
        <v>0.48675115207373271</v>
      </c>
      <c r="CZ182" s="120">
        <f t="shared" si="441"/>
        <v>0.4484179543782193</v>
      </c>
      <c r="DA182" s="133">
        <f t="shared" si="441"/>
        <v>0.47006767308693387</v>
      </c>
      <c r="DB182" s="133">
        <f t="shared" ref="DB182:DF182" si="442">DB169/DB$173</f>
        <v>0.45454545454545453</v>
      </c>
      <c r="DC182" s="133">
        <f t="shared" si="442"/>
        <v>0.51480750246791707</v>
      </c>
      <c r="DD182" s="133">
        <f t="shared" si="442"/>
        <v>0.50291545189504372</v>
      </c>
      <c r="DE182" s="120">
        <f t="shared" si="442"/>
        <v>0.48590670990271889</v>
      </c>
      <c r="DF182" s="133">
        <f t="shared" si="442"/>
        <v>0.4971537001897533</v>
      </c>
      <c r="DG182" s="133">
        <f t="shared" ref="DG182:DK182" si="443">DG169/DG$173</f>
        <v>0.47887913007109995</v>
      </c>
      <c r="DH182" s="133">
        <f t="shared" si="443"/>
        <v>0.46559048428207306</v>
      </c>
      <c r="DI182" s="133">
        <f t="shared" si="443"/>
        <v>0.45512820512820512</v>
      </c>
      <c r="DJ182" s="120">
        <f t="shared" si="443"/>
        <v>0.47301420305102576</v>
      </c>
      <c r="DK182" s="133">
        <f t="shared" si="443"/>
        <v>0.49178356713426852</v>
      </c>
      <c r="DL182" s="133">
        <f t="shared" ref="DL182:DP182" si="444">DL169/DL$173</f>
        <v>0.46849212303075771</v>
      </c>
      <c r="DM182" s="133">
        <f t="shared" si="444"/>
        <v>0.42582025677603424</v>
      </c>
      <c r="DN182" s="133">
        <f t="shared" si="444"/>
        <v>0.43231814150691833</v>
      </c>
      <c r="DO182" s="120">
        <f t="shared" si="444"/>
        <v>0.4567887161491872</v>
      </c>
      <c r="DP182" s="133">
        <f t="shared" si="444"/>
        <v>0.44992395023970749</v>
      </c>
      <c r="DQ182" s="133">
        <f t="shared" ref="DQ182:DT182" si="445">DQ169/DQ$173</f>
        <v>0.44859358736252192</v>
      </c>
      <c r="DR182" s="133">
        <f t="shared" si="445"/>
        <v>0.43928304344696995</v>
      </c>
      <c r="DS182" s="133">
        <f t="shared" si="445"/>
        <v>0.4383504958978271</v>
      </c>
      <c r="DT182" s="120">
        <f t="shared" si="445"/>
        <v>0.44363801719080281</v>
      </c>
      <c r="DU182" s="27">
        <f t="shared" ref="DU182:DV182" si="446">DU169/DU$173</f>
        <v>0.44788636712587299</v>
      </c>
      <c r="DV182" s="27">
        <f t="shared" si="446"/>
        <v>0.44944827617124949</v>
      </c>
    </row>
    <row r="183" spans="2:126" s="92" customFormat="1" hidden="1" outlineLevel="2">
      <c r="B183" s="180" t="s">
        <v>570</v>
      </c>
      <c r="C183" s="120"/>
      <c r="D183" s="120"/>
      <c r="E183" s="120"/>
      <c r="F183" s="120"/>
      <c r="G183" s="120"/>
      <c r="H183" s="120"/>
      <c r="I183" s="120"/>
      <c r="J183" s="133"/>
      <c r="K183" s="133"/>
      <c r="L183" s="133"/>
      <c r="M183" s="133"/>
      <c r="N183" s="120"/>
      <c r="O183" s="133"/>
      <c r="P183" s="133"/>
      <c r="Q183" s="133"/>
      <c r="R183" s="133"/>
      <c r="S183" s="120"/>
      <c r="T183" s="133"/>
      <c r="U183" s="133"/>
      <c r="V183" s="133"/>
      <c r="W183" s="133"/>
      <c r="X183" s="120"/>
      <c r="Y183" s="133"/>
      <c r="Z183" s="133"/>
      <c r="AA183" s="133"/>
      <c r="AB183" s="133"/>
      <c r="AC183" s="120"/>
      <c r="AD183" s="133"/>
      <c r="AE183" s="133"/>
      <c r="AF183" s="133"/>
      <c r="AG183" s="133"/>
      <c r="AH183" s="120"/>
      <c r="AI183" s="133"/>
      <c r="AJ183" s="133"/>
      <c r="AK183" s="133"/>
      <c r="AL183" s="133"/>
      <c r="AM183" s="120"/>
      <c r="AN183" s="133"/>
      <c r="AO183" s="133"/>
      <c r="AP183" s="133"/>
      <c r="AQ183" s="133"/>
      <c r="AR183" s="120"/>
      <c r="AS183" s="133"/>
      <c r="AT183" s="133"/>
      <c r="AU183" s="133"/>
      <c r="AV183" s="133"/>
      <c r="AW183" s="120"/>
      <c r="AX183" s="133"/>
      <c r="AY183" s="133"/>
      <c r="AZ183" s="133"/>
      <c r="BA183" s="133"/>
      <c r="BB183" s="120">
        <f t="shared" ref="BB183:CP183" si="447">BB170/BB$173</f>
        <v>0.238948725182071</v>
      </c>
      <c r="BC183" s="133">
        <f t="shared" si="447"/>
        <v>0.19037824666950406</v>
      </c>
      <c r="BD183" s="133">
        <f t="shared" si="447"/>
        <v>0.17501268921852584</v>
      </c>
      <c r="BE183" s="133">
        <f t="shared" si="447"/>
        <v>0.18337342510794408</v>
      </c>
      <c r="BF183" s="133">
        <f t="shared" si="447"/>
        <v>0.19246908466574103</v>
      </c>
      <c r="BG183" s="120">
        <f t="shared" si="447"/>
        <v>0.18518914979449416</v>
      </c>
      <c r="BH183" s="133">
        <f t="shared" si="447"/>
        <v>0.16755824717902695</v>
      </c>
      <c r="BI183" s="133">
        <f t="shared" si="447"/>
        <v>0.1663248687056284</v>
      </c>
      <c r="BJ183" s="133">
        <f t="shared" si="447"/>
        <v>0.17472204905460331</v>
      </c>
      <c r="BK183" s="133">
        <f t="shared" si="447"/>
        <v>0.16167963682170786</v>
      </c>
      <c r="BL183" s="120">
        <f t="shared" si="447"/>
        <v>0.16749012457763518</v>
      </c>
      <c r="BM183" s="133">
        <f t="shared" si="447"/>
        <v>0.2378023089736066</v>
      </c>
      <c r="BN183" s="133">
        <f t="shared" si="447"/>
        <v>0.16925919002565606</v>
      </c>
      <c r="BO183" s="133">
        <f t="shared" si="447"/>
        <v>0.1764674481337285</v>
      </c>
      <c r="BP183" s="133">
        <f t="shared" si="447"/>
        <v>0.16709773433354311</v>
      </c>
      <c r="BQ183" s="120">
        <f t="shared" si="447"/>
        <v>0.18873172112268408</v>
      </c>
      <c r="BR183" s="133">
        <f t="shared" si="447"/>
        <v>0.16105882023240958</v>
      </c>
      <c r="BS183" s="133">
        <f t="shared" si="447"/>
        <v>0.15672478690389191</v>
      </c>
      <c r="BT183" s="133">
        <f t="shared" si="447"/>
        <v>0.17293307643234729</v>
      </c>
      <c r="BU183" s="133">
        <f t="shared" si="447"/>
        <v>0.17909475663550617</v>
      </c>
      <c r="BV183" s="120">
        <f t="shared" si="447"/>
        <v>0.16713441332765655</v>
      </c>
      <c r="BW183" s="133">
        <f t="shared" si="447"/>
        <v>0.17150438345164259</v>
      </c>
      <c r="BX183" s="133">
        <f t="shared" si="447"/>
        <v>0.17913224254596635</v>
      </c>
      <c r="BY183" s="133">
        <f t="shared" si="447"/>
        <v>0.1675956437840061</v>
      </c>
      <c r="BZ183" s="133">
        <f t="shared" si="447"/>
        <v>0.18429286644819484</v>
      </c>
      <c r="CA183" s="120">
        <f t="shared" si="447"/>
        <v>0.17564413330437609</v>
      </c>
      <c r="CB183" s="133">
        <f t="shared" si="447"/>
        <v>0.12899850625473747</v>
      </c>
      <c r="CC183" s="133">
        <f t="shared" si="447"/>
        <v>0.1360539641395539</v>
      </c>
      <c r="CD183" s="133">
        <f t="shared" si="447"/>
        <v>0.15079644308229453</v>
      </c>
      <c r="CE183" s="133">
        <f t="shared" si="447"/>
        <v>0.15978586741422912</v>
      </c>
      <c r="CF183" s="120">
        <f t="shared" si="447"/>
        <v>0.14419449680310503</v>
      </c>
      <c r="CG183" s="133">
        <f t="shared" si="447"/>
        <v>0.15</v>
      </c>
      <c r="CH183" s="133">
        <f t="shared" si="447"/>
        <v>0.14932381667918859</v>
      </c>
      <c r="CI183" s="133">
        <f t="shared" si="447"/>
        <v>0.15457875457875458</v>
      </c>
      <c r="CJ183" s="133">
        <f t="shared" si="447"/>
        <v>0.16803118908382067</v>
      </c>
      <c r="CK183" s="120">
        <f t="shared" si="447"/>
        <v>0.15543571633101078</v>
      </c>
      <c r="CL183" s="133">
        <f t="shared" si="447"/>
        <v>0.14859327164694894</v>
      </c>
      <c r="CM183" s="133">
        <f t="shared" si="447"/>
        <v>0.48948273407818105</v>
      </c>
      <c r="CN183" s="133">
        <f t="shared" si="447"/>
        <v>0.36426100803182404</v>
      </c>
      <c r="CO183" s="133">
        <f t="shared" si="447"/>
        <v>0.36730655652903532</v>
      </c>
      <c r="CP183" s="120">
        <f t="shared" si="447"/>
        <v>0.27145821543105075</v>
      </c>
      <c r="CQ183" s="133">
        <f t="shared" ref="CQ183:CV183" si="448">CQ170/CQ$173</f>
        <v>0.28434013061281682</v>
      </c>
      <c r="CR183" s="133">
        <f t="shared" si="448"/>
        <v>0.27486098988437158</v>
      </c>
      <c r="CS183" s="133">
        <f t="shared" si="448"/>
        <v>0.24912475555859637</v>
      </c>
      <c r="CT183" s="133">
        <f t="shared" si="448"/>
        <v>0.24644378801386707</v>
      </c>
      <c r="CU183" s="120">
        <f t="shared" si="448"/>
        <v>0.2627328168781935</v>
      </c>
      <c r="CV183" s="133">
        <f t="shared" si="448"/>
        <v>0.22580645161290322</v>
      </c>
      <c r="CW183" s="133">
        <f t="shared" ref="CW183:DA183" si="449">CW170/CW$173</f>
        <v>0.19480519480519481</v>
      </c>
      <c r="CX183" s="133">
        <f t="shared" si="449"/>
        <v>0.20984162895927602</v>
      </c>
      <c r="CY183" s="133">
        <f t="shared" si="449"/>
        <v>0.16013824884792627</v>
      </c>
      <c r="CZ183" s="120">
        <f t="shared" si="449"/>
        <v>0.19749816041206769</v>
      </c>
      <c r="DA183" s="133">
        <f t="shared" si="449"/>
        <v>0.17178552837064029</v>
      </c>
      <c r="DB183" s="133">
        <f t="shared" ref="DB183:DF183" si="450">DB170/DB$173</f>
        <v>0.14754098360655737</v>
      </c>
      <c r="DC183" s="133">
        <f t="shared" si="450"/>
        <v>0</v>
      </c>
      <c r="DD183" s="133">
        <f t="shared" si="450"/>
        <v>0</v>
      </c>
      <c r="DE183" s="120">
        <f t="shared" si="450"/>
        <v>7.6702419555999005E-2</v>
      </c>
      <c r="DF183" s="133">
        <f t="shared" si="450"/>
        <v>0</v>
      </c>
      <c r="DG183" s="133">
        <f t="shared" ref="DG183:DK183" si="451">DG170/DG$173</f>
        <v>0</v>
      </c>
      <c r="DH183" s="133">
        <f t="shared" si="451"/>
        <v>0</v>
      </c>
      <c r="DI183" s="133">
        <f t="shared" si="451"/>
        <v>0</v>
      </c>
      <c r="DJ183" s="120">
        <f t="shared" si="451"/>
        <v>0</v>
      </c>
      <c r="DK183" s="133">
        <f t="shared" si="451"/>
        <v>0</v>
      </c>
      <c r="DL183" s="133">
        <f t="shared" ref="DL183:DP183" si="452">DL170/DL$173</f>
        <v>0</v>
      </c>
      <c r="DM183" s="133">
        <f t="shared" si="452"/>
        <v>0</v>
      </c>
      <c r="DN183" s="133">
        <f t="shared" si="452"/>
        <v>0</v>
      </c>
      <c r="DO183" s="120">
        <f t="shared" si="452"/>
        <v>0</v>
      </c>
      <c r="DP183" s="133">
        <f t="shared" si="452"/>
        <v>0</v>
      </c>
      <c r="DQ183" s="133">
        <f t="shared" ref="DQ183:DT183" si="453">DQ170/DQ$173</f>
        <v>0</v>
      </c>
      <c r="DR183" s="133">
        <f t="shared" si="453"/>
        <v>0</v>
      </c>
      <c r="DS183" s="133">
        <f t="shared" si="453"/>
        <v>0</v>
      </c>
      <c r="DT183" s="120">
        <f t="shared" si="453"/>
        <v>0</v>
      </c>
      <c r="DU183" s="27">
        <f t="shared" ref="DU183:DV183" si="454">DU170/DU$173</f>
        <v>0</v>
      </c>
      <c r="DV183" s="27">
        <f t="shared" si="454"/>
        <v>0</v>
      </c>
    </row>
    <row r="184" spans="2:126" s="92" customFormat="1" hidden="1" outlineLevel="2">
      <c r="B184" s="180" t="s">
        <v>569</v>
      </c>
      <c r="C184" s="120"/>
      <c r="D184" s="120"/>
      <c r="E184" s="120"/>
      <c r="F184" s="120"/>
      <c r="G184" s="120"/>
      <c r="H184" s="120"/>
      <c r="I184" s="120"/>
      <c r="J184" s="133"/>
      <c r="K184" s="133"/>
      <c r="L184" s="133"/>
      <c r="M184" s="133"/>
      <c r="N184" s="120"/>
      <c r="O184" s="133"/>
      <c r="P184" s="133"/>
      <c r="Q184" s="133"/>
      <c r="R184" s="133"/>
      <c r="S184" s="120"/>
      <c r="T184" s="133"/>
      <c r="U184" s="133"/>
      <c r="V184" s="133"/>
      <c r="W184" s="133"/>
      <c r="X184" s="120"/>
      <c r="Y184" s="133"/>
      <c r="Z184" s="133"/>
      <c r="AA184" s="133"/>
      <c r="AB184" s="133"/>
      <c r="AC184" s="120"/>
      <c r="AD184" s="133"/>
      <c r="AE184" s="133"/>
      <c r="AF184" s="133"/>
      <c r="AG184" s="133"/>
      <c r="AH184" s="120"/>
      <c r="AI184" s="133"/>
      <c r="AJ184" s="133"/>
      <c r="AK184" s="133"/>
      <c r="AL184" s="133"/>
      <c r="AM184" s="120"/>
      <c r="AN184" s="133"/>
      <c r="AO184" s="133"/>
      <c r="AP184" s="133"/>
      <c r="AQ184" s="133"/>
      <c r="AR184" s="120"/>
      <c r="AS184" s="133"/>
      <c r="AT184" s="133"/>
      <c r="AU184" s="133"/>
      <c r="AV184" s="133"/>
      <c r="AW184" s="120"/>
      <c r="AX184" s="133"/>
      <c r="AY184" s="133"/>
      <c r="AZ184" s="133"/>
      <c r="BA184" s="133"/>
      <c r="BB184" s="120">
        <f t="shared" ref="BB184:CP184" si="455">BB171/BB$173</f>
        <v>0.30151626937303727</v>
      </c>
      <c r="BC184" s="133">
        <f t="shared" si="455"/>
        <v>0.26045191099449239</v>
      </c>
      <c r="BD184" s="133">
        <f t="shared" si="455"/>
        <v>0.27586829920252331</v>
      </c>
      <c r="BE184" s="133">
        <f t="shared" si="455"/>
        <v>0.252434776825331</v>
      </c>
      <c r="BF184" s="133">
        <f t="shared" si="455"/>
        <v>0.22904509099106612</v>
      </c>
      <c r="BG184" s="120">
        <f t="shared" si="455"/>
        <v>0.25451137131997847</v>
      </c>
      <c r="BH184" s="133">
        <f t="shared" si="455"/>
        <v>0.2329633018128387</v>
      </c>
      <c r="BI184" s="133">
        <f t="shared" si="455"/>
        <v>0.20611991863343748</v>
      </c>
      <c r="BJ184" s="133">
        <f t="shared" si="455"/>
        <v>0.208149454540412</v>
      </c>
      <c r="BK184" s="133">
        <f t="shared" si="455"/>
        <v>0.24164500502162328</v>
      </c>
      <c r="BL184" s="120">
        <f t="shared" si="455"/>
        <v>0.22214524168684482</v>
      </c>
      <c r="BM184" s="133">
        <f t="shared" si="455"/>
        <v>0.19346371593217349</v>
      </c>
      <c r="BN184" s="133">
        <f t="shared" si="455"/>
        <v>0.20816843503688776</v>
      </c>
      <c r="BO184" s="133">
        <f t="shared" si="455"/>
        <v>0.22416446409088656</v>
      </c>
      <c r="BP184" s="133">
        <f t="shared" si="455"/>
        <v>0.27024623379767926</v>
      </c>
      <c r="BQ184" s="120">
        <f t="shared" si="455"/>
        <v>0.22359861802826395</v>
      </c>
      <c r="BR184" s="133">
        <f t="shared" si="455"/>
        <v>0.20169234011506149</v>
      </c>
      <c r="BS184" s="133">
        <f t="shared" si="455"/>
        <v>0.2905183955435332</v>
      </c>
      <c r="BT184" s="133">
        <f t="shared" si="455"/>
        <v>0.2364326846782043</v>
      </c>
      <c r="BU184" s="133">
        <f t="shared" si="455"/>
        <v>0.25437416506674182</v>
      </c>
      <c r="BV184" s="120">
        <f t="shared" si="455"/>
        <v>0.24802268255342638</v>
      </c>
      <c r="BW184" s="133">
        <f t="shared" si="455"/>
        <v>0.24784070383603712</v>
      </c>
      <c r="BX184" s="133">
        <f t="shared" si="455"/>
        <v>0.26173994648605342</v>
      </c>
      <c r="BY184" s="133">
        <f t="shared" si="455"/>
        <v>0.26729038214062345</v>
      </c>
      <c r="BZ184" s="133">
        <f t="shared" si="455"/>
        <v>0.27553626660937297</v>
      </c>
      <c r="CA184" s="120">
        <f t="shared" si="455"/>
        <v>0.26347229236493408</v>
      </c>
      <c r="CB184" s="133">
        <f t="shared" si="455"/>
        <v>0.20608123715644286</v>
      </c>
      <c r="CC184" s="133">
        <f t="shared" si="455"/>
        <v>0.2057627941728539</v>
      </c>
      <c r="CD184" s="133">
        <f t="shared" si="455"/>
        <v>0.20521288372479832</v>
      </c>
      <c r="CE184" s="133">
        <f t="shared" si="455"/>
        <v>0.20683173683920039</v>
      </c>
      <c r="CF184" s="120">
        <f t="shared" si="455"/>
        <v>0.20598237571045594</v>
      </c>
      <c r="CG184" s="133">
        <f t="shared" si="455"/>
        <v>0.17499999999999999</v>
      </c>
      <c r="CH184" s="133">
        <f t="shared" si="455"/>
        <v>0.19515401953418482</v>
      </c>
      <c r="CI184" s="133">
        <f t="shared" si="455"/>
        <v>0.1838827838827839</v>
      </c>
      <c r="CJ184" s="133">
        <f t="shared" si="455"/>
        <v>0.23508771929824562</v>
      </c>
      <c r="CK184" s="120">
        <f t="shared" si="455"/>
        <v>0.19714612961725686</v>
      </c>
      <c r="CL184" s="133">
        <f t="shared" si="455"/>
        <v>0.20073126169850997</v>
      </c>
      <c r="CM184" s="133">
        <f t="shared" si="455"/>
        <v>0.61148147023140553</v>
      </c>
      <c r="CN184" s="133">
        <f t="shared" si="455"/>
        <v>0.44856141274776046</v>
      </c>
      <c r="CO184" s="133">
        <f t="shared" si="455"/>
        <v>0.58911494800640296</v>
      </c>
      <c r="CP184" s="120">
        <f t="shared" si="455"/>
        <v>0.36974155819656668</v>
      </c>
      <c r="CQ184" s="133">
        <f t="shared" ref="CQ184:DF185" si="456">CQ171/CQ$173</f>
        <v>0.36348635253597206</v>
      </c>
      <c r="CR184" s="133">
        <f t="shared" si="456"/>
        <v>0.35235191956261608</v>
      </c>
      <c r="CS184" s="133">
        <f t="shared" si="456"/>
        <v>0.31220237908877807</v>
      </c>
      <c r="CT184" s="133">
        <f t="shared" si="456"/>
        <v>0.29942920243684851</v>
      </c>
      <c r="CU184" s="120">
        <f t="shared" si="456"/>
        <v>0.33031152134498104</v>
      </c>
      <c r="CV184" s="133">
        <f t="shared" si="456"/>
        <v>0.23118279569892472</v>
      </c>
      <c r="CW184" s="133">
        <f t="shared" ref="CW184:DA184" si="457">CW171/CW$173</f>
        <v>0.21521335807050093</v>
      </c>
      <c r="CX184" s="133">
        <f t="shared" si="457"/>
        <v>0.23529411764705882</v>
      </c>
      <c r="CY184" s="133">
        <f t="shared" si="457"/>
        <v>0.24078341013824886</v>
      </c>
      <c r="CZ184" s="120">
        <f t="shared" si="457"/>
        <v>0.22354672553348051</v>
      </c>
      <c r="DA184" s="133">
        <f t="shared" si="457"/>
        <v>0.1743883394065591</v>
      </c>
      <c r="DB184" s="133">
        <f t="shared" ref="DB184:DF184" si="458">DB171/DB$173</f>
        <v>0.21212121212121213</v>
      </c>
      <c r="DC184" s="133">
        <f t="shared" si="458"/>
        <v>0</v>
      </c>
      <c r="DD184" s="133">
        <f t="shared" si="458"/>
        <v>0</v>
      </c>
      <c r="DE184" s="120">
        <f t="shared" si="458"/>
        <v>9.2666500374158148E-2</v>
      </c>
      <c r="DF184" s="133">
        <f t="shared" si="458"/>
        <v>0</v>
      </c>
      <c r="DG184" s="133">
        <f t="shared" ref="DG184:DK185" si="459">DG171/DG$173</f>
        <v>0</v>
      </c>
      <c r="DH184" s="133">
        <f t="shared" si="459"/>
        <v>0</v>
      </c>
      <c r="DI184" s="133">
        <f t="shared" si="459"/>
        <v>0</v>
      </c>
      <c r="DJ184" s="120">
        <f t="shared" si="459"/>
        <v>0</v>
      </c>
      <c r="DK184" s="133">
        <f t="shared" si="459"/>
        <v>0</v>
      </c>
      <c r="DL184" s="133">
        <f t="shared" ref="DL184:DP184" si="460">DL171/DL$173</f>
        <v>0</v>
      </c>
      <c r="DM184" s="133">
        <f t="shared" si="460"/>
        <v>0</v>
      </c>
      <c r="DN184" s="133">
        <f t="shared" si="460"/>
        <v>0</v>
      </c>
      <c r="DO184" s="120">
        <f t="shared" si="460"/>
        <v>0</v>
      </c>
      <c r="DP184" s="133">
        <f t="shared" si="460"/>
        <v>0</v>
      </c>
      <c r="DQ184" s="133">
        <f t="shared" ref="DQ184:DT184" si="461">DQ171/DQ$173</f>
        <v>0</v>
      </c>
      <c r="DR184" s="133">
        <f t="shared" si="461"/>
        <v>0</v>
      </c>
      <c r="DS184" s="133">
        <f t="shared" si="461"/>
        <v>0</v>
      </c>
      <c r="DT184" s="120">
        <f t="shared" si="461"/>
        <v>0</v>
      </c>
      <c r="DU184" s="27">
        <f t="shared" ref="DU184:DV184" si="462">DU171/DU$173</f>
        <v>0</v>
      </c>
      <c r="DV184" s="27">
        <f t="shared" si="462"/>
        <v>0</v>
      </c>
    </row>
    <row r="185" spans="2:126" s="92" customFormat="1" hidden="1" outlineLevel="1">
      <c r="B185" s="41" t="s">
        <v>629</v>
      </c>
      <c r="C185" s="120"/>
      <c r="D185" s="120"/>
      <c r="E185" s="120"/>
      <c r="F185" s="120"/>
      <c r="G185" s="120"/>
      <c r="H185" s="120"/>
      <c r="I185" s="120"/>
      <c r="J185" s="133"/>
      <c r="K185" s="133"/>
      <c r="L185" s="133"/>
      <c r="M185" s="133"/>
      <c r="N185" s="120"/>
      <c r="O185" s="133"/>
      <c r="P185" s="133"/>
      <c r="Q185" s="133"/>
      <c r="R185" s="133"/>
      <c r="S185" s="120"/>
      <c r="T185" s="133"/>
      <c r="U185" s="133"/>
      <c r="V185" s="133"/>
      <c r="W185" s="133"/>
      <c r="X185" s="120"/>
      <c r="Y185" s="133"/>
      <c r="Z185" s="133"/>
      <c r="AA185" s="133"/>
      <c r="AB185" s="133"/>
      <c r="AC185" s="120"/>
      <c r="AD185" s="133"/>
      <c r="AE185" s="133"/>
      <c r="AF185" s="133"/>
      <c r="AG185" s="133"/>
      <c r="AH185" s="120"/>
      <c r="AI185" s="133"/>
      <c r="AJ185" s="133"/>
      <c r="AK185" s="133"/>
      <c r="AL185" s="133"/>
      <c r="AM185" s="120"/>
      <c r="AN185" s="133"/>
      <c r="AO185" s="133"/>
      <c r="AP185" s="133"/>
      <c r="AQ185" s="133"/>
      <c r="AR185" s="120"/>
      <c r="AS185" s="133"/>
      <c r="AT185" s="133"/>
      <c r="AU185" s="133"/>
      <c r="AV185" s="133"/>
      <c r="AW185" s="120"/>
      <c r="AX185" s="133"/>
      <c r="AY185" s="133"/>
      <c r="AZ185" s="133"/>
      <c r="BA185" s="133"/>
      <c r="BB185" s="120"/>
      <c r="BC185" s="133"/>
      <c r="BD185" s="133"/>
      <c r="BE185" s="133"/>
      <c r="BF185" s="133"/>
      <c r="BG185" s="120"/>
      <c r="BH185" s="133"/>
      <c r="BI185" s="133"/>
      <c r="BJ185" s="133"/>
      <c r="BK185" s="133"/>
      <c r="BL185" s="120"/>
      <c r="BM185" s="133"/>
      <c r="BN185" s="133"/>
      <c r="BO185" s="133"/>
      <c r="BP185" s="133"/>
      <c r="BQ185" s="120"/>
      <c r="BR185" s="133"/>
      <c r="BS185" s="133"/>
      <c r="BT185" s="133"/>
      <c r="BU185" s="133"/>
      <c r="BV185" s="120"/>
      <c r="BW185" s="133"/>
      <c r="BX185" s="133"/>
      <c r="BY185" s="133"/>
      <c r="BZ185" s="133"/>
      <c r="CA185" s="120"/>
      <c r="CB185" s="133"/>
      <c r="CC185" s="133"/>
      <c r="CD185" s="133"/>
      <c r="CE185" s="133"/>
      <c r="CF185" s="120"/>
      <c r="CG185" s="133"/>
      <c r="CH185" s="133"/>
      <c r="CI185" s="133"/>
      <c r="CJ185" s="133"/>
      <c r="CK185" s="120"/>
      <c r="CL185" s="133"/>
      <c r="CM185" s="133"/>
      <c r="CN185" s="133"/>
      <c r="CO185" s="133"/>
      <c r="CP185" s="120"/>
      <c r="CQ185" s="133"/>
      <c r="CR185" s="133"/>
      <c r="CS185" s="133"/>
      <c r="CT185" s="133"/>
      <c r="CU185" s="120"/>
      <c r="CV185" s="133">
        <f t="shared" si="456"/>
        <v>0.39127837514934288</v>
      </c>
      <c r="CW185" s="133">
        <f t="shared" si="456"/>
        <v>0.35807050092764381</v>
      </c>
      <c r="CX185" s="133">
        <f t="shared" si="456"/>
        <v>0.3925339366515837</v>
      </c>
      <c r="CY185" s="133">
        <f t="shared" si="456"/>
        <v>0.32834101382488479</v>
      </c>
      <c r="CZ185" s="120">
        <f t="shared" si="456"/>
        <v>0.36762325239146432</v>
      </c>
      <c r="DA185" s="133">
        <f t="shared" si="456"/>
        <v>0.30400832899531494</v>
      </c>
      <c r="DB185" s="133">
        <f t="shared" si="456"/>
        <v>0.32886239443616494</v>
      </c>
      <c r="DC185" s="133">
        <f t="shared" si="456"/>
        <v>0.28134254689042448</v>
      </c>
      <c r="DD185" s="133">
        <f t="shared" si="456"/>
        <v>0.30029154518950435</v>
      </c>
      <c r="DE185" s="120">
        <f t="shared" si="456"/>
        <v>0.30356697430780744</v>
      </c>
      <c r="DF185" s="133">
        <f t="shared" si="456"/>
        <v>0.29886148007590135</v>
      </c>
      <c r="DG185" s="133">
        <f t="shared" si="459"/>
        <v>0.29652864910079463</v>
      </c>
      <c r="DH185" s="133">
        <f t="shared" si="459"/>
        <v>0.28079864061172471</v>
      </c>
      <c r="DI185" s="133">
        <f t="shared" si="459"/>
        <v>0.27450980392156865</v>
      </c>
      <c r="DJ185" s="120">
        <f t="shared" si="459"/>
        <v>0.28700683850604947</v>
      </c>
      <c r="DK185" s="133">
        <f t="shared" si="459"/>
        <v>0.2717434869739479</v>
      </c>
      <c r="DL185" s="133">
        <f t="shared" ref="DL185:DP185" si="463">DL172/DL$173</f>
        <v>0.30345086271567889</v>
      </c>
      <c r="DM185" s="133">
        <f t="shared" si="463"/>
        <v>0.30634807417974325</v>
      </c>
      <c r="DN185" s="133">
        <f t="shared" si="463"/>
        <v>0.30540587430333255</v>
      </c>
      <c r="DO185" s="120">
        <f t="shared" si="463"/>
        <v>0.29551631820879287</v>
      </c>
      <c r="DP185" s="133">
        <f t="shared" si="463"/>
        <v>0.29987215227522046</v>
      </c>
      <c r="DQ185" s="133">
        <f t="shared" ref="DQ185:DT185" si="464">DQ172/DQ$173</f>
        <v>0.30765744351639646</v>
      </c>
      <c r="DR185" s="133">
        <f t="shared" si="464"/>
        <v>0.28732432213729048</v>
      </c>
      <c r="DS185" s="133">
        <f t="shared" si="464"/>
        <v>0.29517544169750043</v>
      </c>
      <c r="DT185" s="120">
        <f t="shared" si="464"/>
        <v>0.29713958502810472</v>
      </c>
      <c r="DU185" s="27">
        <f t="shared" ref="DU185" si="465">DU172/DU$173</f>
        <v>0.2906467816882608</v>
      </c>
      <c r="DV185" s="27">
        <f t="shared" ref="DV185" si="466">DV172/DV$173</f>
        <v>0.28641939868353816</v>
      </c>
    </row>
    <row r="186" spans="2:126" s="92" customFormat="1" hidden="1" outlineLevel="1">
      <c r="B186" s="44" t="s">
        <v>139</v>
      </c>
      <c r="C186" s="134"/>
      <c r="D186" s="134"/>
      <c r="E186" s="134"/>
      <c r="F186" s="134"/>
      <c r="G186" s="134"/>
      <c r="H186" s="134"/>
      <c r="I186" s="134"/>
      <c r="J186" s="135"/>
      <c r="K186" s="135"/>
      <c r="L186" s="135"/>
      <c r="M186" s="135"/>
      <c r="N186" s="134"/>
      <c r="O186" s="135"/>
      <c r="P186" s="135"/>
      <c r="Q186" s="135"/>
      <c r="R186" s="135"/>
      <c r="S186" s="134"/>
      <c r="T186" s="135"/>
      <c r="U186" s="135"/>
      <c r="V186" s="135"/>
      <c r="W186" s="135"/>
      <c r="X186" s="134"/>
      <c r="Y186" s="135"/>
      <c r="Z186" s="135"/>
      <c r="AA186" s="135"/>
      <c r="AB186" s="135"/>
      <c r="AC186" s="134"/>
      <c r="AD186" s="135"/>
      <c r="AE186" s="135"/>
      <c r="AF186" s="135"/>
      <c r="AG186" s="135"/>
      <c r="AH186" s="134"/>
      <c r="AI186" s="135"/>
      <c r="AJ186" s="135"/>
      <c r="AK186" s="135"/>
      <c r="AL186" s="135"/>
      <c r="AM186" s="134"/>
      <c r="AN186" s="135"/>
      <c r="AO186" s="135"/>
      <c r="AP186" s="135"/>
      <c r="AQ186" s="135"/>
      <c r="AR186" s="134"/>
      <c r="AS186" s="135"/>
      <c r="AT186" s="135"/>
      <c r="AU186" s="135"/>
      <c r="AV186" s="135"/>
      <c r="AW186" s="134"/>
      <c r="AX186" s="135"/>
      <c r="AY186" s="135"/>
      <c r="AZ186" s="135"/>
      <c r="BA186" s="135"/>
      <c r="BB186" s="134">
        <f>SUM(BB181:BB184)</f>
        <v>1</v>
      </c>
      <c r="BC186" s="135">
        <f t="shared" ref="BC186:CP186" si="467">SUM(BC181:BC184)</f>
        <v>1</v>
      </c>
      <c r="BD186" s="135">
        <f t="shared" si="467"/>
        <v>1</v>
      </c>
      <c r="BE186" s="135">
        <f t="shared" si="467"/>
        <v>0.99999999999999989</v>
      </c>
      <c r="BF186" s="135">
        <f t="shared" si="467"/>
        <v>1.0000000000000002</v>
      </c>
      <c r="BG186" s="134">
        <f t="shared" si="467"/>
        <v>1</v>
      </c>
      <c r="BH186" s="135">
        <f t="shared" si="467"/>
        <v>1</v>
      </c>
      <c r="BI186" s="135">
        <f t="shared" si="467"/>
        <v>0.99999999999999978</v>
      </c>
      <c r="BJ186" s="135">
        <f t="shared" si="467"/>
        <v>1</v>
      </c>
      <c r="BK186" s="135">
        <f t="shared" si="467"/>
        <v>1</v>
      </c>
      <c r="BL186" s="134">
        <f t="shared" si="467"/>
        <v>1</v>
      </c>
      <c r="BM186" s="135">
        <f t="shared" si="467"/>
        <v>0.99999999999999978</v>
      </c>
      <c r="BN186" s="135">
        <f t="shared" si="467"/>
        <v>0.99999999999999989</v>
      </c>
      <c r="BO186" s="135">
        <f t="shared" si="467"/>
        <v>1</v>
      </c>
      <c r="BP186" s="135">
        <f t="shared" si="467"/>
        <v>1</v>
      </c>
      <c r="BQ186" s="134">
        <f t="shared" si="467"/>
        <v>1.0000000000000002</v>
      </c>
      <c r="BR186" s="135">
        <f t="shared" si="467"/>
        <v>1</v>
      </c>
      <c r="BS186" s="135">
        <f t="shared" si="467"/>
        <v>0.99999999999999989</v>
      </c>
      <c r="BT186" s="135">
        <f t="shared" si="467"/>
        <v>1</v>
      </c>
      <c r="BU186" s="135">
        <f t="shared" si="467"/>
        <v>1</v>
      </c>
      <c r="BV186" s="134">
        <f t="shared" si="467"/>
        <v>1</v>
      </c>
      <c r="BW186" s="135">
        <f t="shared" si="467"/>
        <v>0.99999999999999978</v>
      </c>
      <c r="BX186" s="135">
        <f t="shared" si="467"/>
        <v>1</v>
      </c>
      <c r="BY186" s="135">
        <f t="shared" si="467"/>
        <v>0.99999999999999978</v>
      </c>
      <c r="BZ186" s="135">
        <f t="shared" si="467"/>
        <v>1</v>
      </c>
      <c r="CA186" s="134">
        <f t="shared" si="467"/>
        <v>1</v>
      </c>
      <c r="CB186" s="135">
        <f t="shared" si="467"/>
        <v>1</v>
      </c>
      <c r="CC186" s="135">
        <f t="shared" si="467"/>
        <v>1</v>
      </c>
      <c r="CD186" s="135">
        <f t="shared" si="467"/>
        <v>1</v>
      </c>
      <c r="CE186" s="135">
        <f t="shared" si="467"/>
        <v>0.99999999999999989</v>
      </c>
      <c r="CF186" s="134">
        <f t="shared" si="467"/>
        <v>0.99999999999999989</v>
      </c>
      <c r="CG186" s="135">
        <f t="shared" si="467"/>
        <v>1</v>
      </c>
      <c r="CH186" s="135">
        <f t="shared" si="467"/>
        <v>1</v>
      </c>
      <c r="CI186" s="135">
        <f t="shared" si="467"/>
        <v>1</v>
      </c>
      <c r="CJ186" s="135">
        <f t="shared" si="467"/>
        <v>1</v>
      </c>
      <c r="CK186" s="134">
        <f t="shared" si="467"/>
        <v>0.99999999999999989</v>
      </c>
      <c r="CL186" s="135">
        <f t="shared" si="467"/>
        <v>1.0699460387009632</v>
      </c>
      <c r="CM186" s="135">
        <f t="shared" si="467"/>
        <v>1.1143543094971355</v>
      </c>
      <c r="CN186" s="135">
        <f t="shared" si="467"/>
        <v>0.98558621316039252</v>
      </c>
      <c r="CO186" s="135">
        <f t="shared" si="467"/>
        <v>1.2921865008085178</v>
      </c>
      <c r="CP186" s="134">
        <f t="shared" si="467"/>
        <v>1.1014902848519146</v>
      </c>
      <c r="CQ186" s="135">
        <f t="shared" ref="CQ186:CU186" si="468">SUM(CQ181:CQ184)</f>
        <v>1.0931515204527669</v>
      </c>
      <c r="CR186" s="135">
        <f t="shared" si="468"/>
        <v>1.0794658889797091</v>
      </c>
      <c r="CS186" s="135">
        <f t="shared" si="468"/>
        <v>1.0663321772836161</v>
      </c>
      <c r="CT186" s="135">
        <f t="shared" si="468"/>
        <v>1.0534776756336623</v>
      </c>
      <c r="CU186" s="134">
        <f t="shared" si="468"/>
        <v>1.0721938355035436</v>
      </c>
      <c r="CV186" s="135">
        <f>SUM(CV181,CV182,CV185)</f>
        <v>1</v>
      </c>
      <c r="CW186" s="135">
        <f t="shared" ref="CW186:DJ186" si="469">SUM(CW181,CW182,CW185)</f>
        <v>1</v>
      </c>
      <c r="CX186" s="135">
        <f t="shared" si="469"/>
        <v>1</v>
      </c>
      <c r="CY186" s="135">
        <f t="shared" si="469"/>
        <v>1</v>
      </c>
      <c r="CZ186" s="134">
        <f t="shared" si="469"/>
        <v>1</v>
      </c>
      <c r="DA186" s="135">
        <f t="shared" si="469"/>
        <v>1</v>
      </c>
      <c r="DB186" s="135">
        <f t="shared" si="469"/>
        <v>1</v>
      </c>
      <c r="DC186" s="135">
        <f t="shared" si="469"/>
        <v>1</v>
      </c>
      <c r="DD186" s="135">
        <f t="shared" si="469"/>
        <v>1</v>
      </c>
      <c r="DE186" s="134">
        <f t="shared" si="469"/>
        <v>1</v>
      </c>
      <c r="DF186" s="135">
        <f t="shared" si="469"/>
        <v>1</v>
      </c>
      <c r="DG186" s="135">
        <f t="shared" si="469"/>
        <v>1</v>
      </c>
      <c r="DH186" s="135">
        <f t="shared" si="469"/>
        <v>1</v>
      </c>
      <c r="DI186" s="135">
        <f t="shared" si="469"/>
        <v>1</v>
      </c>
      <c r="DJ186" s="134">
        <f t="shared" si="469"/>
        <v>1</v>
      </c>
      <c r="DK186" s="135">
        <f t="shared" ref="DK186:DO186" si="470">SUM(DK181,DK182,DK185)</f>
        <v>1</v>
      </c>
      <c r="DL186" s="135">
        <f t="shared" si="470"/>
        <v>1</v>
      </c>
      <c r="DM186" s="135">
        <f t="shared" si="470"/>
        <v>1</v>
      </c>
      <c r="DN186" s="135">
        <f t="shared" si="470"/>
        <v>1</v>
      </c>
      <c r="DO186" s="134">
        <f t="shared" si="470"/>
        <v>1</v>
      </c>
      <c r="DP186" s="135">
        <f t="shared" ref="DP186:DT186" si="471">SUM(DP181,DP182,DP185)</f>
        <v>0.99999999999999989</v>
      </c>
      <c r="DQ186" s="135">
        <f t="shared" si="471"/>
        <v>1</v>
      </c>
      <c r="DR186" s="135">
        <f t="shared" si="471"/>
        <v>1</v>
      </c>
      <c r="DS186" s="135">
        <f t="shared" si="471"/>
        <v>1</v>
      </c>
      <c r="DT186" s="134">
        <f t="shared" si="471"/>
        <v>0.99999999999999978</v>
      </c>
      <c r="DU186" s="136">
        <f t="shared" ref="DU186" si="472">SUM(DU181,DU182,DU185)</f>
        <v>1</v>
      </c>
      <c r="DV186" s="136">
        <f t="shared" ref="DV186" si="473">SUM(DV181,DV182,DV185)</f>
        <v>1</v>
      </c>
    </row>
    <row r="187" spans="2:126" s="92" customFormat="1" hidden="1" outlineLevel="1" collapsed="1">
      <c r="B187" s="386"/>
      <c r="C187" s="229"/>
      <c r="D187" s="229"/>
      <c r="E187" s="229"/>
      <c r="F187" s="229"/>
      <c r="G187" s="229"/>
      <c r="H187" s="229"/>
      <c r="I187" s="229"/>
      <c r="J187" s="386"/>
      <c r="K187" s="386"/>
      <c r="L187" s="386"/>
      <c r="M187" s="386"/>
      <c r="N187" s="229"/>
      <c r="O187" s="386"/>
      <c r="P187" s="386"/>
      <c r="Q187" s="386"/>
      <c r="R187" s="386"/>
      <c r="S187" s="229"/>
      <c r="T187" s="386"/>
      <c r="U187" s="386"/>
      <c r="V187" s="386"/>
      <c r="W187" s="386"/>
      <c r="X187" s="229"/>
      <c r="Y187" s="386"/>
      <c r="Z187" s="386"/>
      <c r="AA187" s="386"/>
      <c r="AB187" s="386"/>
      <c r="AC187" s="229"/>
      <c r="AD187" s="386"/>
      <c r="AE187" s="386"/>
      <c r="AF187" s="386"/>
      <c r="AG187" s="386"/>
      <c r="AH187" s="229"/>
      <c r="AI187" s="386"/>
      <c r="AJ187" s="386"/>
      <c r="AK187" s="386"/>
      <c r="AL187" s="386"/>
      <c r="AM187" s="229"/>
      <c r="AN187" s="386"/>
      <c r="AO187" s="386"/>
      <c r="AP187" s="386"/>
      <c r="AQ187" s="386"/>
      <c r="AR187" s="229"/>
      <c r="AS187" s="386"/>
      <c r="AT187" s="386"/>
      <c r="AU187" s="386"/>
      <c r="AV187" s="386"/>
      <c r="AW187" s="229"/>
      <c r="AX187" s="386"/>
      <c r="AY187" s="386"/>
      <c r="AZ187" s="386"/>
      <c r="BA187" s="386"/>
      <c r="BB187" s="229"/>
      <c r="BC187" s="386"/>
      <c r="BD187" s="386"/>
      <c r="BE187" s="386"/>
      <c r="BF187" s="386"/>
      <c r="BG187" s="229"/>
      <c r="BH187" s="386"/>
      <c r="BI187" s="386"/>
      <c r="BJ187" s="386"/>
      <c r="BK187" s="440"/>
      <c r="BL187" s="440"/>
      <c r="BM187" s="386"/>
      <c r="BN187" s="386"/>
      <c r="BO187" s="386"/>
      <c r="BP187" s="440"/>
      <c r="BQ187" s="440"/>
      <c r="BR187" s="386"/>
      <c r="BS187" s="386"/>
      <c r="BT187" s="386"/>
      <c r="BU187" s="440"/>
      <c r="BV187" s="440"/>
      <c r="BW187" s="386"/>
      <c r="BX187" s="386"/>
      <c r="BY187" s="386"/>
      <c r="BZ187" s="440"/>
      <c r="CA187" s="229"/>
      <c r="CB187" s="386"/>
      <c r="CC187" s="386"/>
      <c r="CD187" s="386"/>
      <c r="CE187" s="440"/>
      <c r="CF187" s="229"/>
      <c r="CG187" s="386"/>
      <c r="CH187" s="386"/>
      <c r="CI187" s="386"/>
      <c r="CJ187" s="440"/>
      <c r="CK187" s="229"/>
      <c r="CL187" s="386"/>
      <c r="CM187" s="386"/>
      <c r="CN187" s="386"/>
      <c r="CO187" s="440"/>
      <c r="CP187" s="229"/>
      <c r="CQ187" s="386"/>
      <c r="CR187" s="386"/>
      <c r="CS187" s="386"/>
      <c r="CT187" s="440"/>
      <c r="CU187" s="229"/>
      <c r="CV187" s="386"/>
      <c r="CW187" s="386"/>
      <c r="CX187" s="386"/>
      <c r="CY187" s="386"/>
      <c r="CZ187" s="229"/>
      <c r="DA187" s="386"/>
      <c r="DB187" s="386"/>
      <c r="DC187" s="386"/>
      <c r="DD187" s="386"/>
      <c r="DE187" s="229"/>
      <c r="DF187" s="386"/>
      <c r="DG187" s="386"/>
      <c r="DH187" s="386"/>
      <c r="DI187" s="386"/>
      <c r="DJ187" s="229"/>
      <c r="DK187" s="386"/>
      <c r="DL187" s="386"/>
      <c r="DM187" s="386"/>
      <c r="DN187" s="386"/>
      <c r="DO187" s="229"/>
      <c r="DP187" s="386"/>
      <c r="DQ187" s="386"/>
      <c r="DR187" s="386"/>
      <c r="DS187" s="386"/>
      <c r="DT187" s="229"/>
      <c r="DU187" s="229"/>
      <c r="DV187" s="229"/>
    </row>
    <row r="188" spans="2:126" s="92" customFormat="1" collapsed="1">
      <c r="B188" s="64" t="s">
        <v>234</v>
      </c>
      <c r="C188" s="229"/>
      <c r="D188" s="229"/>
      <c r="E188" s="229"/>
      <c r="F188" s="229"/>
      <c r="G188" s="229"/>
      <c r="H188" s="229"/>
      <c r="I188" s="229"/>
      <c r="J188" s="386"/>
      <c r="K188" s="386"/>
      <c r="L188" s="386"/>
      <c r="M188" s="386"/>
      <c r="N188" s="229"/>
      <c r="O188" s="386"/>
      <c r="P188" s="386"/>
      <c r="Q188" s="386"/>
      <c r="R188" s="386"/>
      <c r="S188" s="229"/>
      <c r="T188" s="386"/>
      <c r="U188" s="386"/>
      <c r="V188" s="386"/>
      <c r="W188" s="386"/>
      <c r="X188" s="196"/>
      <c r="Y188" s="386"/>
      <c r="Z188" s="386"/>
      <c r="AA188" s="386"/>
      <c r="AB188" s="386"/>
      <c r="AC188" s="196"/>
      <c r="AD188" s="386"/>
      <c r="AE188" s="386"/>
      <c r="AF188" s="386"/>
      <c r="AG188" s="386"/>
      <c r="AH188" s="196"/>
      <c r="AI188" s="386"/>
      <c r="AJ188" s="386"/>
      <c r="AK188" s="386"/>
      <c r="AL188" s="386"/>
      <c r="AM188" s="196"/>
      <c r="AN188" s="386"/>
      <c r="AO188" s="386"/>
      <c r="AP188" s="386"/>
      <c r="AQ188" s="386"/>
      <c r="AR188" s="196"/>
      <c r="AS188" s="386"/>
      <c r="AT188" s="386"/>
      <c r="AU188" s="386"/>
      <c r="AV188" s="386"/>
      <c r="AW188" s="196"/>
      <c r="AX188" s="386"/>
      <c r="AY188" s="386"/>
      <c r="AZ188" s="386"/>
      <c r="BA188" s="386"/>
      <c r="BB188" s="196"/>
      <c r="BC188" s="386"/>
      <c r="BD188" s="386"/>
      <c r="BE188" s="386"/>
      <c r="BF188" s="386"/>
      <c r="BG188" s="229"/>
      <c r="BH188" s="386"/>
      <c r="BI188" s="386"/>
      <c r="BJ188" s="386"/>
      <c r="BK188" s="386"/>
      <c r="BL188" s="229"/>
      <c r="BM188" s="386"/>
      <c r="BN188" s="386"/>
      <c r="BO188" s="386"/>
      <c r="BP188" s="386"/>
      <c r="BQ188" s="229"/>
      <c r="BR188" s="386"/>
      <c r="BS188" s="386"/>
      <c r="BT188" s="386"/>
      <c r="BU188" s="386"/>
      <c r="BV188" s="229"/>
      <c r="BW188" s="386"/>
      <c r="BX188" s="386"/>
      <c r="BY188" s="386"/>
      <c r="BZ188" s="386"/>
      <c r="CA188" s="229"/>
      <c r="CB188" s="386"/>
      <c r="CC188" s="386"/>
      <c r="CD188" s="386"/>
      <c r="CE188" s="386"/>
      <c r="CF188" s="229"/>
      <c r="CG188" s="386"/>
      <c r="CH188" s="386"/>
      <c r="CI188" s="386"/>
      <c r="CJ188" s="386"/>
      <c r="CK188" s="229"/>
      <c r="CL188" s="386"/>
      <c r="CM188" s="386"/>
      <c r="CN188" s="386"/>
      <c r="CO188" s="386"/>
      <c r="CP188" s="229"/>
      <c r="CQ188" s="386"/>
      <c r="CR188" s="386"/>
      <c r="CS188" s="386"/>
      <c r="CT188" s="386"/>
      <c r="CU188" s="229"/>
      <c r="CV188" s="386"/>
      <c r="CW188" s="386"/>
      <c r="CX188" s="386"/>
      <c r="CY188" s="386"/>
      <c r="CZ188" s="229"/>
      <c r="DA188" s="386"/>
      <c r="DB188" s="386"/>
      <c r="DC188" s="386"/>
      <c r="DD188" s="386"/>
      <c r="DE188" s="229"/>
      <c r="DF188" s="386"/>
      <c r="DG188" s="386"/>
      <c r="DH188" s="386"/>
      <c r="DI188" s="386"/>
      <c r="DJ188" s="229"/>
      <c r="DK188" s="386"/>
      <c r="DL188" s="386"/>
      <c r="DM188" s="386"/>
      <c r="DN188" s="386"/>
      <c r="DO188" s="229"/>
      <c r="DP188" s="386"/>
      <c r="DQ188" s="386"/>
      <c r="DR188" s="386"/>
      <c r="DS188" s="386"/>
      <c r="DT188" s="229"/>
      <c r="DU188" s="229"/>
      <c r="DV188" s="229"/>
    </row>
    <row r="189" spans="2:126" s="92" customFormat="1">
      <c r="B189" s="152" t="s">
        <v>194</v>
      </c>
      <c r="C189" s="236">
        <f t="shared" ref="C189:AH189" si="474">+C168/C14</f>
        <v>0.11024047554714941</v>
      </c>
      <c r="D189" s="236">
        <f t="shared" si="474"/>
        <v>0.13001523616048755</v>
      </c>
      <c r="E189" s="236">
        <f t="shared" si="474"/>
        <v>8.2616627573625229E-2</v>
      </c>
      <c r="F189" s="236">
        <f t="shared" si="474"/>
        <v>0.1629106706489275</v>
      </c>
      <c r="G189" s="236">
        <f t="shared" si="474"/>
        <v>0.17033467899466076</v>
      </c>
      <c r="H189" s="236">
        <f t="shared" si="474"/>
        <v>0.16769130150425116</v>
      </c>
      <c r="I189" s="236">
        <f t="shared" si="474"/>
        <v>0.14203634420096206</v>
      </c>
      <c r="J189" s="129">
        <f t="shared" si="474"/>
        <v>0.10624033006704486</v>
      </c>
      <c r="K189" s="129">
        <f t="shared" si="474"/>
        <v>0.14182692307692307</v>
      </c>
      <c r="L189" s="199">
        <f t="shared" si="474"/>
        <v>0.1438095238095238</v>
      </c>
      <c r="M189" s="199">
        <f t="shared" si="474"/>
        <v>0.12950971322849214</v>
      </c>
      <c r="N189" s="236">
        <f t="shared" si="474"/>
        <v>0.13078130660548243</v>
      </c>
      <c r="O189" s="129">
        <f t="shared" si="474"/>
        <v>0.16890213611525087</v>
      </c>
      <c r="P189" s="129">
        <f t="shared" si="474"/>
        <v>0.16190057193136823</v>
      </c>
      <c r="Q189" s="199">
        <f t="shared" si="474"/>
        <v>0.15700082850041425</v>
      </c>
      <c r="R189" s="199">
        <f t="shared" si="474"/>
        <v>0.1394990366088632</v>
      </c>
      <c r="S189" s="236">
        <f t="shared" si="474"/>
        <v>0.15589026358257127</v>
      </c>
      <c r="T189" s="129">
        <f t="shared" si="474"/>
        <v>0.17211838006230529</v>
      </c>
      <c r="U189" s="129">
        <f t="shared" si="474"/>
        <v>0.20022002200220021</v>
      </c>
      <c r="V189" s="199">
        <f t="shared" si="474"/>
        <v>0.16456153013352581</v>
      </c>
      <c r="W189" s="199">
        <f t="shared" si="474"/>
        <v>0.14478003939592909</v>
      </c>
      <c r="X189" s="236">
        <f t="shared" si="474"/>
        <v>0.16963642908567314</v>
      </c>
      <c r="Y189" s="129">
        <f t="shared" si="474"/>
        <v>0.16985905312612939</v>
      </c>
      <c r="Z189" s="129">
        <f t="shared" si="474"/>
        <v>0.17020592020592021</v>
      </c>
      <c r="AA189" s="199">
        <f t="shared" si="474"/>
        <v>0.16963109354413702</v>
      </c>
      <c r="AB189" s="199">
        <f t="shared" si="474"/>
        <v>0.12215568862275449</v>
      </c>
      <c r="AC189" s="236">
        <f t="shared" si="474"/>
        <v>0.15466911202812167</v>
      </c>
      <c r="AD189" s="129">
        <f t="shared" si="474"/>
        <v>0.15588914549653579</v>
      </c>
      <c r="AE189" s="129">
        <f t="shared" si="474"/>
        <v>0.15774726814233678</v>
      </c>
      <c r="AF189" s="199">
        <f t="shared" si="474"/>
        <v>0.15931014323297282</v>
      </c>
      <c r="AG189" s="199">
        <f t="shared" si="474"/>
        <v>0.16288659793814433</v>
      </c>
      <c r="AH189" s="236">
        <f t="shared" si="474"/>
        <v>0.15892844248682214</v>
      </c>
      <c r="AI189" s="129">
        <f t="shared" ref="AI189:BN189" si="475">+AI168/AI14</f>
        <v>0.15723270440251572</v>
      </c>
      <c r="AJ189" s="129">
        <f t="shared" si="475"/>
        <v>0.1681131468981035</v>
      </c>
      <c r="AK189" s="199">
        <f t="shared" si="475"/>
        <v>0.16529198284394589</v>
      </c>
      <c r="AL189" s="199">
        <f t="shared" si="475"/>
        <v>0.16319218241042346</v>
      </c>
      <c r="AM189" s="236">
        <f t="shared" si="475"/>
        <v>0.16341187863137507</v>
      </c>
      <c r="AN189" s="129">
        <f t="shared" si="475"/>
        <v>0.16261879619852165</v>
      </c>
      <c r="AO189" s="129">
        <f t="shared" si="475"/>
        <v>0.16193961573650503</v>
      </c>
      <c r="AP189" s="199">
        <f t="shared" si="475"/>
        <v>0.17337461300309598</v>
      </c>
      <c r="AQ189" s="199">
        <f t="shared" si="475"/>
        <v>0.15955369595536958</v>
      </c>
      <c r="AR189" s="236">
        <f t="shared" si="475"/>
        <v>0.16428295322767686</v>
      </c>
      <c r="AS189" s="129">
        <f t="shared" si="475"/>
        <v>0.15036547163243996</v>
      </c>
      <c r="AT189" s="129">
        <f t="shared" si="475"/>
        <v>0.13705738705738707</v>
      </c>
      <c r="AU189" s="199">
        <f t="shared" si="475"/>
        <v>0.14930217461863032</v>
      </c>
      <c r="AV189" s="199">
        <f t="shared" si="475"/>
        <v>0.15426601551278368</v>
      </c>
      <c r="AW189" s="236">
        <f t="shared" si="475"/>
        <v>0.14774604673117772</v>
      </c>
      <c r="AX189" s="129">
        <f t="shared" si="475"/>
        <v>0.1396927570535236</v>
      </c>
      <c r="AY189" s="129">
        <f t="shared" si="475"/>
        <v>0.12895525854782955</v>
      </c>
      <c r="AZ189" s="199">
        <f t="shared" si="475"/>
        <v>0.1152330300689174</v>
      </c>
      <c r="BA189" s="199">
        <f t="shared" si="475"/>
        <v>0.10212000868538541</v>
      </c>
      <c r="BB189" s="236">
        <f t="shared" si="475"/>
        <v>0.12031243726746406</v>
      </c>
      <c r="BC189" s="129">
        <f t="shared" si="475"/>
        <v>0.12509110430541726</v>
      </c>
      <c r="BD189" s="129">
        <f t="shared" si="475"/>
        <v>0.13099667989062114</v>
      </c>
      <c r="BE189" s="199">
        <f t="shared" si="475"/>
        <v>0.1464057141665045</v>
      </c>
      <c r="BF189" s="199">
        <f t="shared" si="475"/>
        <v>0.12205196397339374</v>
      </c>
      <c r="BG189" s="236">
        <f t="shared" si="475"/>
        <v>0.13068699631926292</v>
      </c>
      <c r="BH189" s="129">
        <f t="shared" si="475"/>
        <v>0.13381093757526541</v>
      </c>
      <c r="BI189" s="129">
        <f t="shared" si="475"/>
        <v>0.15736517908845427</v>
      </c>
      <c r="BJ189" s="199">
        <f t="shared" si="475"/>
        <v>0.15805309435470777</v>
      </c>
      <c r="BK189" s="199">
        <f t="shared" si="475"/>
        <v>0.13795051557882926</v>
      </c>
      <c r="BL189" s="236">
        <f t="shared" si="475"/>
        <v>0.14674582898591085</v>
      </c>
      <c r="BM189" s="129">
        <f t="shared" si="475"/>
        <v>0.13427567415735431</v>
      </c>
      <c r="BN189" s="129">
        <f t="shared" si="475"/>
        <v>0.13369253641343309</v>
      </c>
      <c r="BO189" s="199">
        <f t="shared" ref="BO189:CK189" si="476">+BO168/BO14</f>
        <v>0.13963468687968031</v>
      </c>
      <c r="BP189" s="199">
        <f t="shared" si="476"/>
        <v>0.13023713289230204</v>
      </c>
      <c r="BQ189" s="236">
        <f t="shared" si="476"/>
        <v>0.13425315532075924</v>
      </c>
      <c r="BR189" s="199">
        <f t="shared" si="476"/>
        <v>0.12017974060725198</v>
      </c>
      <c r="BS189" s="199">
        <f t="shared" si="476"/>
        <v>0.12375229646292618</v>
      </c>
      <c r="BT189" s="199">
        <f t="shared" si="476"/>
        <v>0.12330855312252212</v>
      </c>
      <c r="BU189" s="199">
        <f t="shared" si="476"/>
        <v>0.10265275925831599</v>
      </c>
      <c r="BV189" s="236">
        <f t="shared" si="476"/>
        <v>0.11713209850631831</v>
      </c>
      <c r="BW189" s="199">
        <f t="shared" si="476"/>
        <v>9.7261970865293493E-2</v>
      </c>
      <c r="BX189" s="199">
        <f t="shared" si="476"/>
        <v>9.5004717212135964E-2</v>
      </c>
      <c r="BY189" s="199">
        <f t="shared" si="476"/>
        <v>9.5511552626130591E-2</v>
      </c>
      <c r="BZ189" s="199">
        <f t="shared" si="476"/>
        <v>8.6870263294863886E-2</v>
      </c>
      <c r="CA189" s="236">
        <f t="shared" si="476"/>
        <v>9.3454523910569104E-2</v>
      </c>
      <c r="CB189" s="199">
        <f t="shared" si="476"/>
        <v>0.10550074769318345</v>
      </c>
      <c r="CC189" s="199">
        <f t="shared" si="476"/>
        <v>9.0947458863316247E-2</v>
      </c>
      <c r="CD189" s="199">
        <f t="shared" si="476"/>
        <v>9.2167880987013978E-2</v>
      </c>
      <c r="CE189" s="199">
        <f t="shared" si="476"/>
        <v>6.8624048894732559E-2</v>
      </c>
      <c r="CF189" s="236">
        <f t="shared" si="476"/>
        <v>8.8117491726079772E-2</v>
      </c>
      <c r="CG189" s="199">
        <f t="shared" si="476"/>
        <v>0.10211706102117062</v>
      </c>
      <c r="CH189" s="199">
        <f t="shared" si="476"/>
        <v>8.7698874660457893E-2</v>
      </c>
      <c r="CI189" s="199">
        <f t="shared" si="476"/>
        <v>9.8391674550614955E-2</v>
      </c>
      <c r="CJ189" s="199">
        <f t="shared" si="476"/>
        <v>8.3259521700620023E-2</v>
      </c>
      <c r="CK189" s="236">
        <f t="shared" si="476"/>
        <v>9.2527030906133387E-2</v>
      </c>
      <c r="CL189" s="199">
        <v>8.2000000000000003E-2</v>
      </c>
      <c r="CM189" s="199">
        <f t="shared" ref="CM189:DB189" si="477">+CM168/CM14</f>
        <v>-4.3303699455119013E-2</v>
      </c>
      <c r="CN189" s="199">
        <f t="shared" si="477"/>
        <v>-1.2306811677160847E-2</v>
      </c>
      <c r="CO189" s="199">
        <f t="shared" si="477"/>
        <v>2.1472392638036811E-2</v>
      </c>
      <c r="CP189" s="236">
        <f t="shared" si="477"/>
        <v>2.4732930794240594E-2</v>
      </c>
      <c r="CQ189" s="199">
        <f t="shared" si="477"/>
        <v>9.9255583126550868E-3</v>
      </c>
      <c r="CR189" s="199">
        <f t="shared" si="477"/>
        <v>2.2429906542056073E-2</v>
      </c>
      <c r="CS189" s="199">
        <f t="shared" si="477"/>
        <v>0.04</v>
      </c>
      <c r="CT189" s="199">
        <f t="shared" si="477"/>
        <v>3.1671554252199412E-2</v>
      </c>
      <c r="CU189" s="236">
        <f t="shared" si="477"/>
        <v>2.6831955922865015E-2</v>
      </c>
      <c r="CV189" s="199">
        <f t="shared" si="477"/>
        <v>6.8006182380216385E-2</v>
      </c>
      <c r="CW189" s="199">
        <f t="shared" si="477"/>
        <v>6.0978063996780039E-2</v>
      </c>
      <c r="CX189" s="199">
        <f t="shared" si="477"/>
        <v>5.9107806691449813E-2</v>
      </c>
      <c r="CY189" s="199">
        <f t="shared" si="477"/>
        <v>5.6794055201698515E-2</v>
      </c>
      <c r="CZ189" s="236">
        <f t="shared" si="477"/>
        <v>6.0886507549926937E-2</v>
      </c>
      <c r="DA189" s="199">
        <f t="shared" si="477"/>
        <v>8.2982791586998089E-2</v>
      </c>
      <c r="DB189" s="199">
        <f t="shared" si="477"/>
        <v>7.6477810910366609E-2</v>
      </c>
      <c r="DC189" s="199">
        <f>+DC168/(DC14-DC12)</f>
        <v>6.5275802117907386E-2</v>
      </c>
      <c r="DD189" s="199">
        <f>+DD168/DD14</f>
        <v>6.2897965522596674E-2</v>
      </c>
      <c r="DE189" s="236">
        <f>+DE168/(DE14-DE12)</f>
        <v>7.1232645482550538E-2</v>
      </c>
      <c r="DF189" s="199">
        <f t="shared" ref="DF189:DL189" si="478">+DF168/DF14</f>
        <v>6.6604708798017345E-2</v>
      </c>
      <c r="DG189" s="199">
        <f t="shared" si="478"/>
        <v>7.8947368421052627E-2</v>
      </c>
      <c r="DH189" s="199">
        <f t="shared" si="478"/>
        <v>8.2469954413593033E-2</v>
      </c>
      <c r="DI189" s="199">
        <f t="shared" si="478"/>
        <v>9.4728497820055491E-2</v>
      </c>
      <c r="DJ189" s="236">
        <f t="shared" si="478"/>
        <v>8.1272714316254546E-2</v>
      </c>
      <c r="DK189" s="199">
        <f t="shared" si="478"/>
        <v>8.0097746402389355E-2</v>
      </c>
      <c r="DL189" s="199">
        <f t="shared" si="478"/>
        <v>7.9675009828331811E-2</v>
      </c>
      <c r="DM189" s="199">
        <f t="shared" ref="DM189" si="479">+DM168/DM14</f>
        <v>8.9160631603941595E-2</v>
      </c>
      <c r="DN189" s="57">
        <v>8.5000000000000006E-2</v>
      </c>
      <c r="DO189" s="236">
        <f>+DO168/DO14</f>
        <v>8.3694227750791647E-2</v>
      </c>
      <c r="DP189" s="57">
        <v>0.08</v>
      </c>
      <c r="DQ189" s="57">
        <v>8.2000000000000003E-2</v>
      </c>
      <c r="DR189" s="57">
        <v>9.1999999999999998E-2</v>
      </c>
      <c r="DS189" s="57">
        <v>0.09</v>
      </c>
      <c r="DT189" s="236">
        <f>+DT168/DT14</f>
        <v>8.6305763215441339E-2</v>
      </c>
      <c r="DU189" s="607">
        <v>8.7999999999999995E-2</v>
      </c>
      <c r="DV189" s="607">
        <v>0.09</v>
      </c>
    </row>
    <row r="190" spans="2:126" s="92" customFormat="1">
      <c r="B190" s="152" t="s">
        <v>472</v>
      </c>
      <c r="C190" s="236">
        <f t="shared" ref="C190:AH190" si="480">+C169/C26</f>
        <v>0.10734664764621969</v>
      </c>
      <c r="D190" s="236">
        <f t="shared" si="480"/>
        <v>9.9273607748184015E-2</v>
      </c>
      <c r="E190" s="236">
        <f t="shared" si="480"/>
        <v>6.4829396325459324E-2</v>
      </c>
      <c r="F190" s="236">
        <f t="shared" si="480"/>
        <v>0.12299679487179487</v>
      </c>
      <c r="G190" s="236">
        <f t="shared" si="480"/>
        <v>0.12660619803476947</v>
      </c>
      <c r="H190" s="236">
        <f t="shared" si="480"/>
        <v>0.16362583260932523</v>
      </c>
      <c r="I190" s="236">
        <f t="shared" si="480"/>
        <v>0.15397443023902169</v>
      </c>
      <c r="J190" s="153">
        <f t="shared" si="480"/>
        <v>0.14146868250539957</v>
      </c>
      <c r="K190" s="153">
        <f t="shared" si="480"/>
        <v>0.1497326203208556</v>
      </c>
      <c r="L190" s="199">
        <f t="shared" si="480"/>
        <v>0.16326530612244897</v>
      </c>
      <c r="M190" s="199">
        <f t="shared" si="480"/>
        <v>0.14074074074074075</v>
      </c>
      <c r="N190" s="236">
        <f t="shared" si="480"/>
        <v>0.14868655955113491</v>
      </c>
      <c r="O190" s="153">
        <f t="shared" si="480"/>
        <v>0.14785992217898833</v>
      </c>
      <c r="P190" s="153">
        <f t="shared" si="480"/>
        <v>0.15097690941385436</v>
      </c>
      <c r="Q190" s="199">
        <f t="shared" si="480"/>
        <v>0.16620241411327763</v>
      </c>
      <c r="R190" s="199">
        <f t="shared" si="480"/>
        <v>0.15117289313640314</v>
      </c>
      <c r="S190" s="236">
        <f t="shared" si="480"/>
        <v>0.15403925148334094</v>
      </c>
      <c r="T190" s="153">
        <f t="shared" si="480"/>
        <v>0.16237113402061856</v>
      </c>
      <c r="U190" s="153">
        <f t="shared" si="480"/>
        <v>0.17252146760343481</v>
      </c>
      <c r="V190" s="199">
        <f t="shared" si="480"/>
        <v>0.18515562649640863</v>
      </c>
      <c r="W190" s="199">
        <f t="shared" si="480"/>
        <v>0.17733230531996916</v>
      </c>
      <c r="X190" s="236">
        <f t="shared" si="480"/>
        <v>0.17457457457457456</v>
      </c>
      <c r="Y190" s="153">
        <f t="shared" si="480"/>
        <v>0.1706016755521706</v>
      </c>
      <c r="Z190" s="153">
        <f t="shared" si="480"/>
        <v>0.17948717948717949</v>
      </c>
      <c r="AA190" s="199">
        <f t="shared" si="480"/>
        <v>0.18009810791871059</v>
      </c>
      <c r="AB190" s="199">
        <f t="shared" si="480"/>
        <v>0.17225201072386059</v>
      </c>
      <c r="AC190" s="236">
        <f t="shared" si="480"/>
        <v>0.17565649396735272</v>
      </c>
      <c r="AD190" s="153">
        <f t="shared" si="480"/>
        <v>0.15742642026009582</v>
      </c>
      <c r="AE190" s="153">
        <f t="shared" si="480"/>
        <v>0.16969696969696971</v>
      </c>
      <c r="AF190" s="199">
        <f t="shared" si="480"/>
        <v>0.18798955613577023</v>
      </c>
      <c r="AG190" s="199">
        <f t="shared" si="480"/>
        <v>0.19676549865229109</v>
      </c>
      <c r="AH190" s="236">
        <f t="shared" si="480"/>
        <v>0.17790109352048311</v>
      </c>
      <c r="AI190" s="153">
        <f t="shared" ref="AI190:BN190" si="481">+AI169/AI26</f>
        <v>0.15278783490224476</v>
      </c>
      <c r="AJ190" s="153">
        <f t="shared" si="481"/>
        <v>0.15977175463623394</v>
      </c>
      <c r="AK190" s="199">
        <f t="shared" si="481"/>
        <v>0.18571428571428572</v>
      </c>
      <c r="AL190" s="199">
        <f t="shared" si="481"/>
        <v>0.18155410312273057</v>
      </c>
      <c r="AM190" s="236">
        <f t="shared" si="481"/>
        <v>0.16996402877697842</v>
      </c>
      <c r="AN190" s="153">
        <f t="shared" si="481"/>
        <v>0.16817496229260936</v>
      </c>
      <c r="AO190" s="153">
        <f t="shared" si="481"/>
        <v>0.17331399564902103</v>
      </c>
      <c r="AP190" s="199">
        <f t="shared" si="481"/>
        <v>0.18098591549295776</v>
      </c>
      <c r="AQ190" s="199">
        <f t="shared" si="481"/>
        <v>0.17801753202966958</v>
      </c>
      <c r="AR190" s="236">
        <f t="shared" si="481"/>
        <v>0.17528530670470757</v>
      </c>
      <c r="AS190" s="153">
        <f t="shared" si="481"/>
        <v>0.15289982425307558</v>
      </c>
      <c r="AT190" s="153">
        <f t="shared" si="481"/>
        <v>0.1596925704526046</v>
      </c>
      <c r="AU190" s="199">
        <f t="shared" si="481"/>
        <v>0.17270429654591407</v>
      </c>
      <c r="AV190" s="199">
        <f t="shared" si="481"/>
        <v>0.16139240506329114</v>
      </c>
      <c r="AW190" s="236">
        <f t="shared" si="481"/>
        <v>0.16176470588235295</v>
      </c>
      <c r="AX190" s="153">
        <f t="shared" si="481"/>
        <v>0.17996102660446633</v>
      </c>
      <c r="AY190" s="153">
        <f t="shared" si="481"/>
        <v>0.18871914231722989</v>
      </c>
      <c r="AZ190" s="199">
        <f t="shared" si="481"/>
        <v>0.12275876484459276</v>
      </c>
      <c r="BA190" s="199">
        <f t="shared" si="481"/>
        <v>0.11135498043680775</v>
      </c>
      <c r="BB190" s="236">
        <f t="shared" si="481"/>
        <v>0.1368241232769879</v>
      </c>
      <c r="BC190" s="153">
        <f t="shared" si="481"/>
        <v>0.16980373436025953</v>
      </c>
      <c r="BD190" s="153">
        <f t="shared" si="481"/>
        <v>0.17182544213177828</v>
      </c>
      <c r="BE190" s="199">
        <f t="shared" si="481"/>
        <v>0.17098309188160218</v>
      </c>
      <c r="BF190" s="199">
        <f t="shared" si="481"/>
        <v>0.16702897044463355</v>
      </c>
      <c r="BG190" s="236">
        <f t="shared" si="481"/>
        <v>0.16988198515422637</v>
      </c>
      <c r="BH190" s="153">
        <f t="shared" si="481"/>
        <v>0.18702991694149959</v>
      </c>
      <c r="BI190" s="153">
        <f t="shared" si="481"/>
        <v>0.19150679214660782</v>
      </c>
      <c r="BJ190" s="199">
        <f t="shared" si="481"/>
        <v>0.18011674763913252</v>
      </c>
      <c r="BK190" s="199">
        <f t="shared" si="481"/>
        <v>0.18399488891548943</v>
      </c>
      <c r="BL190" s="236">
        <f t="shared" si="481"/>
        <v>0.18568851518535645</v>
      </c>
      <c r="BM190" s="153">
        <f t="shared" si="481"/>
        <v>0.18842954636464732</v>
      </c>
      <c r="BN190" s="153">
        <f t="shared" si="481"/>
        <v>0.16862772869905124</v>
      </c>
      <c r="BO190" s="199">
        <f t="shared" ref="BO190:CK190" si="482">+BO169/BO26</f>
        <v>0.18198170049287749</v>
      </c>
      <c r="BP190" s="199">
        <f t="shared" si="482"/>
        <v>0.15359553746314517</v>
      </c>
      <c r="BQ190" s="236">
        <f t="shared" si="482"/>
        <v>0.17320096869240056</v>
      </c>
      <c r="BR190" s="199">
        <f t="shared" si="482"/>
        <v>0.17228595861399279</v>
      </c>
      <c r="BS190" s="199">
        <f t="shared" si="482"/>
        <v>0.17431263395078975</v>
      </c>
      <c r="BT190" s="199">
        <f t="shared" si="482"/>
        <v>0.18262755490570981</v>
      </c>
      <c r="BU190" s="199">
        <f t="shared" si="482"/>
        <v>0.15174416133663551</v>
      </c>
      <c r="BV190" s="236">
        <f t="shared" si="482"/>
        <v>0.17030373939706961</v>
      </c>
      <c r="BW190" s="199">
        <f t="shared" si="482"/>
        <v>0.16630282239201621</v>
      </c>
      <c r="BX190" s="199">
        <f t="shared" si="482"/>
        <v>0.16897374772336934</v>
      </c>
      <c r="BY190" s="199">
        <f t="shared" si="482"/>
        <v>0.17968153247482971</v>
      </c>
      <c r="BZ190" s="199">
        <f t="shared" si="482"/>
        <v>0.1565106062896986</v>
      </c>
      <c r="CA190" s="236">
        <f t="shared" si="482"/>
        <v>0.16774184893481139</v>
      </c>
      <c r="CB190" s="199">
        <f t="shared" si="482"/>
        <v>0.18387944838361625</v>
      </c>
      <c r="CC190" s="199">
        <f t="shared" si="482"/>
        <v>0.18235040772183966</v>
      </c>
      <c r="CD190" s="199">
        <f t="shared" si="482"/>
        <v>0.17902424420547419</v>
      </c>
      <c r="CE190" s="199">
        <f t="shared" si="482"/>
        <v>0.16954774957646743</v>
      </c>
      <c r="CF190" s="236">
        <f t="shared" si="482"/>
        <v>0.1783156726525239</v>
      </c>
      <c r="CG190" s="199">
        <f t="shared" si="482"/>
        <v>0.18562874251497005</v>
      </c>
      <c r="CH190" s="199">
        <f t="shared" si="482"/>
        <v>0.19662408759124086</v>
      </c>
      <c r="CI190" s="199">
        <f t="shared" si="482"/>
        <v>0.19799846035411856</v>
      </c>
      <c r="CJ190" s="199">
        <f t="shared" si="482"/>
        <v>0.16464928615766605</v>
      </c>
      <c r="CK190" s="236">
        <f t="shared" si="482"/>
        <v>0.18629936990932841</v>
      </c>
      <c r="CL190" s="199">
        <v>0.17699999999999999</v>
      </c>
      <c r="CM190" s="199">
        <f t="shared" ref="CM190:DB190" si="483">+CM169/CM26</f>
        <v>3.2126607225848473E-2</v>
      </c>
      <c r="CN190" s="199">
        <f t="shared" si="483"/>
        <v>4.1865762902390892E-2</v>
      </c>
      <c r="CO190" s="199">
        <f t="shared" si="483"/>
        <v>3.2016694482879866E-2</v>
      </c>
      <c r="CP190" s="236">
        <f t="shared" si="483"/>
        <v>9.1591250170539817E-2</v>
      </c>
      <c r="CQ190" s="199">
        <f t="shared" si="483"/>
        <v>0.11372891769315091</v>
      </c>
      <c r="CR190" s="199">
        <f t="shared" si="483"/>
        <v>0.11712025578620525</v>
      </c>
      <c r="CS190" s="199">
        <f t="shared" si="483"/>
        <v>0.12075984745364522</v>
      </c>
      <c r="CT190" s="199">
        <f t="shared" si="483"/>
        <v>0.1075956175733947</v>
      </c>
      <c r="CU190" s="236">
        <f t="shared" si="483"/>
        <v>0.11440998487140695</v>
      </c>
      <c r="CV190" s="199">
        <f t="shared" si="483"/>
        <v>0.12983929875821767</v>
      </c>
      <c r="CW190" s="199">
        <f t="shared" si="483"/>
        <v>0.13062022392038386</v>
      </c>
      <c r="CX190" s="199">
        <f t="shared" si="483"/>
        <v>0.13221406086044071</v>
      </c>
      <c r="CY190" s="199">
        <f t="shared" si="483"/>
        <v>0.13561226127427378</v>
      </c>
      <c r="CZ190" s="236">
        <f t="shared" si="483"/>
        <v>0.13217942044074266</v>
      </c>
      <c r="DA190" s="199">
        <f t="shared" si="483"/>
        <v>0.14754901960784314</v>
      </c>
      <c r="DB190" s="199">
        <f t="shared" si="483"/>
        <v>0.14332706766917294</v>
      </c>
      <c r="DC190" s="199">
        <f>+DC169/(DC26+57)</f>
        <v>0.15599760693987436</v>
      </c>
      <c r="DD190" s="199">
        <f t="shared" ref="DD190:DL190" si="484">+DD169/DD26</f>
        <v>0.14536516853932585</v>
      </c>
      <c r="DE190" s="236">
        <f t="shared" si="484"/>
        <v>0.14840208738048985</v>
      </c>
      <c r="DF190" s="199">
        <f t="shared" si="484"/>
        <v>0.15705080173834857</v>
      </c>
      <c r="DG190" s="199">
        <f t="shared" si="484"/>
        <v>0.16359479925703671</v>
      </c>
      <c r="DH190" s="199">
        <f t="shared" si="484"/>
        <v>0.15491166077738516</v>
      </c>
      <c r="DI190" s="199">
        <f t="shared" si="484"/>
        <v>0.16014329308743533</v>
      </c>
      <c r="DJ190" s="236">
        <f t="shared" si="484"/>
        <v>0.15895912883609106</v>
      </c>
      <c r="DK190" s="199">
        <f t="shared" si="484"/>
        <v>0.17001524179021754</v>
      </c>
      <c r="DL190" s="199">
        <f t="shared" si="484"/>
        <v>0.16386775124639202</v>
      </c>
      <c r="DM190" s="199">
        <f t="shared" ref="DM190" si="485">+DM169/DM26</f>
        <v>0.15667235270961816</v>
      </c>
      <c r="DN190" s="57">
        <v>0.16</v>
      </c>
      <c r="DO190" s="236">
        <f>+DO169/DO26</f>
        <v>0.16475991541523344</v>
      </c>
      <c r="DP190" s="57">
        <v>0.16200000000000001</v>
      </c>
      <c r="DQ190" s="57">
        <v>0.16400000000000001</v>
      </c>
      <c r="DR190" s="57">
        <v>0.17</v>
      </c>
      <c r="DS190" s="57">
        <v>0.17399999999999999</v>
      </c>
      <c r="DT190" s="236">
        <f>+DT169/DT26</f>
        <v>0.1676712516360867</v>
      </c>
      <c r="DU190" s="607">
        <v>0.17499999999999999</v>
      </c>
      <c r="DV190" s="607">
        <v>0.18099999999999999</v>
      </c>
    </row>
    <row r="191" spans="2:126" s="92" customFormat="1" hidden="1" outlineLevel="1">
      <c r="B191" s="180" t="s">
        <v>570</v>
      </c>
      <c r="C191" s="236"/>
      <c r="D191" s="236"/>
      <c r="E191" s="236"/>
      <c r="F191" s="236"/>
      <c r="G191" s="236"/>
      <c r="H191" s="236"/>
      <c r="I191" s="236"/>
      <c r="J191" s="153"/>
      <c r="K191" s="153"/>
      <c r="L191" s="199"/>
      <c r="M191" s="199"/>
      <c r="N191" s="236"/>
      <c r="O191" s="153"/>
      <c r="P191" s="153"/>
      <c r="Q191" s="199"/>
      <c r="R191" s="199"/>
      <c r="S191" s="236"/>
      <c r="T191" s="153"/>
      <c r="U191" s="153"/>
      <c r="V191" s="199"/>
      <c r="W191" s="199"/>
      <c r="X191" s="236"/>
      <c r="Y191" s="153"/>
      <c r="Z191" s="153"/>
      <c r="AA191" s="199"/>
      <c r="AB191" s="199"/>
      <c r="AC191" s="236"/>
      <c r="AD191" s="153"/>
      <c r="AE191" s="153"/>
      <c r="AF191" s="199"/>
      <c r="AG191" s="199"/>
      <c r="AH191" s="236"/>
      <c r="AI191" s="153"/>
      <c r="AJ191" s="153"/>
      <c r="AK191" s="199"/>
      <c r="AL191" s="199"/>
      <c r="AM191" s="236"/>
      <c r="AN191" s="153"/>
      <c r="AO191" s="153"/>
      <c r="AP191" s="199"/>
      <c r="AQ191" s="199"/>
      <c r="AR191" s="236"/>
      <c r="AS191" s="153"/>
      <c r="AT191" s="153"/>
      <c r="AU191" s="199"/>
      <c r="AV191" s="199"/>
      <c r="AW191" s="236"/>
      <c r="AX191" s="153"/>
      <c r="AY191" s="153"/>
      <c r="AZ191" s="199"/>
      <c r="BA191" s="199"/>
      <c r="BB191" s="236">
        <f t="shared" ref="BB191:CG191" si="486">+BB170/BB41</f>
        <v>0.11145433145080899</v>
      </c>
      <c r="BC191" s="153">
        <f t="shared" si="486"/>
        <v>0.10944369113274433</v>
      </c>
      <c r="BD191" s="153">
        <f t="shared" si="486"/>
        <v>0.10444316485688142</v>
      </c>
      <c r="BE191" s="199">
        <f t="shared" si="486"/>
        <v>0.11309935952916739</v>
      </c>
      <c r="BF191" s="199">
        <f t="shared" si="486"/>
        <v>0.11651820709360525</v>
      </c>
      <c r="BG191" s="236">
        <f t="shared" si="486"/>
        <v>0.11080735573017381</v>
      </c>
      <c r="BH191" s="153">
        <f t="shared" si="486"/>
        <v>0.10704378873660976</v>
      </c>
      <c r="BI191" s="153">
        <f t="shared" si="486"/>
        <v>0.11060632817654364</v>
      </c>
      <c r="BJ191" s="199">
        <f t="shared" si="486"/>
        <v>0.11481891436010981</v>
      </c>
      <c r="BK191" s="199">
        <f t="shared" si="486"/>
        <v>0.1030534483608304</v>
      </c>
      <c r="BL191" s="236">
        <f t="shared" si="486"/>
        <v>0.10879096573404193</v>
      </c>
      <c r="BM191" s="153">
        <f t="shared" si="486"/>
        <v>0.16552299502464449</v>
      </c>
      <c r="BN191" s="153">
        <f t="shared" si="486"/>
        <v>9.971994941021603E-2</v>
      </c>
      <c r="BO191" s="199">
        <f t="shared" si="486"/>
        <v>0.10731171847656623</v>
      </c>
      <c r="BP191" s="199">
        <f t="shared" si="486"/>
        <v>9.835361573124482E-2</v>
      </c>
      <c r="BQ191" s="236">
        <f t="shared" si="486"/>
        <v>0.11683215098291821</v>
      </c>
      <c r="BR191" s="199">
        <f t="shared" si="486"/>
        <v>8.8890171112777999E-2</v>
      </c>
      <c r="BS191" s="199">
        <f t="shared" si="486"/>
        <v>9.9544459328664819E-2</v>
      </c>
      <c r="BT191" s="199">
        <f t="shared" si="486"/>
        <v>0.10263747544780615</v>
      </c>
      <c r="BU191" s="199">
        <f t="shared" si="486"/>
        <v>9.6530833684971964E-2</v>
      </c>
      <c r="BV191" s="236">
        <f t="shared" si="486"/>
        <v>9.7034656616239903E-2</v>
      </c>
      <c r="BW191" s="199">
        <f t="shared" si="486"/>
        <v>9.318425495729761E-2</v>
      </c>
      <c r="BX191" s="199">
        <f t="shared" si="486"/>
        <v>0.10146487743445914</v>
      </c>
      <c r="BY191" s="199">
        <f t="shared" si="486"/>
        <v>0.10011575955944209</v>
      </c>
      <c r="BZ191" s="199">
        <f t="shared" si="486"/>
        <v>0.10341943046351267</v>
      </c>
      <c r="CA191" s="236">
        <f t="shared" si="486"/>
        <v>9.9620280366764152E-2</v>
      </c>
      <c r="CB191" s="199">
        <f t="shared" si="486"/>
        <v>9.2972623011468733E-2</v>
      </c>
      <c r="CC191" s="199">
        <f t="shared" si="486"/>
        <v>9.4267220976287994E-2</v>
      </c>
      <c r="CD191" s="199">
        <f t="shared" si="486"/>
        <v>0.10159023837025875</v>
      </c>
      <c r="CE191" s="199">
        <f t="shared" si="486"/>
        <v>0.10782173401193204</v>
      </c>
      <c r="CF191" s="236">
        <f t="shared" si="486"/>
        <v>9.9446544176354415E-2</v>
      </c>
      <c r="CG191" s="199">
        <f t="shared" si="486"/>
        <v>0.11127465410656462</v>
      </c>
      <c r="CH191" s="199">
        <f t="shared" ref="CH191:DA191" si="487">+CH170/CH41</f>
        <v>0.11175147596289008</v>
      </c>
      <c r="CI191" s="199">
        <f t="shared" si="487"/>
        <v>0.11220420101036958</v>
      </c>
      <c r="CJ191" s="199">
        <f t="shared" si="487"/>
        <v>0.11554959785522788</v>
      </c>
      <c r="CK191" s="236">
        <f t="shared" si="487"/>
        <v>0.11273797161647629</v>
      </c>
      <c r="CL191" s="199">
        <f t="shared" si="487"/>
        <v>0.10854189336235039</v>
      </c>
      <c r="CM191" s="199">
        <f t="shared" si="487"/>
        <v>9.1363510136073314E-2</v>
      </c>
      <c r="CN191" s="199">
        <f t="shared" si="487"/>
        <v>9.335822886102961E-2</v>
      </c>
      <c r="CO191" s="199">
        <f t="shared" si="487"/>
        <v>9.1787439613526575E-2</v>
      </c>
      <c r="CP191" s="236">
        <f t="shared" si="487"/>
        <v>9.619626980413129E-2</v>
      </c>
      <c r="CQ191" s="199">
        <f t="shared" si="487"/>
        <v>0.10305444887118194</v>
      </c>
      <c r="CR191" s="199">
        <f t="shared" si="487"/>
        <v>0.10906701708278581</v>
      </c>
      <c r="CS191" s="199">
        <f t="shared" si="487"/>
        <v>0.10454545454545454</v>
      </c>
      <c r="CT191" s="199">
        <f t="shared" si="487"/>
        <v>0.10335917312661498</v>
      </c>
      <c r="CU191" s="236">
        <f t="shared" si="487"/>
        <v>0.10500658761528327</v>
      </c>
      <c r="CV191" s="199">
        <f t="shared" si="487"/>
        <v>0.10582306830907055</v>
      </c>
      <c r="CW191" s="199">
        <f t="shared" si="487"/>
        <v>8.8235294117647065E-2</v>
      </c>
      <c r="CX191" s="199">
        <f t="shared" si="487"/>
        <v>0.10231660231660232</v>
      </c>
      <c r="CY191" s="199">
        <f t="shared" si="487"/>
        <v>7.8442437923250563E-2</v>
      </c>
      <c r="CZ191" s="236">
        <f t="shared" si="487"/>
        <v>9.3767467859139184E-2</v>
      </c>
      <c r="DA191" s="199">
        <f t="shared" si="487"/>
        <v>9.2566619915848525E-2</v>
      </c>
      <c r="DB191" s="199">
        <v>9.8000000000000004E-2</v>
      </c>
      <c r="DC191" s="199"/>
      <c r="DD191" s="199"/>
      <c r="DE191" s="236">
        <f>+DE170/DE41</f>
        <v>8.5180055401662055E-2</v>
      </c>
      <c r="DF191" s="199"/>
      <c r="DG191" s="199"/>
      <c r="DH191" s="199"/>
      <c r="DI191" s="57"/>
      <c r="DJ191" s="236"/>
      <c r="DK191" s="57"/>
      <c r="DL191" s="57"/>
      <c r="DM191" s="199"/>
      <c r="DN191" s="57"/>
      <c r="DO191" s="236"/>
      <c r="DP191" s="57"/>
      <c r="DQ191" s="57"/>
      <c r="DR191" s="57"/>
      <c r="DS191" s="57"/>
      <c r="DT191" s="236"/>
      <c r="DU191" s="607">
        <v>0.108</v>
      </c>
      <c r="DV191" s="607">
        <v>0.108</v>
      </c>
    </row>
    <row r="192" spans="2:126" s="92" customFormat="1" hidden="1" outlineLevel="1">
      <c r="B192" s="180" t="s">
        <v>569</v>
      </c>
      <c r="C192" s="236"/>
      <c r="D192" s="236"/>
      <c r="E192" s="236"/>
      <c r="F192" s="236"/>
      <c r="G192" s="236"/>
      <c r="H192" s="236"/>
      <c r="I192" s="236"/>
      <c r="J192" s="153"/>
      <c r="K192" s="153"/>
      <c r="L192" s="199"/>
      <c r="M192" s="199"/>
      <c r="N192" s="236"/>
      <c r="O192" s="153"/>
      <c r="P192" s="153"/>
      <c r="Q192" s="199"/>
      <c r="R192" s="199"/>
      <c r="S192" s="236"/>
      <c r="T192" s="153"/>
      <c r="U192" s="153"/>
      <c r="V192" s="199"/>
      <c r="W192" s="199"/>
      <c r="X192" s="236"/>
      <c r="Y192" s="153"/>
      <c r="Z192" s="153"/>
      <c r="AA192" s="199"/>
      <c r="AB192" s="199"/>
      <c r="AC192" s="236"/>
      <c r="AD192" s="153"/>
      <c r="AE192" s="153"/>
      <c r="AF192" s="199"/>
      <c r="AG192" s="199"/>
      <c r="AH192" s="236"/>
      <c r="AI192" s="153"/>
      <c r="AJ192" s="153"/>
      <c r="AK192" s="199"/>
      <c r="AL192" s="199"/>
      <c r="AM192" s="236"/>
      <c r="AN192" s="153"/>
      <c r="AO192" s="153"/>
      <c r="AP192" s="199"/>
      <c r="AQ192" s="199"/>
      <c r="AR192" s="236"/>
      <c r="AS192" s="153"/>
      <c r="AT192" s="153"/>
      <c r="AU192" s="199"/>
      <c r="AV192" s="199"/>
      <c r="AW192" s="236"/>
      <c r="AX192" s="153"/>
      <c r="AY192" s="153"/>
      <c r="AZ192" s="199"/>
      <c r="BA192" s="199"/>
      <c r="BB192" s="236">
        <f t="shared" ref="BB192:CG192" si="488">+BB171/BB48</f>
        <v>0.14092727844259725</v>
      </c>
      <c r="BC192" s="153">
        <f t="shared" si="488"/>
        <v>0.14375116756958714</v>
      </c>
      <c r="BD192" s="153">
        <f t="shared" si="488"/>
        <v>0.15396473054630658</v>
      </c>
      <c r="BE192" s="199">
        <f t="shared" si="488"/>
        <v>0.14675084783292738</v>
      </c>
      <c r="BF192" s="199">
        <f t="shared" si="488"/>
        <v>0.13278060928732827</v>
      </c>
      <c r="BG192" s="236">
        <f t="shared" si="488"/>
        <v>0.14446700250197417</v>
      </c>
      <c r="BH192" s="153">
        <f t="shared" si="488"/>
        <v>0.13874327670110134</v>
      </c>
      <c r="BI192" s="153">
        <f t="shared" si="488"/>
        <v>0.13418488668319023</v>
      </c>
      <c r="BJ192" s="199">
        <f t="shared" si="488"/>
        <v>0.13932845700225988</v>
      </c>
      <c r="BK192" s="199">
        <f t="shared" si="488"/>
        <v>0.14721008005317862</v>
      </c>
      <c r="BL192" s="236">
        <f t="shared" si="488"/>
        <v>0.14003047731556045</v>
      </c>
      <c r="BM192" s="153">
        <f t="shared" si="488"/>
        <v>0.13655011617786791</v>
      </c>
      <c r="BN192" s="153">
        <f t="shared" si="488"/>
        <v>0.11816806905401737</v>
      </c>
      <c r="BO192" s="199">
        <f t="shared" si="488"/>
        <v>0.13199844718583242</v>
      </c>
      <c r="BP192" s="199">
        <f t="shared" si="488"/>
        <v>0.14407180848744985</v>
      </c>
      <c r="BQ192" s="236">
        <f t="shared" si="488"/>
        <v>0.13288078866029243</v>
      </c>
      <c r="BR192" s="199">
        <f t="shared" si="488"/>
        <v>0.1071651205707902</v>
      </c>
      <c r="BS192" s="199">
        <f t="shared" si="488"/>
        <v>0.19261776785568319</v>
      </c>
      <c r="BT192" s="199">
        <f t="shared" si="488"/>
        <v>0.14019078992567996</v>
      </c>
      <c r="BU192" s="199">
        <f t="shared" si="488"/>
        <v>0.13000348665070047</v>
      </c>
      <c r="BV192" s="236">
        <f t="shared" si="488"/>
        <v>0.14222925794572897</v>
      </c>
      <c r="BW192" s="199">
        <f t="shared" si="488"/>
        <v>0.13073246311960851</v>
      </c>
      <c r="BX192" s="199">
        <f t="shared" si="488"/>
        <v>0.13943901496437533</v>
      </c>
      <c r="BY192" s="199">
        <f t="shared" si="488"/>
        <v>0.1502888144534317</v>
      </c>
      <c r="BZ192" s="199">
        <f t="shared" si="488"/>
        <v>0.13410534873266669</v>
      </c>
      <c r="CA192" s="236">
        <f t="shared" si="488"/>
        <v>0.13861473582398615</v>
      </c>
      <c r="CB192" s="199">
        <f t="shared" si="488"/>
        <v>0.14020490335215058</v>
      </c>
      <c r="CC192" s="199">
        <f t="shared" si="488"/>
        <v>0.13164872130545305</v>
      </c>
      <c r="CD192" s="199">
        <f t="shared" si="488"/>
        <v>0.13291346832967255</v>
      </c>
      <c r="CE192" s="199">
        <f t="shared" si="488"/>
        <v>0.1252656452978875</v>
      </c>
      <c r="CF192" s="236">
        <f t="shared" si="488"/>
        <v>0.13216914974827282</v>
      </c>
      <c r="CG192" s="199">
        <f t="shared" si="488"/>
        <v>0.12531969309462915</v>
      </c>
      <c r="CH192" s="199">
        <f t="shared" ref="CH192:DA192" si="489">+CH171/CH48</f>
        <v>0.13656677181913776</v>
      </c>
      <c r="CI192" s="199">
        <f t="shared" si="489"/>
        <v>0.12931478619268419</v>
      </c>
      <c r="CJ192" s="199">
        <f t="shared" si="489"/>
        <v>0.14059221263697833</v>
      </c>
      <c r="CK192" s="236">
        <f t="shared" si="489"/>
        <v>0.13330966825868079</v>
      </c>
      <c r="CL192" s="199">
        <f t="shared" si="489"/>
        <v>0.14407912322908314</v>
      </c>
      <c r="CM192" s="199">
        <f t="shared" si="489"/>
        <v>0.11072198275862069</v>
      </c>
      <c r="CN192" s="199">
        <f t="shared" si="489"/>
        <v>0.11629789530491096</v>
      </c>
      <c r="CO192" s="199">
        <f t="shared" si="489"/>
        <v>0.13838432122370936</v>
      </c>
      <c r="CP192" s="236">
        <f t="shared" si="489"/>
        <v>0.12774555171739554</v>
      </c>
      <c r="CQ192" s="199">
        <f t="shared" si="489"/>
        <v>0.13076720274189296</v>
      </c>
      <c r="CR192" s="199">
        <f t="shared" si="489"/>
        <v>0.13350062735257215</v>
      </c>
      <c r="CS192" s="199">
        <f t="shared" si="489"/>
        <v>0.1255766273705792</v>
      </c>
      <c r="CT192" s="199">
        <f t="shared" si="489"/>
        <v>0.12593936252915264</v>
      </c>
      <c r="CU192" s="236">
        <f t="shared" si="489"/>
        <v>0.12896582791685438</v>
      </c>
      <c r="CV192" s="199">
        <f t="shared" si="489"/>
        <v>0.10972497873546924</v>
      </c>
      <c r="CW192" s="199">
        <f t="shared" si="489"/>
        <v>9.7807757166947729E-2</v>
      </c>
      <c r="CX192" s="199">
        <f t="shared" si="489"/>
        <v>0.11310494834148994</v>
      </c>
      <c r="CY192" s="199">
        <f t="shared" si="489"/>
        <v>0.10195121951219512</v>
      </c>
      <c r="CZ192" s="236">
        <f t="shared" si="489"/>
        <v>0.1022000941936352</v>
      </c>
      <c r="DA192" s="199">
        <f t="shared" si="489"/>
        <v>9.1255788613456817E-2</v>
      </c>
      <c r="DB192" s="199">
        <v>0.104</v>
      </c>
      <c r="DC192" s="199"/>
      <c r="DD192" s="199"/>
      <c r="DE192" s="236">
        <f>+DE171/DE48</f>
        <v>9.685829748403077E-2</v>
      </c>
      <c r="DF192" s="199"/>
      <c r="DG192" s="199"/>
      <c r="DH192" s="199"/>
      <c r="DI192" s="57"/>
      <c r="DJ192" s="236"/>
      <c r="DK192" s="57"/>
      <c r="DL192" s="57"/>
      <c r="DM192" s="199"/>
      <c r="DN192" s="57"/>
      <c r="DO192" s="236"/>
      <c r="DP192" s="57"/>
      <c r="DQ192" s="57"/>
      <c r="DR192" s="57"/>
      <c r="DS192" s="57"/>
      <c r="DT192" s="236"/>
      <c r="DU192" s="607">
        <v>0.12</v>
      </c>
      <c r="DV192" s="607">
        <v>0.12</v>
      </c>
    </row>
    <row r="193" spans="2:126" s="92" customFormat="1" collapsed="1">
      <c r="B193" s="41" t="s">
        <v>629</v>
      </c>
      <c r="C193" s="236"/>
      <c r="D193" s="236"/>
      <c r="E193" s="236"/>
      <c r="F193" s="236"/>
      <c r="G193" s="236"/>
      <c r="H193" s="236"/>
      <c r="I193" s="236"/>
      <c r="J193" s="153"/>
      <c r="K193" s="153"/>
      <c r="L193" s="199"/>
      <c r="M193" s="199"/>
      <c r="N193" s="236"/>
      <c r="O193" s="153"/>
      <c r="P193" s="153"/>
      <c r="Q193" s="199"/>
      <c r="R193" s="199"/>
      <c r="S193" s="236"/>
      <c r="T193" s="153"/>
      <c r="U193" s="153"/>
      <c r="V193" s="199"/>
      <c r="W193" s="199"/>
      <c r="X193" s="236"/>
      <c r="Y193" s="153"/>
      <c r="Z193" s="153"/>
      <c r="AA193" s="199"/>
      <c r="AB193" s="199"/>
      <c r="AC193" s="236"/>
      <c r="AD193" s="153"/>
      <c r="AE193" s="153"/>
      <c r="AF193" s="199"/>
      <c r="AG193" s="199"/>
      <c r="AH193" s="236"/>
      <c r="AI193" s="153"/>
      <c r="AJ193" s="153"/>
      <c r="AK193" s="199"/>
      <c r="AL193" s="199"/>
      <c r="AM193" s="236"/>
      <c r="AN193" s="153"/>
      <c r="AO193" s="153"/>
      <c r="AP193" s="199"/>
      <c r="AQ193" s="199"/>
      <c r="AR193" s="236"/>
      <c r="AS193" s="153"/>
      <c r="AT193" s="153"/>
      <c r="AU193" s="199"/>
      <c r="AV193" s="199"/>
      <c r="AW193" s="236"/>
      <c r="AX193" s="153"/>
      <c r="AY193" s="153"/>
      <c r="AZ193" s="199"/>
      <c r="BA193" s="199"/>
      <c r="BB193" s="236"/>
      <c r="BC193" s="153"/>
      <c r="BD193" s="153"/>
      <c r="BE193" s="199"/>
      <c r="BF193" s="199"/>
      <c r="BG193" s="236"/>
      <c r="BH193" s="153"/>
      <c r="BI193" s="153"/>
      <c r="BJ193" s="199"/>
      <c r="BK193" s="199"/>
      <c r="BL193" s="236"/>
      <c r="BM193" s="153"/>
      <c r="BN193" s="153"/>
      <c r="BO193" s="199"/>
      <c r="BP193" s="199"/>
      <c r="BQ193" s="236"/>
      <c r="BR193" s="199"/>
      <c r="BS193" s="199"/>
      <c r="BT193" s="199"/>
      <c r="BU193" s="199"/>
      <c r="BV193" s="236"/>
      <c r="BW193" s="199"/>
      <c r="BX193" s="199"/>
      <c r="BY193" s="199"/>
      <c r="BZ193" s="199"/>
      <c r="CA193" s="236"/>
      <c r="CB193" s="199"/>
      <c r="CC193" s="199"/>
      <c r="CD193" s="199"/>
      <c r="CE193" s="199"/>
      <c r="CF193" s="236"/>
      <c r="CG193" s="199"/>
      <c r="CH193" s="199"/>
      <c r="CI193" s="199"/>
      <c r="CJ193" s="199"/>
      <c r="CK193" s="236"/>
      <c r="CL193" s="199">
        <f t="shared" ref="CL193:CT193" si="490">+CL172/CL50</f>
        <v>0.11706436191952881</v>
      </c>
      <c r="CM193" s="199">
        <f t="shared" si="490"/>
        <v>0.10495295517754891</v>
      </c>
      <c r="CN193" s="199">
        <f t="shared" si="490"/>
        <v>0.12340237095158402</v>
      </c>
      <c r="CO193" s="199">
        <f t="shared" si="490"/>
        <v>9.3139586514128528E-2</v>
      </c>
      <c r="CP193" s="236">
        <f t="shared" si="490"/>
        <v>0.10929441876456432</v>
      </c>
      <c r="CQ193" s="199">
        <f t="shared" si="490"/>
        <v>0.11563980489127175</v>
      </c>
      <c r="CR193" s="199">
        <f t="shared" si="490"/>
        <v>0.12259130399717631</v>
      </c>
      <c r="CS193" s="199">
        <f t="shared" si="490"/>
        <v>0.11739124839413159</v>
      </c>
      <c r="CT193" s="199">
        <f t="shared" si="490"/>
        <v>0.11925418726795933</v>
      </c>
      <c r="CU193" s="236">
        <f>+CU172/CU50</f>
        <v>0.11874788621246853</v>
      </c>
      <c r="CV193" s="199">
        <f t="shared" ref="CV193:DM193" si="491">+CV172/CV50</f>
        <v>0.10783668093513335</v>
      </c>
      <c r="CW193" s="199">
        <f t="shared" si="491"/>
        <v>9.440730474482309E-2</v>
      </c>
      <c r="CX193" s="199">
        <f t="shared" si="491"/>
        <v>0.11001902346227013</v>
      </c>
      <c r="CY193" s="199">
        <f t="shared" si="491"/>
        <v>8.5572736826302356E-2</v>
      </c>
      <c r="CZ193" s="236">
        <f t="shared" si="491"/>
        <v>9.9221480775341597E-2</v>
      </c>
      <c r="DA193" s="199">
        <f t="shared" si="491"/>
        <v>9.281627463445645E-2</v>
      </c>
      <c r="DB193" s="199">
        <f t="shared" si="491"/>
        <v>9.8805970149253727E-2</v>
      </c>
      <c r="DC193" s="199">
        <f>+DC172/DC50</f>
        <v>8.8071693448702096E-2</v>
      </c>
      <c r="DD193" s="199">
        <f t="shared" ref="DD193" si="492">+DD172/DD50</f>
        <v>8.9747313389485911E-2</v>
      </c>
      <c r="DE193" s="236">
        <f t="shared" si="491"/>
        <v>9.2371916508538904E-2</v>
      </c>
      <c r="DF193" s="199">
        <f t="shared" ref="DF193" si="493">+DF172/DF50</f>
        <v>9.4608800120138156E-2</v>
      </c>
      <c r="DG193" s="199">
        <f t="shared" ref="DG193" si="494">+DG172/DG50</f>
        <v>0.10773438687129616</v>
      </c>
      <c r="DH193" s="199">
        <f t="shared" ref="DH193:DI193" si="495">+DH172/DH50</f>
        <v>0.10350767303476355</v>
      </c>
      <c r="DI193" s="199">
        <f t="shared" si="495"/>
        <v>0.10171859717758837</v>
      </c>
      <c r="DJ193" s="236">
        <f t="shared" si="491"/>
        <v>0.10185565470634357</v>
      </c>
      <c r="DK193" s="199">
        <f t="shared" si="491"/>
        <v>0.10694006309148266</v>
      </c>
      <c r="DL193" s="199">
        <f t="shared" si="491"/>
        <v>0.11555492072561063</v>
      </c>
      <c r="DM193" s="199">
        <f t="shared" si="491"/>
        <v>0.12193044712562101</v>
      </c>
      <c r="DN193" s="57">
        <v>0.115</v>
      </c>
      <c r="DO193" s="236">
        <f t="shared" ref="DO193" si="496">+DO172/DO50</f>
        <v>0.11505809177258854</v>
      </c>
      <c r="DP193" s="57">
        <v>0.114</v>
      </c>
      <c r="DQ193" s="57">
        <v>0.11799999999999999</v>
      </c>
      <c r="DR193" s="57">
        <v>0.12</v>
      </c>
      <c r="DS193" s="57">
        <v>0.12</v>
      </c>
      <c r="DT193" s="236">
        <f t="shared" ref="DT193" si="497">+DT172/DT50</f>
        <v>0.11810780249466221</v>
      </c>
      <c r="DU193" s="607">
        <v>0.12</v>
      </c>
      <c r="DV193" s="607">
        <v>0.122</v>
      </c>
    </row>
    <row r="194" spans="2:126" s="92" customFormat="1">
      <c r="B194" s="518" t="s">
        <v>173</v>
      </c>
      <c r="C194" s="419">
        <f t="shared" ref="C194:AH194" si="498">C173/C62</f>
        <v>9.4232992250717129E-2</v>
      </c>
      <c r="D194" s="419">
        <f t="shared" si="498"/>
        <v>0.11214608812196347</v>
      </c>
      <c r="E194" s="419">
        <f t="shared" si="498"/>
        <v>7.7775265656794032E-2</v>
      </c>
      <c r="F194" s="419">
        <f t="shared" si="498"/>
        <v>0.12261636961412009</v>
      </c>
      <c r="G194" s="419">
        <f t="shared" si="498"/>
        <v>0.10981680268192746</v>
      </c>
      <c r="H194" s="419">
        <f t="shared" si="498"/>
        <v>0.12760483663493696</v>
      </c>
      <c r="I194" s="419">
        <f t="shared" si="498"/>
        <v>0.11097178683385579</v>
      </c>
      <c r="J194" s="419">
        <f t="shared" si="498"/>
        <v>9.9650575902678923E-2</v>
      </c>
      <c r="K194" s="419">
        <f t="shared" si="498"/>
        <v>0.12022471910112359</v>
      </c>
      <c r="L194" s="419">
        <f t="shared" si="498"/>
        <v>0.12304614230336376</v>
      </c>
      <c r="M194" s="419">
        <f t="shared" si="498"/>
        <v>0.11715109829154648</v>
      </c>
      <c r="N194" s="419">
        <f t="shared" si="498"/>
        <v>0.11521314278734579</v>
      </c>
      <c r="O194" s="416">
        <f t="shared" si="498"/>
        <v>0.13010685103708358</v>
      </c>
      <c r="P194" s="416">
        <f t="shared" si="498"/>
        <v>0.12800270666516297</v>
      </c>
      <c r="Q194" s="416">
        <f t="shared" si="498"/>
        <v>0.13180417665183156</v>
      </c>
      <c r="R194" s="416">
        <f t="shared" si="498"/>
        <v>0.12470944921677615</v>
      </c>
      <c r="S194" s="419">
        <f t="shared" si="498"/>
        <v>0.12849492671927848</v>
      </c>
      <c r="T194" s="419">
        <f t="shared" si="498"/>
        <v>0.13845461702845574</v>
      </c>
      <c r="U194" s="419">
        <f t="shared" si="498"/>
        <v>0.14752586825120376</v>
      </c>
      <c r="V194" s="419">
        <f t="shared" si="498"/>
        <v>0.14087855297157623</v>
      </c>
      <c r="W194" s="521">
        <f t="shared" si="498"/>
        <v>0.17203231821006837</v>
      </c>
      <c r="X194" s="419">
        <f t="shared" si="498"/>
        <v>0.14546904212031234</v>
      </c>
      <c r="Y194" s="520">
        <f t="shared" si="498"/>
        <v>0.14676781002638523</v>
      </c>
      <c r="Z194" s="419">
        <f t="shared" si="498"/>
        <v>0.15117104329311568</v>
      </c>
      <c r="AA194" s="419">
        <f t="shared" si="498"/>
        <v>0.14939586319885317</v>
      </c>
      <c r="AB194" s="419">
        <f t="shared" si="498"/>
        <v>0.13823529411764707</v>
      </c>
      <c r="AC194" s="419">
        <f t="shared" si="498"/>
        <v>0.14610088872199273</v>
      </c>
      <c r="AD194" s="416">
        <f t="shared" si="498"/>
        <v>0.14171149144254278</v>
      </c>
      <c r="AE194" s="416">
        <f t="shared" si="498"/>
        <v>0.14615314742483423</v>
      </c>
      <c r="AF194" s="416">
        <f t="shared" si="498"/>
        <v>0.14787878787878789</v>
      </c>
      <c r="AG194" s="416">
        <f t="shared" si="498"/>
        <v>0.15284567844294808</v>
      </c>
      <c r="AH194" s="419">
        <f t="shared" si="498"/>
        <v>0.14721962616822429</v>
      </c>
      <c r="AI194" s="416">
        <f t="shared" ref="AI194:BN194" si="499">AI173/AI62</f>
        <v>0.14129910240324292</v>
      </c>
      <c r="AJ194" s="416">
        <f t="shared" si="499"/>
        <v>0.1481516587677725</v>
      </c>
      <c r="AK194" s="416">
        <f t="shared" si="499"/>
        <v>0.1495274102079395</v>
      </c>
      <c r="AL194" s="416">
        <f t="shared" si="499"/>
        <v>0.14762469225859395</v>
      </c>
      <c r="AM194" s="419">
        <f t="shared" si="499"/>
        <v>0.14668613688821894</v>
      </c>
      <c r="AN194" s="416">
        <f t="shared" si="499"/>
        <v>0.14752641453540041</v>
      </c>
      <c r="AO194" s="416">
        <f t="shared" si="499"/>
        <v>0.11730093954636045</v>
      </c>
      <c r="AP194" s="416">
        <f t="shared" si="499"/>
        <v>0.15556990040575433</v>
      </c>
      <c r="AQ194" s="416">
        <f t="shared" si="499"/>
        <v>0.14845725847243299</v>
      </c>
      <c r="AR194" s="419">
        <f t="shared" si="499"/>
        <v>0.14244869725616785</v>
      </c>
      <c r="AS194" s="416">
        <f t="shared" si="499"/>
        <v>0.13245895074088906</v>
      </c>
      <c r="AT194" s="416">
        <f t="shared" si="499"/>
        <v>0.13837132318168921</v>
      </c>
      <c r="AU194" s="416">
        <f t="shared" si="499"/>
        <v>0.14679344135053846</v>
      </c>
      <c r="AV194" s="416">
        <f t="shared" si="499"/>
        <v>0.15630919094434922</v>
      </c>
      <c r="AW194" s="419">
        <f t="shared" si="499"/>
        <v>0.14377309021570731</v>
      </c>
      <c r="AX194" s="416">
        <f t="shared" si="499"/>
        <v>0.14221320654866754</v>
      </c>
      <c r="AY194" s="416">
        <f t="shared" si="499"/>
        <v>0.14367292132348997</v>
      </c>
      <c r="AZ194" s="416">
        <f t="shared" si="499"/>
        <v>0.13091237659108587</v>
      </c>
      <c r="BA194" s="416">
        <f t="shared" si="499"/>
        <v>0.11987435481984733</v>
      </c>
      <c r="BB194" s="419">
        <f t="shared" si="499"/>
        <v>0.13288659313311194</v>
      </c>
      <c r="BC194" s="416">
        <f t="shared" si="499"/>
        <v>0.14411351342982451</v>
      </c>
      <c r="BD194" s="416">
        <f t="shared" si="499"/>
        <v>0.14787258451376029</v>
      </c>
      <c r="BE194" s="416">
        <f t="shared" si="499"/>
        <v>0.15256802067155847</v>
      </c>
      <c r="BF194" s="416">
        <f t="shared" si="499"/>
        <v>0.14088680552141258</v>
      </c>
      <c r="BG194" s="419">
        <f t="shared" si="499"/>
        <v>0.14628195264385396</v>
      </c>
      <c r="BH194" s="416">
        <f t="shared" si="499"/>
        <v>0.15054039759059751</v>
      </c>
      <c r="BI194" s="416">
        <f t="shared" si="499"/>
        <v>0.15811705833617878</v>
      </c>
      <c r="BJ194" s="416">
        <f t="shared" si="499"/>
        <v>0.15751415685440595</v>
      </c>
      <c r="BK194" s="416">
        <f t="shared" si="499"/>
        <v>0.15071219302416047</v>
      </c>
      <c r="BL194" s="419">
        <f t="shared" si="499"/>
        <v>0.15427776860161038</v>
      </c>
      <c r="BM194" s="416">
        <f t="shared" si="499"/>
        <v>0.16399274740852646</v>
      </c>
      <c r="BN194" s="416">
        <f t="shared" si="499"/>
        <v>0.13706581098134551</v>
      </c>
      <c r="BO194" s="416">
        <f t="shared" ref="BO194:CT194" si="500">BO173/BO62</f>
        <v>0.14719959233723579</v>
      </c>
      <c r="BP194" s="416">
        <f t="shared" si="500"/>
        <v>0.13661718891488001</v>
      </c>
      <c r="BQ194" s="419">
        <f t="shared" si="500"/>
        <v>0.14577344018441657</v>
      </c>
      <c r="BR194" s="416">
        <f t="shared" si="500"/>
        <v>0.12812769120538584</v>
      </c>
      <c r="BS194" s="416">
        <f t="shared" si="500"/>
        <v>0.15168934439994733</v>
      </c>
      <c r="BT194" s="416">
        <f t="shared" si="500"/>
        <v>0.14345215230217154</v>
      </c>
      <c r="BU194" s="416">
        <f t="shared" si="500"/>
        <v>0.12418463940495668</v>
      </c>
      <c r="BV194" s="419">
        <f t="shared" si="500"/>
        <v>0.13686982945123247</v>
      </c>
      <c r="BW194" s="416">
        <f t="shared" si="500"/>
        <v>0.12681533314489171</v>
      </c>
      <c r="BX194" s="416">
        <f t="shared" si="500"/>
        <v>0.1306021617886606</v>
      </c>
      <c r="BY194" s="416">
        <f t="shared" si="500"/>
        <v>0.13507063236271794</v>
      </c>
      <c r="BZ194" s="416">
        <f t="shared" si="500"/>
        <v>0.12382152503937437</v>
      </c>
      <c r="CA194" s="419">
        <f t="shared" si="500"/>
        <v>0.12902766930669779</v>
      </c>
      <c r="CB194" s="416">
        <f t="shared" si="500"/>
        <v>0.14228651196706735</v>
      </c>
      <c r="CC194" s="416">
        <f t="shared" si="500"/>
        <v>0.1356820013513696</v>
      </c>
      <c r="CD194" s="416">
        <f t="shared" si="500"/>
        <v>0.13562411987312048</v>
      </c>
      <c r="CE194" s="416">
        <f t="shared" si="500"/>
        <v>0.12534000784295929</v>
      </c>
      <c r="CF194" s="419">
        <f t="shared" si="500"/>
        <v>0.13430069893491384</v>
      </c>
      <c r="CG194" s="416">
        <f t="shared" si="500"/>
        <v>0.14300306435137897</v>
      </c>
      <c r="CH194" s="416">
        <f t="shared" si="500"/>
        <v>0.14454821894005213</v>
      </c>
      <c r="CI194" s="416">
        <f t="shared" si="500"/>
        <v>0.1455844709897611</v>
      </c>
      <c r="CJ194" s="416">
        <f t="shared" si="500"/>
        <v>0.13189695068648122</v>
      </c>
      <c r="CK194" s="419">
        <f t="shared" si="500"/>
        <v>0.1411290865740803</v>
      </c>
      <c r="CL194" s="416">
        <f t="shared" si="500"/>
        <v>0.1543943543750364</v>
      </c>
      <c r="CM194" s="416">
        <f t="shared" si="500"/>
        <v>4.3623893822074364E-2</v>
      </c>
      <c r="CN194" s="416">
        <f t="shared" si="500"/>
        <v>6.1688294952430736E-2</v>
      </c>
      <c r="CO194" s="416">
        <f t="shared" si="500"/>
        <v>4.8296707208084648E-2</v>
      </c>
      <c r="CP194" s="419">
        <f t="shared" si="500"/>
        <v>8.2058823529411767E-2</v>
      </c>
      <c r="CQ194" s="416">
        <f t="shared" si="500"/>
        <v>8.3901995420302591E-2</v>
      </c>
      <c r="CR194" s="416">
        <f t="shared" si="500"/>
        <v>8.9996228570849185E-2</v>
      </c>
      <c r="CS194" s="416">
        <f t="shared" si="500"/>
        <v>9.2030737036434704E-2</v>
      </c>
      <c r="CT194" s="416">
        <f t="shared" si="500"/>
        <v>8.8204890654594914E-2</v>
      </c>
      <c r="CU194" s="419">
        <f t="shared" ref="CU194:DE194" si="501">CU173/CU62</f>
        <v>9.4225632105361251E-2</v>
      </c>
      <c r="CV194" s="416">
        <f t="shared" si="501"/>
        <v>0.10651565283787223</v>
      </c>
      <c r="CW194" s="416">
        <f t="shared" si="501"/>
        <v>9.911732254505333E-2</v>
      </c>
      <c r="CX194" s="416">
        <f t="shared" si="501"/>
        <v>0.1043006312311958</v>
      </c>
      <c r="CY194" s="416">
        <f t="shared" si="501"/>
        <v>9.5948709445641961E-2</v>
      </c>
      <c r="CZ194" s="419">
        <f t="shared" si="501"/>
        <v>0.10130602021647732</v>
      </c>
      <c r="DA194" s="416">
        <f t="shared" si="501"/>
        <v>0.11159521319855931</v>
      </c>
      <c r="DB194" s="416">
        <f t="shared" si="501"/>
        <v>0.10990990990990991</v>
      </c>
      <c r="DC194" s="416">
        <f t="shared" si="501"/>
        <v>0.15047534165181223</v>
      </c>
      <c r="DD194" s="416">
        <f t="shared" si="501"/>
        <v>0.10327696090731169</v>
      </c>
      <c r="DE194" s="419">
        <f t="shared" si="501"/>
        <v>0.11633778293673824</v>
      </c>
      <c r="DF194" s="416">
        <f t="shared" ref="DF194:DG194" si="502">DF173/DF62</f>
        <v>0.1091945091945092</v>
      </c>
      <c r="DG194" s="416">
        <f t="shared" si="502"/>
        <v>0.12081249052599667</v>
      </c>
      <c r="DH194" s="416">
        <f t="shared" ref="DH194" si="503">DH173/DH62</f>
        <v>0.11717855542834386</v>
      </c>
      <c r="DI194" s="416">
        <f>DI173/DI62</f>
        <v>0.12264718124219581</v>
      </c>
      <c r="DJ194" s="419">
        <f>DJ173/DJ62</f>
        <v>0.11762449262449262</v>
      </c>
      <c r="DK194" s="416">
        <f>DK173/DK62</f>
        <v>0.12287008765882006</v>
      </c>
      <c r="DL194" s="416">
        <f t="shared" ref="DL194:DO194" si="504">DL173/DL62</f>
        <v>0.12353459061211251</v>
      </c>
      <c r="DM194" s="416">
        <f t="shared" si="504"/>
        <v>0.12474419432333837</v>
      </c>
      <c r="DN194" s="416">
        <f t="shared" si="504"/>
        <v>0.1221055699877051</v>
      </c>
      <c r="DO194" s="419">
        <f t="shared" si="504"/>
        <v>0.12407963099941677</v>
      </c>
      <c r="DP194" s="416">
        <f>DP173/DP62</f>
        <v>0.12044331216616408</v>
      </c>
      <c r="DQ194" s="416">
        <f t="shared" ref="DQ194:DT194" si="505">DQ173/DQ62</f>
        <v>0.12371223261855092</v>
      </c>
      <c r="DR194" s="416">
        <f t="shared" si="505"/>
        <v>0.1294719061043148</v>
      </c>
      <c r="DS194" s="416">
        <f t="shared" si="505"/>
        <v>0.12984489545457042</v>
      </c>
      <c r="DT194" s="419">
        <f t="shared" si="505"/>
        <v>0.12605715601580866</v>
      </c>
      <c r="DU194" s="419">
        <f t="shared" ref="DU194" si="506">DU173/DU62</f>
        <v>0.12926131062942986</v>
      </c>
      <c r="DV194" s="419">
        <f t="shared" ref="DV194" si="507">DV173/DV62</f>
        <v>0.13223176868945827</v>
      </c>
    </row>
    <row r="195" spans="2:126" s="92" customFormat="1">
      <c r="B195" s="387" t="s">
        <v>132</v>
      </c>
      <c r="C195" s="121">
        <f t="shared" ref="C195:AH195" si="508">+C178/C62</f>
        <v>9.4232992250717129E-2</v>
      </c>
      <c r="D195" s="121">
        <f t="shared" si="508"/>
        <v>0.10102194672474452</v>
      </c>
      <c r="E195" s="121">
        <f t="shared" si="508"/>
        <v>6.7568876974257938E-2</v>
      </c>
      <c r="F195" s="121">
        <f t="shared" si="508"/>
        <v>0.11337601661187056</v>
      </c>
      <c r="G195" s="121">
        <f t="shared" si="508"/>
        <v>0.10365378754529139</v>
      </c>
      <c r="H195" s="121">
        <f t="shared" si="508"/>
        <v>0.12018082252195965</v>
      </c>
      <c r="I195" s="121">
        <f t="shared" si="508"/>
        <v>9.4392197840473702E-2</v>
      </c>
      <c r="J195" s="124">
        <f t="shared" si="508"/>
        <v>0.10236831888184289</v>
      </c>
      <c r="K195" s="124">
        <f t="shared" si="508"/>
        <v>0.10599250936329588</v>
      </c>
      <c r="L195" s="124">
        <f t="shared" si="508"/>
        <v>9.5285732149556088E-2</v>
      </c>
      <c r="M195" s="124">
        <f t="shared" si="508"/>
        <v>0.10639005990681162</v>
      </c>
      <c r="N195" s="121">
        <f t="shared" si="508"/>
        <v>0.10263222181507267</v>
      </c>
      <c r="O195" s="124">
        <f t="shared" si="508"/>
        <v>0.10672532998114394</v>
      </c>
      <c r="P195" s="124">
        <f t="shared" si="508"/>
        <v>0.11717604601330776</v>
      </c>
      <c r="Q195" s="124">
        <f t="shared" si="508"/>
        <v>0.10669861919433984</v>
      </c>
      <c r="R195" s="124">
        <f t="shared" si="508"/>
        <v>0.10389085396664982</v>
      </c>
      <c r="S195" s="121">
        <f t="shared" si="508"/>
        <v>0.10854002254791431</v>
      </c>
      <c r="T195" s="124">
        <f t="shared" si="508"/>
        <v>0.12383308964121022</v>
      </c>
      <c r="U195" s="124">
        <f t="shared" si="508"/>
        <v>0.13779325888740906</v>
      </c>
      <c r="V195" s="124">
        <f t="shared" si="508"/>
        <v>0.12620155038759689</v>
      </c>
      <c r="W195" s="124">
        <f t="shared" si="508"/>
        <v>0.15400870105655687</v>
      </c>
      <c r="X195" s="121">
        <f t="shared" si="508"/>
        <v>0.1313922797756516</v>
      </c>
      <c r="Y195" s="124">
        <f t="shared" si="508"/>
        <v>0.1234608619173263</v>
      </c>
      <c r="Z195" s="124">
        <f t="shared" si="508"/>
        <v>0.1334279630943932</v>
      </c>
      <c r="AA195" s="124">
        <f t="shared" si="508"/>
        <v>0.13024779848453819</v>
      </c>
      <c r="AB195" s="124">
        <f t="shared" si="508"/>
        <v>0.12655971479500891</v>
      </c>
      <c r="AC195" s="121">
        <f t="shared" si="508"/>
        <v>0.12845162097884591</v>
      </c>
      <c r="AD195" s="124">
        <f t="shared" si="508"/>
        <v>0.12811735941320293</v>
      </c>
      <c r="AE195" s="124">
        <f t="shared" si="508"/>
        <v>0.13198292306294851</v>
      </c>
      <c r="AF195" s="124">
        <f t="shared" si="508"/>
        <v>0.13398601398601398</v>
      </c>
      <c r="AG195" s="124">
        <f t="shared" si="508"/>
        <v>0.13402822617839683</v>
      </c>
      <c r="AH195" s="121">
        <f t="shared" si="508"/>
        <v>0.13207943925233645</v>
      </c>
      <c r="AI195" s="124">
        <f t="shared" ref="AI195:BN195" si="509">+AI178/AI62</f>
        <v>0.13126146124891419</v>
      </c>
      <c r="AJ195" s="124">
        <f t="shared" si="509"/>
        <v>0.14037914691943129</v>
      </c>
      <c r="AK195" s="124">
        <f t="shared" si="509"/>
        <v>0.13884688090737241</v>
      </c>
      <c r="AL195" s="124">
        <f t="shared" si="509"/>
        <v>0.12802042491109691</v>
      </c>
      <c r="AM195" s="121">
        <f t="shared" si="509"/>
        <v>0.13458005558434216</v>
      </c>
      <c r="AN195" s="124">
        <f t="shared" si="509"/>
        <v>0.12876468845660116</v>
      </c>
      <c r="AO195" s="124">
        <f t="shared" si="509"/>
        <v>9.841510866470532E-2</v>
      </c>
      <c r="AP195" s="124">
        <f t="shared" si="509"/>
        <v>0.12393950571744744</v>
      </c>
      <c r="AQ195" s="124">
        <f t="shared" si="509"/>
        <v>0.12603270949249704</v>
      </c>
      <c r="AR195" s="121">
        <f t="shared" si="509"/>
        <v>0.1194373991238183</v>
      </c>
      <c r="AS195" s="124">
        <f t="shared" si="509"/>
        <v>0.10933119743692431</v>
      </c>
      <c r="AT195" s="124">
        <f t="shared" si="509"/>
        <v>0.11623947791544501</v>
      </c>
      <c r="AU195" s="124">
        <f t="shared" si="509"/>
        <v>0.12874745318715436</v>
      </c>
      <c r="AV195" s="124">
        <f t="shared" si="509"/>
        <v>0.13024262649950391</v>
      </c>
      <c r="AW195" s="121">
        <f t="shared" si="509"/>
        <v>0.12136813252294125</v>
      </c>
      <c r="AX195" s="124">
        <f t="shared" si="509"/>
        <v>0.13027831865532721</v>
      </c>
      <c r="AY195" s="124">
        <f t="shared" si="509"/>
        <v>0.13140473704189798</v>
      </c>
      <c r="AZ195" s="124">
        <f t="shared" si="509"/>
        <v>0.12026820095664173</v>
      </c>
      <c r="BA195" s="124">
        <f t="shared" si="509"/>
        <v>0.11000553273955165</v>
      </c>
      <c r="BB195" s="121">
        <f t="shared" si="509"/>
        <v>0.12183116616414803</v>
      </c>
      <c r="BC195" s="124">
        <f t="shared" si="509"/>
        <v>0.13452407141919701</v>
      </c>
      <c r="BD195" s="124">
        <f t="shared" si="509"/>
        <v>0.13778488570948691</v>
      </c>
      <c r="BE195" s="124">
        <f t="shared" si="509"/>
        <v>0.14440945547797032</v>
      </c>
      <c r="BF195" s="124">
        <f t="shared" si="509"/>
        <v>0.13128622699881182</v>
      </c>
      <c r="BG195" s="121">
        <f t="shared" si="509"/>
        <v>0.13691092993766538</v>
      </c>
      <c r="BH195" s="124">
        <f t="shared" si="509"/>
        <v>0.15422753213487259</v>
      </c>
      <c r="BI195" s="124">
        <f t="shared" si="509"/>
        <v>0.14942161794929806</v>
      </c>
      <c r="BJ195" s="124">
        <f t="shared" si="509"/>
        <v>0.15606974222847167</v>
      </c>
      <c r="BK195" s="124">
        <f t="shared" si="509"/>
        <v>0.15055258396378188</v>
      </c>
      <c r="BL195" s="121">
        <f t="shared" si="509"/>
        <v>0.15257987894767136</v>
      </c>
      <c r="BM195" s="124">
        <f t="shared" si="509"/>
        <v>0.16328322328317565</v>
      </c>
      <c r="BN195" s="124">
        <f t="shared" si="509"/>
        <v>0.13293109112129067</v>
      </c>
      <c r="BO195" s="124">
        <f t="shared" ref="BO195:CT195" si="510">+BO178/BO62</f>
        <v>0.14314535302312931</v>
      </c>
      <c r="BP195" s="124">
        <f t="shared" si="510"/>
        <v>0.14351941803830154</v>
      </c>
      <c r="BQ195" s="121">
        <f t="shared" si="510"/>
        <v>0.145396252025561</v>
      </c>
      <c r="BR195" s="124">
        <f t="shared" si="510"/>
        <v>0.12925586717702367</v>
      </c>
      <c r="BS195" s="124">
        <f t="shared" si="510"/>
        <v>0.15363780227807322</v>
      </c>
      <c r="BT195" s="124">
        <f t="shared" si="510"/>
        <v>0.14634379809329753</v>
      </c>
      <c r="BU195" s="124">
        <f t="shared" si="510"/>
        <v>0.14614420913016693</v>
      </c>
      <c r="BV195" s="121">
        <f t="shared" si="510"/>
        <v>0.14402421281660549</v>
      </c>
      <c r="BW195" s="124">
        <f t="shared" si="510"/>
        <v>0.1438452206622042</v>
      </c>
      <c r="BX195" s="124">
        <f t="shared" si="510"/>
        <v>0.14696723799709499</v>
      </c>
      <c r="BY195" s="124">
        <f t="shared" si="510"/>
        <v>0.14944861440534565</v>
      </c>
      <c r="BZ195" s="124">
        <f t="shared" si="510"/>
        <v>0.13904958179822721</v>
      </c>
      <c r="CA195" s="121">
        <f t="shared" si="510"/>
        <v>0.14475071610372253</v>
      </c>
      <c r="CB195" s="124">
        <f t="shared" si="510"/>
        <v>0.15947639457856211</v>
      </c>
      <c r="CC195" s="124">
        <f t="shared" si="510"/>
        <v>0.14947800680431764</v>
      </c>
      <c r="CD195" s="124">
        <f t="shared" si="510"/>
        <v>0.15327964770985353</v>
      </c>
      <c r="CE195" s="124">
        <f t="shared" si="510"/>
        <v>0.14045751782294055</v>
      </c>
      <c r="CF195" s="121">
        <f t="shared" si="510"/>
        <v>0.15020149871064059</v>
      </c>
      <c r="CG195" s="124">
        <f t="shared" si="510"/>
        <v>0.15554420610600386</v>
      </c>
      <c r="CH195" s="124">
        <f t="shared" si="510"/>
        <v>0.15692875760208513</v>
      </c>
      <c r="CI195" s="124">
        <f t="shared" si="510"/>
        <v>0.15816979522184299</v>
      </c>
      <c r="CJ195" s="124">
        <f t="shared" si="510"/>
        <v>0.14033012804031469</v>
      </c>
      <c r="CK195" s="121">
        <f t="shared" si="510"/>
        <v>0.15256543233158668</v>
      </c>
      <c r="CL195" s="124">
        <f t="shared" si="510"/>
        <v>0.16736030045326031</v>
      </c>
      <c r="CM195" s="387">
        <f t="shared" si="510"/>
        <v>6.3906134341798176E-2</v>
      </c>
      <c r="CN195" s="124">
        <f t="shared" si="510"/>
        <v>8.3356412580455605E-2</v>
      </c>
      <c r="CO195" s="124">
        <f t="shared" si="510"/>
        <v>6.1785756753437338E-2</v>
      </c>
      <c r="CP195" s="121">
        <f t="shared" si="510"/>
        <v>9.9860681114551084E-2</v>
      </c>
      <c r="CQ195" s="124">
        <f t="shared" si="510"/>
        <v>0.10266377905604428</v>
      </c>
      <c r="CR195" s="124">
        <f t="shared" si="510"/>
        <v>0.11232681395659327</v>
      </c>
      <c r="CS195" s="124">
        <f t="shared" si="510"/>
        <v>0.11117498716398465</v>
      </c>
      <c r="CT195" s="124">
        <f t="shared" si="510"/>
        <v>0.10818924756480097</v>
      </c>
      <c r="CU195" s="121">
        <f t="shared" ref="CU195:DE195" si="511">+CU178/CU62</f>
        <v>0.11556501211405852</v>
      </c>
      <c r="CV195" s="124">
        <f t="shared" si="511"/>
        <v>0.12216849071010435</v>
      </c>
      <c r="CW195" s="124">
        <f t="shared" si="511"/>
        <v>0.11769032732622288</v>
      </c>
      <c r="CX195" s="124">
        <f t="shared" si="511"/>
        <v>0.11952097221402867</v>
      </c>
      <c r="CY195" s="124">
        <f t="shared" si="511"/>
        <v>0.11313767755485547</v>
      </c>
      <c r="CZ195" s="121">
        <f t="shared" si="511"/>
        <v>0.11797417777380206</v>
      </c>
      <c r="DA195" s="124">
        <f t="shared" si="511"/>
        <v>0.12507261531311722</v>
      </c>
      <c r="DB195" s="124">
        <f t="shared" si="511"/>
        <v>0.12246792246792247</v>
      </c>
      <c r="DC195" s="124">
        <f t="shared" si="511"/>
        <v>0.16547831253713607</v>
      </c>
      <c r="DD195" s="124">
        <f t="shared" si="511"/>
        <v>0.11396597581171275</v>
      </c>
      <c r="DE195" s="121">
        <f t="shared" si="511"/>
        <v>0.129062681369704</v>
      </c>
      <c r="DF195" s="124">
        <f t="shared" ref="DF195:DG195" si="512">+DF178/DF62</f>
        <v>0.11872571872571873</v>
      </c>
      <c r="DG195" s="124">
        <f t="shared" si="512"/>
        <v>0.12935172553180738</v>
      </c>
      <c r="DH195" s="124">
        <f t="shared" ref="DH195" si="513">+DH178/DH62</f>
        <v>0.12340086614565185</v>
      </c>
      <c r="DI195" s="124">
        <f>+DI178/DI62</f>
        <v>0.13189659159228601</v>
      </c>
      <c r="DJ195" s="121">
        <f>+DJ178/DJ62</f>
        <v>0.12601475101475101</v>
      </c>
      <c r="DK195" s="124">
        <f>+DK178/DK62</f>
        <v>0.13114350438294101</v>
      </c>
      <c r="DL195" s="124">
        <f t="shared" ref="DL195:DO195" si="514">+DL178/DL62</f>
        <v>0.12941939669153421</v>
      </c>
      <c r="DM195" s="124">
        <f t="shared" si="514"/>
        <v>0.13195124121363111</v>
      </c>
      <c r="DN195" s="124">
        <f t="shared" si="514"/>
        <v>0.12383120384952634</v>
      </c>
      <c r="DO195" s="121">
        <f t="shared" si="514"/>
        <v>0.12978304927071507</v>
      </c>
      <c r="DP195" s="124">
        <f>+DP178/DP62</f>
        <v>0.1251135708844863</v>
      </c>
      <c r="DQ195" s="124">
        <f t="shared" ref="DQ195:DT195" si="515">+DQ178/DQ62</f>
        <v>0.1276839651800854</v>
      </c>
      <c r="DR195" s="124">
        <f t="shared" si="515"/>
        <v>0.13219333085139395</v>
      </c>
      <c r="DS195" s="124">
        <f t="shared" si="515"/>
        <v>0.13128932714804878</v>
      </c>
      <c r="DT195" s="121">
        <f t="shared" si="515"/>
        <v>0.1292029099534466</v>
      </c>
      <c r="DU195" s="121">
        <f t="shared" ref="DU195" si="516">+DU178/DU62</f>
        <v>0.13105115160748612</v>
      </c>
      <c r="DV195" s="121">
        <f t="shared" ref="DV195" si="517">+DV178/DV62</f>
        <v>0.13333514201604912</v>
      </c>
    </row>
    <row r="196" spans="2:126" s="37" customFormat="1" hidden="1" outlineLevel="1" collapsed="1">
      <c r="B196" s="108"/>
      <c r="C196" s="388"/>
      <c r="D196" s="388"/>
      <c r="E196" s="388"/>
      <c r="F196" s="388"/>
      <c r="G196" s="388"/>
      <c r="H196" s="388"/>
      <c r="I196" s="388"/>
      <c r="J196" s="389"/>
      <c r="K196" s="389"/>
      <c r="L196" s="389"/>
      <c r="M196" s="389"/>
      <c r="N196" s="388"/>
      <c r="O196" s="389"/>
      <c r="P196" s="389"/>
      <c r="Q196" s="389"/>
      <c r="R196" s="389"/>
      <c r="S196" s="388"/>
      <c r="T196" s="389"/>
      <c r="U196" s="389"/>
      <c r="V196" s="389"/>
      <c r="W196" s="389"/>
      <c r="X196" s="388"/>
      <c r="Y196" s="389"/>
      <c r="Z196" s="389"/>
      <c r="AA196" s="389"/>
      <c r="AB196" s="389"/>
      <c r="AC196" s="388"/>
      <c r="AD196" s="389"/>
      <c r="AE196" s="389"/>
      <c r="AF196" s="389"/>
      <c r="AG196" s="389"/>
      <c r="AH196" s="388"/>
      <c r="AI196" s="389"/>
      <c r="AJ196" s="389"/>
      <c r="AK196" s="389"/>
      <c r="AL196" s="389"/>
      <c r="AM196" s="388"/>
      <c r="AN196" s="389"/>
      <c r="AO196" s="389"/>
      <c r="AP196" s="389"/>
      <c r="AQ196" s="389"/>
      <c r="AR196" s="388"/>
      <c r="AS196" s="389"/>
      <c r="AT196" s="389"/>
      <c r="AU196" s="389"/>
      <c r="AV196" s="389"/>
      <c r="AW196" s="388"/>
      <c r="AX196" s="389"/>
      <c r="AY196" s="389"/>
      <c r="AZ196" s="389"/>
      <c r="BA196" s="389"/>
      <c r="BB196" s="388"/>
      <c r="BC196" s="389"/>
      <c r="BD196" s="389"/>
      <c r="BE196" s="389"/>
      <c r="BF196" s="389"/>
      <c r="BG196" s="388"/>
      <c r="BH196" s="389"/>
      <c r="BI196" s="389"/>
      <c r="BJ196" s="389"/>
      <c r="BK196" s="389"/>
      <c r="BL196" s="388"/>
      <c r="BM196" s="389"/>
      <c r="BN196" s="389"/>
      <c r="BO196" s="389"/>
      <c r="BP196" s="389"/>
      <c r="BQ196" s="388"/>
      <c r="BR196" s="389"/>
      <c r="BS196" s="389"/>
      <c r="BT196" s="389"/>
      <c r="BU196" s="389"/>
      <c r="BV196" s="388"/>
      <c r="BW196" s="389"/>
      <c r="BX196" s="389"/>
      <c r="BY196" s="389"/>
      <c r="BZ196" s="389"/>
      <c r="CA196" s="388"/>
      <c r="CB196" s="389"/>
      <c r="CC196" s="389"/>
      <c r="CD196" s="389"/>
      <c r="CE196" s="389"/>
      <c r="CF196" s="388"/>
      <c r="CG196" s="389"/>
      <c r="CH196" s="389"/>
      <c r="CI196" s="389"/>
      <c r="CJ196" s="389"/>
      <c r="CK196" s="388"/>
      <c r="CL196" s="389"/>
      <c r="CM196" s="389"/>
      <c r="CN196" s="389"/>
      <c r="CO196" s="389"/>
      <c r="CP196" s="388"/>
      <c r="CQ196" s="811"/>
      <c r="CR196" s="389"/>
      <c r="CS196" s="389"/>
      <c r="CT196" s="389"/>
      <c r="CU196" s="388"/>
      <c r="CV196" s="389"/>
      <c r="CW196" s="389"/>
      <c r="CX196" s="389"/>
      <c r="CY196" s="389"/>
      <c r="CZ196" s="388"/>
      <c r="DA196" s="389"/>
      <c r="DB196" s="389"/>
      <c r="DC196" s="389"/>
      <c r="DD196" s="389"/>
      <c r="DE196" s="388"/>
      <c r="DF196" s="389"/>
      <c r="DG196" s="389"/>
      <c r="DH196" s="389"/>
      <c r="DI196" s="389"/>
      <c r="DJ196" s="388"/>
      <c r="DK196" s="389"/>
      <c r="DL196" s="389"/>
      <c r="DM196" s="389"/>
      <c r="DN196" s="389"/>
      <c r="DO196" s="388"/>
      <c r="DP196" s="389"/>
      <c r="DQ196" s="389"/>
      <c r="DR196" s="389"/>
      <c r="DS196" s="389"/>
      <c r="DT196" s="388"/>
      <c r="DU196" s="388"/>
      <c r="DV196" s="388"/>
    </row>
    <row r="197" spans="2:126" s="37" customFormat="1" hidden="1" outlineLevel="1">
      <c r="B197" s="37" t="s">
        <v>236</v>
      </c>
      <c r="C197" s="388"/>
      <c r="D197" s="388"/>
      <c r="E197" s="388"/>
      <c r="F197" s="388"/>
      <c r="G197" s="388"/>
      <c r="H197" s="388"/>
      <c r="I197" s="388"/>
      <c r="J197" s="389"/>
      <c r="K197" s="389"/>
      <c r="L197" s="389"/>
      <c r="M197" s="389"/>
      <c r="N197" s="388"/>
      <c r="O197" s="389"/>
      <c r="P197" s="389"/>
      <c r="Q197" s="389"/>
      <c r="R197" s="389"/>
      <c r="S197" s="388"/>
      <c r="T197" s="389"/>
      <c r="U197" s="389"/>
      <c r="V197" s="389"/>
      <c r="W197" s="389"/>
      <c r="X197" s="388"/>
      <c r="Y197" s="389"/>
      <c r="Z197" s="389"/>
      <c r="AA197" s="389"/>
      <c r="AB197" s="389"/>
      <c r="AC197" s="388"/>
      <c r="AD197" s="389"/>
      <c r="AE197" s="389"/>
      <c r="AF197" s="389"/>
      <c r="AG197" s="389"/>
      <c r="AH197" s="388"/>
      <c r="AI197" s="389"/>
      <c r="AJ197" s="389"/>
      <c r="AK197" s="389"/>
      <c r="AL197" s="389"/>
      <c r="AM197" s="388"/>
      <c r="AN197" s="389"/>
      <c r="AO197" s="389"/>
      <c r="AP197" s="389"/>
      <c r="AQ197" s="389"/>
      <c r="AR197" s="388"/>
      <c r="AS197" s="389"/>
      <c r="AT197" s="389"/>
      <c r="AU197" s="389"/>
      <c r="AV197" s="389"/>
      <c r="AW197" s="388"/>
      <c r="AX197" s="389"/>
      <c r="AY197" s="389"/>
      <c r="AZ197" s="389"/>
      <c r="BA197" s="389"/>
      <c r="BB197" s="388"/>
      <c r="BC197" s="389"/>
      <c r="BD197" s="389"/>
      <c r="BE197" s="389"/>
      <c r="BF197" s="389"/>
      <c r="BG197" s="388"/>
      <c r="BH197" s="389"/>
      <c r="BI197" s="389"/>
      <c r="BJ197" s="389"/>
      <c r="BK197" s="389"/>
      <c r="BL197" s="388"/>
      <c r="BM197" s="389"/>
      <c r="BN197" s="389"/>
      <c r="BO197" s="389"/>
      <c r="BP197" s="389"/>
      <c r="BQ197" s="388"/>
      <c r="BR197" s="389"/>
      <c r="BS197" s="389"/>
      <c r="BT197" s="389"/>
      <c r="BU197" s="389"/>
      <c r="BV197" s="388"/>
      <c r="BW197" s="389"/>
      <c r="BX197" s="389"/>
      <c r="BY197" s="389"/>
      <c r="BZ197" s="389"/>
      <c r="CA197" s="388"/>
      <c r="CB197" s="389"/>
      <c r="CC197" s="389"/>
      <c r="CD197" s="389"/>
      <c r="CE197" s="389"/>
      <c r="CF197" s="388"/>
      <c r="CG197" s="389"/>
      <c r="CH197" s="389"/>
      <c r="CI197" s="389"/>
      <c r="CJ197" s="389"/>
      <c r="CK197" s="388"/>
      <c r="CL197" s="389"/>
      <c r="CM197" s="389"/>
      <c r="CN197" s="389"/>
      <c r="CO197" s="389"/>
      <c r="CP197" s="388"/>
      <c r="CQ197" s="389"/>
      <c r="CR197" s="389"/>
      <c r="CS197" s="389"/>
      <c r="CT197" s="389"/>
      <c r="CU197" s="388"/>
      <c r="CV197" s="389"/>
      <c r="CW197" s="389"/>
      <c r="CX197" s="389"/>
      <c r="CY197" s="389"/>
      <c r="CZ197" s="388"/>
      <c r="DA197" s="389"/>
      <c r="DB197" s="389"/>
      <c r="DC197" s="389"/>
      <c r="DD197" s="389"/>
      <c r="DE197" s="388"/>
      <c r="DF197" s="389"/>
      <c r="DG197" s="389"/>
      <c r="DH197" s="389"/>
      <c r="DI197" s="389"/>
      <c r="DJ197" s="388"/>
      <c r="DK197" s="389"/>
      <c r="DL197" s="389"/>
      <c r="DM197" s="389"/>
      <c r="DN197" s="389"/>
      <c r="DO197" s="388"/>
      <c r="DP197" s="389"/>
      <c r="DQ197" s="389"/>
      <c r="DR197" s="389"/>
      <c r="DS197" s="389"/>
      <c r="DT197" s="388"/>
      <c r="DU197" s="388"/>
      <c r="DV197" s="388"/>
    </row>
    <row r="198" spans="2:126" s="92" customFormat="1" hidden="1" outlineLevel="1">
      <c r="B198" s="115" t="s">
        <v>194</v>
      </c>
      <c r="C198" s="27"/>
      <c r="D198" s="27"/>
      <c r="E198" s="27"/>
      <c r="F198" s="27"/>
      <c r="G198" s="27" t="str">
        <f>IF(ISERROR((G168-B168)/(G14-B14)),"",(G168-B168)/(G14-B14))</f>
        <v/>
      </c>
      <c r="H198" s="27"/>
      <c r="I198" s="27"/>
      <c r="J198" s="133"/>
      <c r="K198" s="133"/>
      <c r="L198" s="133"/>
      <c r="M198" s="133"/>
      <c r="N198" s="27"/>
      <c r="O198" s="133">
        <f t="shared" ref="O198:AT198" si="518">IF(ISERROR((O168-J168)/(O14-J14)),"",(O168-J168)/(O14-J14))</f>
        <v>1.8108108108108107</v>
      </c>
      <c r="P198" s="133">
        <f t="shared" si="518"/>
        <v>0.37823834196891193</v>
      </c>
      <c r="Q198" s="133">
        <f t="shared" si="518"/>
        <v>0.24522292993630573</v>
      </c>
      <c r="R198" s="133">
        <f t="shared" si="518"/>
        <v>0.18937644341801385</v>
      </c>
      <c r="S198" s="27">
        <f t="shared" si="518"/>
        <v>0.36094674556213019</v>
      </c>
      <c r="T198" s="133">
        <f t="shared" si="518"/>
        <v>0.18378378378378379</v>
      </c>
      <c r="U198" s="133">
        <f t="shared" si="518"/>
        <v>0.39207048458149779</v>
      </c>
      <c r="V198" s="133">
        <f t="shared" si="518"/>
        <v>0.21568627450980393</v>
      </c>
      <c r="W198" s="133">
        <f t="shared" si="518"/>
        <v>0.17516629711751663</v>
      </c>
      <c r="X198" s="27">
        <f t="shared" si="518"/>
        <v>0.2399559713813979</v>
      </c>
      <c r="Y198" s="133">
        <f t="shared" si="518"/>
        <v>0.1407035175879397</v>
      </c>
      <c r="Z198" s="133">
        <f t="shared" si="518"/>
        <v>-4.4619422572178477E-2</v>
      </c>
      <c r="AA198" s="133">
        <f t="shared" si="518"/>
        <v>0.22264150943396227</v>
      </c>
      <c r="AB198" s="133">
        <f t="shared" si="518"/>
        <v>6.111603188662533E-2</v>
      </c>
      <c r="AC198" s="27">
        <f t="shared" si="518"/>
        <v>7.0415400202634246E-2</v>
      </c>
      <c r="AD198" s="133">
        <f t="shared" si="518"/>
        <v>0.10043041606886657</v>
      </c>
      <c r="AE198" s="133">
        <f t="shared" si="518"/>
        <v>7.3752711496746198E-2</v>
      </c>
      <c r="AF198" s="133">
        <f t="shared" si="518"/>
        <v>7.792207792207792E-2</v>
      </c>
      <c r="AG198" s="133">
        <f t="shared" si="518"/>
        <v>-5.5128205128205127E-2</v>
      </c>
      <c r="AH198" s="27">
        <f t="shared" si="518"/>
        <v>0.23197903014416776</v>
      </c>
      <c r="AI198" s="133">
        <f t="shared" si="518"/>
        <v>0.14084507042253522</v>
      </c>
      <c r="AJ198" s="133">
        <f t="shared" si="518"/>
        <v>8.7336244541484712E-2</v>
      </c>
      <c r="AK198" s="133">
        <f t="shared" si="518"/>
        <v>0.11282051282051282</v>
      </c>
      <c r="AL198" s="133">
        <f t="shared" si="518"/>
        <v>0.16</v>
      </c>
      <c r="AM198" s="27">
        <f t="shared" si="518"/>
        <v>0.12079615648592999</v>
      </c>
      <c r="AN198" s="133">
        <f t="shared" si="518"/>
        <v>0.11209439528023599</v>
      </c>
      <c r="AO198" s="133">
        <f t="shared" si="518"/>
        <v>4.7619047619047616E-2</v>
      </c>
      <c r="AP198" s="133">
        <f t="shared" si="518"/>
        <v>0.29648241206030151</v>
      </c>
      <c r="AQ198" s="133">
        <f t="shared" si="518"/>
        <v>0.13786407766990291</v>
      </c>
      <c r="AR198" s="27">
        <f t="shared" si="518"/>
        <v>0.18416206261510129</v>
      </c>
      <c r="AS198" s="133">
        <f t="shared" si="518"/>
        <v>-0.9375</v>
      </c>
      <c r="AT198" s="133">
        <f t="shared" si="518"/>
        <v>27.333333333333332</v>
      </c>
      <c r="AU198" s="133">
        <f t="shared" ref="AU198:BZ198" si="519">IF(ISERROR((AU168-AP168)/(AU14-AP14)),"",(AU168-AP168)/(AU14-AP14))</f>
        <v>0.67114093959731547</v>
      </c>
      <c r="AV198" s="133">
        <f t="shared" si="519"/>
        <v>0.33653846153846156</v>
      </c>
      <c r="AW198" s="27">
        <f t="shared" si="519"/>
        <v>1.1026785714285714</v>
      </c>
      <c r="AX198" s="133">
        <f t="shared" si="519"/>
        <v>-3.1607293143273429E-2</v>
      </c>
      <c r="AY198" s="133">
        <f t="shared" si="519"/>
        <v>-2.626446658264046E-2</v>
      </c>
      <c r="AZ198" s="133">
        <f t="shared" si="519"/>
        <v>-9.7681846924318902E-2</v>
      </c>
      <c r="BA198" s="133">
        <f t="shared" si="519"/>
        <v>-0.34061230781747648</v>
      </c>
      <c r="BB198" s="27">
        <f t="shared" si="519"/>
        <v>-0.15798653311822181</v>
      </c>
      <c r="BC198" s="133">
        <f t="shared" si="519"/>
        <v>-2.235307658070269E-3</v>
      </c>
      <c r="BD198" s="133">
        <f t="shared" si="519"/>
        <v>0.17075249553244373</v>
      </c>
      <c r="BE198" s="133">
        <f t="shared" si="519"/>
        <v>-0.44620690798656065</v>
      </c>
      <c r="BF198" s="133">
        <f t="shared" si="519"/>
        <v>0.51374508531501195</v>
      </c>
      <c r="BG198" s="27">
        <f t="shared" si="519"/>
        <v>0.4004641706196716</v>
      </c>
      <c r="BH198" s="133">
        <f t="shared" si="519"/>
        <v>-0.27255718275382324</v>
      </c>
      <c r="BI198" s="133">
        <f t="shared" si="519"/>
        <v>-2.8288673550661478</v>
      </c>
      <c r="BJ198" s="133">
        <f t="shared" si="519"/>
        <v>0.37961505681120417</v>
      </c>
      <c r="BK198" s="133">
        <f t="shared" si="519"/>
        <v>-0.84703702252156265</v>
      </c>
      <c r="BL198" s="27">
        <f t="shared" si="519"/>
        <v>33.413764757423287</v>
      </c>
      <c r="BM198" s="133">
        <f t="shared" si="519"/>
        <v>0.64997836808199361</v>
      </c>
      <c r="BN198" s="133">
        <f t="shared" si="519"/>
        <v>-0.86668549286510854</v>
      </c>
      <c r="BO198" s="133">
        <f t="shared" si="519"/>
        <v>0.33855348760997706</v>
      </c>
      <c r="BP198" s="133">
        <f t="shared" si="519"/>
        <v>0.2988835380439272</v>
      </c>
      <c r="BQ198" s="27">
        <f t="shared" si="519"/>
        <v>0.5597078725367679</v>
      </c>
      <c r="BR198" s="133">
        <f t="shared" si="519"/>
        <v>-6.3287644505798601E-2</v>
      </c>
      <c r="BS198" s="133">
        <f t="shared" si="519"/>
        <v>-0.14499963219894135</v>
      </c>
      <c r="BT198" s="133">
        <f t="shared" si="519"/>
        <v>-7.443944901474224E-2</v>
      </c>
      <c r="BU198" s="133">
        <f t="shared" si="519"/>
        <v>-0.58948064192385696</v>
      </c>
      <c r="BV198" s="27">
        <f t="shared" si="519"/>
        <v>-0.17978750994313633</v>
      </c>
      <c r="BW198" s="133">
        <f t="shared" si="519"/>
        <v>-0.38643778110027727</v>
      </c>
      <c r="BX198" s="133">
        <f t="shared" si="519"/>
        <v>-0.33151092357877099</v>
      </c>
      <c r="BY198" s="133">
        <f t="shared" si="519"/>
        <v>-3.3385531794884939E-2</v>
      </c>
      <c r="BZ198" s="133">
        <f t="shared" si="519"/>
        <v>-4.746603496974329E-2</v>
      </c>
      <c r="CA198" s="27">
        <f t="shared" ref="CA198:DF198" si="520">IF(ISERROR((CA168-BV168)/(CA14-BV14)),"",(CA168-BV168)/(CA14-BV14))</f>
        <v>-0.12014559482297944</v>
      </c>
      <c r="CB198" s="133">
        <f t="shared" si="520"/>
        <v>0.15972373073908613</v>
      </c>
      <c r="CC198" s="133">
        <f t="shared" si="520"/>
        <v>6.6153102287195745E-2</v>
      </c>
      <c r="CD198" s="133">
        <f t="shared" si="520"/>
        <v>6.5468694315193574E-2</v>
      </c>
      <c r="CE198" s="133">
        <f t="shared" si="520"/>
        <v>-6.6036428233689709E-3</v>
      </c>
      <c r="CF198" s="27">
        <f t="shared" si="520"/>
        <v>5.7156342535204616E-2</v>
      </c>
      <c r="CG198" s="133">
        <f t="shared" si="520"/>
        <v>7.2162092507584541E-2</v>
      </c>
      <c r="CH198" s="133">
        <f t="shared" si="520"/>
        <v>5.0891949338120281E-2</v>
      </c>
      <c r="CI198" s="133">
        <f t="shared" si="520"/>
        <v>0.15848390716368957</v>
      </c>
      <c r="CJ198" s="133">
        <f t="shared" si="520"/>
        <v>0.87859702918134708</v>
      </c>
      <c r="CK198" s="27">
        <f t="shared" si="520"/>
        <v>0.14935881261742898</v>
      </c>
      <c r="CL198" s="133">
        <f t="shared" si="520"/>
        <v>4.2990654205607479E-2</v>
      </c>
      <c r="CM198" s="133">
        <f t="shared" si="520"/>
        <v>0.36172765446910615</v>
      </c>
      <c r="CN198" s="133">
        <f t="shared" si="520"/>
        <v>0.31434952540480177</v>
      </c>
      <c r="CO198" s="133">
        <f t="shared" si="520"/>
        <v>0.48344370860927155</v>
      </c>
      <c r="CP198" s="27">
        <f t="shared" si="520"/>
        <v>0.41000543773790105</v>
      </c>
      <c r="CQ198" s="133">
        <f t="shared" si="520"/>
        <v>0.35903250188964475</v>
      </c>
      <c r="CR198" s="133">
        <f t="shared" si="520"/>
        <v>0.31147540983606559</v>
      </c>
      <c r="CS198" s="133">
        <f t="shared" si="520"/>
        <v>0.18846466287571081</v>
      </c>
      <c r="CT198" s="133">
        <f t="shared" si="520"/>
        <v>0.25333333333333335</v>
      </c>
      <c r="CU198" s="27">
        <f t="shared" si="520"/>
        <v>6.5874730021598271E-2</v>
      </c>
      <c r="CV198" s="133">
        <f t="shared" si="520"/>
        <v>0.53707414829659317</v>
      </c>
      <c r="CW198" s="133">
        <f t="shared" si="520"/>
        <v>0.30043541364296084</v>
      </c>
      <c r="CX198" s="133">
        <f t="shared" si="520"/>
        <v>0.19694656488549619</v>
      </c>
      <c r="CY198" s="133">
        <f t="shared" si="520"/>
        <v>0.29608938547486036</v>
      </c>
      <c r="CZ198" s="27">
        <f t="shared" si="520"/>
        <v>0.32058823529411767</v>
      </c>
      <c r="DA198" s="133">
        <f t="shared" si="520"/>
        <v>0.1797432239657632</v>
      </c>
      <c r="DB198" s="133">
        <f t="shared" si="520"/>
        <v>0.18169398907103826</v>
      </c>
      <c r="DC198" s="133">
        <f t="shared" si="520"/>
        <v>-2.1329142343960484E-2</v>
      </c>
      <c r="DD198" s="133">
        <f t="shared" si="520"/>
        <v>0.10673443456162643</v>
      </c>
      <c r="DE198" s="27">
        <f t="shared" si="520"/>
        <v>-0.19606087735004477</v>
      </c>
      <c r="DF198" s="133">
        <f t="shared" si="520"/>
        <v>-3.2626427406199023E-3</v>
      </c>
      <c r="DG198" s="133">
        <f t="shared" ref="DG198:DT198" si="521">IF(ISERROR((DG168-DB168)/(DG14-DB14)),"",(DG168-DB168)/(DG14-DB14))</f>
        <v>9.1734786557674836E-2</v>
      </c>
      <c r="DH198" s="133">
        <f t="shared" si="521"/>
        <v>2.9146206241089816E-2</v>
      </c>
      <c r="DI198" s="133">
        <f t="shared" si="521"/>
        <v>0.27610619469026548</v>
      </c>
      <c r="DJ198" s="27">
        <f t="shared" si="521"/>
        <v>6.0696008188331631E-2</v>
      </c>
      <c r="DK198" s="133">
        <f t="shared" si="521"/>
        <v>0.17582417582417584</v>
      </c>
      <c r="DL198" s="133">
        <f t="shared" si="521"/>
        <v>8.5645355850422197E-2</v>
      </c>
      <c r="DM198" s="133">
        <f t="shared" si="521"/>
        <v>0.13006756756756757</v>
      </c>
      <c r="DN198" s="133">
        <f t="shared" si="521"/>
        <v>7.172017439556185E-3</v>
      </c>
      <c r="DO198" s="27">
        <f t="shared" si="521"/>
        <v>0.10125949019481148</v>
      </c>
      <c r="DP198" s="133">
        <f t="shared" si="521"/>
        <v>7.8971090501164617E-2</v>
      </c>
      <c r="DQ198" s="133">
        <f t="shared" si="521"/>
        <v>0.1072716323007413</v>
      </c>
      <c r="DR198" s="133">
        <f t="shared" si="521"/>
        <v>0.12320185050613633</v>
      </c>
      <c r="DS198" s="133">
        <f t="shared" si="521"/>
        <v>0.1431914893617019</v>
      </c>
      <c r="DT198" s="27">
        <f t="shared" si="521"/>
        <v>0.11439842299927729</v>
      </c>
      <c r="DU198" s="27">
        <f>IF(ISERROR((DU168-DT168)/(DU14-DT14)),"",(DU168-DT168)/(DU14-DT14))</f>
        <v>0.10866142420193488</v>
      </c>
      <c r="DV198" s="27">
        <f>IF(ISERROR((DV168-DU168)/(DV14-DU14)),"",(DV168-DU168)/(DV14-DU14))</f>
        <v>0.11816901408450707</v>
      </c>
    </row>
    <row r="199" spans="2:126" s="92" customFormat="1" hidden="1" outlineLevel="1">
      <c r="B199" s="115" t="s">
        <v>472</v>
      </c>
      <c r="C199" s="27"/>
      <c r="D199" s="27"/>
      <c r="E199" s="27"/>
      <c r="F199" s="27"/>
      <c r="G199" s="27" t="str">
        <f>IF(ISERROR((G169-B169)/(G26-B26)),"",(G169-B169)/(G26-B26))</f>
        <v/>
      </c>
      <c r="H199" s="27"/>
      <c r="I199" s="27"/>
      <c r="J199" s="133"/>
      <c r="K199" s="133"/>
      <c r="L199" s="133"/>
      <c r="M199" s="133"/>
      <c r="N199" s="27"/>
      <c r="O199" s="133">
        <f t="shared" ref="O199:AT199" si="522">IF(ISERROR((O169-J169)/(O26-J26)),"",(O169-J169)/(O26-J26))</f>
        <v>0.20588235294117646</v>
      </c>
      <c r="P199" s="133">
        <f t="shared" si="522"/>
        <v>0.15706806282722513</v>
      </c>
      <c r="Q199" s="133">
        <f t="shared" si="522"/>
        <v>0.19587628865979381</v>
      </c>
      <c r="R199" s="133">
        <f t="shared" si="522"/>
        <v>0.30985915492957744</v>
      </c>
      <c r="S199" s="27">
        <f t="shared" si="522"/>
        <v>0.19956616052060738</v>
      </c>
      <c r="T199" s="133">
        <f t="shared" si="522"/>
        <v>0.27205882352941174</v>
      </c>
      <c r="U199" s="133">
        <f t="shared" si="522"/>
        <v>0.32903225806451614</v>
      </c>
      <c r="V199" s="133">
        <f t="shared" si="522"/>
        <v>0.30113636363636365</v>
      </c>
      <c r="W199" s="133">
        <f t="shared" si="522"/>
        <v>0.38356164383561642</v>
      </c>
      <c r="X199" s="27">
        <f t="shared" si="522"/>
        <v>0.32137030995106036</v>
      </c>
      <c r="Y199" s="133">
        <f t="shared" si="522"/>
        <v>0.2348993288590604</v>
      </c>
      <c r="Z199" s="133">
        <f t="shared" si="522"/>
        <v>0.25203252032520324</v>
      </c>
      <c r="AA199" s="133">
        <f t="shared" si="522"/>
        <v>0.14367816091954022</v>
      </c>
      <c r="AB199" s="133">
        <f t="shared" si="522"/>
        <v>0.13846153846153847</v>
      </c>
      <c r="AC199" s="27">
        <f t="shared" si="522"/>
        <v>0.18408736349453977</v>
      </c>
      <c r="AD199" s="133">
        <f t="shared" si="522"/>
        <v>4.0540540540540543E-2</v>
      </c>
      <c r="AE199" s="133">
        <f t="shared" si="522"/>
        <v>0.11382113821138211</v>
      </c>
      <c r="AF199" s="133">
        <f t="shared" si="522"/>
        <v>0.29523809523809524</v>
      </c>
      <c r="AG199" s="133">
        <f t="shared" si="522"/>
        <v>-4.375</v>
      </c>
      <c r="AH199" s="27">
        <f t="shared" si="522"/>
        <v>0.20366598778004075</v>
      </c>
      <c r="AI199" s="133">
        <f t="shared" si="522"/>
        <v>0.23749999999999999</v>
      </c>
      <c r="AJ199" s="133">
        <f t="shared" si="522"/>
        <v>0.22580645161290322</v>
      </c>
      <c r="AK199" s="133">
        <f t="shared" si="522"/>
        <v>0.21212121212121213</v>
      </c>
      <c r="AL199" s="133">
        <f t="shared" si="522"/>
        <v>0.3925233644859813</v>
      </c>
      <c r="AM199" s="27">
        <f t="shared" si="522"/>
        <v>0.25573192239858905</v>
      </c>
      <c r="AN199" s="133">
        <f t="shared" si="522"/>
        <v>-0.21818181818181817</v>
      </c>
      <c r="AO199" s="133">
        <f t="shared" si="522"/>
        <v>-0.65217391304347827</v>
      </c>
      <c r="AP199" s="133">
        <f t="shared" si="522"/>
        <v>-0.15</v>
      </c>
      <c r="AQ199" s="133">
        <f t="shared" si="522"/>
        <v>0.13207547169811321</v>
      </c>
      <c r="AR199" s="27">
        <f t="shared" si="522"/>
        <v>0.79166666666666663</v>
      </c>
      <c r="AS199" s="133">
        <f t="shared" si="522"/>
        <v>0.26063829787234044</v>
      </c>
      <c r="AT199" s="133">
        <f t="shared" si="522"/>
        <v>0.25</v>
      </c>
      <c r="AU199" s="133">
        <f t="shared" ref="AU199:BZ199" si="523">IF(ISERROR((AU169-AP169)/(AU26-AP26)),"",(AU169-AP169)/(AU26-AP26))</f>
        <v>0.22317596566523606</v>
      </c>
      <c r="AV199" s="133">
        <f t="shared" si="523"/>
        <v>0.27397260273972601</v>
      </c>
      <c r="AW199" s="27">
        <f t="shared" si="523"/>
        <v>0.25117924528301888</v>
      </c>
      <c r="AX199" s="133">
        <f t="shared" si="523"/>
        <v>0.49420233554204462</v>
      </c>
      <c r="AY199" s="133">
        <f t="shared" si="523"/>
        <v>0.59823860802176232</v>
      </c>
      <c r="AZ199" s="133">
        <f t="shared" si="523"/>
        <v>8.2782132255605309E-2</v>
      </c>
      <c r="BA199" s="133">
        <f t="shared" si="523"/>
        <v>7.8241208327972669E-2</v>
      </c>
      <c r="BB199" s="27">
        <f t="shared" si="523"/>
        <v>0.1036072309430378</v>
      </c>
      <c r="BC199" s="133">
        <f t="shared" si="523"/>
        <v>0.16361014126019069</v>
      </c>
      <c r="BD199" s="133">
        <f t="shared" si="523"/>
        <v>0.16157643389154785</v>
      </c>
      <c r="BE199" s="133">
        <f t="shared" si="523"/>
        <v>0.37154220899813672</v>
      </c>
      <c r="BF199" s="133">
        <f t="shared" si="523"/>
        <v>0.80496848049820413</v>
      </c>
      <c r="BG199" s="27">
        <f t="shared" si="523"/>
        <v>0.22483993865211296</v>
      </c>
      <c r="BH199" s="133">
        <f t="shared" si="523"/>
        <v>0.48761298519062418</v>
      </c>
      <c r="BI199" s="133">
        <f t="shared" si="523"/>
        <v>0.39900445373152488</v>
      </c>
      <c r="BJ199" s="133">
        <f t="shared" si="523"/>
        <v>0.31576996678236324</v>
      </c>
      <c r="BK199" s="133">
        <f t="shared" si="523"/>
        <v>0.59343114515971107</v>
      </c>
      <c r="BL199" s="27">
        <f t="shared" si="523"/>
        <v>0.42874122984606283</v>
      </c>
      <c r="BM199" s="133">
        <f t="shared" si="523"/>
        <v>0.23770221483260331</v>
      </c>
      <c r="BN199" s="133">
        <f t="shared" si="523"/>
        <v>20.965696402527982</v>
      </c>
      <c r="BO199" s="133">
        <f t="shared" si="523"/>
        <v>9.7461080775076425E-2</v>
      </c>
      <c r="BP199" s="133">
        <f t="shared" si="523"/>
        <v>0.95107925366552004</v>
      </c>
      <c r="BQ199" s="27">
        <f t="shared" si="523"/>
        <v>1.6402296744557712</v>
      </c>
      <c r="BR199" s="133">
        <f t="shared" si="523"/>
        <v>1.5043196641796268</v>
      </c>
      <c r="BS199" s="133">
        <f t="shared" si="523"/>
        <v>0.42011710864500718</v>
      </c>
      <c r="BT199" s="133">
        <f t="shared" si="523"/>
        <v>0.19444088138804483</v>
      </c>
      <c r="BU199" s="133">
        <f t="shared" si="523"/>
        <v>0.10635262041930367</v>
      </c>
      <c r="BV199" s="27">
        <f t="shared" si="523"/>
        <v>6.0240263148028252E-2</v>
      </c>
      <c r="BW199" s="133">
        <f t="shared" si="523"/>
        <v>-3.15357857025865E-2</v>
      </c>
      <c r="BX199" s="133">
        <f t="shared" si="523"/>
        <v>0.43001718484302986</v>
      </c>
      <c r="BY199" s="133">
        <f t="shared" si="523"/>
        <v>1.3731479528069284</v>
      </c>
      <c r="BZ199" s="133">
        <f t="shared" si="523"/>
        <v>0.24016752795370305</v>
      </c>
      <c r="CA199" s="27">
        <f t="shared" ref="CA199:DF199" si="524">IF(ISERROR((CA169-BV169)/(CA26-BV26)),"",(CA169-BV169)/(CA26-BV26))</f>
        <v>3.7695235517787246E-3</v>
      </c>
      <c r="CB199" s="133">
        <f t="shared" si="524"/>
        <v>0.21389207231347443</v>
      </c>
      <c r="CC199" s="133">
        <f t="shared" si="524"/>
        <v>0.20417761489181926</v>
      </c>
      <c r="CD199" s="133">
        <f t="shared" si="524"/>
        <v>0.17795068074498421</v>
      </c>
      <c r="CE199" s="133">
        <f t="shared" si="524"/>
        <v>0.1860428858717621</v>
      </c>
      <c r="CF199" s="27">
        <f t="shared" si="524"/>
        <v>0.19453409447721742</v>
      </c>
      <c r="CG199" s="133">
        <f t="shared" si="524"/>
        <v>0.19835153816133291</v>
      </c>
      <c r="CH199" s="133">
        <f t="shared" si="524"/>
        <v>0.31544323837931193</v>
      </c>
      <c r="CI199" s="133">
        <f t="shared" si="524"/>
        <v>0.37425202065766455</v>
      </c>
      <c r="CJ199" s="133">
        <f t="shared" si="524"/>
        <v>0.2560883891124679</v>
      </c>
      <c r="CK199" s="27">
        <f t="shared" si="524"/>
        <v>0.29645079044678657</v>
      </c>
      <c r="CL199" s="133">
        <f t="shared" si="524"/>
        <v>-0.13844914943311878</v>
      </c>
      <c r="CM199" s="133">
        <f t="shared" si="524"/>
        <v>0.71003124796943429</v>
      </c>
      <c r="CN199" s="133">
        <f t="shared" si="524"/>
        <v>0.71663647043079404</v>
      </c>
      <c r="CO199" s="133">
        <f t="shared" si="524"/>
        <v>-1.4325280372612577</v>
      </c>
      <c r="CP199" s="27">
        <f t="shared" si="524"/>
        <v>0.70190641247833618</v>
      </c>
      <c r="CQ199" s="133">
        <f t="shared" si="524"/>
        <v>-342.1164380595277</v>
      </c>
      <c r="CR199" s="133">
        <f t="shared" si="524"/>
        <v>14.111685408520543</v>
      </c>
      <c r="CS199" s="133">
        <f t="shared" si="524"/>
        <v>63.36857323311721</v>
      </c>
      <c r="CT199" s="133">
        <f t="shared" si="524"/>
        <v>-0.49874932409969297</v>
      </c>
      <c r="CU199" s="27">
        <f t="shared" si="524"/>
        <v>-0.48506571087216249</v>
      </c>
      <c r="CV199" s="133">
        <f t="shared" si="524"/>
        <v>0.29580171601998101</v>
      </c>
      <c r="CW199" s="133">
        <f t="shared" si="524"/>
        <v>0.24034745250207995</v>
      </c>
      <c r="CX199" s="133">
        <f t="shared" si="524"/>
        <v>0.21177255274776907</v>
      </c>
      <c r="CY199" s="133">
        <f t="shared" si="524"/>
        <v>2.3067375211315566</v>
      </c>
      <c r="CZ199" s="27">
        <f t="shared" si="524"/>
        <v>0.33</v>
      </c>
      <c r="DA199" s="133">
        <f t="shared" si="524"/>
        <v>0.29813664596273293</v>
      </c>
      <c r="DB199" s="133">
        <f t="shared" si="524"/>
        <v>0.23778071334214002</v>
      </c>
      <c r="DC199" s="133">
        <f t="shared" si="524"/>
        <v>0.31503841931942922</v>
      </c>
      <c r="DD199" s="133">
        <f t="shared" si="524"/>
        <v>0.21372328458942633</v>
      </c>
      <c r="DE199" s="27">
        <f t="shared" si="524"/>
        <v>0.26522961574507964</v>
      </c>
      <c r="DF199" s="133">
        <f t="shared" si="524"/>
        <v>0.26220614828209765</v>
      </c>
      <c r="DG199" s="133">
        <f t="shared" ref="DG199:DT199" si="525">IF(ISERROR((DG169-DB169)/(DG26-DB26)),"",(DG169-DB169)/(DG26-DB26))</f>
        <v>0.37398373983739835</v>
      </c>
      <c r="DH199" s="133">
        <f t="shared" si="525"/>
        <v>0.11883408071748879</v>
      </c>
      <c r="DI199" s="133">
        <f t="shared" si="525"/>
        <v>0.41247002398081534</v>
      </c>
      <c r="DJ199" s="27">
        <f t="shared" si="525"/>
        <v>0.29542097488921715</v>
      </c>
      <c r="DK199" s="133">
        <f t="shared" si="525"/>
        <v>0.32904411764705882</v>
      </c>
      <c r="DL199" s="133">
        <f t="shared" si="525"/>
        <v>0.16693418940609953</v>
      </c>
      <c r="DM199" s="133">
        <f t="shared" si="525"/>
        <v>0.17948717948717949</v>
      </c>
      <c r="DN199" s="133">
        <f t="shared" si="525"/>
        <v>0.17341581575613024</v>
      </c>
      <c r="DO199" s="27">
        <f t="shared" si="525"/>
        <v>0.26526199725818955</v>
      </c>
      <c r="DP199" s="133">
        <f t="shared" si="525"/>
        <v>1.2237841409691719</v>
      </c>
      <c r="DQ199" s="133">
        <f t="shared" si="525"/>
        <v>0.18589400521285857</v>
      </c>
      <c r="DR199" s="133">
        <f t="shared" si="525"/>
        <v>0.44469169190826469</v>
      </c>
      <c r="DS199" s="133">
        <f t="shared" si="525"/>
        <v>0.39622222222222253</v>
      </c>
      <c r="DT199" s="27">
        <f t="shared" si="525"/>
        <v>0.27247109019938198</v>
      </c>
      <c r="DU199" s="27">
        <f>IF(ISERROR((DU169-DT169)/(DU26-DT26)),"",(DU169-DT169)/(DU26-DT26))</f>
        <v>0.30135773041229763</v>
      </c>
      <c r="DV199" s="27">
        <f>IF(ISERROR((DV169-DU169)/(DV26-DU26)),"",(DV169-DU169)/(DV26-DU26))</f>
        <v>0.29638461538461597</v>
      </c>
    </row>
    <row r="200" spans="2:126" s="92" customFormat="1" hidden="1" outlineLevel="2">
      <c r="B200" s="180" t="s">
        <v>570</v>
      </c>
      <c r="C200" s="27"/>
      <c r="D200" s="27"/>
      <c r="E200" s="27"/>
      <c r="F200" s="27"/>
      <c r="G200" s="27"/>
      <c r="H200" s="27"/>
      <c r="I200" s="27"/>
      <c r="J200" s="133"/>
      <c r="K200" s="133"/>
      <c r="L200" s="133"/>
      <c r="M200" s="133"/>
      <c r="N200" s="27"/>
      <c r="O200" s="133"/>
      <c r="P200" s="133"/>
      <c r="Q200" s="133"/>
      <c r="R200" s="133"/>
      <c r="S200" s="27"/>
      <c r="T200" s="133"/>
      <c r="U200" s="133"/>
      <c r="V200" s="133"/>
      <c r="W200" s="133"/>
      <c r="X200" s="27"/>
      <c r="Y200" s="133"/>
      <c r="Z200" s="133"/>
      <c r="AA200" s="133"/>
      <c r="AB200" s="133"/>
      <c r="AC200" s="27"/>
      <c r="AD200" s="133"/>
      <c r="AE200" s="133"/>
      <c r="AF200" s="133"/>
      <c r="AG200" s="133"/>
      <c r="AH200" s="27"/>
      <c r="AI200" s="133"/>
      <c r="AJ200" s="133"/>
      <c r="AK200" s="133"/>
      <c r="AL200" s="133"/>
      <c r="AM200" s="27"/>
      <c r="AN200" s="133"/>
      <c r="AO200" s="133"/>
      <c r="AP200" s="133"/>
      <c r="AQ200" s="133"/>
      <c r="AR200" s="27"/>
      <c r="AS200" s="133"/>
      <c r="AT200" s="133"/>
      <c r="AU200" s="133"/>
      <c r="AV200" s="133"/>
      <c r="AW200" s="27"/>
      <c r="AX200" s="133"/>
      <c r="AY200" s="133"/>
      <c r="AZ200" s="133"/>
      <c r="BA200" s="133"/>
      <c r="BB200" s="27">
        <f t="shared" ref="BB200:CG200" si="526">IF(ISERROR((BB170-AW170)/(BB41-AW41)),"",(BB170-AW170)/(BB41-AW41))</f>
        <v>0.11145433145080899</v>
      </c>
      <c r="BC200" s="133">
        <f t="shared" si="526"/>
        <v>0.10944369113274433</v>
      </c>
      <c r="BD200" s="133">
        <f t="shared" si="526"/>
        <v>0.10444316485688142</v>
      </c>
      <c r="BE200" s="133">
        <f t="shared" si="526"/>
        <v>0.11309935952916739</v>
      </c>
      <c r="BF200" s="133">
        <f t="shared" si="526"/>
        <v>0.11651820709360525</v>
      </c>
      <c r="BG200" s="27">
        <f t="shared" si="526"/>
        <v>0.12228027558477995</v>
      </c>
      <c r="BH200" s="133">
        <f t="shared" si="526"/>
        <v>0.13624730691388648</v>
      </c>
      <c r="BI200" s="133">
        <f t="shared" si="526"/>
        <v>-7.1211627798784104E-3</v>
      </c>
      <c r="BJ200" s="133">
        <f t="shared" si="526"/>
        <v>5.8387932166171608E-2</v>
      </c>
      <c r="BK200" s="133">
        <f t="shared" si="526"/>
        <v>-0.22253926083878806</v>
      </c>
      <c r="BL200" s="27">
        <f t="shared" si="526"/>
        <v>0.17331544561026177</v>
      </c>
      <c r="BM200" s="133">
        <f t="shared" si="526"/>
        <v>-5.5775383673313188</v>
      </c>
      <c r="BN200" s="133">
        <f t="shared" si="526"/>
        <v>2.6312217194570122</v>
      </c>
      <c r="BO200" s="133">
        <f t="shared" si="526"/>
        <v>-3.5949870514243401</v>
      </c>
      <c r="BP200" s="133">
        <f t="shared" si="526"/>
        <v>0.27517790690082944</v>
      </c>
      <c r="BQ200" s="27">
        <f t="shared" si="526"/>
        <v>-0.682501536401246</v>
      </c>
      <c r="BR200" s="133">
        <f t="shared" si="526"/>
        <v>-1.6532705595932837</v>
      </c>
      <c r="BS200" s="133">
        <f t="shared" si="526"/>
        <v>9.6593480862356543E-2</v>
      </c>
      <c r="BT200" s="133">
        <f t="shared" si="526"/>
        <v>1.9148737012422572E-2</v>
      </c>
      <c r="BU200" s="133">
        <f t="shared" si="526"/>
        <v>-0.23725272572958081</v>
      </c>
      <c r="BV200" s="27">
        <f t="shared" si="526"/>
        <v>-0.38800395536737858</v>
      </c>
      <c r="BW200" s="133">
        <f t="shared" si="526"/>
        <v>0.19938163944823228</v>
      </c>
      <c r="BX200" s="133">
        <f t="shared" si="526"/>
        <v>-0.13408178946469845</v>
      </c>
      <c r="BY200" s="133">
        <f t="shared" si="526"/>
        <v>-0.77716117893698489</v>
      </c>
      <c r="BZ200" s="133">
        <f t="shared" si="526"/>
        <v>0.2959311082923734</v>
      </c>
      <c r="CA200" s="27">
        <f t="shared" si="526"/>
        <v>0.24935689317165644</v>
      </c>
      <c r="CB200" s="133">
        <f t="shared" si="526"/>
        <v>8.5608793260014041E-2</v>
      </c>
      <c r="CC200" s="133">
        <f t="shared" si="526"/>
        <v>-8.2214851715148654E-2</v>
      </c>
      <c r="CD200" s="133">
        <f t="shared" si="526"/>
        <v>0.11717900424892654</v>
      </c>
      <c r="CE200" s="133">
        <f t="shared" si="526"/>
        <v>0.1487164850261887</v>
      </c>
      <c r="CF200" s="27">
        <f t="shared" si="526"/>
        <v>9.6908546317147473E-2</v>
      </c>
      <c r="CG200" s="133">
        <f t="shared" si="526"/>
        <v>0.34468112353794933</v>
      </c>
      <c r="CH200" s="133">
        <f t="shared" ref="CH200:DJ200" si="527">IF(ISERROR((CH170-CC170)/(CH41-CC41)),"",(CH170-CC170)/(CH41-CC41))</f>
        <v>0.32895210772098082</v>
      </c>
      <c r="CI200" s="133">
        <f t="shared" si="527"/>
        <v>0.22479737876981687</v>
      </c>
      <c r="CJ200" s="133">
        <f t="shared" si="527"/>
        <v>0.31519534649749686</v>
      </c>
      <c r="CK200" s="27">
        <f t="shared" si="527"/>
        <v>0.29636415378923697</v>
      </c>
      <c r="CL200" s="133">
        <f t="shared" si="527"/>
        <v>7.5268817204301078E-2</v>
      </c>
      <c r="CM200" s="133">
        <f t="shared" si="527"/>
        <v>-1.5568181818181819</v>
      </c>
      <c r="CN200" s="133">
        <f t="shared" si="527"/>
        <v>6</v>
      </c>
      <c r="CO200" s="133">
        <f t="shared" si="527"/>
        <v>-0.34482758620689657</v>
      </c>
      <c r="CP200" s="27">
        <f t="shared" si="527"/>
        <v>-0.36867704280155644</v>
      </c>
      <c r="CQ200" s="133">
        <f t="shared" si="527"/>
        <v>-0.12359550561797752</v>
      </c>
      <c r="CR200" s="133">
        <f t="shared" si="527"/>
        <v>0.42156862745098039</v>
      </c>
      <c r="CS200" s="133">
        <f t="shared" si="527"/>
        <v>-4.5555555555555554</v>
      </c>
      <c r="CT200" s="133">
        <f t="shared" si="527"/>
        <v>-0.61904761904761907</v>
      </c>
      <c r="CU200" s="27">
        <f t="shared" si="527"/>
        <v>0.70135746606334837</v>
      </c>
      <c r="CV200" s="133">
        <f t="shared" si="527"/>
        <v>5.181347150259067E-2</v>
      </c>
      <c r="CW200" s="133">
        <f t="shared" si="527"/>
        <v>0.42553191489361702</v>
      </c>
      <c r="CX200" s="133">
        <f t="shared" si="527"/>
        <v>0.17543859649122806</v>
      </c>
      <c r="CY200" s="133">
        <f t="shared" si="527"/>
        <v>0.37423312883435583</v>
      </c>
      <c r="CZ200" s="27">
        <f t="shared" si="527"/>
        <v>0.29032258064516131</v>
      </c>
      <c r="DA200" s="133">
        <f t="shared" si="527"/>
        <v>6.8571428571428568</v>
      </c>
      <c r="DB200" s="133">
        <f t="shared" si="527"/>
        <v>-0.21176470588235294</v>
      </c>
      <c r="DC200" s="133">
        <f t="shared" si="527"/>
        <v>0.10231660231660232</v>
      </c>
      <c r="DD200" s="133">
        <f t="shared" si="527"/>
        <v>7.8442437923250563E-2</v>
      </c>
      <c r="DE200" s="27">
        <f t="shared" si="527"/>
        <v>0.10250987027636774</v>
      </c>
      <c r="DF200" s="133">
        <f t="shared" si="527"/>
        <v>9.2566619915848525E-2</v>
      </c>
      <c r="DG200" s="133">
        <f t="shared" si="527"/>
        <v>8.1258549931600546E-2</v>
      </c>
      <c r="DH200" s="133" t="str">
        <f t="shared" si="527"/>
        <v/>
      </c>
      <c r="DI200" s="133" t="str">
        <f t="shared" si="527"/>
        <v/>
      </c>
      <c r="DJ200" s="27">
        <f t="shared" si="527"/>
        <v>8.5180055401662055E-2</v>
      </c>
      <c r="DK200" s="133" t="str">
        <f t="shared" ref="DK200" si="528">IF(ISERROR((DK170-DF170)/(DK41-DF41)),"",(DK170-DF170)/(DK41-DF41))</f>
        <v/>
      </c>
      <c r="DL200" s="133" t="str">
        <f t="shared" ref="DL200" si="529">IF(ISERROR((DL170-DG170)/(DL41-DG41)),"",(DL170-DG170)/(DL41-DG41))</f>
        <v/>
      </c>
      <c r="DM200" s="133" t="str">
        <f t="shared" ref="DM200" si="530">IF(ISERROR((DM170-DH170)/(DM41-DH41)),"",(DM170-DH170)/(DM41-DH41))</f>
        <v/>
      </c>
      <c r="DN200" s="133" t="str">
        <f t="shared" ref="DN200" si="531">IF(ISERROR((DN170-DI170)/(DN41-DI41)),"",(DN170-DI170)/(DN41-DI41))</f>
        <v/>
      </c>
      <c r="DO200" s="27" t="str">
        <f t="shared" ref="DO200" si="532">IF(ISERROR((DO170-DJ170)/(DO41-DJ41)),"",(DO170-DJ170)/(DO41-DJ41))</f>
        <v/>
      </c>
      <c r="DP200" s="133" t="str">
        <f t="shared" ref="DP200" si="533">IF(ISERROR((DP170-DK170)/(DP41-DK41)),"",(DP170-DK170)/(DP41-DK41))</f>
        <v/>
      </c>
      <c r="DQ200" s="133" t="str">
        <f t="shared" ref="DQ200" si="534">IF(ISERROR((DQ170-DL170)/(DQ41-DL41)),"",(DQ170-DL170)/(DQ41-DL41))</f>
        <v/>
      </c>
      <c r="DR200" s="133" t="str">
        <f t="shared" ref="DR200" si="535">IF(ISERROR((DR170-DM170)/(DR41-DM41)),"",(DR170-DM170)/(DR41-DM41))</f>
        <v/>
      </c>
      <c r="DS200" s="133" t="str">
        <f t="shared" ref="DS200" si="536">IF(ISERROR((DS170-DN170)/(DS41-DN41)),"",(DS170-DN170)/(DS41-DN41))</f>
        <v/>
      </c>
      <c r="DT200" s="27" t="str">
        <f t="shared" ref="DT200" si="537">IF(ISERROR((DT170-DO170)/(DT41-DO41)),"",(DT170-DO170)/(DT41-DO41))</f>
        <v/>
      </c>
      <c r="DU200" s="27" t="str">
        <f>IF(ISERROR((DU170-DT170)/(DU41-DT41)),"",(DU170-DT170)/(DU41-DT41))</f>
        <v/>
      </c>
      <c r="DV200" s="27" t="str">
        <f>IF(ISERROR((DV170-DU170)/(DV41-DU41)),"",(DV170-DU170)/(DV41-DU41))</f>
        <v/>
      </c>
    </row>
    <row r="201" spans="2:126" s="92" customFormat="1" hidden="1" outlineLevel="2">
      <c r="B201" s="180" t="s">
        <v>569</v>
      </c>
      <c r="C201" s="27"/>
      <c r="D201" s="27"/>
      <c r="E201" s="27"/>
      <c r="F201" s="27"/>
      <c r="G201" s="27"/>
      <c r="H201" s="27"/>
      <c r="I201" s="27"/>
      <c r="J201" s="133"/>
      <c r="K201" s="133"/>
      <c r="L201" s="133"/>
      <c r="M201" s="133"/>
      <c r="N201" s="27"/>
      <c r="O201" s="133"/>
      <c r="P201" s="133"/>
      <c r="Q201" s="133"/>
      <c r="R201" s="133"/>
      <c r="S201" s="27"/>
      <c r="T201" s="133"/>
      <c r="U201" s="133"/>
      <c r="V201" s="133"/>
      <c r="W201" s="133"/>
      <c r="X201" s="27"/>
      <c r="Y201" s="133"/>
      <c r="Z201" s="133"/>
      <c r="AA201" s="133"/>
      <c r="AB201" s="133"/>
      <c r="AC201" s="27"/>
      <c r="AD201" s="133"/>
      <c r="AE201" s="133"/>
      <c r="AF201" s="133"/>
      <c r="AG201" s="133"/>
      <c r="AH201" s="27"/>
      <c r="AI201" s="133"/>
      <c r="AJ201" s="133"/>
      <c r="AK201" s="133"/>
      <c r="AL201" s="133"/>
      <c r="AM201" s="27"/>
      <c r="AN201" s="133"/>
      <c r="AO201" s="133"/>
      <c r="AP201" s="133"/>
      <c r="AQ201" s="133"/>
      <c r="AR201" s="27"/>
      <c r="AS201" s="133"/>
      <c r="AT201" s="133"/>
      <c r="AU201" s="133"/>
      <c r="AV201" s="133"/>
      <c r="AW201" s="27"/>
      <c r="AX201" s="133"/>
      <c r="AY201" s="133"/>
      <c r="AZ201" s="133"/>
      <c r="BA201" s="133"/>
      <c r="BB201" s="27">
        <f t="shared" ref="BB201:CG201" si="538">IF(ISERROR((BB171-AW171)/(BB48-AW48)),"",(BB171-AW171)/(BB48-AW48))</f>
        <v>0.14092727844259725</v>
      </c>
      <c r="BC201" s="133">
        <f t="shared" si="538"/>
        <v>0.14375116756958714</v>
      </c>
      <c r="BD201" s="133">
        <f t="shared" si="538"/>
        <v>0.15396473054630658</v>
      </c>
      <c r="BE201" s="133">
        <f t="shared" si="538"/>
        <v>0.14675084783292738</v>
      </c>
      <c r="BF201" s="133">
        <f t="shared" si="538"/>
        <v>0.13278060928732827</v>
      </c>
      <c r="BG201" s="27">
        <f t="shared" si="538"/>
        <v>-0.93646594223472213</v>
      </c>
      <c r="BH201" s="133">
        <f t="shared" si="538"/>
        <v>0.23018679809627712</v>
      </c>
      <c r="BI201" s="133">
        <f t="shared" si="538"/>
        <v>0.34306738642650247</v>
      </c>
      <c r="BJ201" s="133">
        <f t="shared" si="538"/>
        <v>0.21150173480917106</v>
      </c>
      <c r="BK201" s="133">
        <f t="shared" si="538"/>
        <v>0.48012599908974041</v>
      </c>
      <c r="BL201" s="27">
        <f t="shared" si="538"/>
        <v>0.22369797247374834</v>
      </c>
      <c r="BM201" s="133">
        <f t="shared" si="538"/>
        <v>0.16091413580869729</v>
      </c>
      <c r="BN201" s="133">
        <f t="shared" si="538"/>
        <v>-1.2557189542483655</v>
      </c>
      <c r="BO201" s="133">
        <f t="shared" si="538"/>
        <v>-3.6300783983824222E-3</v>
      </c>
      <c r="BP201" s="133">
        <f t="shared" si="538"/>
        <v>2.8679977070653846E-2</v>
      </c>
      <c r="BQ201" s="27">
        <f t="shared" si="538"/>
        <v>-9.7130348994943585</v>
      </c>
      <c r="BR201" s="133">
        <f t="shared" si="538"/>
        <v>-0.18774566566630754</v>
      </c>
      <c r="BS201" s="133">
        <f t="shared" si="538"/>
        <v>-3.178119319918288</v>
      </c>
      <c r="BT201" s="133">
        <f t="shared" si="538"/>
        <v>0.48859292144530758</v>
      </c>
      <c r="BU201" s="133">
        <f t="shared" si="538"/>
        <v>0.48553894365737404</v>
      </c>
      <c r="BV201" s="27">
        <f t="shared" si="538"/>
        <v>0.94743109507954182</v>
      </c>
      <c r="BW201" s="133">
        <f t="shared" si="538"/>
        <v>0.87346819684886234</v>
      </c>
      <c r="BX201" s="133">
        <f t="shared" si="538"/>
        <v>-0.38803205673349966</v>
      </c>
      <c r="BY201" s="133">
        <f t="shared" si="538"/>
        <v>0.30695816529488679</v>
      </c>
      <c r="BZ201" s="133">
        <f t="shared" si="538"/>
        <v>0.16508989503145496</v>
      </c>
      <c r="CA201" s="27">
        <f t="shared" si="538"/>
        <v>9.5174688830205439E-2</v>
      </c>
      <c r="CB201" s="133">
        <f t="shared" si="538"/>
        <v>0.30346215195017068</v>
      </c>
      <c r="CC201" s="133">
        <f t="shared" si="538"/>
        <v>1.9519016274545725E-3</v>
      </c>
      <c r="CD201" s="133">
        <f t="shared" si="538"/>
        <v>-0.10961437547309129</v>
      </c>
      <c r="CE201" s="133">
        <f t="shared" si="538"/>
        <v>-3.7242101087505818E-4</v>
      </c>
      <c r="CF201" s="27">
        <f t="shared" si="538"/>
        <v>3.3407074939907862E-2</v>
      </c>
      <c r="CG201" s="133">
        <f t="shared" si="538"/>
        <v>-0.14760309058311274</v>
      </c>
      <c r="CH201" s="133">
        <f t="shared" ref="CH201:DJ201" si="539">IF(ISERROR((CH171-CC171)/(CH48-CC48)),"",(CH171-CC171)/(CH48-CC48))</f>
        <v>0.20992597718016703</v>
      </c>
      <c r="CI201" s="133">
        <f t="shared" si="539"/>
        <v>8.7408308538829513E-2</v>
      </c>
      <c r="CJ201" s="133">
        <f t="shared" si="539"/>
        <v>0.35351442070538908</v>
      </c>
      <c r="CK201" s="27">
        <f t="shared" si="539"/>
        <v>0.14956205703199416</v>
      </c>
      <c r="CL201" s="133">
        <f t="shared" si="539"/>
        <v>0.44144144144144143</v>
      </c>
      <c r="CM201" s="133">
        <f t="shared" si="539"/>
        <v>1.1793478260869565</v>
      </c>
      <c r="CN201" s="133">
        <f t="shared" si="539"/>
        <v>0.40340909090909088</v>
      </c>
      <c r="CO201" s="133">
        <f t="shared" si="539"/>
        <v>0.22857142857142856</v>
      </c>
      <c r="CP201" s="27">
        <f t="shared" si="539"/>
        <v>0.69867549668874174</v>
      </c>
      <c r="CQ201" s="133">
        <f t="shared" si="539"/>
        <v>-0.82692307692307687</v>
      </c>
      <c r="CR201" s="133">
        <f t="shared" si="539"/>
        <v>0.4432234432234432</v>
      </c>
      <c r="CS201" s="133">
        <f t="shared" si="539"/>
        <v>0.30102040816326531</v>
      </c>
      <c r="CT201" s="133">
        <f t="shared" si="539"/>
        <v>0.28615384615384615</v>
      </c>
      <c r="CU201" s="27">
        <f t="shared" si="539"/>
        <v>0.22448979591836735</v>
      </c>
      <c r="CV201" s="133">
        <f t="shared" si="539"/>
        <v>0.40977443609022557</v>
      </c>
      <c r="CW201" s="133">
        <f t="shared" si="539"/>
        <v>0.43091334894613581</v>
      </c>
      <c r="CX201" s="133">
        <f t="shared" si="539"/>
        <v>0.33035714285714285</v>
      </c>
      <c r="CY201" s="133">
        <f t="shared" si="539"/>
        <v>-0.28215767634854771</v>
      </c>
      <c r="CZ201" s="27">
        <f t="shared" si="539"/>
        <v>0.71745562130177509</v>
      </c>
      <c r="DA201" s="133">
        <f t="shared" si="539"/>
        <v>-0.3611111111111111</v>
      </c>
      <c r="DB201" s="133">
        <f t="shared" si="539"/>
        <v>0.17873303167420815</v>
      </c>
      <c r="DC201" s="133">
        <f t="shared" si="539"/>
        <v>0.11310494834148994</v>
      </c>
      <c r="DD201" s="133">
        <f t="shared" si="539"/>
        <v>0.10195121951219512</v>
      </c>
      <c r="DE201" s="27">
        <f t="shared" si="539"/>
        <v>0.10789766407119021</v>
      </c>
      <c r="DF201" s="133">
        <f t="shared" si="539"/>
        <v>9.1255788613456817E-2</v>
      </c>
      <c r="DG201" s="133">
        <f t="shared" si="539"/>
        <v>0.10675</v>
      </c>
      <c r="DH201" s="133" t="str">
        <f t="shared" si="539"/>
        <v/>
      </c>
      <c r="DI201" s="133" t="str">
        <f t="shared" si="539"/>
        <v/>
      </c>
      <c r="DJ201" s="27">
        <f t="shared" si="539"/>
        <v>9.685829748403077E-2</v>
      </c>
      <c r="DK201" s="133" t="str">
        <f t="shared" ref="DK201" si="540">IF(ISERROR((DK171-DF171)/(DK48-DF48)),"",(DK171-DF171)/(DK48-DF48))</f>
        <v/>
      </c>
      <c r="DL201" s="133" t="str">
        <f t="shared" ref="DL201" si="541">IF(ISERROR((DL171-DG171)/(DL48-DG48)),"",(DL171-DG171)/(DL48-DG48))</f>
        <v/>
      </c>
      <c r="DM201" s="133" t="str">
        <f t="shared" ref="DM201" si="542">IF(ISERROR((DM171-DH171)/(DM48-DH48)),"",(DM171-DH171)/(DM48-DH48))</f>
        <v/>
      </c>
      <c r="DN201" s="133" t="str">
        <f t="shared" ref="DN201" si="543">IF(ISERROR((DN171-DI171)/(DN48-DI48)),"",(DN171-DI171)/(DN48-DI48))</f>
        <v/>
      </c>
      <c r="DO201" s="27" t="str">
        <f t="shared" ref="DO201" si="544">IF(ISERROR((DO171-DJ171)/(DO48-DJ48)),"",(DO171-DJ171)/(DO48-DJ48))</f>
        <v/>
      </c>
      <c r="DP201" s="133" t="str">
        <f t="shared" ref="DP201" si="545">IF(ISERROR((DP171-DK171)/(DP48-DK48)),"",(DP171-DK171)/(DP48-DK48))</f>
        <v/>
      </c>
      <c r="DQ201" s="133" t="str">
        <f t="shared" ref="DQ201" si="546">IF(ISERROR((DQ171-DL171)/(DQ48-DL48)),"",(DQ171-DL171)/(DQ48-DL48))</f>
        <v/>
      </c>
      <c r="DR201" s="133" t="str">
        <f t="shared" ref="DR201" si="547">IF(ISERROR((DR171-DM171)/(DR48-DM48)),"",(DR171-DM171)/(DR48-DM48))</f>
        <v/>
      </c>
      <c r="DS201" s="133" t="str">
        <f t="shared" ref="DS201" si="548">IF(ISERROR((DS171-DN171)/(DS48-DN48)),"",(DS171-DN171)/(DS48-DN48))</f>
        <v/>
      </c>
      <c r="DT201" s="27" t="str">
        <f t="shared" ref="DT201" si="549">IF(ISERROR((DT171-DO171)/(DT48-DO48)),"",(DT171-DO171)/(DT48-DO48))</f>
        <v/>
      </c>
      <c r="DU201" s="27" t="str">
        <f>IF(ISERROR((DU171-DT171)/(DU48-DT48)),"",(DU171-DT171)/(DU48-DT48))</f>
        <v/>
      </c>
      <c r="DV201" s="27" t="str">
        <f>IF(ISERROR((DV171-DU171)/(DV48-DU48)),"",(DV171-DU171)/(DV48-DU48))</f>
        <v/>
      </c>
    </row>
    <row r="202" spans="2:126" s="92" customFormat="1" hidden="1" outlineLevel="1">
      <c r="B202" s="41" t="s">
        <v>629</v>
      </c>
      <c r="C202" s="27"/>
      <c r="D202" s="27"/>
      <c r="E202" s="27"/>
      <c r="F202" s="27"/>
      <c r="G202" s="27"/>
      <c r="H202" s="27"/>
      <c r="I202" s="27"/>
      <c r="J202" s="133"/>
      <c r="K202" s="133"/>
      <c r="L202" s="133"/>
      <c r="M202" s="133"/>
      <c r="N202" s="27"/>
      <c r="O202" s="133"/>
      <c r="P202" s="133"/>
      <c r="Q202" s="133"/>
      <c r="R202" s="133"/>
      <c r="S202" s="27"/>
      <c r="T202" s="133"/>
      <c r="U202" s="133"/>
      <c r="V202" s="133"/>
      <c r="W202" s="133"/>
      <c r="X202" s="27"/>
      <c r="Y202" s="133"/>
      <c r="Z202" s="133"/>
      <c r="AA202" s="133"/>
      <c r="AB202" s="133"/>
      <c r="AC202" s="27"/>
      <c r="AD202" s="133"/>
      <c r="AE202" s="133"/>
      <c r="AF202" s="133"/>
      <c r="AG202" s="133"/>
      <c r="AH202" s="27"/>
      <c r="AI202" s="133"/>
      <c r="AJ202" s="133"/>
      <c r="AK202" s="133"/>
      <c r="AL202" s="133"/>
      <c r="AM202" s="27"/>
      <c r="AN202" s="133"/>
      <c r="AO202" s="133"/>
      <c r="AP202" s="133"/>
      <c r="AQ202" s="133"/>
      <c r="AR202" s="27"/>
      <c r="AS202" s="133"/>
      <c r="AT202" s="133"/>
      <c r="AU202" s="133"/>
      <c r="AV202" s="133"/>
      <c r="AW202" s="27"/>
      <c r="AX202" s="133"/>
      <c r="AY202" s="133"/>
      <c r="AZ202" s="133"/>
      <c r="BA202" s="133"/>
      <c r="BB202" s="27"/>
      <c r="BC202" s="133"/>
      <c r="BD202" s="133"/>
      <c r="BE202" s="133"/>
      <c r="BF202" s="133"/>
      <c r="BG202" s="27"/>
      <c r="BH202" s="133"/>
      <c r="BI202" s="133"/>
      <c r="BJ202" s="133"/>
      <c r="BK202" s="133"/>
      <c r="BL202" s="27"/>
      <c r="BM202" s="133"/>
      <c r="BN202" s="133"/>
      <c r="BO202" s="133"/>
      <c r="BP202" s="133"/>
      <c r="BQ202" s="27"/>
      <c r="BR202" s="133"/>
      <c r="BS202" s="133"/>
      <c r="BT202" s="133"/>
      <c r="BU202" s="133"/>
      <c r="BV202" s="27"/>
      <c r="BW202" s="133"/>
      <c r="BX202" s="133"/>
      <c r="BY202" s="133"/>
      <c r="BZ202" s="133"/>
      <c r="CA202" s="27"/>
      <c r="CB202" s="133"/>
      <c r="CC202" s="133"/>
      <c r="CD202" s="133"/>
      <c r="CE202" s="133"/>
      <c r="CF202" s="27"/>
      <c r="CG202" s="133"/>
      <c r="CH202" s="133"/>
      <c r="CI202" s="133"/>
      <c r="CJ202" s="133"/>
      <c r="CK202" s="27"/>
      <c r="CL202" s="133"/>
      <c r="CM202" s="133"/>
      <c r="CN202" s="133"/>
      <c r="CO202" s="133"/>
      <c r="CP202" s="27"/>
      <c r="CQ202" s="133"/>
      <c r="CR202" s="133"/>
      <c r="CS202" s="133"/>
      <c r="CT202" s="133"/>
      <c r="CU202" s="27"/>
      <c r="CV202" s="133">
        <f t="shared" ref="CV202:DJ202" si="550">IF(ISERROR((CV172-CQ172)/(CV50-CQ50)),"",(CV172-CQ172)/(CV50-CQ50))</f>
        <v>0.21621993788333627</v>
      </c>
      <c r="CW202" s="133">
        <f t="shared" si="550"/>
        <v>0.40450484318020502</v>
      </c>
      <c r="CX202" s="133">
        <f t="shared" si="550"/>
        <v>0.26741768584713421</v>
      </c>
      <c r="CY202" s="133">
        <f t="shared" si="550"/>
        <v>5.6370146740332796</v>
      </c>
      <c r="CZ202" s="27">
        <f t="shared" si="550"/>
        <v>0.46132404181184666</v>
      </c>
      <c r="DA202" s="133">
        <f t="shared" si="550"/>
        <v>-0.3256880733944954</v>
      </c>
      <c r="DB202" s="133">
        <f t="shared" si="550"/>
        <v>0.14638447971781304</v>
      </c>
      <c r="DC202" s="133">
        <f t="shared" si="550"/>
        <v>-0.75609756097560976</v>
      </c>
      <c r="DD202" s="133">
        <f t="shared" si="550"/>
        <v>0.21333333333333335</v>
      </c>
      <c r="DE202" s="27">
        <f t="shared" si="550"/>
        <v>-5.4514480408858604E-2</v>
      </c>
      <c r="DF202" s="133">
        <f t="shared" si="550"/>
        <v>0.12534059945504086</v>
      </c>
      <c r="DG202" s="133">
        <f t="shared" si="550"/>
        <v>-0.3949579831932773</v>
      </c>
      <c r="DH202" s="133">
        <f t="shared" si="550"/>
        <v>-1.058139534883721</v>
      </c>
      <c r="DI202" s="133">
        <f t="shared" si="550"/>
        <v>0.4059040590405904</v>
      </c>
      <c r="DJ202" s="27">
        <f t="shared" si="550"/>
        <v>0.67898383371824478</v>
      </c>
      <c r="DK202" s="133">
        <f t="shared" ref="DK202" si="551">IF(ISERROR((DK172-DF172)/(DK50-DF50)),"",(DK172-DF172)/(DK50-DF50))</f>
        <v>-0.15047021943573669</v>
      </c>
      <c r="DL202" s="133">
        <f t="shared" ref="DL202" si="552">IF(ISERROR((DL172-DG172)/(DL50-DG50)),"",(DL172-DG172)/(DL50-DG50))</f>
        <v>0.23809523809523808</v>
      </c>
      <c r="DM202" s="133">
        <f t="shared" ref="DM202" si="553">IF(ISERROR((DM172-DH172)/(DM50-DH50)),"",(DM172-DH172)/(DM50-DH50))</f>
        <v>0.30045523520485584</v>
      </c>
      <c r="DN202" s="133">
        <f t="shared" ref="DN202" si="554">IF(ISERROR((DN172-DI172)/(DN50-DI50)),"",(DN172-DI172)/(DN50-DI50))</f>
        <v>0.66839178426715151</v>
      </c>
      <c r="DO202" s="27">
        <f t="shared" ref="DO202" si="555">IF(ISERROR((DO172-DJ172)/(DO50-DJ50)),"",(DO172-DJ172)/(DO50-DJ50))</f>
        <v>0.49455263541997585</v>
      </c>
      <c r="DP202" s="133">
        <f t="shared" ref="DP202" si="556">IF(ISERROR((DP172-DK172)/(DP50-DK50)),"",(DP172-DK172)/(DP50-DK50))</f>
        <v>0.2148562415502478</v>
      </c>
      <c r="DQ202" s="133">
        <f t="shared" ref="DQ202" si="557">IF(ISERROR((DQ172-DL172)/(DQ50-DL50)),"",(DQ172-DL172)/(DQ50-DL50))</f>
        <v>0.17356998350884931</v>
      </c>
      <c r="DR202" s="133">
        <f t="shared" ref="DR202" si="558">IF(ISERROR((DR172-DM172)/(DR50-DM50)),"",(DR172-DM172)/(DR50-DM50))</f>
        <v>8.2148095576058539E-2</v>
      </c>
      <c r="DS202" s="133">
        <f t="shared" ref="DS202" si="559">IF(ISERROR((DS172-DN172)/(DS50-DN50)),"",(DS172-DN172)/(DS50-DN50))</f>
        <v>0.2092857142857141</v>
      </c>
      <c r="DT202" s="27">
        <f t="shared" ref="DT202" si="560">IF(ISERROR((DT172-DO172)/(DT50-DO50)),"",(DT172-DO172)/(DT50-DO50))</f>
        <v>0.17365775135272457</v>
      </c>
      <c r="DU202" s="27">
        <f>IF(ISERROR((DU172-DT172)/(DU50-DT50)),"",(DU172-DT172)/(DU50-DT50))</f>
        <v>0.15570183972335447</v>
      </c>
      <c r="DV202" s="27">
        <f>IF(ISERROR((DV172-DU172)/(DV50-DU50)),"",(DV172-DU172)/(DV50-DU50))</f>
        <v>0.1612156862745098</v>
      </c>
    </row>
    <row r="203" spans="2:126" s="37" customFormat="1" hidden="1" outlineLevel="1">
      <c r="B203" s="44" t="s">
        <v>517</v>
      </c>
      <c r="C203" s="136"/>
      <c r="D203" s="136"/>
      <c r="E203" s="136"/>
      <c r="F203" s="136"/>
      <c r="G203" s="136"/>
      <c r="H203" s="136"/>
      <c r="I203" s="136"/>
      <c r="J203" s="135"/>
      <c r="K203" s="135"/>
      <c r="L203" s="135"/>
      <c r="M203" s="135"/>
      <c r="N203" s="136"/>
      <c r="O203" s="135">
        <f t="shared" ref="O203:AT203" si="561">IF(ISERROR((O173-J173)/(O62-J62)),"",(O173-J173)/(O62-J62))</f>
        <v>1.1622807017543859</v>
      </c>
      <c r="P203" s="135">
        <f t="shared" si="561"/>
        <v>0.20070011668611434</v>
      </c>
      <c r="Q203" s="135">
        <f t="shared" si="561"/>
        <v>0.22323759791122716</v>
      </c>
      <c r="R203" s="135">
        <f t="shared" si="561"/>
        <v>0.20204313280363223</v>
      </c>
      <c r="S203" s="136">
        <f t="shared" si="561"/>
        <v>0.28770131771595903</v>
      </c>
      <c r="T203" s="135">
        <f t="shared" si="561"/>
        <v>0.20940170940170941</v>
      </c>
      <c r="U203" s="135">
        <f t="shared" si="561"/>
        <v>0.34116331096196867</v>
      </c>
      <c r="V203" s="135">
        <f t="shared" si="561"/>
        <v>0.22807017543859648</v>
      </c>
      <c r="W203" s="135">
        <f t="shared" si="561"/>
        <v>-8.1081081081081086E-2</v>
      </c>
      <c r="X203" s="136">
        <f t="shared" si="561"/>
        <v>0.820627802690583</v>
      </c>
      <c r="Y203" s="135">
        <f t="shared" si="561"/>
        <v>0.50731707317073171</v>
      </c>
      <c r="Z203" s="135">
        <f t="shared" si="561"/>
        <v>0.5</v>
      </c>
      <c r="AA203" s="135">
        <f t="shared" si="561"/>
        <v>1.054945054945055</v>
      </c>
      <c r="AB203" s="135">
        <f t="shared" si="561"/>
        <v>5.2598425196850394E-2</v>
      </c>
      <c r="AC203" s="136">
        <f t="shared" si="561"/>
        <v>0.15253288553036665</v>
      </c>
      <c r="AD203" s="135">
        <f t="shared" si="561"/>
        <v>0.10097431355181577</v>
      </c>
      <c r="AE203" s="135">
        <f t="shared" si="561"/>
        <v>0.10296684118673648</v>
      </c>
      <c r="AF203" s="135">
        <f t="shared" si="561"/>
        <v>0.132429614181439</v>
      </c>
      <c r="AG203" s="135">
        <f t="shared" si="561"/>
        <v>-0.27968337730870713</v>
      </c>
      <c r="AH203" s="136">
        <f t="shared" si="561"/>
        <v>0.1628721541155867</v>
      </c>
      <c r="AI203" s="135">
        <f t="shared" si="561"/>
        <v>0.11029411764705882</v>
      </c>
      <c r="AJ203" s="135">
        <f t="shared" si="561"/>
        <v>0.10021786492374728</v>
      </c>
      <c r="AK203" s="135">
        <f t="shared" si="561"/>
        <v>2.7586206896551724E-2</v>
      </c>
      <c r="AL203" s="135">
        <f t="shared" si="561"/>
        <v>-0.30158730158730157</v>
      </c>
      <c r="AM203" s="136">
        <f t="shared" si="561"/>
        <v>0.21345029239766081</v>
      </c>
      <c r="AN203" s="135">
        <f t="shared" si="561"/>
        <v>-0.12820512820512819</v>
      </c>
      <c r="AO203" s="135">
        <f t="shared" si="561"/>
        <v>25.153846153846153</v>
      </c>
      <c r="AP203" s="135">
        <f t="shared" si="561"/>
        <v>0.39772727272727271</v>
      </c>
      <c r="AQ203" s="135">
        <f t="shared" si="561"/>
        <v>0.15865921787709497</v>
      </c>
      <c r="AR203" s="136">
        <f t="shared" si="561"/>
        <v>-5.4824561403508769E-2</v>
      </c>
      <c r="AS203" s="135">
        <f t="shared" si="561"/>
        <v>1.2302158273381294</v>
      </c>
      <c r="AT203" s="135">
        <f t="shared" si="561"/>
        <v>6.3055555555555554</v>
      </c>
      <c r="AU203" s="135">
        <f t="shared" ref="AU203:BZ203" si="562">IF(ISERROR((AU173-AP173)/(AU62-AP62)),"",(AU173-AP173)/(AU62-AP62))</f>
        <v>0.32402234636871508</v>
      </c>
      <c r="AV203" s="135">
        <f t="shared" si="562"/>
        <v>3.612903225806452E-2</v>
      </c>
      <c r="AW203" s="136">
        <f t="shared" si="562"/>
        <v>0.10318021201413427</v>
      </c>
      <c r="AX203" s="135">
        <f t="shared" si="562"/>
        <v>0.86388362883082526</v>
      </c>
      <c r="AY203" s="135">
        <f t="shared" si="562"/>
        <v>-2.6590169363394809</v>
      </c>
      <c r="AZ203" s="135">
        <f t="shared" si="562"/>
        <v>3.9975635215709342E-2</v>
      </c>
      <c r="BA203" s="135">
        <f t="shared" si="562"/>
        <v>-6.1108184657013141E-2</v>
      </c>
      <c r="BB203" s="136">
        <f t="shared" si="562"/>
        <v>2.4909528097582734E-2</v>
      </c>
      <c r="BC203" s="135">
        <f t="shared" si="562"/>
        <v>0.15264424804532425</v>
      </c>
      <c r="BD203" s="135">
        <f t="shared" si="562"/>
        <v>0.16696739091053875</v>
      </c>
      <c r="BE203" s="135">
        <f t="shared" si="562"/>
        <v>1.2875675136684486</v>
      </c>
      <c r="BF203" s="135">
        <f t="shared" si="562"/>
        <v>-2.1344370228862908</v>
      </c>
      <c r="BG203" s="136">
        <f t="shared" si="562"/>
        <v>0.28074504305976783</v>
      </c>
      <c r="BH203" s="135">
        <f t="shared" si="562"/>
        <v>-0.12189786316984148</v>
      </c>
      <c r="BI203" s="135">
        <f t="shared" si="562"/>
        <v>-0.66617891660016826</v>
      </c>
      <c r="BJ203" s="135">
        <f t="shared" si="562"/>
        <v>8.8754324745647342</v>
      </c>
      <c r="BK203" s="135">
        <f t="shared" si="562"/>
        <v>0.54480281152343468</v>
      </c>
      <c r="BL203" s="136">
        <f t="shared" si="562"/>
        <v>-2.6270613357176891</v>
      </c>
      <c r="BM203" s="135">
        <f t="shared" si="562"/>
        <v>-1.1796857641575023</v>
      </c>
      <c r="BN203" s="135">
        <f t="shared" si="562"/>
        <v>-1.0577804339711097</v>
      </c>
      <c r="BO203" s="135">
        <f t="shared" si="562"/>
        <v>1.4735881232170864</v>
      </c>
      <c r="BP203" s="135">
        <f t="shared" si="562"/>
        <v>1.82365197279115</v>
      </c>
      <c r="BQ203" s="136">
        <f t="shared" si="562"/>
        <v>5.8123417434303999</v>
      </c>
      <c r="BR203" s="135">
        <f t="shared" si="562"/>
        <v>-0.47457651872520079</v>
      </c>
      <c r="BS203" s="135">
        <f t="shared" si="562"/>
        <v>0.60759121276107986</v>
      </c>
      <c r="BT203" s="135">
        <f t="shared" si="562"/>
        <v>7.8342375012097371E-2</v>
      </c>
      <c r="BU203" s="135">
        <f t="shared" si="562"/>
        <v>-0.83966133763025463</v>
      </c>
      <c r="BV203" s="136">
        <f t="shared" si="562"/>
        <v>-8.7669907762094518E-2</v>
      </c>
      <c r="BW203" s="135">
        <f t="shared" si="562"/>
        <v>8.9175597550131575E-2</v>
      </c>
      <c r="BX203" s="135">
        <f t="shared" si="562"/>
        <v>-0.64084208316616531</v>
      </c>
      <c r="BY203" s="135">
        <f t="shared" si="562"/>
        <v>1.8699561306252784E-2</v>
      </c>
      <c r="BZ203" s="135">
        <f t="shared" si="562"/>
        <v>0.11936944141443241</v>
      </c>
      <c r="CA203" s="136">
        <f t="shared" ref="CA203:DF203" si="563">IF(ISERROR((CA173-BV173)/(CA62-BV62)),"",(CA173-BV173)/(CA62-BV62))</f>
        <v>-1.5724618838682706E-2</v>
      </c>
      <c r="CB203" s="135">
        <f t="shared" si="563"/>
        <v>0.21383543061274368</v>
      </c>
      <c r="CC203" s="135">
        <f t="shared" si="563"/>
        <v>0.15821380609512248</v>
      </c>
      <c r="CD203" s="135">
        <f t="shared" si="563"/>
        <v>0.13803682678890497</v>
      </c>
      <c r="CE203" s="135">
        <f t="shared" si="563"/>
        <v>0.13014868672287166</v>
      </c>
      <c r="CF203" s="136">
        <f t="shared" si="563"/>
        <v>0.15554500885180583</v>
      </c>
      <c r="CG203" s="135">
        <f t="shared" si="563"/>
        <v>0.1498646581734224</v>
      </c>
      <c r="CH203" s="135">
        <f t="shared" si="563"/>
        <v>0.23739840883504984</v>
      </c>
      <c r="CI203" s="135">
        <f t="shared" si="563"/>
        <v>0.24685026496125187</v>
      </c>
      <c r="CJ203" s="135">
        <f t="shared" si="563"/>
        <v>1.2414263752650208</v>
      </c>
      <c r="CK203" s="136">
        <f t="shared" si="563"/>
        <v>0.23438342611532867</v>
      </c>
      <c r="CL203" s="135">
        <f t="shared" si="563"/>
        <v>-0.71728507658486607</v>
      </c>
      <c r="CM203" s="135">
        <f t="shared" si="563"/>
        <v>0.66142824219115137</v>
      </c>
      <c r="CN203" s="135">
        <f t="shared" si="563"/>
        <v>0.55701627155659506</v>
      </c>
      <c r="CO203" s="135">
        <f t="shared" si="563"/>
        <v>-1.7524364624835376</v>
      </c>
      <c r="CP203" s="136">
        <f t="shared" si="563"/>
        <v>0.53709660682785099</v>
      </c>
      <c r="CQ203" s="135">
        <f t="shared" si="563"/>
        <v>1.170823999375608</v>
      </c>
      <c r="CR203" s="135">
        <f t="shared" si="563"/>
        <v>0.61178770983307185</v>
      </c>
      <c r="CS203" s="135">
        <f t="shared" si="563"/>
        <v>0.41176207436354584</v>
      </c>
      <c r="CT203" s="135">
        <f t="shared" si="563"/>
        <v>-0.32859015570267081</v>
      </c>
      <c r="CU203" s="136">
        <f t="shared" si="563"/>
        <v>-3.6132075471698113</v>
      </c>
      <c r="CV203" s="135">
        <f t="shared" si="563"/>
        <v>-0.56490122923251873</v>
      </c>
      <c r="CW203" s="135">
        <f t="shared" si="563"/>
        <v>-0.23148656772860682</v>
      </c>
      <c r="CX203" s="135">
        <f t="shared" si="563"/>
        <v>-1.926711512598531</v>
      </c>
      <c r="CY203" s="135">
        <f t="shared" si="563"/>
        <v>-0.36619257119406529</v>
      </c>
      <c r="CZ203" s="136">
        <f t="shared" si="563"/>
        <v>0.27103499627699179</v>
      </c>
      <c r="DA203" s="135">
        <f t="shared" si="563"/>
        <v>0.16488651535380508</v>
      </c>
      <c r="DB203" s="135">
        <f t="shared" si="563"/>
        <v>0.19790104947526238</v>
      </c>
      <c r="DC203" s="135">
        <f t="shared" si="563"/>
        <v>-7.3989102380269567E-2</v>
      </c>
      <c r="DD203" s="135">
        <f t="shared" si="563"/>
        <v>0.17557251908396945</v>
      </c>
      <c r="DE203" s="136">
        <f t="shared" si="563"/>
        <v>0.66251354279523289</v>
      </c>
      <c r="DF203" s="135">
        <f t="shared" si="563"/>
        <v>8.943089430894309E-2</v>
      </c>
      <c r="DG203" s="135">
        <f t="shared" ref="DG203:DJ203" si="564">IF(ISERROR((DG173-DB173)/(DG62-DB62)),"",(DG173-DB173)/(DG62-DB62))</f>
        <v>0.25609756097560976</v>
      </c>
      <c r="DH203" s="135">
        <f t="shared" si="564"/>
        <v>4.9509433962264149E-2</v>
      </c>
      <c r="DI203" s="135">
        <f t="shared" si="564"/>
        <v>0.35023584905660377</v>
      </c>
      <c r="DJ203" s="136">
        <f t="shared" si="564"/>
        <v>0.12508411843876177</v>
      </c>
      <c r="DK203" s="135">
        <f t="shared" ref="DK203" si="565">IF(ISERROR((DK173-DF173)/(DK62-DF62)),"",(DK173-DF173)/(DK62-DF62))</f>
        <v>0.38661338661338662</v>
      </c>
      <c r="DL203" s="135">
        <f t="shared" ref="DL203" si="566">IF(ISERROR((DL173-DG173)/(DL62-DG62)),"",(DL173-DG173)/(DL62-DG62))</f>
        <v>0.15363128491620112</v>
      </c>
      <c r="DM203" s="135">
        <f t="shared" ref="DM203" si="567">IF(ISERROR((DM173-DH173)/(DM62-DH62)),"",(DM173-DH173)/(DM62-DH62))</f>
        <v>0.18836333193804938</v>
      </c>
      <c r="DN203" s="135">
        <f t="shared" ref="DN203" si="568">IF(ISERROR((DN173-DI173)/(DN62-DI62)),"",(DN173-DI173)/(DN62-DI62))</f>
        <v>0.11012340506511768</v>
      </c>
      <c r="DO203" s="136">
        <f t="shared" ref="DO203" si="569">IF(ISERROR((DO173-DJ173)/(DO62-DJ62)),"",(DO173-DJ173)/(DO62-DJ62))</f>
        <v>0.20879519020312332</v>
      </c>
      <c r="DP203" s="135">
        <f t="shared" ref="DP203" si="570">IF(ISERROR((DP173-DK173)/(DP62-DK62)),"",(DP173-DK173)/(DP62-DK62))</f>
        <v>7.5891690549593702E-2</v>
      </c>
      <c r="DQ203" s="135">
        <f t="shared" ref="DQ203" si="571">IF(ISERROR((DQ173-DL173)/(DQ62-DL62)),"",(DQ173-DL173)/(DQ62-DL62))</f>
        <v>0.12726478960946527</v>
      </c>
      <c r="DR203" s="135">
        <f t="shared" ref="DR203" si="572">IF(ISERROR((DR173-DM173)/(DR62-DM62)),"",(DR173-DM173)/(DR62-DM62))</f>
        <v>0.20502532156741188</v>
      </c>
      <c r="DS203" s="135">
        <f t="shared" ref="DS203" si="573">IF(ISERROR((DS173-DN173)/(DS62-DN62)),"",(DS173-DN173)/(DS62-DN62))</f>
        <v>0.23711376925495867</v>
      </c>
      <c r="DT203" s="136">
        <f t="shared" ref="DT203" si="574">IF(ISERROR((DT173-DO173)/(DT62-DO62)),"",(DT173-DO173)/(DT62-DO62))</f>
        <v>0.15898786824776406</v>
      </c>
      <c r="DU203" s="136">
        <f>IF(ISERROR((DU173-DT173)/(DU62-DT62)),"",(DU173-DT173)/(DU62-DT62))</f>
        <v>0.17733027385074299</v>
      </c>
      <c r="DV203" s="136">
        <f>IF(ISERROR((DV173-DU173)/(DV62-DU62)),"",(DV173-DU173)/(DV62-DU62))</f>
        <v>0.18179732212350352</v>
      </c>
    </row>
    <row r="204" spans="2:126" s="37" customFormat="1" hidden="1" outlineLevel="1">
      <c r="B204" s="44" t="s">
        <v>237</v>
      </c>
      <c r="C204" s="136"/>
      <c r="D204" s="136"/>
      <c r="E204" s="136"/>
      <c r="F204" s="136"/>
      <c r="G204" s="136" t="str">
        <f>IF(ISERROR((G178-B178)/(G62-B62)),"",(G178-B178)/(G62-B62))</f>
        <v/>
      </c>
      <c r="H204" s="136"/>
      <c r="I204" s="136"/>
      <c r="J204" s="135"/>
      <c r="K204" s="135"/>
      <c r="L204" s="135"/>
      <c r="M204" s="135"/>
      <c r="N204" s="136"/>
      <c r="O204" s="135">
        <f t="shared" ref="O204:AT204" si="575">IF(ISERROR((O178-J178)/(O62-J62)),"",(O178-J178)/(O62-J62))</f>
        <v>0.25438596491228072</v>
      </c>
      <c r="P204" s="135">
        <f t="shared" si="575"/>
        <v>0.22170361726954493</v>
      </c>
      <c r="Q204" s="135">
        <f t="shared" si="575"/>
        <v>0.2258485639686684</v>
      </c>
      <c r="R204" s="135">
        <f t="shared" si="575"/>
        <v>7.8320090805902381E-2</v>
      </c>
      <c r="S204" s="136">
        <f t="shared" si="575"/>
        <v>0.17935578330893118</v>
      </c>
      <c r="T204" s="135">
        <f t="shared" si="575"/>
        <v>0.26923076923076922</v>
      </c>
      <c r="U204" s="135">
        <f t="shared" si="575"/>
        <v>0.34228187919463088</v>
      </c>
      <c r="V204" s="135">
        <f t="shared" si="575"/>
        <v>0.31359649122807015</v>
      </c>
      <c r="W204" s="135">
        <f t="shared" si="575"/>
        <v>-0.11405405405405405</v>
      </c>
      <c r="X204" s="136">
        <f t="shared" si="575"/>
        <v>1.0403587443946187</v>
      </c>
      <c r="Y204" s="135">
        <f t="shared" si="575"/>
        <v>0.10731707317073171</v>
      </c>
      <c r="Z204" s="135">
        <f t="shared" si="575"/>
        <v>-0.28431372549019607</v>
      </c>
      <c r="AA204" s="135">
        <f t="shared" si="575"/>
        <v>0.56043956043956045</v>
      </c>
      <c r="AB204" s="135">
        <f t="shared" si="575"/>
        <v>5.7007874015748035E-2</v>
      </c>
      <c r="AC204" s="136">
        <f t="shared" si="575"/>
        <v>9.8516652672823959E-2</v>
      </c>
      <c r="AD204" s="135">
        <f t="shared" si="575"/>
        <v>0.16563330380868024</v>
      </c>
      <c r="AE204" s="135">
        <f t="shared" si="575"/>
        <v>0.11954624781849912</v>
      </c>
      <c r="AF204" s="135">
        <f t="shared" si="575"/>
        <v>0.17205422314911367</v>
      </c>
      <c r="AG204" s="135">
        <f t="shared" si="575"/>
        <v>-8.7071240105540904E-2</v>
      </c>
      <c r="AH204" s="136">
        <f t="shared" si="575"/>
        <v>0.18283712784588441</v>
      </c>
      <c r="AI204" s="135">
        <f t="shared" si="575"/>
        <v>0.36764705882352944</v>
      </c>
      <c r="AJ204" s="135">
        <f t="shared" si="575"/>
        <v>-6.1002178649237473E-2</v>
      </c>
      <c r="AK204" s="135">
        <f t="shared" si="575"/>
        <v>-0.22068965517241379</v>
      </c>
      <c r="AL204" s="135">
        <f t="shared" si="575"/>
        <v>-0.3888888888888889</v>
      </c>
      <c r="AM204" s="136">
        <f t="shared" si="575"/>
        <v>-0.17836257309941519</v>
      </c>
      <c r="AN204" s="135">
        <f t="shared" si="575"/>
        <v>0.23931623931623933</v>
      </c>
      <c r="AO204" s="135">
        <f t="shared" si="575"/>
        <v>34.153846153846153</v>
      </c>
      <c r="AP204" s="135">
        <f t="shared" si="575"/>
        <v>-0.47348484848484851</v>
      </c>
      <c r="AQ204" s="135">
        <f t="shared" si="575"/>
        <v>0.10167597765363129</v>
      </c>
      <c r="AR204" s="136">
        <f t="shared" si="575"/>
        <v>-0.58552631578947367</v>
      </c>
      <c r="AS204" s="135">
        <f t="shared" si="575"/>
        <v>1.525179856115108</v>
      </c>
      <c r="AT204" s="135">
        <f t="shared" si="575"/>
        <v>5.333333333333333</v>
      </c>
      <c r="AU204" s="135">
        <f t="shared" ref="AU204:BZ204" si="576">IF(ISERROR((AU178-AP178)/(AU62-AP62)),"",(AU178-AP178)/(AU62-AP62))</f>
        <v>3.165735567970205E-2</v>
      </c>
      <c r="AV204" s="135">
        <f t="shared" si="576"/>
        <v>6.580645161290323E-2</v>
      </c>
      <c r="AW204" s="136">
        <f t="shared" si="576"/>
        <v>6.219081272084806E-2</v>
      </c>
      <c r="AX204" s="135">
        <f t="shared" si="576"/>
        <v>1.680054961095387</v>
      </c>
      <c r="AY204" s="135">
        <f t="shared" si="576"/>
        <v>-7.8857095001574633</v>
      </c>
      <c r="AZ204" s="135">
        <f t="shared" si="576"/>
        <v>7.1715060545589668E-2</v>
      </c>
      <c r="BA204" s="135">
        <f t="shared" si="576"/>
        <v>9.4819402141972757E-3</v>
      </c>
      <c r="BB204" s="136">
        <f t="shared" si="576"/>
        <v>0.12642373742108196</v>
      </c>
      <c r="BC204" s="135">
        <f t="shared" si="576"/>
        <v>0.15358382983545157</v>
      </c>
      <c r="BD204" s="135">
        <f t="shared" si="576"/>
        <v>0.16679380810891226</v>
      </c>
      <c r="BE204" s="135">
        <f t="shared" si="576"/>
        <v>1.4096829121434475</v>
      </c>
      <c r="BF204" s="135">
        <f t="shared" si="576"/>
        <v>-2.1730842351075808</v>
      </c>
      <c r="BG204" s="136">
        <f t="shared" si="576"/>
        <v>0.28828212965074923</v>
      </c>
      <c r="BH204" s="135">
        <f t="shared" si="576"/>
        <v>-0.68101026491523786</v>
      </c>
      <c r="BI204" s="135">
        <f t="shared" si="576"/>
        <v>-0.78689894989650644</v>
      </c>
      <c r="BJ204" s="135">
        <f t="shared" si="576"/>
        <v>20.708158017612146</v>
      </c>
      <c r="BK204" s="135">
        <f t="shared" si="576"/>
        <v>0.92331503536118331</v>
      </c>
      <c r="BL204" s="136">
        <f t="shared" si="576"/>
        <v>-5.2978533020260539</v>
      </c>
      <c r="BM204" s="135">
        <f t="shared" si="576"/>
        <v>-0.7412381256291467</v>
      </c>
      <c r="BN204" s="135">
        <f t="shared" si="576"/>
        <v>-0.80305354321480749</v>
      </c>
      <c r="BO204" s="135">
        <f t="shared" si="576"/>
        <v>1.8051410273976245</v>
      </c>
      <c r="BP204" s="135">
        <f t="shared" si="576"/>
        <v>0.98532091487123752</v>
      </c>
      <c r="BQ204" s="136">
        <f t="shared" si="576"/>
        <v>4.9319602959159461</v>
      </c>
      <c r="BR204" s="135">
        <f t="shared" si="576"/>
        <v>-0.44256620558998272</v>
      </c>
      <c r="BS204" s="135">
        <f t="shared" si="576"/>
        <v>0.79918823347434442</v>
      </c>
      <c r="BT204" s="135">
        <f t="shared" si="576"/>
        <v>0.20191507988690144</v>
      </c>
      <c r="BU204" s="135">
        <f t="shared" si="576"/>
        <v>0.34963379366252811</v>
      </c>
      <c r="BV204" s="136">
        <f t="shared" si="576"/>
        <v>0.10942282101529606</v>
      </c>
      <c r="BW204" s="135">
        <f t="shared" si="576"/>
        <v>0.56228240195549273</v>
      </c>
      <c r="BX204" s="135">
        <f t="shared" si="576"/>
        <v>-9.706576157523969E-2</v>
      </c>
      <c r="BY204" s="135">
        <f t="shared" si="576"/>
        <v>0.19255664281506815</v>
      </c>
      <c r="BZ204" s="135">
        <f t="shared" si="576"/>
        <v>5.206355986284722E-2</v>
      </c>
      <c r="CA204" s="136">
        <f t="shared" ref="CA204:DF204" si="577">IF(ISERROR((CA178-BV178)/(CA62-BV62)),"",(CA178-BV178)/(CA62-BV62))</f>
        <v>0.15816067091427588</v>
      </c>
      <c r="CB204" s="135">
        <f t="shared" si="577"/>
        <v>0.23176523589651382</v>
      </c>
      <c r="CC204" s="135">
        <f t="shared" si="577"/>
        <v>0.16061460901836025</v>
      </c>
      <c r="CD204" s="135">
        <f t="shared" si="577"/>
        <v>0.16997950159032152</v>
      </c>
      <c r="CE204" s="135">
        <f t="shared" si="577"/>
        <v>0.14491612098283355</v>
      </c>
      <c r="CF204" s="136">
        <f t="shared" si="577"/>
        <v>0.1721619508900355</v>
      </c>
      <c r="CG204" s="135">
        <f t="shared" si="577"/>
        <v>0.11789018286758145</v>
      </c>
      <c r="CH204" s="135">
        <f t="shared" si="577"/>
        <v>0.23495567488822122</v>
      </c>
      <c r="CI204" s="135">
        <f t="shared" si="577"/>
        <v>0.2078873869653704</v>
      </c>
      <c r="CJ204" s="135">
        <f t="shared" si="577"/>
        <v>0.11877393705510508</v>
      </c>
      <c r="CK204" s="136">
        <f t="shared" si="577"/>
        <v>0.18484934475568995</v>
      </c>
      <c r="CL204" s="135">
        <f t="shared" si="577"/>
        <v>-0.7368258255600626</v>
      </c>
      <c r="CM204" s="135">
        <f t="shared" si="577"/>
        <v>0.63334052074689073</v>
      </c>
      <c r="CN204" s="135">
        <f t="shared" si="577"/>
        <v>0.52505904072148812</v>
      </c>
      <c r="CO204" s="135">
        <f t="shared" si="577"/>
        <v>-1.6300448980867448</v>
      </c>
      <c r="CP204" s="136">
        <f t="shared" si="577"/>
        <v>0.50586282037978625</v>
      </c>
      <c r="CQ204" s="135">
        <f t="shared" si="577"/>
        <v>1.1002197373004676</v>
      </c>
      <c r="CR204" s="135">
        <f t="shared" si="577"/>
        <v>0.65716671207267774</v>
      </c>
      <c r="CS204" s="135">
        <f t="shared" si="577"/>
        <v>0.40431124921900041</v>
      </c>
      <c r="CT204" s="135">
        <f t="shared" si="577"/>
        <v>-0.37644180886461653</v>
      </c>
      <c r="CU204" s="136">
        <f t="shared" si="577"/>
        <v>-4.6698113207547172</v>
      </c>
      <c r="CV204" s="135">
        <f t="shared" si="577"/>
        <v>-0.45694140038943432</v>
      </c>
      <c r="CW204" s="135">
        <f t="shared" si="577"/>
        <v>-7.6716000527564596E-2</v>
      </c>
      <c r="CX204" s="135">
        <f t="shared" si="577"/>
        <v>-1.2619739877097722</v>
      </c>
      <c r="CY204" s="135">
        <f t="shared" si="577"/>
        <v>-0.18217834603336011</v>
      </c>
      <c r="CZ204" s="136">
        <f t="shared" si="577"/>
        <v>0.17572598659717051</v>
      </c>
      <c r="DA204" s="135">
        <f t="shared" si="577"/>
        <v>0.15554072096128171</v>
      </c>
      <c r="DB204" s="135">
        <f t="shared" si="577"/>
        <v>0.16141929035482258</v>
      </c>
      <c r="DC204" s="135">
        <f t="shared" si="577"/>
        <v>-5.7929452251218816E-2</v>
      </c>
      <c r="DD204" s="135">
        <f t="shared" si="577"/>
        <v>0.12213740458015267</v>
      </c>
      <c r="DE204" s="136">
        <f t="shared" si="577"/>
        <v>0.53196099674972919</v>
      </c>
      <c r="DF204" s="135">
        <f t="shared" si="577"/>
        <v>6.6475370636059308E-2</v>
      </c>
      <c r="DG204" s="135">
        <f t="shared" ref="DG204:DJ204" si="578">IF(ISERROR((DG178-DB178)/(DG62-DB62)),"",(DG178-DB178)/(DG62-DB62))</f>
        <v>0.21476964769647697</v>
      </c>
      <c r="DH204" s="135">
        <f t="shared" si="578"/>
        <v>3.7886792452830186E-2</v>
      </c>
      <c r="DI204" s="135">
        <f t="shared" si="578"/>
        <v>0.34257075471698112</v>
      </c>
      <c r="DJ204" s="136">
        <f t="shared" si="578"/>
        <v>0.10834454912516824</v>
      </c>
      <c r="DK204" s="135">
        <f t="shared" ref="DK204" si="579">IF(ISERROR((DK178-DF178)/(DK62-DF62)),"",(DK178-DF178)/(DK62-DF62))</f>
        <v>0.37062937062937062</v>
      </c>
      <c r="DL204" s="135">
        <f t="shared" ref="DL204" si="580">IF(ISERROR((DL178-DG178)/(DL62-DG62)),"",(DL178-DG178)/(DL62-DG62))</f>
        <v>0.13016759776536313</v>
      </c>
      <c r="DM204" s="135">
        <f t="shared" ref="DM204" si="581">IF(ISERROR((DM178-DH178)/(DM62-DH62)),"",(DM178-DH178)/(DM62-DH62))</f>
        <v>0.2038509836751779</v>
      </c>
      <c r="DN204" s="135">
        <f t="shared" ref="DN204" si="582">IF(ISERROR((DN178-DI178)/(DN62-DI62)),"",(DN178-DI178)/(DN62-DI62))</f>
        <v>-5.4600845516277134E-2</v>
      </c>
      <c r="DO204" s="136">
        <f t="shared" ref="DO204" si="583">IF(ISERROR((DO178-DJ178)/(DO62-DJ62)),"",(DO178-DJ178)/(DO62-DJ62))</f>
        <v>0.17923721670428266</v>
      </c>
      <c r="DP204" s="135">
        <f t="shared" ref="DP204" si="584">IF(ISERROR((DP178-DK178)/(DP62-DK62)),"",(DP178-DK178)/(DP62-DK62))</f>
        <v>1.4413872288873517E-2</v>
      </c>
      <c r="DQ204" s="135">
        <f t="shared" ref="DQ204" si="585">IF(ISERROR((DQ178-DL178)/(DQ62-DL62)),"",(DQ178-DL178)/(DQ62-DL62))</f>
        <v>9.297810099931797E-2</v>
      </c>
      <c r="DR204" s="135">
        <f t="shared" ref="DR204" si="586">IF(ISERROR((DR178-DM178)/(DR62-DM62)),"",(DR178-DM178)/(DR62-DM62))</f>
        <v>0.13606215785028308</v>
      </c>
      <c r="DS204" s="135">
        <f t="shared" ref="DS204" si="587">IF(ISERROR((DS178-DN178)/(DS62-DN62)),"",(DS178-DN178)/(DS62-DN62))</f>
        <v>0.2346606726641553</v>
      </c>
      <c r="DT204" s="136">
        <f t="shared" ref="DT204" si="588">IF(ISERROR((DT178-DO178)/(DT62-DO62)),"",(DT178-DO178)/(DT62-DO62))</f>
        <v>0.11954214675042646</v>
      </c>
      <c r="DU204" s="136">
        <f>IF(ISERROR((DU178-DT178)/(DU62-DT62)),"",(DU178-DT178)/(DU62-DT62))</f>
        <v>0.15877860886390024</v>
      </c>
      <c r="DV204" s="136">
        <f>IF(ISERROR((DV178-DU178)/(DV62-DU62)),"",(DV178-DU178)/(DV62-DU62))</f>
        <v>0.17144618292311845</v>
      </c>
    </row>
    <row r="205" spans="2:126" s="92" customFormat="1" hidden="1" outlineLevel="1">
      <c r="C205" s="27"/>
      <c r="D205" s="27"/>
      <c r="E205" s="27"/>
      <c r="F205" s="27"/>
      <c r="G205" s="27"/>
      <c r="H205" s="27"/>
      <c r="I205" s="27"/>
      <c r="J205" s="68"/>
      <c r="K205" s="68"/>
      <c r="L205" s="68"/>
      <c r="M205" s="68"/>
      <c r="N205" s="27"/>
      <c r="O205" s="68"/>
      <c r="P205" s="68"/>
      <c r="Q205" s="68"/>
      <c r="R205" s="68"/>
      <c r="S205" s="27"/>
      <c r="T205" s="68"/>
      <c r="U205" s="68"/>
      <c r="V205" s="68"/>
      <c r="W205" s="68"/>
      <c r="X205" s="27"/>
      <c r="Y205" s="68"/>
      <c r="Z205" s="68"/>
      <c r="AA205" s="68"/>
      <c r="AB205" s="68"/>
      <c r="AC205" s="27"/>
      <c r="AD205" s="68"/>
      <c r="AE205" s="68"/>
      <c r="AF205" s="68"/>
      <c r="AG205" s="68"/>
      <c r="AH205" s="27"/>
      <c r="AI205" s="68"/>
      <c r="AJ205" s="68"/>
      <c r="AK205" s="68"/>
      <c r="AL205" s="68"/>
      <c r="AM205" s="27"/>
      <c r="AN205" s="68"/>
      <c r="AO205" s="68"/>
      <c r="AP205" s="68"/>
      <c r="AQ205" s="68"/>
      <c r="AR205" s="27"/>
      <c r="AS205" s="68"/>
      <c r="AT205" s="68"/>
      <c r="AU205" s="68"/>
      <c r="AV205" s="68"/>
      <c r="AW205" s="27"/>
      <c r="AX205" s="68"/>
      <c r="AY205" s="68"/>
      <c r="AZ205" s="68"/>
      <c r="BA205" s="68"/>
      <c r="BB205" s="27"/>
      <c r="BC205" s="68"/>
      <c r="BD205" s="68"/>
      <c r="BE205" s="68"/>
      <c r="BF205" s="68"/>
      <c r="BG205" s="27"/>
      <c r="BH205" s="68"/>
      <c r="BI205" s="68"/>
      <c r="BJ205" s="68"/>
      <c r="BK205" s="68"/>
      <c r="BL205" s="27"/>
      <c r="BM205" s="68"/>
      <c r="BN205" s="68"/>
      <c r="BO205" s="68"/>
      <c r="BP205" s="68"/>
      <c r="BQ205" s="27"/>
      <c r="BR205" s="68"/>
      <c r="BS205" s="68"/>
      <c r="BT205" s="68"/>
      <c r="BU205" s="68"/>
      <c r="BV205" s="27"/>
      <c r="BW205" s="68"/>
      <c r="BX205" s="68"/>
      <c r="BY205" s="68"/>
      <c r="BZ205" s="68"/>
      <c r="CA205" s="27"/>
      <c r="CB205" s="68"/>
      <c r="CC205" s="68"/>
      <c r="CD205" s="68"/>
      <c r="CE205" s="68"/>
      <c r="CF205" s="27"/>
      <c r="CG205" s="68"/>
      <c r="CH205" s="68"/>
      <c r="CI205" s="68"/>
      <c r="CJ205" s="68"/>
      <c r="CK205" s="27"/>
      <c r="CL205" s="68"/>
      <c r="CM205" s="68"/>
      <c r="CN205" s="68"/>
      <c r="CO205" s="68"/>
      <c r="CP205" s="27"/>
      <c r="CQ205" s="68"/>
      <c r="CR205" s="68"/>
      <c r="CS205" s="68"/>
      <c r="CT205" s="68"/>
      <c r="CU205" s="27"/>
      <c r="CV205" s="68"/>
      <c r="CW205" s="68"/>
      <c r="CX205" s="68"/>
      <c r="CY205" s="68"/>
      <c r="CZ205" s="27"/>
      <c r="DA205" s="68"/>
      <c r="DB205" s="68"/>
      <c r="DC205" s="68"/>
      <c r="DD205" s="68"/>
      <c r="DE205" s="27"/>
      <c r="DF205" s="68"/>
      <c r="DG205" s="68"/>
      <c r="DH205" s="68"/>
      <c r="DI205" s="68"/>
      <c r="DJ205" s="27"/>
      <c r="DK205" s="68"/>
      <c r="DL205" s="68"/>
      <c r="DM205" s="68"/>
      <c r="DN205" s="68"/>
      <c r="DO205" s="27"/>
      <c r="DP205" s="68"/>
      <c r="DQ205" s="68"/>
      <c r="DR205" s="68"/>
      <c r="DS205" s="68"/>
      <c r="DT205" s="27"/>
      <c r="DU205" s="27"/>
      <c r="DV205" s="27"/>
    </row>
    <row r="206" spans="2:126" s="92" customFormat="1" ht="12.75" hidden="1" customHeight="1" outlineLevel="1">
      <c r="B206" s="54" t="s">
        <v>83</v>
      </c>
      <c r="C206" s="27"/>
      <c r="D206" s="27"/>
      <c r="E206" s="27"/>
      <c r="F206" s="27"/>
      <c r="G206" s="27"/>
      <c r="H206" s="27"/>
      <c r="I206" s="27"/>
      <c r="J206" s="68"/>
      <c r="K206" s="68"/>
      <c r="L206" s="68"/>
      <c r="M206" s="68"/>
      <c r="N206" s="27"/>
      <c r="O206" s="68"/>
      <c r="P206" s="68"/>
      <c r="Q206" s="68"/>
      <c r="R206" s="68"/>
      <c r="S206" s="27"/>
      <c r="T206" s="68"/>
      <c r="U206" s="68"/>
      <c r="V206" s="68"/>
      <c r="W206" s="68"/>
      <c r="X206" s="27"/>
      <c r="Y206" s="68"/>
      <c r="Z206" s="68"/>
      <c r="AA206" s="68"/>
      <c r="AB206" s="68"/>
      <c r="AC206" s="27"/>
      <c r="AD206" s="68"/>
      <c r="AE206" s="68"/>
      <c r="AF206" s="68"/>
      <c r="AG206" s="68"/>
      <c r="AH206" s="27"/>
      <c r="AI206" s="68"/>
      <c r="AJ206" s="68"/>
      <c r="AK206" s="68"/>
      <c r="AL206" s="68"/>
      <c r="AM206" s="27"/>
      <c r="AN206" s="68"/>
      <c r="AO206" s="68"/>
      <c r="AP206" s="68"/>
      <c r="AQ206" s="68"/>
      <c r="AR206" s="27"/>
      <c r="AS206" s="68"/>
      <c r="AT206" s="68"/>
      <c r="AU206" s="68"/>
      <c r="AV206" s="68"/>
      <c r="AW206" s="27"/>
      <c r="AX206" s="68"/>
      <c r="AY206" s="68"/>
      <c r="AZ206" s="68"/>
      <c r="BA206" s="68"/>
      <c r="BB206" s="27"/>
      <c r="BC206" s="68"/>
      <c r="BD206" s="68"/>
      <c r="BE206" s="68"/>
      <c r="BF206" s="68"/>
      <c r="BG206" s="27"/>
      <c r="BH206" s="68"/>
      <c r="BI206" s="68"/>
      <c r="BJ206" s="68"/>
      <c r="BK206" s="68"/>
      <c r="BL206" s="27"/>
      <c r="BM206" s="68"/>
      <c r="BN206" s="68"/>
      <c r="BO206" s="68"/>
      <c r="BP206" s="68"/>
      <c r="BQ206" s="27"/>
      <c r="BR206" s="68"/>
      <c r="BS206" s="68"/>
      <c r="BT206" s="68"/>
      <c r="BU206" s="68"/>
      <c r="BV206" s="27"/>
      <c r="BW206" s="68"/>
      <c r="BX206" s="68"/>
      <c r="BY206" s="68"/>
      <c r="BZ206" s="68"/>
      <c r="CA206" s="27"/>
      <c r="CB206" s="68"/>
      <c r="CC206" s="68"/>
      <c r="CD206" s="68"/>
      <c r="CE206" s="68"/>
      <c r="CF206" s="27"/>
      <c r="CG206" s="68"/>
      <c r="CH206" s="68"/>
      <c r="CI206" s="68"/>
      <c r="CJ206" s="68"/>
      <c r="CK206" s="27"/>
      <c r="CL206" s="68"/>
      <c r="CM206" s="68"/>
      <c r="CN206" s="68"/>
      <c r="CO206" s="68"/>
      <c r="CP206" s="27"/>
      <c r="CQ206" s="68"/>
      <c r="CR206" s="68"/>
      <c r="CS206" s="68"/>
      <c r="CT206" s="68"/>
      <c r="CU206" s="27"/>
      <c r="CV206" s="68"/>
      <c r="CW206" s="68"/>
      <c r="CX206" s="68"/>
      <c r="CY206" s="68"/>
      <c r="CZ206" s="27"/>
      <c r="DA206" s="68"/>
      <c r="DB206" s="68"/>
      <c r="DC206" s="68"/>
      <c r="DD206" s="68"/>
      <c r="DE206" s="27"/>
      <c r="DF206" s="68"/>
      <c r="DG206" s="68"/>
      <c r="DH206" s="68"/>
      <c r="DI206" s="68"/>
      <c r="DJ206" s="27"/>
      <c r="DK206" s="68"/>
      <c r="DL206" s="68"/>
      <c r="DM206" s="68"/>
      <c r="DN206" s="68"/>
      <c r="DO206" s="27"/>
      <c r="DP206" s="68"/>
      <c r="DQ206" s="68"/>
      <c r="DR206" s="68"/>
      <c r="DS206" s="68"/>
      <c r="DT206" s="27"/>
      <c r="DU206" s="27"/>
      <c r="DV206" s="27"/>
    </row>
    <row r="207" spans="2:126" s="92" customFormat="1" ht="11.25" hidden="1" customHeight="1" outlineLevel="1">
      <c r="B207" s="125" t="s">
        <v>194</v>
      </c>
      <c r="C207" s="27"/>
      <c r="D207" s="27">
        <f t="shared" ref="D207:I208" si="589">D132/C132-1</f>
        <v>0.25490196078431371</v>
      </c>
      <c r="E207" s="27">
        <f t="shared" si="589"/>
        <v>-0.380859375</v>
      </c>
      <c r="F207" s="27">
        <f t="shared" si="589"/>
        <v>0.89274447949526814</v>
      </c>
      <c r="G207" s="27">
        <f t="shared" si="589"/>
        <v>9.000000000000008E-2</v>
      </c>
      <c r="H207" s="27">
        <f t="shared" si="589"/>
        <v>-1.9877675840978548E-2</v>
      </c>
      <c r="I207" s="27">
        <f t="shared" si="589"/>
        <v>-0.17082683307332291</v>
      </c>
      <c r="J207" s="133"/>
      <c r="K207" s="133"/>
      <c r="L207" s="133"/>
      <c r="M207" s="133"/>
      <c r="N207" s="27">
        <f t="shared" ref="N207:W208" si="590">N132/I132-1</f>
        <v>1.8814675446848561E-2</v>
      </c>
      <c r="O207" s="68">
        <f t="shared" si="590"/>
        <v>0.65048543689320382</v>
      </c>
      <c r="P207" s="68">
        <f t="shared" si="590"/>
        <v>0.24745762711864416</v>
      </c>
      <c r="Q207" s="68">
        <f t="shared" si="590"/>
        <v>0.25496688741721862</v>
      </c>
      <c r="R207" s="68">
        <f t="shared" si="590"/>
        <v>0.29285714285714293</v>
      </c>
      <c r="S207" s="27">
        <f t="shared" si="590"/>
        <v>0.33795013850415523</v>
      </c>
      <c r="T207" s="68">
        <f t="shared" si="590"/>
        <v>0.26470588235294112</v>
      </c>
      <c r="U207" s="68">
        <f t="shared" si="590"/>
        <v>0.45380434782608692</v>
      </c>
      <c r="V207" s="68">
        <f t="shared" si="590"/>
        <v>0.16886543535620047</v>
      </c>
      <c r="W207" s="68">
        <f t="shared" si="590"/>
        <v>0.12983425414364635</v>
      </c>
      <c r="X207" s="27">
        <f t="shared" ref="X207:AG208" si="591">X132/S132-1</f>
        <v>0.25396825396825395</v>
      </c>
      <c r="Y207" s="68">
        <f t="shared" si="591"/>
        <v>0.13953488372093026</v>
      </c>
      <c r="Z207" s="68">
        <f t="shared" si="591"/>
        <v>-2.4299065420560706E-2</v>
      </c>
      <c r="AA207" s="68">
        <f t="shared" si="591"/>
        <v>0.13544018058690743</v>
      </c>
      <c r="AB207" s="68">
        <f t="shared" si="591"/>
        <v>0.21271393643031788</v>
      </c>
      <c r="AC207" s="27">
        <f t="shared" si="591"/>
        <v>0.10676940011007163</v>
      </c>
      <c r="AD207" s="68">
        <f t="shared" si="591"/>
        <v>7.3469387755102034E-2</v>
      </c>
      <c r="AE207" s="68">
        <f t="shared" si="591"/>
        <v>4.5977011494252817E-2</v>
      </c>
      <c r="AF207" s="68">
        <f t="shared" si="591"/>
        <v>5.3677932405566509E-2</v>
      </c>
      <c r="AG207" s="68">
        <f t="shared" si="591"/>
        <v>4.8387096774193505E-2</v>
      </c>
      <c r="AH207" s="27">
        <f t="shared" ref="AH207:AQ208" si="592">AH132/AC132-1</f>
        <v>5.5196419691695642E-2</v>
      </c>
      <c r="AI207" s="68">
        <f t="shared" si="592"/>
        <v>-0.17110266159695819</v>
      </c>
      <c r="AJ207" s="68">
        <f t="shared" si="592"/>
        <v>-0.14468864468864473</v>
      </c>
      <c r="AK207" s="68">
        <f t="shared" si="592"/>
        <v>-0.16226415094339619</v>
      </c>
      <c r="AL207" s="68">
        <f t="shared" si="592"/>
        <v>-6.1538461538461542E-2</v>
      </c>
      <c r="AM207" s="27">
        <f t="shared" si="592"/>
        <v>-0.13524976437323277</v>
      </c>
      <c r="AN207" s="68">
        <f t="shared" si="592"/>
        <v>0</v>
      </c>
      <c r="AO207" s="68">
        <f t="shared" si="592"/>
        <v>0.11777301927194861</v>
      </c>
      <c r="AP207" s="68">
        <f t="shared" si="592"/>
        <v>0.23198198198198194</v>
      </c>
      <c r="AQ207" s="68">
        <f t="shared" si="592"/>
        <v>-1.2295081967213073E-2</v>
      </c>
      <c r="AR207" s="27">
        <f t="shared" ref="AR207:BA208" si="593">AR132/AM132-1</f>
        <v>8.2833787465939945E-2</v>
      </c>
      <c r="AS207" s="68">
        <f t="shared" si="593"/>
        <v>-1.834862385321101E-2</v>
      </c>
      <c r="AT207" s="68">
        <f t="shared" si="593"/>
        <v>-0.1877394636015326</v>
      </c>
      <c r="AU207" s="68">
        <f t="shared" si="593"/>
        <v>-9.323583180987205E-2</v>
      </c>
      <c r="AV207" s="68">
        <f t="shared" si="593"/>
        <v>7.6763485477178373E-2</v>
      </c>
      <c r="AW207" s="27">
        <f t="shared" si="593"/>
        <v>-6.0392551585304433E-2</v>
      </c>
      <c r="AX207" s="68">
        <f t="shared" si="593"/>
        <v>-9.0321741758518592E-2</v>
      </c>
      <c r="AY207" s="68">
        <f t="shared" si="593"/>
        <v>8.2754155999256174E-3</v>
      </c>
      <c r="AZ207" s="68">
        <f t="shared" si="593"/>
        <v>-0.17572006155985731</v>
      </c>
      <c r="BA207" s="68">
        <f t="shared" si="593"/>
        <v>-0.30953958806390247</v>
      </c>
      <c r="BB207" s="27">
        <f t="shared" ref="BB207:BK208" si="594">BB132/AW132-1</f>
        <v>-0.15155711087152224</v>
      </c>
      <c r="BC207" s="68">
        <f t="shared" si="594"/>
        <v>7.504358691660884E-2</v>
      </c>
      <c r="BD207" s="68">
        <f t="shared" si="594"/>
        <v>0.34437466527101068</v>
      </c>
      <c r="BE207" s="68">
        <f t="shared" si="594"/>
        <v>9.7560465478460312E-2</v>
      </c>
      <c r="BF207" s="68">
        <f t="shared" si="594"/>
        <v>0.30339568663738481</v>
      </c>
      <c r="BG207" s="27">
        <f t="shared" si="594"/>
        <v>0.20520231172870074</v>
      </c>
      <c r="BH207" s="68">
        <f t="shared" si="594"/>
        <v>-3.6084021258084964E-2</v>
      </c>
      <c r="BI207" s="68">
        <f t="shared" si="594"/>
        <v>-0.16786302141228049</v>
      </c>
      <c r="BJ207" s="68">
        <f t="shared" si="594"/>
        <v>0.42246247521238955</v>
      </c>
      <c r="BK207" s="68">
        <f t="shared" si="594"/>
        <v>0.16893476841081889</v>
      </c>
      <c r="BL207" s="27">
        <f t="shared" ref="BL207:BU208" si="595">BL132/BG132-1</f>
        <v>8.2183751396007754E-2</v>
      </c>
      <c r="BM207" s="68">
        <f t="shared" si="595"/>
        <v>7.6711929476400709E-2</v>
      </c>
      <c r="BN207" s="68">
        <f t="shared" si="595"/>
        <v>2.3693878723738182E-2</v>
      </c>
      <c r="BO207" s="68">
        <f t="shared" si="595"/>
        <v>-0.32699710052833375</v>
      </c>
      <c r="BP207" s="68">
        <f t="shared" si="595"/>
        <v>-1.9433027489421231</v>
      </c>
      <c r="BQ207" s="27">
        <f t="shared" si="595"/>
        <v>-0.59411538905815797</v>
      </c>
      <c r="BR207" s="68">
        <f t="shared" si="595"/>
        <v>-1.8880095301247346E-2</v>
      </c>
      <c r="BS207" s="68">
        <f t="shared" si="595"/>
        <v>-0.17100101092457431</v>
      </c>
      <c r="BT207" s="68">
        <f t="shared" si="595"/>
        <v>-0.16731591534932544</v>
      </c>
      <c r="BU207" s="68">
        <f t="shared" si="595"/>
        <v>-1.6772359406256401</v>
      </c>
      <c r="BV207" s="27">
        <f t="shared" ref="BV207:CE208" si="596">BV132/BQ132-1</f>
        <v>0.83478634942265906</v>
      </c>
      <c r="BW207" s="68">
        <f t="shared" si="596"/>
        <v>-0.14240667214955316</v>
      </c>
      <c r="BX207" s="68">
        <f t="shared" si="596"/>
        <v>-6.2085057220852002E-2</v>
      </c>
      <c r="BY207" s="68">
        <f t="shared" si="596"/>
        <v>-0.40594005993833071</v>
      </c>
      <c r="BZ207" s="68">
        <f t="shared" si="596"/>
        <v>0.10819819840096301</v>
      </c>
      <c r="CA207" s="27">
        <f t="shared" si="596"/>
        <v>-0.125675754574889</v>
      </c>
      <c r="CB207" s="68">
        <f t="shared" si="596"/>
        <v>0.24952020151980125</v>
      </c>
      <c r="CC207" s="68">
        <f t="shared" si="596"/>
        <v>0.12361905360426051</v>
      </c>
      <c r="CD207" s="68">
        <f t="shared" si="596"/>
        <v>-0.33461709916887439</v>
      </c>
      <c r="CE207" s="68">
        <f t="shared" si="596"/>
        <v>9.9730317755148956E-3</v>
      </c>
      <c r="CF207" s="27">
        <f t="shared" ref="CF207:CO208" si="597">CF132/CA132-1</f>
        <v>5.2787406924550195E-2</v>
      </c>
      <c r="CG207" s="68">
        <f t="shared" si="597"/>
        <v>4.660974289232156E-2</v>
      </c>
      <c r="CH207" s="68">
        <f t="shared" si="597"/>
        <v>4.9734589138260343E-2</v>
      </c>
      <c r="CI207" s="68">
        <f t="shared" si="597"/>
        <v>2.6777191497877579</v>
      </c>
      <c r="CJ207" s="68">
        <f t="shared" si="597"/>
        <v>-9.3198457468360751E-2</v>
      </c>
      <c r="CK207" s="27">
        <f t="shared" si="597"/>
        <v>0.27169957705461312</v>
      </c>
      <c r="CL207" s="68">
        <f t="shared" si="597"/>
        <v>-6.2761506276151069E-3</v>
      </c>
      <c r="CM207" s="68">
        <f t="shared" si="597"/>
        <v>-2.0178173719376389</v>
      </c>
      <c r="CN207" s="68">
        <f t="shared" si="597"/>
        <v>-2.1826923076923075</v>
      </c>
      <c r="CO207" s="68">
        <f t="shared" si="597"/>
        <v>-0.90677966101694918</v>
      </c>
      <c r="CP207" s="27">
        <f t="shared" ref="CP207:CY208" si="598">CP132/CK132-1</f>
        <v>-1.3131593559133814</v>
      </c>
      <c r="CQ207" s="68">
        <f t="shared" si="598"/>
        <v>-0.95789473684210524</v>
      </c>
      <c r="CR207" s="68">
        <f t="shared" si="598"/>
        <v>-1.2450765864332605</v>
      </c>
      <c r="CS207" s="68">
        <f t="shared" si="598"/>
        <v>-1.3040650406504066</v>
      </c>
      <c r="CT207" s="68">
        <f t="shared" si="598"/>
        <v>3.0909090909090908</v>
      </c>
      <c r="CU207" s="27">
        <f t="shared" si="598"/>
        <v>-1.8049645390070923</v>
      </c>
      <c r="CV207" s="68">
        <f t="shared" si="598"/>
        <v>6.55</v>
      </c>
      <c r="CW207" s="68">
        <f t="shared" si="598"/>
        <v>1.6964285714285716</v>
      </c>
      <c r="CX207" s="68">
        <f t="shared" si="598"/>
        <v>0.68983957219251346</v>
      </c>
      <c r="CY207" s="68">
        <f t="shared" si="598"/>
        <v>1.2666666666666666</v>
      </c>
      <c r="CZ207" s="27">
        <f t="shared" ref="CZ207:DI208" si="599">CZ132/CU132-1</f>
        <v>1.3678414096916298</v>
      </c>
      <c r="DA207" s="68">
        <f t="shared" si="599"/>
        <v>1.7483443708609272</v>
      </c>
      <c r="DB207" s="68">
        <f t="shared" si="599"/>
        <v>-0.23841059602649006</v>
      </c>
      <c r="DC207" s="68">
        <f t="shared" si="599"/>
        <v>-8.8544303797468356</v>
      </c>
      <c r="DD207" s="68">
        <f t="shared" si="599"/>
        <v>0.24836601307189543</v>
      </c>
      <c r="DE207" s="27">
        <f t="shared" si="599"/>
        <v>-2.3534883720930235</v>
      </c>
      <c r="DF207" s="68">
        <f t="shared" si="599"/>
        <v>-7.2289156626506035E-3</v>
      </c>
      <c r="DG207" s="68">
        <f t="shared" si="599"/>
        <v>1.3565217391304349</v>
      </c>
      <c r="DH207" s="68">
        <f t="shared" si="599"/>
        <v>-1.2244157937147462</v>
      </c>
      <c r="DI207" s="68">
        <f t="shared" si="599"/>
        <v>0.31937172774869116</v>
      </c>
      <c r="DJ207" s="27">
        <f t="shared" ref="DJ207:DJ208" si="600">DJ132/DE132-1</f>
        <v>-2.3848797250859106</v>
      </c>
      <c r="DK207" s="68">
        <f t="shared" ref="DK207:DK211" si="601">DK132/DF132-1</f>
        <v>0.40776699029126218</v>
      </c>
      <c r="DL207" s="68">
        <f t="shared" ref="DL207:DL211" si="602">DL132/DG132-1</f>
        <v>-9.2250922509225064E-2</v>
      </c>
      <c r="DM207" s="68">
        <f t="shared" ref="DM207:DM208" si="603">DM132/DH132-1</f>
        <v>0.34829443447037711</v>
      </c>
      <c r="DN207" s="68">
        <f t="shared" ref="DN207:DN208" si="604">DN132/DI132-1</f>
        <v>0.43608258928571453</v>
      </c>
      <c r="DO207" s="27">
        <f t="shared" ref="DO207:DO208" si="605">DO132/DJ132-1</f>
        <v>0.26391346153846151</v>
      </c>
      <c r="DP207" s="68">
        <f t="shared" ref="DP207:DP208" si="606">DP132/DK132-1</f>
        <v>0.11251999999999995</v>
      </c>
      <c r="DQ207" s="68">
        <f t="shared" ref="DQ207:DQ208" si="607">DQ132/DL132-1</f>
        <v>0.38884200000000035</v>
      </c>
      <c r="DR207" s="68">
        <f t="shared" ref="DR207:DR208" si="608">DR132/DM132-1</f>
        <v>0.12574348335552599</v>
      </c>
      <c r="DS207" s="68">
        <f t="shared" ref="DS207:DS208" si="609">DS132/DN132-1</f>
        <v>0.15835294117647059</v>
      </c>
      <c r="DT207" s="27">
        <f t="shared" ref="DT207:DT208" si="610">DT132/DO132-1</f>
        <v>0.18282606825221115</v>
      </c>
      <c r="DU207" s="27">
        <f t="shared" ref="DU207:DV208" si="611">DU132/DT132-1</f>
        <v>0.10324034517041958</v>
      </c>
      <c r="DV207" s="27">
        <f t="shared" si="611"/>
        <v>9.5340909090908976E-2</v>
      </c>
    </row>
    <row r="208" spans="2:126" s="92" customFormat="1" hidden="1" outlineLevel="1">
      <c r="B208" s="125" t="s">
        <v>472</v>
      </c>
      <c r="C208" s="27"/>
      <c r="D208" s="27">
        <f t="shared" si="589"/>
        <v>-4.6511627906976716E-2</v>
      </c>
      <c r="E208" s="27">
        <f t="shared" si="589"/>
        <v>-0.13937282229965153</v>
      </c>
      <c r="F208" s="27">
        <f t="shared" si="589"/>
        <v>1.4858299595141702</v>
      </c>
      <c r="G208" s="27">
        <f t="shared" si="589"/>
        <v>9.1205211726384405E-2</v>
      </c>
      <c r="H208" s="27">
        <f t="shared" si="589"/>
        <v>-0.15671641791044777</v>
      </c>
      <c r="I208" s="27">
        <f t="shared" si="589"/>
        <v>-1.9469026548672552E-2</v>
      </c>
      <c r="J208" s="133"/>
      <c r="K208" s="133"/>
      <c r="L208" s="133"/>
      <c r="M208" s="133"/>
      <c r="N208" s="27">
        <f t="shared" si="590"/>
        <v>5.2346570397111991E-2</v>
      </c>
      <c r="O208" s="68">
        <f t="shared" si="590"/>
        <v>0.16030534351145032</v>
      </c>
      <c r="P208" s="68">
        <f t="shared" si="590"/>
        <v>0.21428571428571419</v>
      </c>
      <c r="Q208" s="68">
        <f t="shared" si="590"/>
        <v>0.11874999999999991</v>
      </c>
      <c r="R208" s="68">
        <f t="shared" si="590"/>
        <v>0.14473684210526305</v>
      </c>
      <c r="S208" s="27">
        <f t="shared" si="590"/>
        <v>0.15780445969125223</v>
      </c>
      <c r="T208" s="68">
        <f t="shared" si="590"/>
        <v>0.19078947368421062</v>
      </c>
      <c r="U208" s="68">
        <f t="shared" si="590"/>
        <v>0.24705882352941178</v>
      </c>
      <c r="V208" s="68">
        <f t="shared" si="590"/>
        <v>0.22905027932960897</v>
      </c>
      <c r="W208" s="68">
        <f t="shared" si="590"/>
        <v>0.25862068965517238</v>
      </c>
      <c r="X208" s="27">
        <f t="shared" si="591"/>
        <v>0.23259259259259268</v>
      </c>
      <c r="Y208" s="68">
        <f t="shared" si="591"/>
        <v>0.20441988950276246</v>
      </c>
      <c r="Z208" s="68">
        <f t="shared" si="591"/>
        <v>0.16037735849056611</v>
      </c>
      <c r="AA208" s="68">
        <f t="shared" si="591"/>
        <v>0.13181818181818183</v>
      </c>
      <c r="AB208" s="68">
        <f t="shared" si="591"/>
        <v>0.15981735159817356</v>
      </c>
      <c r="AC208" s="27">
        <f t="shared" si="591"/>
        <v>0.16225961538461542</v>
      </c>
      <c r="AD208" s="68">
        <f t="shared" si="591"/>
        <v>5.0458715596330306E-2</v>
      </c>
      <c r="AE208" s="68">
        <f t="shared" si="591"/>
        <v>0.13821138211382111</v>
      </c>
      <c r="AF208" s="68">
        <f t="shared" si="591"/>
        <v>0.14859437751004023</v>
      </c>
      <c r="AG208" s="68">
        <f t="shared" si="591"/>
        <v>0.1968503937007875</v>
      </c>
      <c r="AH208" s="27">
        <f t="shared" si="592"/>
        <v>0.13650465356773522</v>
      </c>
      <c r="AI208" s="68">
        <f t="shared" si="592"/>
        <v>-0.16157205240174677</v>
      </c>
      <c r="AJ208" s="68">
        <f t="shared" si="592"/>
        <v>-0.33214285714285718</v>
      </c>
      <c r="AK208" s="68">
        <f t="shared" si="592"/>
        <v>-0.13636363636363635</v>
      </c>
      <c r="AL208" s="68">
        <f t="shared" si="592"/>
        <v>-0.24013157894736847</v>
      </c>
      <c r="AM208" s="27">
        <f t="shared" si="592"/>
        <v>-0.22020018198362146</v>
      </c>
      <c r="AN208" s="68">
        <f t="shared" si="592"/>
        <v>0.15104166666666674</v>
      </c>
      <c r="AO208" s="68">
        <f t="shared" si="592"/>
        <v>9.0909090909090828E-2</v>
      </c>
      <c r="AP208" s="68">
        <f t="shared" si="592"/>
        <v>3.238866396761142E-2</v>
      </c>
      <c r="AQ208" s="68">
        <f t="shared" si="592"/>
        <v>3.0303030303030276E-2</v>
      </c>
      <c r="AR208" s="27">
        <f t="shared" si="593"/>
        <v>7.1178529754959197E-2</v>
      </c>
      <c r="AS208" s="68">
        <f t="shared" si="593"/>
        <v>-0.22171945701357465</v>
      </c>
      <c r="AT208" s="68">
        <f t="shared" si="593"/>
        <v>-9.3137254901960786E-2</v>
      </c>
      <c r="AU208" s="68">
        <f t="shared" si="593"/>
        <v>-0.19999999999999996</v>
      </c>
      <c r="AV208" s="68">
        <f t="shared" si="593"/>
        <v>-0.16806722689075626</v>
      </c>
      <c r="AW208" s="27">
        <f t="shared" si="593"/>
        <v>-0.17320261437908502</v>
      </c>
      <c r="AX208" s="68">
        <f t="shared" si="593"/>
        <v>0.28158040048325805</v>
      </c>
      <c r="AY208" s="68">
        <f t="shared" si="593"/>
        <v>0.26299353765300681</v>
      </c>
      <c r="AZ208" s="68">
        <f t="shared" si="593"/>
        <v>0.43512697125030719</v>
      </c>
      <c r="BA208" s="68">
        <f t="shared" si="593"/>
        <v>0.40626620154761528</v>
      </c>
      <c r="BB208" s="27">
        <f t="shared" si="594"/>
        <v>0.35084617047485778</v>
      </c>
      <c r="BC208" s="68">
        <f t="shared" si="594"/>
        <v>1.4772719438220037</v>
      </c>
      <c r="BD208" s="68">
        <f t="shared" si="594"/>
        <v>1.3009781268009042</v>
      </c>
      <c r="BE208" s="68">
        <f t="shared" si="594"/>
        <v>0.85231953706715213</v>
      </c>
      <c r="BF208" s="68">
        <f t="shared" si="594"/>
        <v>0.97319199888353336</v>
      </c>
      <c r="BG208" s="27">
        <f t="shared" si="594"/>
        <v>1.1217510128232693</v>
      </c>
      <c r="BH208" s="68">
        <f t="shared" si="594"/>
        <v>0.17064423793815031</v>
      </c>
      <c r="BI208" s="68">
        <f t="shared" si="594"/>
        <v>0.28771784144570622</v>
      </c>
      <c r="BJ208" s="68">
        <f t="shared" si="594"/>
        <v>0.12616117867939569</v>
      </c>
      <c r="BK208" s="68">
        <f t="shared" si="594"/>
        <v>0.11987371434521155</v>
      </c>
      <c r="BL208" s="27">
        <f t="shared" si="595"/>
        <v>0.17566644195617509</v>
      </c>
      <c r="BM208" s="68">
        <f t="shared" si="595"/>
        <v>-3.238964233706354E-2</v>
      </c>
      <c r="BN208" s="68">
        <f t="shared" si="595"/>
        <v>-0.11535552346522537</v>
      </c>
      <c r="BO208" s="68">
        <f t="shared" si="595"/>
        <v>7.201480628499457E-3</v>
      </c>
      <c r="BP208" s="68">
        <f t="shared" si="595"/>
        <v>-0.7919967074838421</v>
      </c>
      <c r="BQ208" s="27">
        <f t="shared" si="595"/>
        <v>-0.22813434633858731</v>
      </c>
      <c r="BR208" s="68">
        <f t="shared" si="595"/>
        <v>-4.475924939452991E-2</v>
      </c>
      <c r="BS208" s="68">
        <f t="shared" si="595"/>
        <v>4.4558043529840941E-2</v>
      </c>
      <c r="BT208" s="68">
        <f t="shared" si="595"/>
        <v>6.4621415442298824E-2</v>
      </c>
      <c r="BU208" s="68">
        <f t="shared" si="595"/>
        <v>3.1332741889415461</v>
      </c>
      <c r="BV208" s="27">
        <f t="shared" si="596"/>
        <v>0.22306386455538552</v>
      </c>
      <c r="BW208" s="68">
        <f t="shared" si="596"/>
        <v>-2.2581900426734691E-2</v>
      </c>
      <c r="BX208" s="68">
        <f t="shared" si="596"/>
        <v>-7.6094770802988876E-2</v>
      </c>
      <c r="BY208" s="68">
        <f t="shared" si="596"/>
        <v>-2.803397634278082E-2</v>
      </c>
      <c r="BZ208" s="68">
        <f t="shared" si="596"/>
        <v>9.496535084096247E-2</v>
      </c>
      <c r="CA208" s="27">
        <f t="shared" si="596"/>
        <v>-1.24865570674072E-2</v>
      </c>
      <c r="CB208" s="68">
        <f t="shared" si="596"/>
        <v>0.77629978970605551</v>
      </c>
      <c r="CC208" s="68">
        <f t="shared" si="596"/>
        <v>0.67415528037019867</v>
      </c>
      <c r="CD208" s="68">
        <f t="shared" si="596"/>
        <v>0.62254611012747318</v>
      </c>
      <c r="CE208" s="68">
        <f t="shared" si="596"/>
        <v>0.67367365011022295</v>
      </c>
      <c r="CF208" s="27">
        <f t="shared" si="597"/>
        <v>0.68500215474649973</v>
      </c>
      <c r="CG208" s="68">
        <f t="shared" si="597"/>
        <v>-6.0289405993319445E-2</v>
      </c>
      <c r="CH208" s="68">
        <f t="shared" si="597"/>
        <v>0.28949631181469337</v>
      </c>
      <c r="CI208" s="68">
        <f t="shared" si="597"/>
        <v>0.21907125691388818</v>
      </c>
      <c r="CJ208" s="68">
        <f t="shared" si="597"/>
        <v>4.084116313487951E-2</v>
      </c>
      <c r="CK208" s="27">
        <f t="shared" si="597"/>
        <v>0.12207882606844489</v>
      </c>
      <c r="CL208" s="68">
        <f t="shared" si="597"/>
        <v>0.42438911940986657</v>
      </c>
      <c r="CM208" s="68">
        <f t="shared" si="597"/>
        <v>-1.1544028993319053</v>
      </c>
      <c r="CN208" s="68">
        <f t="shared" si="597"/>
        <v>-0.49866787117350708</v>
      </c>
      <c r="CO208" s="68">
        <f t="shared" si="597"/>
        <v>-0.79907845565525737</v>
      </c>
      <c r="CP208" s="27">
        <f t="shared" si="598"/>
        <v>-0.55412599822537711</v>
      </c>
      <c r="CQ208" s="68">
        <f t="shared" si="598"/>
        <v>-0.67875060689431943</v>
      </c>
      <c r="CR208" s="68">
        <f t="shared" si="598"/>
        <v>-4.1772811832525676</v>
      </c>
      <c r="CS208" s="68">
        <f t="shared" si="598"/>
        <v>-7.604838037206596E-2</v>
      </c>
      <c r="CT208" s="68">
        <f t="shared" si="598"/>
        <v>2.5995186725602766</v>
      </c>
      <c r="CU208" s="27">
        <f t="shared" si="598"/>
        <v>0.18407960199004969</v>
      </c>
      <c r="CV208" s="68">
        <f t="shared" si="598"/>
        <v>0.28539042821158667</v>
      </c>
      <c r="CW208" s="68">
        <f t="shared" si="598"/>
        <v>6.0733544404446782E-2</v>
      </c>
      <c r="CX208" s="68">
        <f t="shared" si="598"/>
        <v>0.27234065970349652</v>
      </c>
      <c r="CY208" s="68">
        <f t="shared" si="598"/>
        <v>0.15522205043547133</v>
      </c>
      <c r="CZ208" s="27">
        <f t="shared" si="599"/>
        <v>0.18319327731092439</v>
      </c>
      <c r="DA208" s="68">
        <f t="shared" si="599"/>
        <v>0.58201058201058209</v>
      </c>
      <c r="DB208" s="68">
        <f t="shared" si="599"/>
        <v>0.35391566265060237</v>
      </c>
      <c r="DC208" s="68">
        <f t="shared" si="599"/>
        <v>0.21698113207547176</v>
      </c>
      <c r="DD208" s="68">
        <f t="shared" si="599"/>
        <v>0.33570581257413989</v>
      </c>
      <c r="DE208" s="27">
        <f t="shared" si="599"/>
        <v>0.35830965909090917</v>
      </c>
      <c r="DF208" s="68">
        <f t="shared" si="599"/>
        <v>-5.3511705685618693E-2</v>
      </c>
      <c r="DG208" s="68">
        <f t="shared" si="599"/>
        <v>0.24360400444938812</v>
      </c>
      <c r="DH208" s="68">
        <f t="shared" si="599"/>
        <v>0.17607973421926904</v>
      </c>
      <c r="DI208" s="68">
        <f t="shared" si="599"/>
        <v>-1.7761989342806372E-2</v>
      </c>
      <c r="DJ208" s="27">
        <f t="shared" si="600"/>
        <v>8.1045751633986862E-2</v>
      </c>
      <c r="DK208" s="68">
        <f t="shared" si="601"/>
        <v>0.28150765606595995</v>
      </c>
      <c r="DL208" s="68">
        <f t="shared" si="602"/>
        <v>4.9194991055456105E-2</v>
      </c>
      <c r="DM208" s="68">
        <f t="shared" si="603"/>
        <v>0.18644067796610164</v>
      </c>
      <c r="DN208" s="68">
        <f t="shared" si="604"/>
        <v>7.8697721518987462E-2</v>
      </c>
      <c r="DO208" s="27">
        <f t="shared" si="605"/>
        <v>0.14003377992744848</v>
      </c>
      <c r="DP208" s="68">
        <f t="shared" si="606"/>
        <v>6.647816176470589E-2</v>
      </c>
      <c r="DQ208" s="68">
        <f t="shared" si="607"/>
        <v>7.2087433930093869E-2</v>
      </c>
      <c r="DR208" s="68">
        <f t="shared" si="608"/>
        <v>7.8118412698412687E-2</v>
      </c>
      <c r="DS208" s="68">
        <f t="shared" si="609"/>
        <v>0.15601249999999989</v>
      </c>
      <c r="DT208" s="27">
        <f t="shared" si="610"/>
        <v>9.3644757584221194E-2</v>
      </c>
      <c r="DU208" s="27">
        <f t="shared" si="611"/>
        <v>0.1042441575008286</v>
      </c>
      <c r="DV208" s="27">
        <f t="shared" si="611"/>
        <v>8.8068571428571607E-2</v>
      </c>
    </row>
    <row r="209" spans="2:126" s="92" customFormat="1" hidden="1" outlineLevel="2">
      <c r="B209" s="180" t="s">
        <v>570</v>
      </c>
      <c r="C209" s="27"/>
      <c r="D209" s="27"/>
      <c r="E209" s="27"/>
      <c r="F209" s="27"/>
      <c r="G209" s="27"/>
      <c r="H209" s="27"/>
      <c r="I209" s="27"/>
      <c r="J209" s="133"/>
      <c r="K209" s="133"/>
      <c r="L209" s="133"/>
      <c r="M209" s="133"/>
      <c r="N209" s="27"/>
      <c r="O209" s="68"/>
      <c r="P209" s="68"/>
      <c r="Q209" s="68"/>
      <c r="R209" s="68"/>
      <c r="S209" s="27"/>
      <c r="T209" s="68"/>
      <c r="U209" s="68"/>
      <c r="V209" s="68"/>
      <c r="W209" s="68"/>
      <c r="X209" s="27"/>
      <c r="Y209" s="68"/>
      <c r="Z209" s="68"/>
      <c r="AA209" s="68"/>
      <c r="AB209" s="68"/>
      <c r="AC209" s="27"/>
      <c r="AD209" s="68"/>
      <c r="AE209" s="68"/>
      <c r="AF209" s="68"/>
      <c r="AG209" s="68"/>
      <c r="AH209" s="27"/>
      <c r="AI209" s="68"/>
      <c r="AJ209" s="68"/>
      <c r="AK209" s="68"/>
      <c r="AL209" s="68"/>
      <c r="AM209" s="27"/>
      <c r="AN209" s="68"/>
      <c r="AO209" s="68"/>
      <c r="AP209" s="68"/>
      <c r="AQ209" s="68"/>
      <c r="AR209" s="27"/>
      <c r="AS209" s="68"/>
      <c r="AT209" s="68"/>
      <c r="AU209" s="68"/>
      <c r="AV209" s="68"/>
      <c r="AW209" s="27"/>
      <c r="AX209" s="68"/>
      <c r="AY209" s="68"/>
      <c r="AZ209" s="68"/>
      <c r="BA209" s="68"/>
      <c r="BB209" s="27"/>
      <c r="BC209" s="68"/>
      <c r="BD209" s="68"/>
      <c r="BE209" s="68"/>
      <c r="BF209" s="68"/>
      <c r="BG209" s="27">
        <f t="shared" ref="BG209:BP210" si="612">BG134/BB134-1</f>
        <v>-6.1869054763719289E-2</v>
      </c>
      <c r="BH209" s="68">
        <f t="shared" si="612"/>
        <v>-0.10230470320246543</v>
      </c>
      <c r="BI209" s="68">
        <f t="shared" si="612"/>
        <v>3.5694119880940178E-3</v>
      </c>
      <c r="BJ209" s="68">
        <f t="shared" si="612"/>
        <v>-1.5731182467247473E-2</v>
      </c>
      <c r="BK209" s="68">
        <f t="shared" si="612"/>
        <v>-7.8983568675801252E-2</v>
      </c>
      <c r="BL209" s="27">
        <f t="shared" si="612"/>
        <v>-4.8878593299432227E-2</v>
      </c>
      <c r="BM209" s="68">
        <f t="shared" si="612"/>
        <v>0.53056562284407849</v>
      </c>
      <c r="BN209" s="68">
        <f t="shared" si="612"/>
        <v>-0.10230165869462027</v>
      </c>
      <c r="BO209" s="68">
        <f t="shared" si="612"/>
        <v>-6.3487785596215707E-2</v>
      </c>
      <c r="BP209" s="68">
        <f t="shared" si="612"/>
        <v>-7.0972728313654754E-2</v>
      </c>
      <c r="BQ209" s="27">
        <f t="shared" ref="BQ209:BZ210" si="613">BQ134/BL134-1</f>
        <v>6.3110664402021399E-2</v>
      </c>
      <c r="BR209" s="68">
        <f t="shared" si="613"/>
        <v>-0.4393515930687536</v>
      </c>
      <c r="BS209" s="68">
        <f t="shared" si="613"/>
        <v>5.7603955014300601E-2</v>
      </c>
      <c r="BT209" s="68">
        <f t="shared" si="613"/>
        <v>9.9902504364630662E-3</v>
      </c>
      <c r="BU209" s="68">
        <f t="shared" si="613"/>
        <v>-1.3173181664120071E-2</v>
      </c>
      <c r="BV209" s="27">
        <f t="shared" si="613"/>
        <v>-0.13555255128153465</v>
      </c>
      <c r="BW209" s="68">
        <f t="shared" si="613"/>
        <v>9.0695997115037841E-2</v>
      </c>
      <c r="BX209" s="68">
        <f t="shared" si="613"/>
        <v>1.0981749528005125E-2</v>
      </c>
      <c r="BY209" s="68">
        <f t="shared" si="613"/>
        <v>-2.17652960608683E-2</v>
      </c>
      <c r="BZ209" s="68">
        <f t="shared" si="613"/>
        <v>0.10969788358719379</v>
      </c>
      <c r="CA209" s="27">
        <f t="shared" ref="CA209:CJ210" si="614">CA134/BV134-1</f>
        <v>4.4374332024609053E-2</v>
      </c>
      <c r="CB209" s="68">
        <f t="shared" si="614"/>
        <v>2.6403002927075869E-2</v>
      </c>
      <c r="CC209" s="68">
        <f t="shared" si="614"/>
        <v>-3.3046468922157568E-2</v>
      </c>
      <c r="CD209" s="68">
        <f t="shared" si="614"/>
        <v>0.11070676436892191</v>
      </c>
      <c r="CE209" s="68">
        <f t="shared" si="614"/>
        <v>0.1547994405687001</v>
      </c>
      <c r="CF209" s="27">
        <f t="shared" si="614"/>
        <v>6.6590666569457335E-2</v>
      </c>
      <c r="CG209" s="68">
        <f t="shared" si="614"/>
        <v>0.35899367207936472</v>
      </c>
      <c r="CH209" s="68">
        <f t="shared" si="614"/>
        <v>0.24384645853395104</v>
      </c>
      <c r="CI209" s="68">
        <f t="shared" si="614"/>
        <v>0.22577922795184024</v>
      </c>
      <c r="CJ209" s="68">
        <f t="shared" si="614"/>
        <v>9.7658419477936853E-2</v>
      </c>
      <c r="CK209" s="27">
        <f t="shared" ref="CK209:CT210" si="615">CK134/CF134-1</f>
        <v>0.22205678871185563</v>
      </c>
      <c r="CL209" s="68">
        <f t="shared" si="615"/>
        <v>2.5125628140703071E-3</v>
      </c>
      <c r="CM209" s="68">
        <f t="shared" si="615"/>
        <v>-0.14766839378238339</v>
      </c>
      <c r="CN209" s="68">
        <f t="shared" si="615"/>
        <v>-0.18224299065420557</v>
      </c>
      <c r="CO209" s="68">
        <f t="shared" si="615"/>
        <v>-0.15058823529411769</v>
      </c>
      <c r="CP209" s="27">
        <f t="shared" si="615"/>
        <v>-0.12095296273671352</v>
      </c>
      <c r="CQ209" s="68">
        <f t="shared" si="615"/>
        <v>-2.7568922305764465E-2</v>
      </c>
      <c r="CR209" s="68">
        <f t="shared" si="615"/>
        <v>0.2613981762917934</v>
      </c>
      <c r="CS209" s="68">
        <f t="shared" si="615"/>
        <v>0.11714285714285722</v>
      </c>
      <c r="CT209" s="68">
        <f t="shared" si="615"/>
        <v>0.77008310249307477</v>
      </c>
      <c r="CU209" s="27">
        <f t="shared" ref="CU209:DF210" si="616">CU134/CP134-1</f>
        <v>0.2738012508686587</v>
      </c>
      <c r="CV209" s="68">
        <f t="shared" si="616"/>
        <v>-2.5773195876288679E-2</v>
      </c>
      <c r="CW209" s="68">
        <f t="shared" si="616"/>
        <v>-0.24096385542168675</v>
      </c>
      <c r="CX209" s="68">
        <f t="shared" si="616"/>
        <v>-5.1150895140664954E-2</v>
      </c>
      <c r="CY209" s="68">
        <f t="shared" si="616"/>
        <v>-0.56494522691705784</v>
      </c>
      <c r="CZ209" s="27">
        <f t="shared" si="616"/>
        <v>-0.26786688488816146</v>
      </c>
      <c r="DA209" s="68">
        <f t="shared" si="616"/>
        <v>-0.1428571428571429</v>
      </c>
      <c r="DB209" s="68">
        <f t="shared" si="616"/>
        <v>-7.6190476190476142E-2</v>
      </c>
      <c r="DC209" s="68">
        <f t="shared" si="616"/>
        <v>-1</v>
      </c>
      <c r="DD209" s="68">
        <f t="shared" si="616"/>
        <v>-1</v>
      </c>
      <c r="DE209" s="27">
        <f t="shared" ref="DE209:DG210" si="617">DE134/CZ134-1</f>
        <v>-0.54172876304023843</v>
      </c>
      <c r="DF209" s="68">
        <f t="shared" si="616"/>
        <v>-1</v>
      </c>
      <c r="DG209" s="68">
        <f>DG134/DB134-1</f>
        <v>-1</v>
      </c>
      <c r="DH209" s="68"/>
      <c r="DI209" s="68"/>
      <c r="DJ209" s="27"/>
      <c r="DK209" s="68"/>
      <c r="DL209" s="68"/>
      <c r="DM209" s="68"/>
      <c r="DN209" s="68"/>
      <c r="DO209" s="27"/>
      <c r="DP209" s="68"/>
      <c r="DQ209" s="68"/>
      <c r="DR209" s="68"/>
      <c r="DS209" s="68"/>
      <c r="DT209" s="27"/>
      <c r="DU209" s="27"/>
      <c r="DV209" s="27"/>
    </row>
    <row r="210" spans="2:126" s="92" customFormat="1" hidden="1" outlineLevel="2">
      <c r="B210" s="180" t="s">
        <v>569</v>
      </c>
      <c r="C210" s="27"/>
      <c r="D210" s="27"/>
      <c r="E210" s="27"/>
      <c r="F210" s="27"/>
      <c r="G210" s="27"/>
      <c r="H210" s="27"/>
      <c r="I210" s="27"/>
      <c r="J210" s="133"/>
      <c r="K210" s="133"/>
      <c r="L210" s="133"/>
      <c r="M210" s="133"/>
      <c r="N210" s="27"/>
      <c r="O210" s="68"/>
      <c r="P210" s="68"/>
      <c r="Q210" s="68"/>
      <c r="R210" s="68"/>
      <c r="S210" s="27"/>
      <c r="T210" s="68"/>
      <c r="U210" s="68"/>
      <c r="V210" s="68"/>
      <c r="W210" s="68"/>
      <c r="X210" s="27"/>
      <c r="Y210" s="68"/>
      <c r="Z210" s="68"/>
      <c r="AA210" s="68"/>
      <c r="AB210" s="68"/>
      <c r="AC210" s="27"/>
      <c r="AD210" s="68"/>
      <c r="AE210" s="68"/>
      <c r="AF210" s="68"/>
      <c r="AG210" s="68"/>
      <c r="AH210" s="27"/>
      <c r="AI210" s="68"/>
      <c r="AJ210" s="68"/>
      <c r="AK210" s="68"/>
      <c r="AL210" s="68"/>
      <c r="AM210" s="27"/>
      <c r="AN210" s="68"/>
      <c r="AO210" s="68"/>
      <c r="AP210" s="68"/>
      <c r="AQ210" s="68"/>
      <c r="AR210" s="27"/>
      <c r="AS210" s="68"/>
      <c r="AT210" s="68"/>
      <c r="AU210" s="68"/>
      <c r="AV210" s="68"/>
      <c r="AW210" s="27"/>
      <c r="AX210" s="68"/>
      <c r="AY210" s="68"/>
      <c r="AZ210" s="68"/>
      <c r="BA210" s="68"/>
      <c r="BB210" s="27"/>
      <c r="BC210" s="68"/>
      <c r="BD210" s="68"/>
      <c r="BE210" s="68"/>
      <c r="BF210" s="68"/>
      <c r="BG210" s="27">
        <f t="shared" si="612"/>
        <v>2.1760435190710803E-2</v>
      </c>
      <c r="BH210" s="68">
        <f t="shared" si="612"/>
        <v>-8.7694215112945728E-2</v>
      </c>
      <c r="BI210" s="68">
        <f t="shared" si="612"/>
        <v>-0.21099831671356561</v>
      </c>
      <c r="BJ210" s="68">
        <f t="shared" si="612"/>
        <v>-0.14821791648224347</v>
      </c>
      <c r="BK210" s="68">
        <f t="shared" si="612"/>
        <v>0.15672432464836361</v>
      </c>
      <c r="BL210" s="27">
        <f t="shared" si="612"/>
        <v>-8.21068838777258E-2</v>
      </c>
      <c r="BM210" s="68">
        <f t="shared" si="612"/>
        <v>-0.10440077664615066</v>
      </c>
      <c r="BN210" s="68">
        <f t="shared" si="612"/>
        <v>-0.10909731318017568</v>
      </c>
      <c r="BO210" s="68">
        <f t="shared" si="612"/>
        <v>-1.408087660654922E-3</v>
      </c>
      <c r="BP210" s="68">
        <f t="shared" si="612"/>
        <v>5.2985459699279591E-3</v>
      </c>
      <c r="BQ210" s="27">
        <f t="shared" si="613"/>
        <v>-5.0369007996638682E-2</v>
      </c>
      <c r="BR210" s="68">
        <f t="shared" si="613"/>
        <v>-0.13699755575566919</v>
      </c>
      <c r="BS210" s="68">
        <f t="shared" si="613"/>
        <v>0.59402965330318813</v>
      </c>
      <c r="BT210" s="68">
        <f t="shared" si="613"/>
        <v>8.7037349776406536E-2</v>
      </c>
      <c r="BU210" s="68">
        <f t="shared" si="613"/>
        <v>-0.13335350580799166</v>
      </c>
      <c r="BV210" s="27">
        <f t="shared" si="613"/>
        <v>8.2779192521801104E-2</v>
      </c>
      <c r="BW210" s="68">
        <f t="shared" si="613"/>
        <v>0.25862466163681397</v>
      </c>
      <c r="BX210" s="68">
        <f t="shared" si="613"/>
        <v>-0.20310039212283881</v>
      </c>
      <c r="BY210" s="68">
        <f t="shared" si="613"/>
        <v>0.14112764186464211</v>
      </c>
      <c r="BZ210" s="68">
        <f t="shared" si="613"/>
        <v>0.16811304090323054</v>
      </c>
      <c r="CA210" s="27">
        <f t="shared" si="614"/>
        <v>5.5679217354528854E-2</v>
      </c>
      <c r="CB210" s="68">
        <f t="shared" si="614"/>
        <v>0.13468228941655602</v>
      </c>
      <c r="CC210" s="68">
        <f t="shared" si="614"/>
        <v>8.4081049161088828E-4</v>
      </c>
      <c r="CD210" s="68">
        <f t="shared" si="614"/>
        <v>-5.2253178623885788E-2</v>
      </c>
      <c r="CE210" s="68">
        <f t="shared" si="614"/>
        <v>-1.9539098677423539E-4</v>
      </c>
      <c r="CF210" s="27">
        <f t="shared" si="614"/>
        <v>1.5729005237699711E-2</v>
      </c>
      <c r="CG210" s="68">
        <f t="shared" si="614"/>
        <v>-5.741791658190909E-2</v>
      </c>
      <c r="CH210" s="68">
        <f t="shared" si="614"/>
        <v>8.2399375213203729E-2</v>
      </c>
      <c r="CI210" s="68">
        <f t="shared" si="614"/>
        <v>3.9637441700627773E-2</v>
      </c>
      <c r="CJ210" s="68">
        <f t="shared" si="614"/>
        <v>0.19117014462312354</v>
      </c>
      <c r="CK210" s="27">
        <f t="shared" si="615"/>
        <v>6.6084180536672976E-2</v>
      </c>
      <c r="CL210" s="68">
        <f t="shared" si="615"/>
        <v>0.25396825396825395</v>
      </c>
      <c r="CM210" s="68">
        <f t="shared" si="615"/>
        <v>-0.16732283464566933</v>
      </c>
      <c r="CN210" s="68">
        <f t="shared" si="615"/>
        <v>-9.109311740890691E-2</v>
      </c>
      <c r="CO210" s="68">
        <f t="shared" si="615"/>
        <v>-0.94472361809045224</v>
      </c>
      <c r="CP210" s="27">
        <f t="shared" si="615"/>
        <v>-0.28529411764705881</v>
      </c>
      <c r="CQ210" s="68">
        <f t="shared" si="615"/>
        <v>-0.10307414104882462</v>
      </c>
      <c r="CR210" s="68">
        <f t="shared" si="615"/>
        <v>0.25768321513002368</v>
      </c>
      <c r="CS210" s="68">
        <f t="shared" si="615"/>
        <v>9.1314031180400823E-2</v>
      </c>
      <c r="CT210" s="68">
        <f t="shared" si="615"/>
        <v>13.727272727272727</v>
      </c>
      <c r="CU210" s="27">
        <f t="shared" si="616"/>
        <v>0.37448559670781889</v>
      </c>
      <c r="CV210" s="68">
        <f t="shared" si="616"/>
        <v>-0.219758064516129</v>
      </c>
      <c r="CW210" s="68">
        <f t="shared" si="616"/>
        <v>-0.34586466165413532</v>
      </c>
      <c r="CX210" s="68">
        <f t="shared" si="616"/>
        <v>-0.16734693877551021</v>
      </c>
      <c r="CY210" s="68">
        <f t="shared" si="616"/>
        <v>-0.22633744855967075</v>
      </c>
      <c r="CZ210" s="27">
        <f t="shared" si="616"/>
        <v>-0.24201596806387227</v>
      </c>
      <c r="DA210" s="68">
        <f t="shared" si="616"/>
        <v>-0.15245478036175708</v>
      </c>
      <c r="DB210" s="68">
        <f t="shared" si="616"/>
        <v>0.19252873563218387</v>
      </c>
      <c r="DC210" s="68">
        <f t="shared" si="616"/>
        <v>-1</v>
      </c>
      <c r="DD210" s="68">
        <f t="shared" si="616"/>
        <v>-1</v>
      </c>
      <c r="DE210" s="27">
        <f t="shared" si="617"/>
        <v>-0.51086240947992101</v>
      </c>
      <c r="DF210" s="68">
        <f t="shared" si="616"/>
        <v>-1</v>
      </c>
      <c r="DG210" s="68">
        <f t="shared" si="617"/>
        <v>-1</v>
      </c>
      <c r="DH210" s="68"/>
      <c r="DI210" s="68"/>
      <c r="DJ210" s="27"/>
      <c r="DK210" s="68"/>
      <c r="DL210" s="68"/>
      <c r="DM210" s="68"/>
      <c r="DN210" s="68"/>
      <c r="DO210" s="27"/>
      <c r="DP210" s="68"/>
      <c r="DQ210" s="68"/>
      <c r="DR210" s="68"/>
      <c r="DS210" s="68"/>
      <c r="DT210" s="27"/>
      <c r="DU210" s="27"/>
      <c r="DV210" s="27"/>
    </row>
    <row r="211" spans="2:126" s="92" customFormat="1" hidden="1" outlineLevel="1">
      <c r="B211" s="41" t="s">
        <v>629</v>
      </c>
      <c r="C211" s="27"/>
      <c r="D211" s="27"/>
      <c r="E211" s="27"/>
      <c r="F211" s="27"/>
      <c r="G211" s="27"/>
      <c r="H211" s="27"/>
      <c r="I211" s="27"/>
      <c r="J211" s="133"/>
      <c r="K211" s="133"/>
      <c r="L211" s="133"/>
      <c r="M211" s="133"/>
      <c r="N211" s="27"/>
      <c r="O211" s="68"/>
      <c r="P211" s="68"/>
      <c r="Q211" s="68"/>
      <c r="R211" s="68"/>
      <c r="S211" s="27"/>
      <c r="T211" s="68"/>
      <c r="U211" s="68"/>
      <c r="V211" s="68"/>
      <c r="W211" s="68"/>
      <c r="X211" s="27"/>
      <c r="Y211" s="68"/>
      <c r="Z211" s="68"/>
      <c r="AA211" s="68"/>
      <c r="AB211" s="68"/>
      <c r="AC211" s="27"/>
      <c r="AD211" s="68"/>
      <c r="AE211" s="68"/>
      <c r="AF211" s="68"/>
      <c r="AG211" s="68"/>
      <c r="AH211" s="27"/>
      <c r="AI211" s="68"/>
      <c r="AJ211" s="68"/>
      <c r="AK211" s="68"/>
      <c r="AL211" s="68"/>
      <c r="AM211" s="27"/>
      <c r="AN211" s="68"/>
      <c r="AO211" s="68"/>
      <c r="AP211" s="68"/>
      <c r="AQ211" s="68"/>
      <c r="AR211" s="27"/>
      <c r="AS211" s="68"/>
      <c r="AT211" s="68"/>
      <c r="AU211" s="68"/>
      <c r="AV211" s="68"/>
      <c r="AW211" s="27"/>
      <c r="AX211" s="68"/>
      <c r="AY211" s="68"/>
      <c r="AZ211" s="68"/>
      <c r="BA211" s="68"/>
      <c r="BB211" s="27"/>
      <c r="BC211" s="68"/>
      <c r="BD211" s="68"/>
      <c r="BE211" s="68"/>
      <c r="BF211" s="68"/>
      <c r="BG211" s="27"/>
      <c r="BH211" s="68"/>
      <c r="BI211" s="68"/>
      <c r="BJ211" s="68"/>
      <c r="BK211" s="68"/>
      <c r="BL211" s="27"/>
      <c r="BM211" s="68"/>
      <c r="BN211" s="68"/>
      <c r="BO211" s="68"/>
      <c r="BP211" s="68"/>
      <c r="BQ211" s="27"/>
      <c r="BR211" s="68"/>
      <c r="BS211" s="68"/>
      <c r="BT211" s="68"/>
      <c r="BU211" s="68"/>
      <c r="BV211" s="27"/>
      <c r="BW211" s="68"/>
      <c r="BX211" s="68"/>
      <c r="BY211" s="68"/>
      <c r="BZ211" s="68"/>
      <c r="CA211" s="27"/>
      <c r="CB211" s="68"/>
      <c r="CC211" s="68"/>
      <c r="CD211" s="68"/>
      <c r="CE211" s="68"/>
      <c r="CF211" s="27"/>
      <c r="CG211" s="68"/>
      <c r="CH211" s="68"/>
      <c r="CI211" s="68"/>
      <c r="CJ211" s="68"/>
      <c r="CK211" s="27"/>
      <c r="CL211" s="68"/>
      <c r="CM211" s="68"/>
      <c r="CN211" s="68"/>
      <c r="CO211" s="68"/>
      <c r="CP211" s="27"/>
      <c r="CQ211" s="68"/>
      <c r="CR211" s="68"/>
      <c r="CS211" s="68"/>
      <c r="CT211" s="68"/>
      <c r="CU211" s="27"/>
      <c r="CV211" s="68"/>
      <c r="CW211" s="68"/>
      <c r="CX211" s="68"/>
      <c r="CY211" s="68"/>
      <c r="CZ211" s="27"/>
      <c r="DA211" s="68">
        <f t="shared" ref="DA211:DJ211" si="618">DA136/CV136-1</f>
        <v>-0.12824427480916034</v>
      </c>
      <c r="DB211" s="68">
        <f t="shared" si="618"/>
        <v>0.11226252158894656</v>
      </c>
      <c r="DC211" s="68">
        <f t="shared" si="618"/>
        <v>-0.18367346938775508</v>
      </c>
      <c r="DD211" s="68">
        <f t="shared" si="618"/>
        <v>0.14393939393939403</v>
      </c>
      <c r="DE211" s="27">
        <f t="shared" si="618"/>
        <v>-2.8186274509803932E-2</v>
      </c>
      <c r="DF211" s="68">
        <f t="shared" si="618"/>
        <v>0.74430823117337996</v>
      </c>
      <c r="DG211" s="68">
        <f t="shared" si="618"/>
        <v>-0.80279503105590067</v>
      </c>
      <c r="DH211" s="68">
        <f t="shared" si="618"/>
        <v>0.15535714285714275</v>
      </c>
      <c r="DI211" s="68">
        <f t="shared" si="618"/>
        <v>0.36423841059602657</v>
      </c>
      <c r="DJ211" s="27">
        <f t="shared" si="618"/>
        <v>9.0374106767549423E-2</v>
      </c>
      <c r="DK211" s="68">
        <f t="shared" si="601"/>
        <v>-0.31927710843373491</v>
      </c>
      <c r="DL211" s="68">
        <f t="shared" si="602"/>
        <v>5.3385826771653546</v>
      </c>
      <c r="DM211" s="68">
        <f t="shared" ref="DM211" si="619">DM136/DH136-1</f>
        <v>0.32766615146831524</v>
      </c>
      <c r="DN211" s="68">
        <f t="shared" ref="DN211" si="620">DN136/DI136-1</f>
        <v>2.2825631067961316E-2</v>
      </c>
      <c r="DO211" s="27">
        <f t="shared" ref="DO211" si="621">DO136/DJ136-1</f>
        <v>0.22775956823438714</v>
      </c>
      <c r="DP211" s="68">
        <f t="shared" ref="DP211" si="622">DP136/DK136-1</f>
        <v>0.14063893805309746</v>
      </c>
      <c r="DQ211" s="68">
        <f t="shared" ref="DQ211" si="623">DQ136/DL136-1</f>
        <v>7.1387816149068195E-2</v>
      </c>
      <c r="DR211" s="68">
        <f t="shared" ref="DR211" si="624">DR136/DM136-1</f>
        <v>3.4360186263096448E-2</v>
      </c>
      <c r="DS211" s="68">
        <f t="shared" ref="DS211" si="625">DS136/DN136-1</f>
        <v>0.10191304347826069</v>
      </c>
      <c r="DT211" s="27">
        <f t="shared" ref="DT211" si="626">DT136/DO136-1</f>
        <v>8.4221380381221733E-2</v>
      </c>
      <c r="DU211" s="27">
        <f>DU136/DT136-1</f>
        <v>6.987004525556828E-2</v>
      </c>
      <c r="DV211" s="27">
        <f>DV136/DU136-1</f>
        <v>6.8516666666666559E-2</v>
      </c>
    </row>
    <row r="212" spans="2:126" s="92" customFormat="1" hidden="1" outlineLevel="1">
      <c r="B212" s="137" t="s">
        <v>68</v>
      </c>
      <c r="C212" s="138"/>
      <c r="D212" s="138"/>
      <c r="E212" s="138">
        <f>E139/D139-1</f>
        <v>-4.8192771084337394E-2</v>
      </c>
      <c r="F212" s="138">
        <f>F139/E139-1</f>
        <v>-0.15506329113924056</v>
      </c>
      <c r="G212" s="138">
        <f>G139/F139-1</f>
        <v>-0.31835205992509363</v>
      </c>
      <c r="H212" s="138">
        <f>H139/G139-1</f>
        <v>0.10989010989010994</v>
      </c>
      <c r="I212" s="138">
        <f>I139/H139-1</f>
        <v>0.81683168316831689</v>
      </c>
      <c r="J212" s="107"/>
      <c r="K212" s="107"/>
      <c r="L212" s="107"/>
      <c r="M212" s="107"/>
      <c r="N212" s="138">
        <f t="shared" ref="N212:AH212" si="627">N139/I139-1</f>
        <v>-1.1689373297002725</v>
      </c>
      <c r="O212" s="107">
        <f t="shared" si="627"/>
        <v>-1.4929577464788732</v>
      </c>
      <c r="P212" s="107">
        <f t="shared" si="627"/>
        <v>4</v>
      </c>
      <c r="Q212" s="107">
        <f t="shared" si="627"/>
        <v>-1.9047619047619091E-2</v>
      </c>
      <c r="R212" s="107">
        <f t="shared" si="627"/>
        <v>-5.2857142857142856</v>
      </c>
      <c r="S212" s="138">
        <f t="shared" si="627"/>
        <v>-4.9193548387096779</v>
      </c>
      <c r="T212" s="107">
        <f t="shared" si="627"/>
        <v>-0.4285714285714286</v>
      </c>
      <c r="U212" s="107">
        <f t="shared" si="627"/>
        <v>-0.75</v>
      </c>
      <c r="V212" s="107">
        <f t="shared" si="627"/>
        <v>-0.52427184466019416</v>
      </c>
      <c r="W212" s="107">
        <f t="shared" si="627"/>
        <v>-0.26666666666666672</v>
      </c>
      <c r="X212" s="138">
        <f t="shared" si="627"/>
        <v>-0.38271604938271608</v>
      </c>
      <c r="Y212" s="107">
        <f t="shared" si="627"/>
        <v>2.75</v>
      </c>
      <c r="Z212" s="107">
        <f t="shared" si="627"/>
        <v>-23.4</v>
      </c>
      <c r="AA212" s="107">
        <f t="shared" si="627"/>
        <v>0.48979591836734704</v>
      </c>
      <c r="AB212" s="107">
        <f t="shared" si="627"/>
        <v>0.68181818181818188</v>
      </c>
      <c r="AC212" s="138">
        <f t="shared" si="627"/>
        <v>1.9733333333333332</v>
      </c>
      <c r="AD212" s="107">
        <f t="shared" si="627"/>
        <v>-0.29333333333333333</v>
      </c>
      <c r="AE212" s="107">
        <f t="shared" si="627"/>
        <v>8.9285714285714191E-2</v>
      </c>
      <c r="AF212" s="107">
        <f t="shared" si="627"/>
        <v>0.68493150684931514</v>
      </c>
      <c r="AG212" s="107">
        <f t="shared" si="627"/>
        <v>0.56756756756756754</v>
      </c>
      <c r="AH212" s="138">
        <f t="shared" si="627"/>
        <v>0.17713004484304928</v>
      </c>
      <c r="AI212" s="107">
        <f t="shared" ref="AI212:BN212" si="628">(AI139+AI139)/(AD139+AD139)-1</f>
        <v>8.4905660377358583E-2</v>
      </c>
      <c r="AJ212" s="107">
        <f t="shared" si="628"/>
        <v>-0.21311475409836067</v>
      </c>
      <c r="AK212" s="107">
        <f t="shared" si="628"/>
        <v>0.39024390243902429</v>
      </c>
      <c r="AL212" s="107">
        <f t="shared" si="628"/>
        <v>0.27011494252873569</v>
      </c>
      <c r="AM212" s="138">
        <f t="shared" si="628"/>
        <v>0.14857142857142858</v>
      </c>
      <c r="AN212" s="107">
        <f t="shared" si="628"/>
        <v>0.19130434782608696</v>
      </c>
      <c r="AO212" s="107">
        <f t="shared" si="628"/>
        <v>0.61458333333333326</v>
      </c>
      <c r="AP212" s="107">
        <f t="shared" si="628"/>
        <v>0.64912280701754388</v>
      </c>
      <c r="AQ212" s="107">
        <f t="shared" si="628"/>
        <v>-4.0723981900452455E-2</v>
      </c>
      <c r="AR212" s="138">
        <f t="shared" si="628"/>
        <v>0.30348258706467668</v>
      </c>
      <c r="AS212" s="107">
        <f t="shared" si="628"/>
        <v>3.649635036496357E-2</v>
      </c>
      <c r="AT212" s="107">
        <f t="shared" si="628"/>
        <v>-7.096774193548383E-2</v>
      </c>
      <c r="AU212" s="107">
        <f t="shared" si="628"/>
        <v>-0.6063829787234043</v>
      </c>
      <c r="AV212" s="107">
        <f t="shared" si="628"/>
        <v>0.179245283018868</v>
      </c>
      <c r="AW212" s="138">
        <f t="shared" si="628"/>
        <v>-0.17684478371501278</v>
      </c>
      <c r="AX212" s="107">
        <f t="shared" si="628"/>
        <v>-0.59988119616701319</v>
      </c>
      <c r="AY212" s="107">
        <f t="shared" si="628"/>
        <v>-0.60787396719694164</v>
      </c>
      <c r="AZ212" s="107">
        <f t="shared" si="628"/>
        <v>-0.47865734769175394</v>
      </c>
      <c r="BA212" s="107">
        <f t="shared" si="628"/>
        <v>-0.72222863485016653</v>
      </c>
      <c r="BB212" s="138">
        <f t="shared" si="628"/>
        <v>-0.62813772092488684</v>
      </c>
      <c r="BC212" s="107">
        <f t="shared" si="628"/>
        <v>-0.16049382716049387</v>
      </c>
      <c r="BD212" s="107">
        <f t="shared" si="628"/>
        <v>2.4844720496894235E-2</v>
      </c>
      <c r="BE212" s="107">
        <f t="shared" si="628"/>
        <v>-7.2727272727272751E-2</v>
      </c>
      <c r="BF212" s="107">
        <f t="shared" si="628"/>
        <v>-2.5252525252525193E-2</v>
      </c>
      <c r="BG212" s="138">
        <f t="shared" si="628"/>
        <v>-5.6851311953352801E-2</v>
      </c>
      <c r="BH212" s="107">
        <f t="shared" si="628"/>
        <v>-0.11029411764705888</v>
      </c>
      <c r="BI212" s="107">
        <f t="shared" si="628"/>
        <v>-1.3878787878787879</v>
      </c>
      <c r="BJ212" s="107">
        <f t="shared" si="628"/>
        <v>0.18954248366013071</v>
      </c>
      <c r="BK212" s="107">
        <f t="shared" si="628"/>
        <v>0.13989637305699465</v>
      </c>
      <c r="BL212" s="138">
        <f t="shared" si="628"/>
        <v>-0.29057187017001551</v>
      </c>
      <c r="BM212" s="107">
        <f t="shared" si="628"/>
        <v>2.4793388429752206E-2</v>
      </c>
      <c r="BN212" s="107">
        <f t="shared" si="628"/>
        <v>-4.140625</v>
      </c>
      <c r="BO212" s="107">
        <f t="shared" ref="BO212:CP212" si="629">(BO139+BO139)/(BJ139+BJ139)-1</f>
        <v>-0.15934065934065933</v>
      </c>
      <c r="BP212" s="107">
        <f t="shared" si="629"/>
        <v>1.3772727272727274</v>
      </c>
      <c r="BQ212" s="138">
        <f t="shared" si="629"/>
        <v>1.1808278867102393</v>
      </c>
      <c r="BR212" s="107">
        <f t="shared" si="629"/>
        <v>9.6774193548387011E-2</v>
      </c>
      <c r="BS212" s="107">
        <f t="shared" si="629"/>
        <v>-0.43283582089552231</v>
      </c>
      <c r="BT212" s="107">
        <f t="shared" si="629"/>
        <v>-0.16993464052287577</v>
      </c>
      <c r="BU212" s="107">
        <f t="shared" si="629"/>
        <v>0.13766730401529648</v>
      </c>
      <c r="BV212" s="138">
        <f t="shared" si="629"/>
        <v>-2.8971028971028878E-2</v>
      </c>
      <c r="BW212" s="107">
        <f t="shared" si="629"/>
        <v>0.37500000000000022</v>
      </c>
      <c r="BX212" s="107">
        <f t="shared" si="629"/>
        <v>0.26315789473684204</v>
      </c>
      <c r="BY212" s="107">
        <f t="shared" si="629"/>
        <v>-9.4488188976377896E-2</v>
      </c>
      <c r="BZ212" s="107">
        <f t="shared" si="629"/>
        <v>-0.52436974789915958</v>
      </c>
      <c r="CA212" s="138">
        <f t="shared" si="629"/>
        <v>-0.25</v>
      </c>
      <c r="CB212" s="107">
        <f t="shared" si="629"/>
        <v>9.3582887700534911E-2</v>
      </c>
      <c r="CC212" s="107">
        <f t="shared" si="629"/>
        <v>0.96180555555555558</v>
      </c>
      <c r="CD212" s="107">
        <f t="shared" si="629"/>
        <v>1.3695652173913042</v>
      </c>
      <c r="CE212" s="107">
        <f t="shared" si="629"/>
        <v>-0.20671378091872794</v>
      </c>
      <c r="CF212" s="138">
        <f t="shared" si="629"/>
        <v>0.34979423868312742</v>
      </c>
      <c r="CG212" s="107">
        <f t="shared" si="629"/>
        <v>-0.14950017022066797</v>
      </c>
      <c r="CH212" s="107">
        <f t="shared" si="629"/>
        <v>-0.48525820544415821</v>
      </c>
      <c r="CI212" s="107">
        <f t="shared" si="629"/>
        <v>-0.45590523748693534</v>
      </c>
      <c r="CJ212" s="107">
        <f t="shared" si="629"/>
        <v>0.93047841899016093</v>
      </c>
      <c r="CK212" s="138">
        <f t="shared" si="629"/>
        <v>-8.4349593495934849E-2</v>
      </c>
      <c r="CL212" s="107">
        <f t="shared" si="629"/>
        <v>1.2950819672131146</v>
      </c>
      <c r="CM212" s="107">
        <f t="shared" si="629"/>
        <v>2.607843137254902</v>
      </c>
      <c r="CN212" s="107">
        <f t="shared" si="629"/>
        <v>0.61538461538461542</v>
      </c>
      <c r="CO212" s="107">
        <f t="shared" si="629"/>
        <v>-0.34868421052631582</v>
      </c>
      <c r="CP212" s="138">
        <f t="shared" si="629"/>
        <v>0.60443037974683533</v>
      </c>
      <c r="CQ212" s="107">
        <f t="shared" ref="CQ212" si="630">(CQ139+CQ139)/(CL139+CL139)-1</f>
        <v>-0.42142857142857137</v>
      </c>
      <c r="CR212" s="107">
        <f t="shared" ref="CR212" si="631">(CR139+CR139)/(CM139+CM139)-1</f>
        <v>-0.19021739130434778</v>
      </c>
      <c r="CS212" s="107">
        <f t="shared" ref="CS212" si="632">(CS139+CS139)/(CN139+CN139)-1</f>
        <v>5.9523809523809534E-2</v>
      </c>
      <c r="CT212" s="107">
        <f t="shared" ref="CT212" si="633">(CT139+CT139)/(CO139+CO139)-1</f>
        <v>1.202020202020202</v>
      </c>
      <c r="CU212" s="138">
        <f t="shared" ref="CU212" si="634">(CU139+CU139)/(CP139+CP139)-1</f>
        <v>5.9171597633136175E-2</v>
      </c>
      <c r="CV212" s="107">
        <f t="shared" ref="CV212" si="635">(CV139+CV139)/(CQ139+CQ139)-1</f>
        <v>0.67901234567901225</v>
      </c>
      <c r="CW212" s="107">
        <f t="shared" ref="CW212" si="636">(CW139+CW139)/(CR139+CR139)-1</f>
        <v>-0.71812080536912748</v>
      </c>
      <c r="CX212" s="107">
        <f t="shared" ref="CX212" si="637">(CX139+CX139)/(CS139+CS139)-1</f>
        <v>-0.1348314606741573</v>
      </c>
      <c r="CY212" s="107">
        <f t="shared" ref="CY212" si="638">(CY139+CY139)/(CT139+CT139)-1</f>
        <v>-0.71100917431192667</v>
      </c>
      <c r="CZ212" s="138">
        <f t="shared" ref="CZ212" si="639">(CZ139+CZ139)/(CU139+CU139)-1</f>
        <v>-0.40782122905027929</v>
      </c>
      <c r="DA212" s="107">
        <f t="shared" ref="DA212" si="640">(DA139+DA139)/(CV139+CV139)-1</f>
        <v>-0.68382352941176472</v>
      </c>
      <c r="DB212" s="107">
        <f t="shared" ref="DB212" si="641">(DB139+DB139)/(CW139+CW139)-1</f>
        <v>0.40476190476190466</v>
      </c>
      <c r="DC212" s="107">
        <f t="shared" ref="DC212" si="642">(DC139+DC139)/(CX139+CX139)-1</f>
        <v>-0.18181818181818177</v>
      </c>
      <c r="DD212" s="107">
        <f t="shared" ref="DD212" si="643">(DD139+DD139)/(CY139+CY139)-1</f>
        <v>0.74603174603174605</v>
      </c>
      <c r="DE212" s="138">
        <f t="shared" ref="DE212:DF212" si="644">(DE139+DE139)/(CZ139+CZ139)-1</f>
        <v>-0.13522012578616349</v>
      </c>
      <c r="DF212" s="107">
        <f t="shared" si="644"/>
        <v>1.2325581395348837</v>
      </c>
      <c r="DG212" s="107">
        <f t="shared" ref="DG212" si="645">(DG139+DG139)/(DB139+DB139)-1</f>
        <v>14.76271186440678</v>
      </c>
      <c r="DH212" s="107">
        <f t="shared" ref="DH212" si="646">(DH139+DH139)/(DC139+DC139)-1</f>
        <v>-2.587301587301587</v>
      </c>
      <c r="DI212" s="107">
        <f t="shared" ref="DI212:DJ212" si="647">(DI139+DI139)/(DD139+DD139)-1</f>
        <v>-0.9363636363636364</v>
      </c>
      <c r="DJ212" s="138">
        <f t="shared" si="647"/>
        <v>2.3927272727272726</v>
      </c>
      <c r="DK212" s="107">
        <f t="shared" ref="DK212" si="648">(DK139+DK139)/(DF139+DF139)-1</f>
        <v>-0.60416666666666674</v>
      </c>
      <c r="DL212" s="107">
        <f t="shared" ref="DL212" si="649">(DL139+DL139)/(DG139+DG139)-1</f>
        <v>-0.94946236559139785</v>
      </c>
      <c r="DM212" s="107">
        <f t="shared" ref="DM212" si="650">(DM139+DM139)/(DH139+DH139)-1</f>
        <v>-1.25</v>
      </c>
      <c r="DN212" s="107">
        <f t="shared" ref="DN212" si="651">(DN139+DN139)/(DI139+DI139)-1</f>
        <v>10.571428571428571</v>
      </c>
      <c r="DO212" s="138">
        <f t="shared" ref="DO212" si="652">(DO139+DO139)/(DJ139+DJ139)-1</f>
        <v>-0.79528403001071812</v>
      </c>
      <c r="DP212" s="107">
        <f t="shared" ref="DP212" si="653">(DP139+DP139)/(DK139+DK139)-1</f>
        <v>-7.8947368421052655E-2</v>
      </c>
      <c r="DQ212" s="107">
        <f t="shared" ref="DQ212" si="654">(DQ139+DQ139)/(DL139+DL139)-1</f>
        <v>-0.14893617021276595</v>
      </c>
      <c r="DR212" s="107">
        <f t="shared" ref="DR212" si="655">(DR139+DR139)/(DM139+DM139)-1</f>
        <v>1.4</v>
      </c>
      <c r="DS212" s="107">
        <f t="shared" ref="DS212" si="656">(DS139+DS139)/(DN139+DN139)-1</f>
        <v>-0.13580246913580252</v>
      </c>
      <c r="DT212" s="138">
        <f t="shared" ref="DT212" si="657">(DT139+DT139)/(DO139+DO139)-1</f>
        <v>7.3298429319371694E-2</v>
      </c>
      <c r="DU212" s="138">
        <f t="shared" ref="DU212:DV212" si="658">(DU139+DU139)/(DT139+DT139)-1</f>
        <v>4.8780487804878092E-2</v>
      </c>
      <c r="DV212" s="138">
        <f t="shared" si="658"/>
        <v>2.3255813953488413E-2</v>
      </c>
    </row>
    <row r="213" spans="2:126" s="37" customFormat="1" hidden="1" outlineLevel="1">
      <c r="B213" s="44" t="s">
        <v>139</v>
      </c>
      <c r="C213" s="136"/>
      <c r="D213" s="136">
        <f t="shared" ref="D213:I213" si="659">D144/C144-1</f>
        <v>0.17367949865711729</v>
      </c>
      <c r="E213" s="136">
        <f t="shared" si="659"/>
        <v>-0.32799389778794819</v>
      </c>
      <c r="F213" s="136">
        <f t="shared" si="659"/>
        <v>1.0590238365493758</v>
      </c>
      <c r="G213" s="136">
        <f t="shared" si="659"/>
        <v>9.0407938257993425E-2</v>
      </c>
      <c r="H213" s="136">
        <f t="shared" si="659"/>
        <v>-6.6228513650151699E-2</v>
      </c>
      <c r="I213" s="136">
        <f t="shared" si="659"/>
        <v>-0.18354087709799671</v>
      </c>
      <c r="J213" s="135"/>
      <c r="K213" s="135"/>
      <c r="L213" s="135"/>
      <c r="M213" s="135"/>
      <c r="N213" s="136">
        <f t="shared" ref="N213:AS213" si="660">N144/I144-1</f>
        <v>-0.20954907161803715</v>
      </c>
      <c r="O213" s="135">
        <f t="shared" si="660"/>
        <v>0.7407407407407407</v>
      </c>
      <c r="P213" s="135">
        <f t="shared" si="660"/>
        <v>0.33123028391167186</v>
      </c>
      <c r="Q213" s="135">
        <f t="shared" si="660"/>
        <v>0.27826086956521734</v>
      </c>
      <c r="R213" s="135">
        <f t="shared" si="660"/>
        <v>0.33757961783439483</v>
      </c>
      <c r="S213" s="136">
        <f t="shared" si="660"/>
        <v>0.39177852348993292</v>
      </c>
      <c r="T213" s="135">
        <f t="shared" si="660"/>
        <v>0.3856382978723405</v>
      </c>
      <c r="U213" s="135">
        <f t="shared" si="660"/>
        <v>0.53317535545023698</v>
      </c>
      <c r="V213" s="135">
        <f t="shared" si="660"/>
        <v>0.29251700680272119</v>
      </c>
      <c r="W213" s="135">
        <f t="shared" si="660"/>
        <v>0.30714285714285716</v>
      </c>
      <c r="X213" s="136">
        <f t="shared" si="660"/>
        <v>0.37854128993369507</v>
      </c>
      <c r="Y213" s="135">
        <f t="shared" si="660"/>
        <v>0.23992322456813819</v>
      </c>
      <c r="Z213" s="135">
        <f t="shared" si="660"/>
        <v>8.9644513137558057E-2</v>
      </c>
      <c r="AA213" s="135">
        <f t="shared" si="660"/>
        <v>0.11929824561403501</v>
      </c>
      <c r="AB213" s="135">
        <f t="shared" si="660"/>
        <v>0.32969034608378878</v>
      </c>
      <c r="AC213" s="136">
        <f t="shared" si="660"/>
        <v>0.18889374726716213</v>
      </c>
      <c r="AD213" s="135">
        <f t="shared" si="660"/>
        <v>0.11764705882352944</v>
      </c>
      <c r="AE213" s="135">
        <f t="shared" si="660"/>
        <v>0.123404255319149</v>
      </c>
      <c r="AF213" s="135">
        <f t="shared" si="660"/>
        <v>0.23824451410658298</v>
      </c>
      <c r="AG213" s="135">
        <f t="shared" si="660"/>
        <v>8.7671232876712413E-2</v>
      </c>
      <c r="AH213" s="136">
        <f t="shared" si="660"/>
        <v>0.13938948142699514</v>
      </c>
      <c r="AI213" s="135">
        <f t="shared" si="660"/>
        <v>-0.11495844875346262</v>
      </c>
      <c r="AJ213" s="135">
        <f t="shared" si="660"/>
        <v>-0.16035353535353536</v>
      </c>
      <c r="AK213" s="135">
        <f t="shared" si="660"/>
        <v>-0.12658227848101267</v>
      </c>
      <c r="AL213" s="135">
        <f t="shared" si="660"/>
        <v>-8.6901763224181305E-2</v>
      </c>
      <c r="AM213" s="136">
        <f t="shared" si="660"/>
        <v>-0.12233699160748868</v>
      </c>
      <c r="AN213" s="135">
        <f t="shared" si="660"/>
        <v>-5.477308294209704E-2</v>
      </c>
      <c r="AO213" s="135">
        <f t="shared" si="660"/>
        <v>9.0225563909773765E-3</v>
      </c>
      <c r="AP213" s="135">
        <f t="shared" si="660"/>
        <v>7.2463768115942129E-2</v>
      </c>
      <c r="AQ213" s="135">
        <f t="shared" si="660"/>
        <v>-8.9655172413793061E-2</v>
      </c>
      <c r="AR213" s="136">
        <f t="shared" si="660"/>
        <v>-1.6182420007355591E-2</v>
      </c>
      <c r="AS213" s="135">
        <f t="shared" si="660"/>
        <v>-0.15397350993377479</v>
      </c>
      <c r="AT213" s="135">
        <f t="shared" ref="AT213:BY213" si="661">AT144/AO144-1</f>
        <v>-0.22652757078986585</v>
      </c>
      <c r="AU213" s="135">
        <f t="shared" si="661"/>
        <v>-0.15540540540540537</v>
      </c>
      <c r="AV213" s="135">
        <f t="shared" si="661"/>
        <v>-3.9393939393939426E-2</v>
      </c>
      <c r="AW213" s="136">
        <f t="shared" si="661"/>
        <v>-0.1442990654205607</v>
      </c>
      <c r="AX213" s="135">
        <f t="shared" si="661"/>
        <v>1.3250552223991172</v>
      </c>
      <c r="AY213" s="135">
        <f t="shared" si="661"/>
        <v>1.4720809034705602</v>
      </c>
      <c r="AZ213" s="135">
        <f t="shared" si="661"/>
        <v>1.1702126526082126</v>
      </c>
      <c r="BA213" s="135">
        <f t="shared" si="661"/>
        <v>0.98810645024630905</v>
      </c>
      <c r="BB213" s="136">
        <f t="shared" si="661"/>
        <v>1.2227853232343655</v>
      </c>
      <c r="BC213" s="135">
        <f t="shared" si="661"/>
        <v>0.29591370608165879</v>
      </c>
      <c r="BD213" s="135">
        <f t="shared" si="661"/>
        <v>0.34869012934345545</v>
      </c>
      <c r="BE213" s="135">
        <f t="shared" si="661"/>
        <v>0.18053990627615901</v>
      </c>
      <c r="BF213" s="135">
        <f t="shared" si="661"/>
        <v>0.2392253410749916</v>
      </c>
      <c r="BG213" s="136">
        <f t="shared" si="661"/>
        <v>0.26442134020672525</v>
      </c>
      <c r="BH213" s="135">
        <f t="shared" si="661"/>
        <v>0.10690639257063062</v>
      </c>
      <c r="BI213" s="135">
        <f t="shared" si="661"/>
        <v>0.10786652341933545</v>
      </c>
      <c r="BJ213" s="135">
        <f t="shared" si="661"/>
        <v>0.16406016611459173</v>
      </c>
      <c r="BK213" s="135">
        <f t="shared" si="661"/>
        <v>0.19367381103288728</v>
      </c>
      <c r="BL213" s="136">
        <f t="shared" si="661"/>
        <v>0.14245721627190289</v>
      </c>
      <c r="BM213" s="135">
        <f t="shared" si="661"/>
        <v>4.2997426992290366E-2</v>
      </c>
      <c r="BN213" s="135">
        <f t="shared" si="661"/>
        <v>-0.1634265394584562</v>
      </c>
      <c r="BO213" s="135">
        <f t="shared" si="661"/>
        <v>-0.14147436489057319</v>
      </c>
      <c r="BP213" s="135">
        <f t="shared" si="661"/>
        <v>-0.93898712084594305</v>
      </c>
      <c r="BQ213" s="136">
        <f t="shared" si="661"/>
        <v>-0.30673920288582446</v>
      </c>
      <c r="BR213" s="135">
        <f t="shared" si="661"/>
        <v>-0.15745244389609792</v>
      </c>
      <c r="BS213" s="135">
        <f t="shared" si="661"/>
        <v>0.15644003435367826</v>
      </c>
      <c r="BT213" s="135">
        <f t="shared" si="661"/>
        <v>5.2226394366079898E-2</v>
      </c>
      <c r="BU213" s="135">
        <f t="shared" si="661"/>
        <v>10.985599578524257</v>
      </c>
      <c r="BV213" s="136">
        <f t="shared" si="661"/>
        <v>0.25597912908314435</v>
      </c>
      <c r="BW213" s="135">
        <f t="shared" si="661"/>
        <v>0.15741335651385158</v>
      </c>
      <c r="BX213" s="135">
        <f t="shared" si="661"/>
        <v>4.2967768189461353E-4</v>
      </c>
      <c r="BY213" s="135">
        <f t="shared" si="661"/>
        <v>8.4260516498147808E-2</v>
      </c>
      <c r="BZ213" s="135">
        <f t="shared" ref="BZ213:CP213" si="662">BZ144/BU144-1</f>
        <v>0.35857900117868469</v>
      </c>
      <c r="CA213" s="136">
        <f t="shared" si="662"/>
        <v>0.13553074484001804</v>
      </c>
      <c r="CB213" s="135">
        <f t="shared" si="662"/>
        <v>0.34567882214401457</v>
      </c>
      <c r="CC213" s="135">
        <f t="shared" si="662"/>
        <v>0.21584930217310005</v>
      </c>
      <c r="CD213" s="135">
        <f t="shared" si="662"/>
        <v>0.15186521419246701</v>
      </c>
      <c r="CE213" s="135">
        <f t="shared" si="662"/>
        <v>0.26621151176709246</v>
      </c>
      <c r="CF213" s="136">
        <f t="shared" si="662"/>
        <v>0.24358081672950416</v>
      </c>
      <c r="CG213" s="135">
        <f t="shared" si="662"/>
        <v>-0.1837593393484992</v>
      </c>
      <c r="CH213" s="135">
        <f t="shared" si="662"/>
        <v>4.026170346126845E-3</v>
      </c>
      <c r="CI213" s="135">
        <f t="shared" si="662"/>
        <v>0.1146061456925862</v>
      </c>
      <c r="CJ213" s="135">
        <f t="shared" si="662"/>
        <v>-0.17629853346545654</v>
      </c>
      <c r="CK213" s="136">
        <f t="shared" si="662"/>
        <v>-6.5514424319259135E-2</v>
      </c>
      <c r="CL213" s="135">
        <f t="shared" si="662"/>
        <v>0.14459617180205409</v>
      </c>
      <c r="CM213" s="135">
        <f t="shared" si="662"/>
        <v>-2.5862331565331176</v>
      </c>
      <c r="CN213" s="135">
        <f t="shared" si="662"/>
        <v>-0.820252922272801</v>
      </c>
      <c r="CO213" s="135">
        <f t="shared" si="662"/>
        <v>-0.91139759925266794</v>
      </c>
      <c r="CP213" s="136">
        <f t="shared" si="662"/>
        <v>-1.0972172883362936</v>
      </c>
      <c r="CQ213" s="135">
        <f t="shared" ref="CQ213" si="663">CQ144/CL144-1</f>
        <v>-0.53287991108301291</v>
      </c>
      <c r="CR213" s="135">
        <f t="shared" ref="CR213" si="664">CR144/CM144-1</f>
        <v>-1.3582146282780327</v>
      </c>
      <c r="CS213" s="135">
        <f t="shared" ref="CS213" si="665">CS144/CN144-1</f>
        <v>2.1994140405714142</v>
      </c>
      <c r="CT213" s="135">
        <f t="shared" ref="CT213" si="666">CT144/CO144-1</f>
        <v>7.6634034429187139</v>
      </c>
      <c r="CU213" s="136">
        <f t="shared" ref="CU213" si="667">CU144/CP144-1</f>
        <v>-7.2557856272838004</v>
      </c>
      <c r="CV213" s="135">
        <f t="shared" ref="CV213" si="668">CV144/CQ144-1</f>
        <v>8.25147347740669E-2</v>
      </c>
      <c r="CW213" s="135">
        <f t="shared" ref="CW213" si="669">CW144/CR144-1</f>
        <v>8.0808080808080884E-2</v>
      </c>
      <c r="CX213" s="135">
        <f t="shared" ref="CX213" si="670">CX144/CS144-1</f>
        <v>0.12759643916913954</v>
      </c>
      <c r="CY213" s="135">
        <f t="shared" ref="CY213" si="671">CY144/CT144-1</f>
        <v>5.3944706675657095E-3</v>
      </c>
      <c r="CZ213" s="136">
        <f t="shared" ref="CZ213" si="672">CZ144/CU144-1</f>
        <v>7.1651090342679025E-2</v>
      </c>
      <c r="DA213" s="135">
        <f t="shared" ref="DA213" si="673">DA144/CV144-1</f>
        <v>0.53085299455535395</v>
      </c>
      <c r="DB213" s="135">
        <f t="shared" ref="DB213" si="674">DB144/CW144-1</f>
        <v>7.3328540618260218E-2</v>
      </c>
      <c r="DC213" s="135">
        <f t="shared" ref="DC213" si="675">DC144/CX144-1</f>
        <v>-1.918421052631579</v>
      </c>
      <c r="DD213" s="135">
        <f t="shared" ref="DD213" si="676">DD144/CY144-1</f>
        <v>0.19181757209926231</v>
      </c>
      <c r="DE213" s="136">
        <f t="shared" ref="DE213:DF213" si="677">DE144/CZ144-1</f>
        <v>-0.35301598837209303</v>
      </c>
      <c r="DF213" s="135">
        <f t="shared" si="677"/>
        <v>0.10847658565500895</v>
      </c>
      <c r="DG213" s="135">
        <f t="shared" ref="DG213" si="678">DG144/DB144-1</f>
        <v>-0.64567983924983263</v>
      </c>
      <c r="DH213" s="135">
        <f t="shared" ref="DH213" si="679">DH144/DC144-1</f>
        <v>-2.4527220630372493</v>
      </c>
      <c r="DI213" s="135">
        <f t="shared" ref="DI213:DJ213" si="680">DI144/DD144-1</f>
        <v>0.1879572312886888</v>
      </c>
      <c r="DJ213" s="136">
        <f t="shared" si="680"/>
        <v>0.83600112327997755</v>
      </c>
      <c r="DK213" s="135">
        <f t="shared" ref="DK213" si="681">DK144/DF144-1</f>
        <v>8.8235294117646967E-2</v>
      </c>
      <c r="DL213" s="135">
        <f t="shared" ref="DL213" si="682">DL144/DG144-1</f>
        <v>3.0567107750472591</v>
      </c>
      <c r="DM213" s="135">
        <f t="shared" ref="DM213" si="683">DM144/DH144-1</f>
        <v>0.24408284023668636</v>
      </c>
      <c r="DN213" s="135">
        <f t="shared" ref="DN213" si="684">DN144/DI144-1</f>
        <v>0.10072649218379937</v>
      </c>
      <c r="DO213" s="136">
        <f t="shared" ref="DO213" si="685">DO144/DJ144-1</f>
        <v>0.38079437519118997</v>
      </c>
      <c r="DP213" s="135">
        <f t="shared" ref="DP213" si="686">DP144/DK144-1</f>
        <v>8.5475695331695301E-2</v>
      </c>
      <c r="DQ213" s="135">
        <f t="shared" ref="DQ213" si="687">DQ144/DL144-1</f>
        <v>0.12923393103448277</v>
      </c>
      <c r="DR213" s="135">
        <f t="shared" ref="DR213" si="688">DR144/DM144-1</f>
        <v>6.5151785969084441E-2</v>
      </c>
      <c r="DS213" s="135">
        <f t="shared" ref="DS213" si="689">DS144/DN144-1</f>
        <v>0.16682313526772075</v>
      </c>
      <c r="DT213" s="136">
        <f t="shared" ref="DT213" si="690">DT144/DO144-1</f>
        <v>0.11113575275779985</v>
      </c>
      <c r="DU213" s="136">
        <f t="shared" ref="DU213:DV213" si="691">DU144/DT144-1</f>
        <v>0.10025940403308198</v>
      </c>
      <c r="DV213" s="136">
        <f t="shared" si="691"/>
        <v>9.1544734570032205E-2</v>
      </c>
    </row>
    <row r="214" spans="2:126" s="37" customFormat="1" hidden="1" outlineLevel="1">
      <c r="B214" s="108"/>
      <c r="C214" s="388"/>
      <c r="D214" s="388"/>
      <c r="E214" s="388"/>
      <c r="F214" s="388"/>
      <c r="G214" s="388"/>
      <c r="H214" s="388"/>
      <c r="I214" s="388"/>
      <c r="J214" s="389"/>
      <c r="K214" s="389"/>
      <c r="L214" s="389"/>
      <c r="M214" s="389"/>
      <c r="N214" s="388"/>
      <c r="O214" s="389"/>
      <c r="P214" s="389"/>
      <c r="Q214" s="389"/>
      <c r="R214" s="389"/>
      <c r="S214" s="388"/>
      <c r="T214" s="389"/>
      <c r="U214" s="389"/>
      <c r="V214" s="389"/>
      <c r="W214" s="389"/>
      <c r="X214" s="388"/>
      <c r="Y214" s="389"/>
      <c r="Z214" s="389"/>
      <c r="AA214" s="389"/>
      <c r="AB214" s="389"/>
      <c r="AC214" s="388"/>
      <c r="AD214" s="389"/>
      <c r="AE214" s="389"/>
      <c r="AF214" s="389"/>
      <c r="AG214" s="389"/>
      <c r="AH214" s="388"/>
      <c r="AI214" s="389"/>
      <c r="AJ214" s="389"/>
      <c r="AK214" s="389"/>
      <c r="AL214" s="389"/>
      <c r="AM214" s="388"/>
      <c r="AN214" s="389"/>
      <c r="AO214" s="389"/>
      <c r="AP214" s="389"/>
      <c r="AQ214" s="389"/>
      <c r="AR214" s="388"/>
      <c r="AS214" s="389"/>
      <c r="AT214" s="389"/>
      <c r="AU214" s="389"/>
      <c r="AV214" s="389"/>
      <c r="AW214" s="388"/>
      <c r="AX214" s="389"/>
      <c r="AY214" s="389"/>
      <c r="AZ214" s="389"/>
      <c r="BA214" s="389"/>
      <c r="BB214" s="388"/>
      <c r="BC214" s="389"/>
      <c r="BD214" s="389"/>
      <c r="BE214" s="389"/>
      <c r="BF214" s="389"/>
      <c r="BG214" s="388"/>
      <c r="BH214" s="389"/>
      <c r="BI214" s="389"/>
      <c r="BJ214" s="389"/>
      <c r="BK214" s="389"/>
      <c r="BL214" s="388"/>
      <c r="BM214" s="389"/>
      <c r="BN214" s="389"/>
      <c r="BO214" s="389"/>
      <c r="BP214" s="389"/>
      <c r="BQ214" s="388"/>
      <c r="BR214" s="389"/>
      <c r="BS214" s="389"/>
      <c r="BT214" s="389"/>
      <c r="BU214" s="389"/>
      <c r="BV214" s="388"/>
      <c r="BW214" s="389"/>
      <c r="BX214" s="389"/>
      <c r="BY214" s="389"/>
      <c r="BZ214" s="389"/>
      <c r="CA214" s="388"/>
      <c r="CB214" s="389"/>
      <c r="CC214" s="389"/>
      <c r="CD214" s="389"/>
      <c r="CE214" s="389"/>
      <c r="CF214" s="388"/>
      <c r="CG214" s="389"/>
      <c r="CH214" s="389"/>
      <c r="CI214" s="389"/>
      <c r="CJ214" s="389"/>
      <c r="CK214" s="388"/>
      <c r="CL214" s="389"/>
      <c r="CM214" s="389"/>
      <c r="CN214" s="389"/>
      <c r="CO214" s="389"/>
      <c r="CP214" s="388"/>
      <c r="CQ214" s="389"/>
      <c r="CR214" s="389"/>
      <c r="CS214" s="389"/>
      <c r="CT214" s="389"/>
      <c r="CU214" s="388"/>
      <c r="CV214" s="389"/>
      <c r="CW214" s="389"/>
      <c r="CX214" s="389"/>
      <c r="CY214" s="389"/>
      <c r="CZ214" s="388"/>
      <c r="DA214" s="389"/>
      <c r="DB214" s="389"/>
      <c r="DC214" s="389"/>
      <c r="DD214" s="389"/>
      <c r="DE214" s="388"/>
      <c r="DF214" s="389"/>
      <c r="DG214" s="389"/>
      <c r="DH214" s="389"/>
      <c r="DI214" s="389"/>
      <c r="DJ214" s="388"/>
      <c r="DK214" s="389"/>
      <c r="DL214" s="389"/>
      <c r="DM214" s="389"/>
      <c r="DN214" s="389"/>
      <c r="DO214" s="388"/>
      <c r="DP214" s="389"/>
      <c r="DQ214" s="389"/>
      <c r="DR214" s="389"/>
      <c r="DS214" s="389"/>
      <c r="DT214" s="388"/>
      <c r="DU214" s="388"/>
      <c r="DV214" s="388"/>
    </row>
    <row r="215" spans="2:126" s="92" customFormat="1" hidden="1" outlineLevel="1">
      <c r="B215" s="54" t="s">
        <v>84</v>
      </c>
      <c r="C215" s="27"/>
      <c r="D215" s="27"/>
      <c r="E215" s="27"/>
      <c r="F215" s="27"/>
      <c r="G215" s="27"/>
      <c r="H215" s="27"/>
      <c r="I215" s="27"/>
      <c r="J215" s="68"/>
      <c r="K215" s="68"/>
      <c r="L215" s="68"/>
      <c r="M215" s="68"/>
      <c r="N215" s="27"/>
      <c r="O215" s="68"/>
      <c r="P215" s="68"/>
      <c r="Q215" s="68"/>
      <c r="R215" s="68"/>
      <c r="S215" s="27"/>
      <c r="T215" s="68"/>
      <c r="U215" s="68"/>
      <c r="V215" s="68"/>
      <c r="W215" s="68"/>
      <c r="X215" s="27"/>
      <c r="Y215" s="68"/>
      <c r="Z215" s="68"/>
      <c r="AA215" s="68"/>
      <c r="AB215" s="68"/>
      <c r="AC215" s="27"/>
      <c r="AD215" s="68"/>
      <c r="AE215" s="68"/>
      <c r="AF215" s="68"/>
      <c r="AG215" s="68"/>
      <c r="AH215" s="27"/>
      <c r="AI215" s="68"/>
      <c r="AJ215" s="68"/>
      <c r="AK215" s="68"/>
      <c r="AL215" s="68"/>
      <c r="AM215" s="27"/>
      <c r="AN215" s="68"/>
      <c r="AO215" s="68"/>
      <c r="AP215" s="68"/>
      <c r="AQ215" s="68"/>
      <c r="AR215" s="27"/>
      <c r="AS215" s="68"/>
      <c r="AT215" s="68"/>
      <c r="AU215" s="68"/>
      <c r="AV215" s="68"/>
      <c r="AW215" s="27"/>
      <c r="AX215" s="68"/>
      <c r="AY215" s="68"/>
      <c r="AZ215" s="68"/>
      <c r="BA215" s="68"/>
      <c r="BB215" s="27"/>
      <c r="BC215" s="68"/>
      <c r="BD215" s="68"/>
      <c r="BE215" s="68"/>
      <c r="BF215" s="68"/>
      <c r="BG215" s="27"/>
      <c r="BH215" s="68"/>
      <c r="BI215" s="68"/>
      <c r="BJ215" s="68"/>
      <c r="BK215" s="68"/>
      <c r="BL215" s="27"/>
      <c r="BM215" s="68"/>
      <c r="BN215" s="68"/>
      <c r="BO215" s="68"/>
      <c r="BP215" s="68"/>
      <c r="BQ215" s="27"/>
      <c r="BR215" s="68"/>
      <c r="BS215" s="68"/>
      <c r="BT215" s="68"/>
      <c r="BU215" s="68"/>
      <c r="BV215" s="27"/>
      <c r="BW215" s="68"/>
      <c r="BX215" s="68"/>
      <c r="BY215" s="68"/>
      <c r="BZ215" s="68"/>
      <c r="CA215" s="27"/>
      <c r="CB215" s="68"/>
      <c r="CC215" s="68"/>
      <c r="CD215" s="68"/>
      <c r="CE215" s="68"/>
      <c r="CF215" s="27"/>
      <c r="CG215" s="68"/>
      <c r="CH215" s="68"/>
      <c r="CI215" s="68"/>
      <c r="CJ215" s="68"/>
      <c r="CK215" s="27"/>
      <c r="CL215" s="68"/>
      <c r="CM215" s="68"/>
      <c r="CN215" s="68"/>
      <c r="CO215" s="68"/>
      <c r="CP215" s="27"/>
      <c r="CQ215" s="68"/>
      <c r="CR215" s="68"/>
      <c r="CS215" s="68"/>
      <c r="CT215" s="68"/>
      <c r="CU215" s="27"/>
      <c r="CV215" s="68"/>
      <c r="CW215" s="68"/>
      <c r="CX215" s="68"/>
      <c r="CY215" s="68"/>
      <c r="CZ215" s="27"/>
      <c r="DA215" s="68"/>
      <c r="DB215" s="68"/>
      <c r="DC215" s="68"/>
      <c r="DD215" s="68"/>
      <c r="DE215" s="27"/>
      <c r="DF215" s="68"/>
      <c r="DG215" s="68"/>
      <c r="DH215" s="68"/>
      <c r="DI215" s="68"/>
      <c r="DJ215" s="27"/>
      <c r="DK215" s="68"/>
      <c r="DL215" s="68"/>
      <c r="DM215" s="68"/>
      <c r="DN215" s="68"/>
      <c r="DO215" s="27"/>
      <c r="DP215" s="68"/>
      <c r="DQ215" s="68"/>
      <c r="DR215" s="68"/>
      <c r="DS215" s="68"/>
      <c r="DT215" s="27"/>
      <c r="DU215" s="27"/>
      <c r="DV215" s="27"/>
    </row>
    <row r="216" spans="2:126" s="92" customFormat="1" hidden="1" outlineLevel="1">
      <c r="B216" s="125" t="s">
        <v>194</v>
      </c>
      <c r="C216" s="27"/>
      <c r="D216" s="27"/>
      <c r="E216" s="27"/>
      <c r="F216" s="27"/>
      <c r="G216" s="27"/>
      <c r="H216" s="27"/>
      <c r="I216" s="27"/>
      <c r="J216" s="133"/>
      <c r="K216" s="68">
        <f t="shared" ref="K216:M217" si="692">K132/J132-1</f>
        <v>0.43203883495145634</v>
      </c>
      <c r="L216" s="68">
        <f t="shared" si="692"/>
        <v>2.3728813559322104E-2</v>
      </c>
      <c r="M216" s="68">
        <f t="shared" si="692"/>
        <v>-7.2847682119205337E-2</v>
      </c>
      <c r="N216" s="27"/>
      <c r="O216" s="68">
        <f>O132/M132-1</f>
        <v>0.21428571428571419</v>
      </c>
      <c r="P216" s="68">
        <f t="shared" ref="P216:R217" si="693">P132/O132-1</f>
        <v>8.2352941176470518E-2</v>
      </c>
      <c r="Q216" s="68">
        <f t="shared" si="693"/>
        <v>2.9891304347826164E-2</v>
      </c>
      <c r="R216" s="68">
        <f t="shared" si="693"/>
        <v>-4.4854881266490731E-2</v>
      </c>
      <c r="S216" s="27"/>
      <c r="T216" s="68">
        <f>T132/R132-1</f>
        <v>0.18784530386740328</v>
      </c>
      <c r="U216" s="68">
        <f t="shared" ref="U216:W217" si="694">U132/T132-1</f>
        <v>0.2441860465116279</v>
      </c>
      <c r="V216" s="68">
        <f t="shared" si="694"/>
        <v>-0.17196261682242986</v>
      </c>
      <c r="W216" s="68">
        <f t="shared" si="694"/>
        <v>-7.674943566591419E-2</v>
      </c>
      <c r="X216" s="27"/>
      <c r="Y216" s="68">
        <f>Y132/W132-1</f>
        <v>0.19804400977995118</v>
      </c>
      <c r="Z216" s="68">
        <f t="shared" ref="Z216:AB217" si="695">Z132/Y132-1</f>
        <v>6.5306122448979487E-2</v>
      </c>
      <c r="AA216" s="68">
        <f t="shared" si="695"/>
        <v>-3.6398467432950166E-2</v>
      </c>
      <c r="AB216" s="68">
        <f t="shared" si="695"/>
        <v>-1.3916500994035741E-2</v>
      </c>
      <c r="AC216" s="27"/>
      <c r="AD216" s="68">
        <f>AD132/AB132-1</f>
        <v>6.0483870967741993E-2</v>
      </c>
      <c r="AE216" s="68">
        <f t="shared" ref="AE216:AG217" si="696">AE132/AD132-1</f>
        <v>3.8022813688213031E-2</v>
      </c>
      <c r="AF216" s="68">
        <f t="shared" si="696"/>
        <v>-2.9304029304029311E-2</v>
      </c>
      <c r="AG216" s="68">
        <f t="shared" si="696"/>
        <v>-1.8867924528301883E-2</v>
      </c>
      <c r="AH216" s="27"/>
      <c r="AI216" s="68">
        <f>AI132/AG132-1</f>
        <v>-0.16153846153846152</v>
      </c>
      <c r="AJ216" s="68">
        <f t="shared" ref="AJ216:AL217" si="697">AJ132/AI132-1</f>
        <v>7.1100917431192734E-2</v>
      </c>
      <c r="AK216" s="68">
        <f t="shared" si="697"/>
        <v>-4.925053533190582E-2</v>
      </c>
      <c r="AL216" s="68">
        <f t="shared" si="697"/>
        <v>9.9099099099099197E-2</v>
      </c>
      <c r="AM216" s="27"/>
      <c r="AN216" s="68">
        <f>AN132/AL132-1</f>
        <v>-0.10655737704918034</v>
      </c>
      <c r="AO216" s="68">
        <f t="shared" ref="AO216:AQ217" si="698">AO132/AN132-1</f>
        <v>0.19724770642201839</v>
      </c>
      <c r="AP216" s="68">
        <f t="shared" si="698"/>
        <v>4.789272030651337E-2</v>
      </c>
      <c r="AQ216" s="68">
        <f t="shared" si="698"/>
        <v>-0.11882998171846437</v>
      </c>
      <c r="AR216" s="27"/>
      <c r="AS216" s="68">
        <f>AS132/AQ132-1</f>
        <v>-0.11203319502074693</v>
      </c>
      <c r="AT216" s="68">
        <f t="shared" ref="AT216:AV217" si="699">AT132/AS132-1</f>
        <v>-9.3457943925233655E-3</v>
      </c>
      <c r="AU216" s="68">
        <f t="shared" si="699"/>
        <v>0.16981132075471694</v>
      </c>
      <c r="AV216" s="68">
        <f t="shared" si="699"/>
        <v>4.6370967741935498E-2</v>
      </c>
      <c r="AW216" s="27"/>
      <c r="AX216" s="68">
        <f>AX132/AV132-1</f>
        <v>-0.24982216854074368</v>
      </c>
      <c r="AY216" s="68">
        <f t="shared" ref="AY216:BA217" si="700">AY132/AX132-1</f>
        <v>9.8028090509270305E-2</v>
      </c>
      <c r="AZ216" s="68">
        <f t="shared" si="700"/>
        <v>-4.366209019928502E-2</v>
      </c>
      <c r="BA216" s="68">
        <f t="shared" si="700"/>
        <v>-0.12350441187216343</v>
      </c>
      <c r="BB216" s="27"/>
      <c r="BC216" s="68">
        <f>BC132/BA132-1</f>
        <v>0.16802332590781721</v>
      </c>
      <c r="BD216" s="68">
        <f t="shared" ref="BD216:BF219" si="701">BD132/BC132-1</f>
        <v>0.37311748528301591</v>
      </c>
      <c r="BE216" s="68">
        <f t="shared" si="701"/>
        <v>-0.21923649072635909</v>
      </c>
      <c r="BF216" s="68">
        <f t="shared" si="701"/>
        <v>4.0872557690481148E-2</v>
      </c>
      <c r="BG216" s="27"/>
      <c r="BH216" s="68">
        <f>BH132/BF132-1</f>
        <v>-0.13619758072818589</v>
      </c>
      <c r="BI216" s="68">
        <f t="shared" ref="BI216:BK219" si="702">BI132/BH132-1</f>
        <v>0.18539567830456005</v>
      </c>
      <c r="BJ216" s="68">
        <f t="shared" si="702"/>
        <v>0.33464420225836711</v>
      </c>
      <c r="BK216" s="68">
        <f t="shared" si="702"/>
        <v>-0.14464378261547428</v>
      </c>
      <c r="BL216" s="27"/>
      <c r="BM216" s="68">
        <f>BM132/BK132-1</f>
        <v>-0.204347073357246</v>
      </c>
      <c r="BN216" s="68">
        <f t="shared" ref="BN216:BP219" si="703">BN132/BM132-1</f>
        <v>0.12702596351473661</v>
      </c>
      <c r="BO216" s="68">
        <f t="shared" si="703"/>
        <v>-0.12257029513279882</v>
      </c>
      <c r="BP216" s="68">
        <f t="shared" si="703"/>
        <v>-2.1988950891845724</v>
      </c>
      <c r="BQ216" s="27"/>
      <c r="BR216" s="68">
        <f>BR132/BP132-1</f>
        <v>-1.827550777771473</v>
      </c>
      <c r="BS216" s="68">
        <f t="shared" ref="BS216:BU219" si="704">BS132/BR132-1</f>
        <v>-4.7717429907461861E-2</v>
      </c>
      <c r="BT216" s="68">
        <f t="shared" si="704"/>
        <v>-0.11866991362979573</v>
      </c>
      <c r="BU216" s="68">
        <f t="shared" si="704"/>
        <v>-2.4918503424987137E-2</v>
      </c>
      <c r="BV216" s="27"/>
      <c r="BW216" s="68">
        <f>BW132/BU132-1</f>
        <v>4.7939104972235524E-2</v>
      </c>
      <c r="BX216" s="68">
        <f t="shared" ref="BX216:BZ219" si="705">BX132/BW132-1</f>
        <v>4.1472715834466545E-2</v>
      </c>
      <c r="BY216" s="68">
        <f t="shared" si="705"/>
        <v>-0.44177997982178074</v>
      </c>
      <c r="BZ216" s="68">
        <f t="shared" si="705"/>
        <v>0.81898068684174996</v>
      </c>
      <c r="CA216" s="27"/>
      <c r="CB216" s="68">
        <f>CB132/BZ132-1</f>
        <v>0.18157662006198216</v>
      </c>
      <c r="CC216" s="68">
        <f t="shared" ref="CC216:CE219" si="706">CC132/CB132-1</f>
        <v>-6.3465651938050871E-2</v>
      </c>
      <c r="CD216" s="68">
        <f t="shared" si="706"/>
        <v>-0.66943417776981651</v>
      </c>
      <c r="CE216" s="68">
        <f t="shared" si="706"/>
        <v>1.7609988725828898</v>
      </c>
      <c r="CF216" s="27"/>
      <c r="CG216" s="68">
        <f>CG132/CE132-1</f>
        <v>0.22443824104554677</v>
      </c>
      <c r="CH216" s="68">
        <f t="shared" ref="CH216:CJ219" si="707">CH132/CG132-1</f>
        <v>-6.0669456066945626E-2</v>
      </c>
      <c r="CI216" s="68">
        <f t="shared" si="707"/>
        <v>0.15812917594654796</v>
      </c>
      <c r="CJ216" s="68">
        <f t="shared" si="707"/>
        <v>-0.31923076923076921</v>
      </c>
      <c r="CK216" s="27"/>
      <c r="CL216" s="68">
        <f>CL132/CJ132-1</f>
        <v>0.34180790960451968</v>
      </c>
      <c r="CM216" s="68">
        <f t="shared" ref="CM216:CO219" si="708">CM132/CL132-1</f>
        <v>-1.9621052631578948</v>
      </c>
      <c r="CN216" s="68">
        <f t="shared" si="708"/>
        <v>0.34573304157549245</v>
      </c>
      <c r="CO216" s="68">
        <f t="shared" si="708"/>
        <v>-1.0536585365853659</v>
      </c>
      <c r="CP216" s="27"/>
      <c r="CQ216" s="68">
        <f>CQ132/CO132-1</f>
        <v>-0.39393939393939392</v>
      </c>
      <c r="CR216" s="68">
        <f t="shared" ref="CR216:CT219" si="709">CR132/CQ132-1</f>
        <v>4.5999999999999996</v>
      </c>
      <c r="CS216" s="68">
        <f t="shared" si="709"/>
        <v>0.66964285714285721</v>
      </c>
      <c r="CT216" s="68">
        <f t="shared" si="709"/>
        <v>-0.27807486631016043</v>
      </c>
      <c r="CU216" s="27"/>
      <c r="CV216" s="68">
        <f>CV132/CT132-1</f>
        <v>0.11851851851851847</v>
      </c>
      <c r="CW216" s="68">
        <f t="shared" ref="CW216:CY220" si="710">CW132/CV132-1</f>
        <v>1</v>
      </c>
      <c r="CX216" s="68">
        <f t="shared" si="710"/>
        <v>4.635761589403975E-2</v>
      </c>
      <c r="CY216" s="68">
        <f t="shared" si="710"/>
        <v>-3.1645569620253111E-2</v>
      </c>
      <c r="CZ216" s="27"/>
      <c r="DA216" s="68">
        <f>DA132/CY132-1</f>
        <v>0.35620915032679745</v>
      </c>
      <c r="DB216" s="68">
        <f t="shared" ref="DB216:DD220" si="711">DB132/DA132-1</f>
        <v>-0.44578313253012047</v>
      </c>
      <c r="DC216" s="68">
        <f t="shared" si="711"/>
        <v>-11.791304347826086</v>
      </c>
      <c r="DD216" s="68">
        <f t="shared" si="711"/>
        <v>-1.1539081385979049</v>
      </c>
      <c r="DE216" s="27"/>
      <c r="DF216" s="68">
        <f>DF132/DD132-1</f>
        <v>7.8534031413612482E-2</v>
      </c>
      <c r="DG216" s="68">
        <f>DG132/DF132-1</f>
        <v>0.31553398058252435</v>
      </c>
      <c r="DH216" s="68">
        <f t="shared" ref="DG216:DI220" si="712">DH132/DG132-1</f>
        <v>2.7675276752767486E-2</v>
      </c>
      <c r="DI216" s="68">
        <f t="shared" si="712"/>
        <v>-9.5152603231597799E-2</v>
      </c>
      <c r="DJ216" s="27"/>
      <c r="DK216" s="68">
        <f>DK132/DI132-1</f>
        <v>0.1507936507936507</v>
      </c>
      <c r="DL216" s="68">
        <f t="shared" ref="DL216:DL220" si="713">DL132/DK132-1</f>
        <v>-0.15172413793103445</v>
      </c>
      <c r="DM216" s="68">
        <f t="shared" ref="DM216:DM220" si="714">DM132/DL132-1</f>
        <v>0.52642276422764223</v>
      </c>
      <c r="DN216" s="68">
        <f t="shared" ref="DN216:DN217" si="715">DN132/DM132-1</f>
        <v>-3.6237516644473944E-2</v>
      </c>
      <c r="DO216" s="27"/>
      <c r="DP216" s="68">
        <f>DP132/DN132-1</f>
        <v>-0.108490721959282</v>
      </c>
      <c r="DQ216" s="68">
        <f t="shared" ref="DQ216:DQ217" si="716">DQ132/DP132-1</f>
        <v>5.8966261125720676E-2</v>
      </c>
      <c r="DR216" s="68">
        <f t="shared" ref="DR216:DR217" si="717">DR132/DQ132-1</f>
        <v>0.23726131530785821</v>
      </c>
      <c r="DS216" s="68">
        <f t="shared" ref="DS216:DS217" si="718">DS132/DR132-1</f>
        <v>-8.3201691180965209E-3</v>
      </c>
      <c r="DT216" s="27"/>
      <c r="DU216" s="27"/>
      <c r="DV216" s="27"/>
    </row>
    <row r="217" spans="2:126" s="92" customFormat="1" hidden="1" outlineLevel="1">
      <c r="B217" s="125" t="s">
        <v>472</v>
      </c>
      <c r="C217" s="27"/>
      <c r="D217" s="27"/>
      <c r="E217" s="27"/>
      <c r="F217" s="27"/>
      <c r="G217" s="27"/>
      <c r="H217" s="27"/>
      <c r="I217" s="27"/>
      <c r="J217" s="133"/>
      <c r="K217" s="68">
        <f t="shared" si="692"/>
        <v>6.8702290076335881E-2</v>
      </c>
      <c r="L217" s="68">
        <f t="shared" si="692"/>
        <v>0.14285714285714279</v>
      </c>
      <c r="M217" s="68">
        <f t="shared" si="692"/>
        <v>-5.0000000000000044E-2</v>
      </c>
      <c r="N217" s="27"/>
      <c r="O217" s="68">
        <f>O133/M133-1</f>
        <v>0</v>
      </c>
      <c r="P217" s="68">
        <f t="shared" si="693"/>
        <v>0.11842105263157898</v>
      </c>
      <c r="Q217" s="68">
        <f t="shared" si="693"/>
        <v>5.2941176470588269E-2</v>
      </c>
      <c r="R217" s="68">
        <f t="shared" si="693"/>
        <v>-2.7932960893854775E-2</v>
      </c>
      <c r="S217" s="27"/>
      <c r="T217" s="68">
        <f>T133/R133-1</f>
        <v>4.022988505747116E-2</v>
      </c>
      <c r="U217" s="68">
        <f t="shared" si="694"/>
        <v>0.17127071823204409</v>
      </c>
      <c r="V217" s="68">
        <f t="shared" si="694"/>
        <v>3.7735849056603765E-2</v>
      </c>
      <c r="W217" s="68">
        <f t="shared" si="694"/>
        <v>-4.5454545454545192E-3</v>
      </c>
      <c r="X217" s="27"/>
      <c r="Y217" s="68">
        <f>Y133/W133-1</f>
        <v>-4.5662100456621557E-3</v>
      </c>
      <c r="Z217" s="68">
        <f t="shared" si="695"/>
        <v>0.12844036697247696</v>
      </c>
      <c r="AA217" s="68">
        <f t="shared" si="695"/>
        <v>1.2195121951219523E-2</v>
      </c>
      <c r="AB217" s="68">
        <f t="shared" si="695"/>
        <v>2.008032128514059E-2</v>
      </c>
      <c r="AC217" s="27"/>
      <c r="AD217" s="68">
        <f>AD133/AB133-1</f>
        <v>-9.8425196850393748E-2</v>
      </c>
      <c r="AE217" s="68">
        <f t="shared" si="696"/>
        <v>0.22270742358078599</v>
      </c>
      <c r="AF217" s="68">
        <f t="shared" si="696"/>
        <v>2.1428571428571352E-2</v>
      </c>
      <c r="AG217" s="68">
        <f t="shared" si="696"/>
        <v>6.2937062937062915E-2</v>
      </c>
      <c r="AH217" s="27"/>
      <c r="AI217" s="68">
        <f>AI133/AG133-1</f>
        <v>-0.36842105263157898</v>
      </c>
      <c r="AJ217" s="68">
        <f t="shared" si="697"/>
        <v>-2.604166666666663E-2</v>
      </c>
      <c r="AK217" s="68">
        <f t="shared" si="697"/>
        <v>0.32085561497326198</v>
      </c>
      <c r="AL217" s="68">
        <f t="shared" si="697"/>
        <v>-6.4777327935222617E-2</v>
      </c>
      <c r="AM217" s="27"/>
      <c r="AN217" s="68">
        <f>AN133/AL133-1</f>
        <v>-4.3290043290043267E-2</v>
      </c>
      <c r="AO217" s="68">
        <f t="shared" si="698"/>
        <v>-7.6923076923076872E-2</v>
      </c>
      <c r="AP217" s="68">
        <f t="shared" si="698"/>
        <v>0.25</v>
      </c>
      <c r="AQ217" s="68">
        <f t="shared" si="698"/>
        <v>-6.6666666666666652E-2</v>
      </c>
      <c r="AR217" s="27"/>
      <c r="AS217" s="68">
        <f>AS133/AQ133-1</f>
        <v>-0.27731092436974791</v>
      </c>
      <c r="AT217" s="68">
        <f t="shared" si="699"/>
        <v>7.5581395348837122E-2</v>
      </c>
      <c r="AU217" s="68">
        <f t="shared" si="699"/>
        <v>0.10270270270270276</v>
      </c>
      <c r="AV217" s="68">
        <f t="shared" si="699"/>
        <v>-2.9411764705882359E-2</v>
      </c>
      <c r="AW217" s="27"/>
      <c r="AX217" s="68">
        <f>AX133/AV133-1</f>
        <v>0.11329206506626455</v>
      </c>
      <c r="AY217" s="68">
        <f t="shared" si="700"/>
        <v>5.9982152530688282E-2</v>
      </c>
      <c r="AZ217" s="68">
        <f t="shared" si="700"/>
        <v>0.2529900927759432</v>
      </c>
      <c r="BA217" s="68">
        <f t="shared" si="700"/>
        <v>-4.8930541856702203E-2</v>
      </c>
      <c r="BB217" s="27"/>
      <c r="BC217" s="68">
        <f>BC133/BA133-1</f>
        <v>0.96117007934428123</v>
      </c>
      <c r="BD217" s="68">
        <f t="shared" si="701"/>
        <v>-1.5450946411033395E-2</v>
      </c>
      <c r="BE217" s="68">
        <f t="shared" si="701"/>
        <v>8.674529134837794E-3</v>
      </c>
      <c r="BF217" s="68">
        <f t="shared" si="701"/>
        <v>1.3131162111593486E-2</v>
      </c>
      <c r="BG217" s="27"/>
      <c r="BH217" s="68">
        <f>BH133/BF133-1</f>
        <v>0.16351194121003432</v>
      </c>
      <c r="BI217" s="68">
        <f t="shared" si="702"/>
        <v>8.3011679379214609E-2</v>
      </c>
      <c r="BJ217" s="68">
        <f t="shared" si="702"/>
        <v>-0.11787345016585504</v>
      </c>
      <c r="BK217" s="68">
        <f t="shared" si="702"/>
        <v>7.4747550464013823E-3</v>
      </c>
      <c r="BL217" s="27"/>
      <c r="BM217" s="68">
        <f>BM133/BK133-1</f>
        <v>5.3153236457630371E-3</v>
      </c>
      <c r="BN217" s="68">
        <f t="shared" si="703"/>
        <v>-9.8490651758647019E-3</v>
      </c>
      <c r="BO217" s="68">
        <f t="shared" si="703"/>
        <v>4.334725035425091E-3</v>
      </c>
      <c r="BP217" s="68">
        <f t="shared" si="703"/>
        <v>-0.7919402719247437</v>
      </c>
      <c r="BQ217" s="27"/>
      <c r="BR217" s="68">
        <f>BR133/BP133-1</f>
        <v>3.6168411698577376</v>
      </c>
      <c r="BS217" s="68">
        <f t="shared" si="704"/>
        <v>8.2732413397962334E-2</v>
      </c>
      <c r="BT217" s="68">
        <f t="shared" si="704"/>
        <v>2.3625506661009599E-2</v>
      </c>
      <c r="BU217" s="68">
        <f t="shared" si="704"/>
        <v>-0.19223125578929057</v>
      </c>
      <c r="BV217" s="27"/>
      <c r="BW217" s="68">
        <f>BW133/BU133-1</f>
        <v>9.1769845404219286E-2</v>
      </c>
      <c r="BX217" s="68">
        <f t="shared" si="705"/>
        <v>2.3453667367343334E-2</v>
      </c>
      <c r="BY217" s="68">
        <f t="shared" si="705"/>
        <v>7.6873668404415785E-2</v>
      </c>
      <c r="BZ217" s="68">
        <f t="shared" si="705"/>
        <v>-9.0010592062660377E-2</v>
      </c>
      <c r="CA217" s="27"/>
      <c r="CB217" s="68">
        <f>CB133/BZ133-1</f>
        <v>0.77111590363063587</v>
      </c>
      <c r="CC217" s="68">
        <f t="shared" si="706"/>
        <v>-3.5399108097163179E-2</v>
      </c>
      <c r="CD217" s="68">
        <f t="shared" si="706"/>
        <v>4.3676893210240042E-2</v>
      </c>
      <c r="CE217" s="68">
        <f t="shared" si="706"/>
        <v>-6.1336202134512297E-2</v>
      </c>
      <c r="CF217" s="27"/>
      <c r="CG217" s="68">
        <f>CG133/CE133-1</f>
        <v>-5.5789085609279088E-3</v>
      </c>
      <c r="CH217" s="68">
        <f t="shared" si="707"/>
        <v>0.32365145228215764</v>
      </c>
      <c r="CI217" s="68">
        <f t="shared" si="707"/>
        <v>-1.3322884012539227E-2</v>
      </c>
      <c r="CJ217" s="68">
        <f t="shared" si="707"/>
        <v>-0.19857029388403491</v>
      </c>
      <c r="CK217" s="27"/>
      <c r="CL217" s="68">
        <f>CL133/CJ133-1</f>
        <v>0.36086334104173567</v>
      </c>
      <c r="CM217" s="68">
        <f t="shared" si="708"/>
        <v>-1.1434829985375952</v>
      </c>
      <c r="CN217" s="68">
        <f t="shared" si="708"/>
        <v>-4.2036505866322447</v>
      </c>
      <c r="CO217" s="68">
        <f t="shared" si="708"/>
        <v>-0.67880675309301353</v>
      </c>
      <c r="CP217" s="27"/>
      <c r="CQ217" s="68">
        <f>CQ133/CO133-1</f>
        <v>1.1758568690837645</v>
      </c>
      <c r="CR217" s="68">
        <f t="shared" si="709"/>
        <v>0.41910254510639744</v>
      </c>
      <c r="CS217" s="68">
        <f t="shared" si="709"/>
        <v>-6.8380172380372195E-2</v>
      </c>
      <c r="CT217" s="68">
        <f t="shared" si="709"/>
        <v>0.25130046333760148</v>
      </c>
      <c r="CU217" s="27"/>
      <c r="CV217" s="68">
        <f>CV133/CT133-1</f>
        <v>-0.22300011554340182</v>
      </c>
      <c r="CW217" s="68">
        <f t="shared" si="710"/>
        <v>0.17107583774250434</v>
      </c>
      <c r="CX217" s="68">
        <f t="shared" si="710"/>
        <v>0.1174698795180722</v>
      </c>
      <c r="CY217" s="68">
        <f t="shared" si="710"/>
        <v>0.13611859838274931</v>
      </c>
      <c r="CZ217" s="27"/>
      <c r="DA217" s="68">
        <f>DA133/CY133-1</f>
        <v>6.4056939501779375E-2</v>
      </c>
      <c r="DB217" s="68">
        <f t="shared" si="711"/>
        <v>2.2296544035673715E-3</v>
      </c>
      <c r="DC217" s="68">
        <f t="shared" si="711"/>
        <v>4.4493882091212189E-3</v>
      </c>
      <c r="DD217" s="68">
        <f t="shared" si="711"/>
        <v>0.24695459579180512</v>
      </c>
      <c r="DE217" s="27"/>
      <c r="DF217" s="68">
        <f>DF133/DD133-1</f>
        <v>-0.24600355239786853</v>
      </c>
      <c r="DG217" s="68">
        <f t="shared" si="712"/>
        <v>0.31684334511189638</v>
      </c>
      <c r="DH217" s="68">
        <f t="shared" si="712"/>
        <v>-5.0089445438282643E-2</v>
      </c>
      <c r="DI217" s="68">
        <f t="shared" si="712"/>
        <v>4.1431261770244809E-2</v>
      </c>
      <c r="DJ217" s="27"/>
      <c r="DK217" s="68">
        <f>DK133/DI133-1</f>
        <v>-1.6274864376130238E-2</v>
      </c>
      <c r="DL217" s="68">
        <f t="shared" si="713"/>
        <v>7.8125E-2</v>
      </c>
      <c r="DM217" s="68">
        <f t="shared" si="714"/>
        <v>7.4168797953964249E-2</v>
      </c>
      <c r="DN217" s="68">
        <f t="shared" si="715"/>
        <v>-5.314311111111103E-2</v>
      </c>
      <c r="DO217" s="27"/>
      <c r="DP217" s="68">
        <f>DP133/DN133-1</f>
        <v>-2.7418568341331273E-2</v>
      </c>
      <c r="DQ217" s="68">
        <f t="shared" si="716"/>
        <v>8.3795530133783602E-2</v>
      </c>
      <c r="DR217" s="68">
        <f t="shared" si="717"/>
        <v>8.0211485340292876E-2</v>
      </c>
      <c r="DS217" s="68">
        <f t="shared" si="718"/>
        <v>1.5267327201152536E-2</v>
      </c>
      <c r="DT217" s="27"/>
      <c r="DU217" s="27"/>
      <c r="DV217" s="27"/>
    </row>
    <row r="218" spans="2:126" s="92" customFormat="1" hidden="1" outlineLevel="2">
      <c r="B218" s="180" t="s">
        <v>570</v>
      </c>
      <c r="C218" s="27"/>
      <c r="D218" s="27"/>
      <c r="E218" s="27"/>
      <c r="F218" s="27"/>
      <c r="G218" s="27"/>
      <c r="H218" s="27"/>
      <c r="I218" s="27"/>
      <c r="J218" s="133"/>
      <c r="K218" s="68"/>
      <c r="L218" s="68"/>
      <c r="M218" s="68"/>
      <c r="N218" s="27"/>
      <c r="O218" s="68"/>
      <c r="P218" s="68"/>
      <c r="Q218" s="68"/>
      <c r="R218" s="68"/>
      <c r="S218" s="27"/>
      <c r="T218" s="68"/>
      <c r="U218" s="68"/>
      <c r="V218" s="68"/>
      <c r="W218" s="68"/>
      <c r="X218" s="27"/>
      <c r="Y218" s="68"/>
      <c r="Z218" s="68"/>
      <c r="AA218" s="68"/>
      <c r="AB218" s="68"/>
      <c r="AC218" s="27"/>
      <c r="AD218" s="68"/>
      <c r="AE218" s="68"/>
      <c r="AF218" s="68"/>
      <c r="AG218" s="68"/>
      <c r="AH218" s="27"/>
      <c r="AI218" s="68"/>
      <c r="AJ218" s="68"/>
      <c r="AK218" s="68"/>
      <c r="AL218" s="68"/>
      <c r="AM218" s="27"/>
      <c r="AN218" s="68"/>
      <c r="AO218" s="68"/>
      <c r="AP218" s="68"/>
      <c r="AQ218" s="68"/>
      <c r="AR218" s="27"/>
      <c r="AS218" s="68"/>
      <c r="AT218" s="68"/>
      <c r="AU218" s="68"/>
      <c r="AV218" s="68"/>
      <c r="AW218" s="27"/>
      <c r="AX218" s="68"/>
      <c r="AY218" s="68"/>
      <c r="AZ218" s="68"/>
      <c r="BA218" s="68"/>
      <c r="BB218" s="27"/>
      <c r="BC218" s="68"/>
      <c r="BD218" s="68">
        <f t="shared" si="701"/>
        <v>-1.893405842808249E-2</v>
      </c>
      <c r="BE218" s="68">
        <f t="shared" si="701"/>
        <v>3.6033905249850395E-2</v>
      </c>
      <c r="BF218" s="68">
        <f t="shared" si="701"/>
        <v>3.6642320980429632E-2</v>
      </c>
      <c r="BG218" s="27"/>
      <c r="BH218" s="68">
        <f>BH134/BF134-1</f>
        <v>-0.14802304572700276</v>
      </c>
      <c r="BI218" s="68">
        <f t="shared" si="702"/>
        <v>9.6772784281316859E-2</v>
      </c>
      <c r="BJ218" s="68">
        <f t="shared" si="702"/>
        <v>1.6108955357646781E-2</v>
      </c>
      <c r="BK218" s="68">
        <f t="shared" si="702"/>
        <v>-2.9975760664327611E-2</v>
      </c>
      <c r="BL218" s="27"/>
      <c r="BM218" s="68">
        <f>BM134/BK134-1</f>
        <v>0.41583428190396665</v>
      </c>
      <c r="BN218" s="68">
        <f t="shared" si="703"/>
        <v>-0.35672728137673493</v>
      </c>
      <c r="BO218" s="68">
        <f t="shared" si="703"/>
        <v>6.004256003608921E-2</v>
      </c>
      <c r="BP218" s="68">
        <f t="shared" si="703"/>
        <v>-3.7728543547759896E-2</v>
      </c>
      <c r="BQ218" s="27"/>
      <c r="BR218" s="68">
        <f>BR134/BP134-1</f>
        <v>-0.14557380733587444</v>
      </c>
      <c r="BS218" s="68">
        <f t="shared" si="704"/>
        <v>0.21346598502365244</v>
      </c>
      <c r="BT218" s="68">
        <f t="shared" si="704"/>
        <v>1.2319068596601701E-2</v>
      </c>
      <c r="BU218" s="68">
        <f t="shared" si="704"/>
        <v>-5.9797577911436472E-2</v>
      </c>
      <c r="BV218" s="27"/>
      <c r="BW218" s="68">
        <f>BW134/BU134-1</f>
        <v>-5.5640553283167304E-2</v>
      </c>
      <c r="BX218" s="68">
        <f t="shared" si="705"/>
        <v>0.12477901062888375</v>
      </c>
      <c r="BY218" s="68">
        <f t="shared" si="705"/>
        <v>-2.0471294538336848E-2</v>
      </c>
      <c r="BZ218" s="68">
        <f t="shared" si="705"/>
        <v>6.6554512668517862E-2</v>
      </c>
      <c r="CA218" s="27"/>
      <c r="CB218" s="68">
        <f>CB134/BZ134-1</f>
        <v>-0.12652498820725433</v>
      </c>
      <c r="CC218" s="68">
        <f t="shared" si="706"/>
        <v>5.9631580293723951E-2</v>
      </c>
      <c r="CD218" s="68">
        <f t="shared" si="706"/>
        <v>0.12515144118359722</v>
      </c>
      <c r="CE218" s="68">
        <f t="shared" si="706"/>
        <v>0.10889443917758612</v>
      </c>
      <c r="CF218" s="27"/>
      <c r="CG218" s="68">
        <f>CG134/CE134-1</f>
        <v>2.792482576992672E-2</v>
      </c>
      <c r="CH218" s="68">
        <f t="shared" si="707"/>
        <v>-3.0150753768844241E-2</v>
      </c>
      <c r="CI218" s="68">
        <f t="shared" si="707"/>
        <v>0.10880829015544036</v>
      </c>
      <c r="CJ218" s="68">
        <f t="shared" si="707"/>
        <v>-7.0093457943924964E-3</v>
      </c>
      <c r="CK218" s="27"/>
      <c r="CL218" s="68">
        <f>CL134/CJ134-1</f>
        <v>-6.1176470588235277E-2</v>
      </c>
      <c r="CM218" s="68">
        <f t="shared" si="708"/>
        <v>-0.17543859649122806</v>
      </c>
      <c r="CN218" s="68">
        <f t="shared" si="708"/>
        <v>6.3829787234042534E-2</v>
      </c>
      <c r="CO218" s="68">
        <f t="shared" si="708"/>
        <v>3.1428571428571361E-2</v>
      </c>
      <c r="CP218" s="27"/>
      <c r="CQ218" s="68">
        <f>CQ134/CO134-1</f>
        <v>7.4792243767312971E-2</v>
      </c>
      <c r="CR218" s="68">
        <f t="shared" si="709"/>
        <v>6.9587628865979356E-2</v>
      </c>
      <c r="CS218" s="68">
        <f t="shared" si="709"/>
        <v>-5.7831325301204828E-2</v>
      </c>
      <c r="CT218" s="68">
        <f t="shared" si="709"/>
        <v>0.63427109974424556</v>
      </c>
      <c r="CU218" s="27"/>
      <c r="CV218" s="68">
        <f>CV134/CT134-1</f>
        <v>-0.40845070422535212</v>
      </c>
      <c r="CW218" s="68">
        <f t="shared" si="710"/>
        <v>-0.16666666666666663</v>
      </c>
      <c r="CX218" s="68">
        <f t="shared" si="710"/>
        <v>0.17777777777777781</v>
      </c>
      <c r="CY218" s="68">
        <f t="shared" si="710"/>
        <v>-0.25067385444743939</v>
      </c>
      <c r="CZ218" s="27"/>
      <c r="DA218" s="68">
        <f>DA134/CY134-1</f>
        <v>0.16546762589928066</v>
      </c>
      <c r="DB218" s="68">
        <f t="shared" si="711"/>
        <v>-0.10185185185185186</v>
      </c>
      <c r="DC218" s="68">
        <f t="shared" si="711"/>
        <v>-1</v>
      </c>
      <c r="DD218" s="68"/>
      <c r="DE218" s="27"/>
      <c r="DF218" s="68"/>
      <c r="DG218" s="68"/>
      <c r="DH218" s="68"/>
      <c r="DI218" s="68"/>
      <c r="DJ218" s="27"/>
      <c r="DK218" s="68"/>
      <c r="DL218" s="68"/>
      <c r="DM218" s="68"/>
      <c r="DN218" s="68"/>
      <c r="DO218" s="27"/>
      <c r="DP218" s="68"/>
      <c r="DQ218" s="68"/>
      <c r="DR218" s="68"/>
      <c r="DS218" s="68"/>
      <c r="DT218" s="27"/>
      <c r="DU218" s="27"/>
      <c r="DV218" s="27"/>
    </row>
    <row r="219" spans="2:126" s="92" customFormat="1" hidden="1" outlineLevel="2">
      <c r="B219" s="180" t="s">
        <v>569</v>
      </c>
      <c r="C219" s="27"/>
      <c r="D219" s="27"/>
      <c r="E219" s="27"/>
      <c r="F219" s="27"/>
      <c r="G219" s="27"/>
      <c r="H219" s="27"/>
      <c r="I219" s="27"/>
      <c r="J219" s="133"/>
      <c r="K219" s="68"/>
      <c r="L219" s="68"/>
      <c r="M219" s="68"/>
      <c r="N219" s="27"/>
      <c r="O219" s="68"/>
      <c r="P219" s="68"/>
      <c r="Q219" s="68"/>
      <c r="R219" s="68"/>
      <c r="S219" s="27"/>
      <c r="T219" s="68"/>
      <c r="U219" s="68"/>
      <c r="V219" s="68"/>
      <c r="W219" s="68"/>
      <c r="X219" s="27"/>
      <c r="Y219" s="68"/>
      <c r="Z219" s="68"/>
      <c r="AA219" s="68"/>
      <c r="AB219" s="68"/>
      <c r="AC219" s="27"/>
      <c r="AD219" s="68"/>
      <c r="AE219" s="68"/>
      <c r="AF219" s="68"/>
      <c r="AG219" s="68"/>
      <c r="AH219" s="27"/>
      <c r="AI219" s="68"/>
      <c r="AJ219" s="68"/>
      <c r="AK219" s="68"/>
      <c r="AL219" s="68"/>
      <c r="AM219" s="27"/>
      <c r="AN219" s="68"/>
      <c r="AO219" s="68"/>
      <c r="AP219" s="68"/>
      <c r="AQ219" s="68"/>
      <c r="AR219" s="27"/>
      <c r="AS219" s="68"/>
      <c r="AT219" s="68"/>
      <c r="AU219" s="68"/>
      <c r="AV219" s="68"/>
      <c r="AW219" s="27"/>
      <c r="AX219" s="68"/>
      <c r="AY219" s="68"/>
      <c r="AZ219" s="68"/>
      <c r="BA219" s="68"/>
      <c r="BB219" s="27"/>
      <c r="BC219" s="68"/>
      <c r="BD219" s="68">
        <f t="shared" si="701"/>
        <v>0.13036898482589931</v>
      </c>
      <c r="BE219" s="68">
        <f t="shared" si="701"/>
        <v>-9.5196029430567375E-2</v>
      </c>
      <c r="BF219" s="68">
        <f t="shared" si="701"/>
        <v>-0.10385939998108085</v>
      </c>
      <c r="BG219" s="27"/>
      <c r="BH219" s="68">
        <f>BH135/BF135-1</f>
        <v>-4.6185463828989359E-3</v>
      </c>
      <c r="BI219" s="68">
        <f t="shared" si="702"/>
        <v>-2.2407786362083182E-2</v>
      </c>
      <c r="BJ219" s="68">
        <f t="shared" si="702"/>
        <v>-2.3201309258827685E-2</v>
      </c>
      <c r="BK219" s="68">
        <f t="shared" si="702"/>
        <v>0.21696341165792377</v>
      </c>
      <c r="BL219" s="27"/>
      <c r="BM219" s="68">
        <f>BM135/BK135-1</f>
        <v>-0.22932124983945501</v>
      </c>
      <c r="BN219" s="68">
        <f t="shared" si="703"/>
        <v>-2.7534295437800504E-2</v>
      </c>
      <c r="BO219" s="68">
        <f t="shared" si="703"/>
        <v>9.4870727171872282E-2</v>
      </c>
      <c r="BP219" s="68">
        <f t="shared" si="703"/>
        <v>0.22513664803502786</v>
      </c>
      <c r="BQ219" s="27"/>
      <c r="BR219" s="68">
        <f>BR135/BP135-1</f>
        <v>-0.33840783140293962</v>
      </c>
      <c r="BS219" s="68">
        <f t="shared" si="704"/>
        <v>0.79621643047589385</v>
      </c>
      <c r="BT219" s="68">
        <f t="shared" si="704"/>
        <v>-0.25336058137539119</v>
      </c>
      <c r="BU219" s="68">
        <f t="shared" si="704"/>
        <v>-2.3253082201729613E-2</v>
      </c>
      <c r="BV219" s="27"/>
      <c r="BW219" s="68">
        <f>BW135/BU135-1</f>
        <v>-3.9174305876145898E-2</v>
      </c>
      <c r="BX219" s="68">
        <f t="shared" si="705"/>
        <v>0.13727643573044568</v>
      </c>
      <c r="BY219" s="68">
        <f t="shared" si="705"/>
        <v>6.9157106712519623E-2</v>
      </c>
      <c r="BZ219" s="68">
        <f t="shared" si="705"/>
        <v>-1.5496033568840328E-4</v>
      </c>
      <c r="CA219" s="27"/>
      <c r="CB219" s="68">
        <f>CB135/BZ135-1</f>
        <v>-6.6672607733497702E-2</v>
      </c>
      <c r="CC219" s="68">
        <f t="shared" si="706"/>
        <v>3.1289642096548054E-3</v>
      </c>
      <c r="CD219" s="68">
        <f t="shared" si="706"/>
        <v>1.2438980121871168E-2</v>
      </c>
      <c r="CE219" s="68">
        <f t="shared" si="706"/>
        <v>5.4764475499811116E-2</v>
      </c>
      <c r="CF219" s="27"/>
      <c r="CG219" s="68">
        <f>CG135/CE135-1</f>
        <v>-0.12009039568040625</v>
      </c>
      <c r="CH219" s="68">
        <f t="shared" si="707"/>
        <v>0.15192743764172345</v>
      </c>
      <c r="CI219" s="68">
        <f t="shared" si="707"/>
        <v>-2.7559055118110187E-2</v>
      </c>
      <c r="CJ219" s="68">
        <f t="shared" si="707"/>
        <v>0.20850202429149789</v>
      </c>
      <c r="CK219" s="27"/>
      <c r="CL219" s="68">
        <f>CL135/CJ135-1</f>
        <v>-7.3701842546063601E-2</v>
      </c>
      <c r="CM219" s="68">
        <f t="shared" si="708"/>
        <v>-0.2350813743218807</v>
      </c>
      <c r="CN219" s="68">
        <f t="shared" si="708"/>
        <v>6.1465721040189214E-2</v>
      </c>
      <c r="CO219" s="68">
        <f t="shared" si="708"/>
        <v>-0.92650334075723828</v>
      </c>
      <c r="CP219" s="27"/>
      <c r="CQ219" s="68">
        <f>CQ135/CO135-1</f>
        <v>14.030303030303031</v>
      </c>
      <c r="CR219" s="68">
        <f t="shared" si="709"/>
        <v>7.2580645161290258E-2</v>
      </c>
      <c r="CS219" s="68">
        <f t="shared" si="709"/>
        <v>-7.8947368421052655E-2</v>
      </c>
      <c r="CT219" s="68">
        <f t="shared" si="709"/>
        <v>-8.1632653061224358E-3</v>
      </c>
      <c r="CU219" s="27"/>
      <c r="CV219" s="68">
        <f>CV135/CT135-1</f>
        <v>-0.20370370370370372</v>
      </c>
      <c r="CW219" s="68">
        <f t="shared" si="710"/>
        <v>-0.10077519379844957</v>
      </c>
      <c r="CX219" s="68">
        <f t="shared" si="710"/>
        <v>0.17241379310344818</v>
      </c>
      <c r="CY219" s="68">
        <f t="shared" si="710"/>
        <v>-7.8431372549019662E-2</v>
      </c>
      <c r="CZ219" s="27"/>
      <c r="DA219" s="68">
        <f>DA135/CY135-1</f>
        <v>-0.12765957446808507</v>
      </c>
      <c r="DB219" s="68">
        <f t="shared" si="711"/>
        <v>0.26524390243902429</v>
      </c>
      <c r="DC219" s="68">
        <f t="shared" si="711"/>
        <v>-1</v>
      </c>
      <c r="DD219" s="68"/>
      <c r="DE219" s="27"/>
      <c r="DF219" s="68"/>
      <c r="DG219" s="68"/>
      <c r="DH219" s="68"/>
      <c r="DI219" s="68"/>
      <c r="DJ219" s="27"/>
      <c r="DK219" s="68"/>
      <c r="DL219" s="68"/>
      <c r="DM219" s="68"/>
      <c r="DN219" s="68"/>
      <c r="DO219" s="27"/>
      <c r="DP219" s="68"/>
      <c r="DQ219" s="68"/>
      <c r="DR219" s="68"/>
      <c r="DS219" s="68"/>
      <c r="DT219" s="27"/>
      <c r="DU219" s="27"/>
      <c r="DV219" s="27"/>
    </row>
    <row r="220" spans="2:126" s="92" customFormat="1" hidden="1" outlineLevel="1">
      <c r="B220" s="41" t="s">
        <v>629</v>
      </c>
      <c r="C220" s="27"/>
      <c r="D220" s="27"/>
      <c r="E220" s="27"/>
      <c r="F220" s="27"/>
      <c r="G220" s="27"/>
      <c r="H220" s="27"/>
      <c r="I220" s="27"/>
      <c r="J220" s="133"/>
      <c r="K220" s="68"/>
      <c r="L220" s="68"/>
      <c r="M220" s="68"/>
      <c r="N220" s="27"/>
      <c r="O220" s="68"/>
      <c r="P220" s="68"/>
      <c r="Q220" s="68"/>
      <c r="R220" s="68"/>
      <c r="S220" s="27"/>
      <c r="T220" s="68"/>
      <c r="U220" s="68"/>
      <c r="V220" s="68"/>
      <c r="W220" s="68"/>
      <c r="X220" s="27"/>
      <c r="Y220" s="68"/>
      <c r="Z220" s="68"/>
      <c r="AA220" s="68"/>
      <c r="AB220" s="68"/>
      <c r="AC220" s="27"/>
      <c r="AD220" s="68"/>
      <c r="AE220" s="68"/>
      <c r="AF220" s="68"/>
      <c r="AG220" s="68"/>
      <c r="AH220" s="27"/>
      <c r="AI220" s="68"/>
      <c r="AJ220" s="68"/>
      <c r="AK220" s="68"/>
      <c r="AL220" s="68"/>
      <c r="AM220" s="27"/>
      <c r="AN220" s="68"/>
      <c r="AO220" s="68"/>
      <c r="AP220" s="68"/>
      <c r="AQ220" s="68"/>
      <c r="AR220" s="27"/>
      <c r="AS220" s="68"/>
      <c r="AT220" s="68"/>
      <c r="AU220" s="68"/>
      <c r="AV220" s="68"/>
      <c r="AW220" s="27"/>
      <c r="AX220" s="68"/>
      <c r="AY220" s="68"/>
      <c r="AZ220" s="68"/>
      <c r="BA220" s="68"/>
      <c r="BB220" s="27"/>
      <c r="BC220" s="68"/>
      <c r="BD220" s="68"/>
      <c r="BE220" s="68"/>
      <c r="BF220" s="68"/>
      <c r="BG220" s="27"/>
      <c r="BH220" s="68"/>
      <c r="BI220" s="68"/>
      <c r="BJ220" s="68"/>
      <c r="BK220" s="68"/>
      <c r="BL220" s="27"/>
      <c r="BM220" s="68"/>
      <c r="BN220" s="68"/>
      <c r="BO220" s="68"/>
      <c r="BP220" s="68"/>
      <c r="BQ220" s="27"/>
      <c r="BR220" s="68"/>
      <c r="BS220" s="68"/>
      <c r="BT220" s="68"/>
      <c r="BU220" s="68"/>
      <c r="BV220" s="27"/>
      <c r="BW220" s="68"/>
      <c r="BX220" s="68"/>
      <c r="BY220" s="68"/>
      <c r="BZ220" s="68"/>
      <c r="CA220" s="27"/>
      <c r="CB220" s="68"/>
      <c r="CC220" s="68"/>
      <c r="CD220" s="68"/>
      <c r="CE220" s="68"/>
      <c r="CF220" s="27"/>
      <c r="CG220" s="68"/>
      <c r="CH220" s="68"/>
      <c r="CI220" s="68"/>
      <c r="CJ220" s="68"/>
      <c r="CK220" s="27"/>
      <c r="CL220" s="68"/>
      <c r="CM220" s="68"/>
      <c r="CN220" s="68"/>
      <c r="CO220" s="68"/>
      <c r="CP220" s="27"/>
      <c r="CQ220" s="68"/>
      <c r="CR220" s="68"/>
      <c r="CS220" s="68"/>
      <c r="CT220" s="68"/>
      <c r="CU220" s="27"/>
      <c r="CV220" s="68"/>
      <c r="CW220" s="68">
        <f t="shared" si="710"/>
        <v>-0.11603053435114508</v>
      </c>
      <c r="CX220" s="68">
        <f t="shared" si="710"/>
        <v>0.18480138169257332</v>
      </c>
      <c r="CY220" s="68">
        <f t="shared" si="710"/>
        <v>-0.23032069970845481</v>
      </c>
      <c r="CZ220" s="27"/>
      <c r="DA220" s="68">
        <f>DA136/CY136-1</f>
        <v>8.1439393939394034E-2</v>
      </c>
      <c r="DB220" s="68">
        <f t="shared" si="711"/>
        <v>0.12784588441330991</v>
      </c>
      <c r="DC220" s="68">
        <f t="shared" si="711"/>
        <v>-0.13043478260869568</v>
      </c>
      <c r="DD220" s="68">
        <f t="shared" si="711"/>
        <v>7.8571428571428514E-2</v>
      </c>
      <c r="DE220" s="27"/>
      <c r="DF220" s="68">
        <f>DF136/DD136-1</f>
        <v>0.64900662251655628</v>
      </c>
      <c r="DG220" s="68">
        <f t="shared" si="712"/>
        <v>-0.8724899598393574</v>
      </c>
      <c r="DH220" s="68">
        <f t="shared" si="712"/>
        <v>4.0944881889763778</v>
      </c>
      <c r="DI220" s="68">
        <f t="shared" si="712"/>
        <v>0.27357032457496144</v>
      </c>
      <c r="DJ220" s="27"/>
      <c r="DK220" s="68">
        <f>DK136/DI136-1</f>
        <v>-0.17718446601941751</v>
      </c>
      <c r="DL220" s="68">
        <f t="shared" si="713"/>
        <v>0.18731563421828912</v>
      </c>
      <c r="DM220" s="68">
        <f t="shared" si="714"/>
        <v>6.70807453416149E-2</v>
      </c>
      <c r="DN220" s="68">
        <f t="shared" ref="DN220" si="719">DN136/DM136-1</f>
        <v>-1.8849452852153559E-2</v>
      </c>
      <c r="DO220" s="27"/>
      <c r="DP220" s="68">
        <f>DP136/DN136-1</f>
        <v>-8.2409153246137956E-2</v>
      </c>
      <c r="DQ220" s="68">
        <f t="shared" ref="DQ220" si="720">DQ136/DP136-1</f>
        <v>0.11523065010916089</v>
      </c>
      <c r="DR220" s="68">
        <f t="shared" ref="DR220" si="721">DR136/DQ136-1</f>
        <v>3.0201969699967357E-2</v>
      </c>
      <c r="DS220" s="68">
        <f t="shared" ref="DS220" si="722">DS136/DR136-1</f>
        <v>4.5228344899818529E-2</v>
      </c>
      <c r="DT220" s="27"/>
      <c r="DU220" s="27"/>
      <c r="DV220" s="27"/>
    </row>
    <row r="221" spans="2:126" s="92" customFormat="1" hidden="1" outlineLevel="1">
      <c r="B221" s="137" t="s">
        <v>68</v>
      </c>
      <c r="C221" s="138"/>
      <c r="D221" s="138"/>
      <c r="E221" s="138"/>
      <c r="F221" s="138"/>
      <c r="G221" s="138"/>
      <c r="H221" s="138"/>
      <c r="I221" s="138"/>
      <c r="J221" s="107"/>
      <c r="K221" s="107">
        <f>K140/J140-1</f>
        <v>-2.4793388429752095E-2</v>
      </c>
      <c r="L221" s="107">
        <f>L140/K140-1</f>
        <v>-8.4745762711864181E-3</v>
      </c>
      <c r="M221" s="107">
        <f>M140/L140-1</f>
        <v>8.5470085470085166E-3</v>
      </c>
      <c r="N221" s="138"/>
      <c r="O221" s="107">
        <f>O140/M140-1</f>
        <v>-1.6949152542372836E-2</v>
      </c>
      <c r="P221" s="107">
        <f>P140/O140-1</f>
        <v>0</v>
      </c>
      <c r="Q221" s="107">
        <f>Q140/P140-1</f>
        <v>8.6206896551723755E-3</v>
      </c>
      <c r="R221" s="107">
        <f>R140/Q140-1</f>
        <v>-8.5470085470085166E-3</v>
      </c>
      <c r="S221" s="138"/>
      <c r="T221" s="107">
        <f>T140/R140-1</f>
        <v>-0.22413793103448276</v>
      </c>
      <c r="U221" s="107">
        <f>U140/T140-1</f>
        <v>0.11111111111111116</v>
      </c>
      <c r="V221" s="107">
        <f>V140/U140-1</f>
        <v>-6.9999999999999951E-2</v>
      </c>
      <c r="W221" s="107">
        <f>W140/V140-1</f>
        <v>-0.15053763440860213</v>
      </c>
      <c r="X221" s="138"/>
      <c r="Y221" s="107">
        <f>Y140/W140-1</f>
        <v>-0.21518987341772156</v>
      </c>
      <c r="Z221" s="107">
        <f>Z140/Y140-1</f>
        <v>1.6129032258064502E-2</v>
      </c>
      <c r="AA221" s="107">
        <f>AA140/Z140-1</f>
        <v>0.80952380952380953</v>
      </c>
      <c r="AB221" s="107">
        <f>AB140/AA140-1</f>
        <v>-0.82456140350877194</v>
      </c>
      <c r="AC221" s="138"/>
      <c r="AD221" s="107">
        <f>AD140/AB140-1</f>
        <v>0.64999999999999991</v>
      </c>
      <c r="AE221" s="107">
        <f>AE140/AD140-1</f>
        <v>3.0303030303030276E-2</v>
      </c>
      <c r="AF221" s="107">
        <f>AF140/AE140-1</f>
        <v>-0.23529411764705888</v>
      </c>
      <c r="AG221" s="107">
        <f>AG140/AF140-1</f>
        <v>0.15384615384615374</v>
      </c>
      <c r="AH221" s="138"/>
      <c r="AI221" s="107">
        <f>AI140/AG140-1</f>
        <v>-1.3666666666666667</v>
      </c>
      <c r="AJ221" s="107">
        <f>AJ140/AI140-1</f>
        <v>0</v>
      </c>
      <c r="AK221" s="107">
        <f>AK140/AJ140-1</f>
        <v>-1.0909090909090908</v>
      </c>
      <c r="AL221" s="107">
        <f>AL140/AK140-1</f>
        <v>-7</v>
      </c>
      <c r="AM221" s="138"/>
      <c r="AN221" s="107">
        <f>AN140/AL140-1</f>
        <v>-9.8333333333333339</v>
      </c>
      <c r="AO221" s="107">
        <f>AO140/AN140-1</f>
        <v>3.7735849056603765E-2</v>
      </c>
      <c r="AP221" s="107">
        <f>AP140/AO140-1</f>
        <v>0.1272727272727272</v>
      </c>
      <c r="AQ221" s="107">
        <f>AQ140/AP140-1</f>
        <v>-3.2258064516129004E-2</v>
      </c>
      <c r="AR221" s="138"/>
      <c r="AS221" s="107">
        <f>AS140/AQ140-1</f>
        <v>0.48333333333333339</v>
      </c>
      <c r="AT221" s="107">
        <f>AT140/AS140-1</f>
        <v>1.1235955056179803E-2</v>
      </c>
      <c r="AU221" s="107">
        <f>AU140/AT140-1</f>
        <v>-0.16666666666666663</v>
      </c>
      <c r="AV221" s="107">
        <f>AV140/AU140-1</f>
        <v>0.10666666666666669</v>
      </c>
      <c r="AW221" s="138"/>
      <c r="AX221" s="107">
        <f>AX140/AV140-1</f>
        <v>-0.15662650602409633</v>
      </c>
      <c r="AY221" s="107">
        <f>AY140/AX140-1</f>
        <v>1.4285714285714235E-2</v>
      </c>
      <c r="AZ221" s="107">
        <f>AZ140/AY140-1</f>
        <v>-0.3380281690140845</v>
      </c>
      <c r="BA221" s="107">
        <f>BA140/AZ140-1</f>
        <v>0.42553191489361697</v>
      </c>
      <c r="BB221" s="138"/>
      <c r="BC221" s="107">
        <f>BC139/BA139-1</f>
        <v>-0.31313131313131315</v>
      </c>
      <c r="BD221" s="107">
        <f>BD139/BC139-1</f>
        <v>0.21323529411764719</v>
      </c>
      <c r="BE221" s="107">
        <f>BE139/BD139-1</f>
        <v>-7.2727272727272751E-2</v>
      </c>
      <c r="BF221" s="107">
        <f>BF139/BE139-1</f>
        <v>0.26143790849673221</v>
      </c>
      <c r="BG221" s="138"/>
      <c r="BH221" s="107">
        <f>BH139/BF139-1</f>
        <v>-0.37305699481865295</v>
      </c>
      <c r="BI221" s="107">
        <f>BI139/BH139-1</f>
        <v>-1.5289256198347108</v>
      </c>
      <c r="BJ221" s="107">
        <f>BJ139/BI139-1</f>
        <v>-3.84375</v>
      </c>
      <c r="BK221" s="107">
        <f>BK139/BJ139-1</f>
        <v>0.20879120879120872</v>
      </c>
      <c r="BL221" s="138"/>
      <c r="BM221" s="107">
        <f>BM139/BK139-1</f>
        <v>-0.4363636363636364</v>
      </c>
      <c r="BN221" s="107">
        <f>BN139/BM139-1</f>
        <v>0.62096774193548376</v>
      </c>
      <c r="BO221" s="107">
        <f>BO139/BN139-1</f>
        <v>-0.23880597014925364</v>
      </c>
      <c r="BP221" s="107">
        <f>BP139/BO139-1</f>
        <v>2.4183006535947715</v>
      </c>
      <c r="BQ221" s="138"/>
      <c r="BR221" s="107">
        <f>BR139/BP139-1</f>
        <v>-0.73996175908221806</v>
      </c>
      <c r="BS221" s="107">
        <f>BS139/BR139-1</f>
        <v>-0.16176470588235292</v>
      </c>
      <c r="BT221" s="107">
        <f>BT139/BS139-1</f>
        <v>0.11403508771929816</v>
      </c>
      <c r="BU221" s="107">
        <f>BU139/BT139-1</f>
        <v>3.6850393700787407</v>
      </c>
      <c r="BV221" s="138"/>
      <c r="BW221" s="107">
        <f>BW139/BU139-1</f>
        <v>-0.68571428571428572</v>
      </c>
      <c r="BX221" s="107">
        <f>BX139/BW139-1</f>
        <v>-0.22994652406417115</v>
      </c>
      <c r="BY221" s="107">
        <f>BY139/BX139-1</f>
        <v>-0.20138888888888884</v>
      </c>
      <c r="BZ221" s="107">
        <f>BZ139/BY139-1</f>
        <v>1.4608695652173913</v>
      </c>
      <c r="CA221" s="138"/>
      <c r="CB221" s="107">
        <f>CB139/BZ139-1</f>
        <v>-0.27738515901060068</v>
      </c>
      <c r="CC221" s="107">
        <f>CC139/CB139-1</f>
        <v>0.38141809290953543</v>
      </c>
      <c r="CD221" s="107">
        <f>CD139/CC139-1</f>
        <v>-3.539823008849563E-2</v>
      </c>
      <c r="CE221" s="107">
        <f>CE139/CD139-1</f>
        <v>-0.1761467889908257</v>
      </c>
      <c r="CF221" s="138"/>
      <c r="CG221" s="107">
        <f>CG139/CE139-1</f>
        <v>-0.22526852922105378</v>
      </c>
      <c r="CH221" s="107">
        <f>CH139/CG139-1</f>
        <v>-0.16393442622950816</v>
      </c>
      <c r="CI221" s="107">
        <f>CI139/CH139-1</f>
        <v>1.9607843137254832E-2</v>
      </c>
      <c r="CJ221" s="107">
        <f>CJ139/CI139-1</f>
        <v>1.9230769230769229</v>
      </c>
      <c r="CK221" s="138"/>
      <c r="CL221" s="107">
        <f>CL139/CJ139-1</f>
        <v>-7.8947368421052655E-2</v>
      </c>
      <c r="CM221" s="107">
        <f>CM139/CL139-1</f>
        <v>0.31428571428571428</v>
      </c>
      <c r="CN221" s="107">
        <f>CN139/CM139-1</f>
        <v>-0.54347826086956519</v>
      </c>
      <c r="CO221" s="107">
        <f>CO139/CN139-1</f>
        <v>0.1785714285714286</v>
      </c>
      <c r="CP221" s="138"/>
      <c r="CQ221" s="107">
        <f>CQ139/CO139-1</f>
        <v>-0.18181818181818177</v>
      </c>
      <c r="CR221" s="107">
        <f>CR139/CQ139-1</f>
        <v>0.83950617283950613</v>
      </c>
      <c r="CS221" s="107">
        <f>CS139/CR139-1</f>
        <v>-0.40268456375838924</v>
      </c>
      <c r="CT221" s="107">
        <f>CT139/CS139-1</f>
        <v>1.4494382022471912</v>
      </c>
      <c r="CU221" s="138"/>
      <c r="CV221" s="107">
        <f>CV139/CT139-1</f>
        <v>-0.37614678899082565</v>
      </c>
      <c r="CW221" s="107">
        <f>CW139/CV139-1</f>
        <v>-0.69117647058823528</v>
      </c>
      <c r="CX221" s="107">
        <f>CX139/CW139-1</f>
        <v>0.83333333333333326</v>
      </c>
      <c r="CY221" s="107">
        <f>CY139/CX139-1</f>
        <v>-0.18181818181818177</v>
      </c>
      <c r="CZ221" s="138"/>
      <c r="DA221" s="107">
        <f>DA139/CY139-1</f>
        <v>-0.31746031746031744</v>
      </c>
      <c r="DB221" s="107">
        <f>DB139/DA139-1</f>
        <v>0.37209302325581395</v>
      </c>
      <c r="DC221" s="107">
        <f>DC139/DB139-1</f>
        <v>6.7796610169491567E-2</v>
      </c>
      <c r="DD221" s="107">
        <f>DD139/DC139-1</f>
        <v>0.74603174603174605</v>
      </c>
      <c r="DE221" s="138"/>
      <c r="DF221" s="107">
        <f>DF139/DD139-1</f>
        <v>-0.12727272727272732</v>
      </c>
      <c r="DG221" s="107">
        <f>DG139/DF139-1</f>
        <v>8.6875</v>
      </c>
      <c r="DH221" s="107">
        <f>DH139/DG139-1</f>
        <v>-1.10752688172043</v>
      </c>
      <c r="DI221" s="107">
        <f>DI139/DH139-1</f>
        <v>-1.07</v>
      </c>
      <c r="DJ221" s="138"/>
      <c r="DK221" s="107">
        <f>DK139/DI139-1</f>
        <v>4.4285714285714288</v>
      </c>
      <c r="DL221" s="107">
        <f>DL139/DK139-1</f>
        <v>0.23684210526315796</v>
      </c>
      <c r="DM221" s="107">
        <f>DM139/DL139-1</f>
        <v>-0.46808510638297873</v>
      </c>
      <c r="DN221" s="107">
        <f>DN139/DM139-1</f>
        <v>2.2400000000000002</v>
      </c>
      <c r="DO221" s="138"/>
      <c r="DP221" s="107">
        <f>DP139/DN139-1</f>
        <v>-0.56790123456790131</v>
      </c>
      <c r="DQ221" s="107">
        <f>DQ139/DP139-1</f>
        <v>0.14285714285714279</v>
      </c>
      <c r="DR221" s="107">
        <f>DR139/DQ139-1</f>
        <v>0.5</v>
      </c>
      <c r="DS221" s="107">
        <f>DS139/DR139-1</f>
        <v>0.16666666666666674</v>
      </c>
      <c r="DT221" s="138"/>
      <c r="DU221" s="138"/>
      <c r="DV221" s="138"/>
    </row>
    <row r="222" spans="2:126" s="37" customFormat="1" hidden="1" outlineLevel="1">
      <c r="B222" s="44" t="s">
        <v>139</v>
      </c>
      <c r="C222" s="136"/>
      <c r="D222" s="136"/>
      <c r="E222" s="136"/>
      <c r="F222" s="136"/>
      <c r="G222" s="136"/>
      <c r="H222" s="136"/>
      <c r="I222" s="136"/>
      <c r="J222" s="135"/>
      <c r="K222" s="135">
        <f>K144/J144-1</f>
        <v>0.46759259259259256</v>
      </c>
      <c r="L222" s="135">
        <f>L144/K144-1</f>
        <v>8.8328075709779075E-2</v>
      </c>
      <c r="M222" s="135">
        <f>M144/L144-1</f>
        <v>-8.9855072463768115E-2</v>
      </c>
      <c r="N222" s="136"/>
      <c r="O222" s="135">
        <f>O144/M144-1</f>
        <v>0.19745222929936301</v>
      </c>
      <c r="P222" s="135">
        <f>P144/O144-1</f>
        <v>0.12234042553191493</v>
      </c>
      <c r="Q222" s="135">
        <f>Q144/P144-1</f>
        <v>4.502369668246442E-2</v>
      </c>
      <c r="R222" s="135">
        <f>R144/Q144-1</f>
        <v>-4.7619047619047672E-2</v>
      </c>
      <c r="S222" s="136"/>
      <c r="T222" s="135">
        <f>T144/R144-1</f>
        <v>0.24047619047619051</v>
      </c>
      <c r="U222" s="135">
        <f>U144/T144-1</f>
        <v>0.24184261036468335</v>
      </c>
      <c r="V222" s="135">
        <f>V144/U144-1</f>
        <v>-0.1190108191653787</v>
      </c>
      <c r="W222" s="135">
        <f>W144/V144-1</f>
        <v>-3.6842105263157898E-2</v>
      </c>
      <c r="X222" s="136"/>
      <c r="Y222" s="135">
        <f>Y144/W144-1</f>
        <v>0.17668488160291429</v>
      </c>
      <c r="Z222" s="135">
        <f>Z144/Y144-1</f>
        <v>9.1331269349845146E-2</v>
      </c>
      <c r="AA222" s="135">
        <f>AA144/Z144-1</f>
        <v>-9.5035460992907828E-2</v>
      </c>
      <c r="AB222" s="135">
        <f>AB144/AA144-1</f>
        <v>0.14420062695924774</v>
      </c>
      <c r="AC222" s="136"/>
      <c r="AD222" s="135">
        <f>AD144/AB144-1</f>
        <v>-1.0958904109588996E-2</v>
      </c>
      <c r="AE222" s="135">
        <f>AE144/AD144-1</f>
        <v>9.695290858725758E-2</v>
      </c>
      <c r="AF222" s="135">
        <f>AF144/AE144-1</f>
        <v>-2.525252525252486E-3</v>
      </c>
      <c r="AG222" s="135">
        <f>AG144/AF144-1</f>
        <v>5.0632911392405333E-3</v>
      </c>
      <c r="AH222" s="136"/>
      <c r="AI222" s="135">
        <f>AI144/AG144-1</f>
        <v>-0.19521410579345089</v>
      </c>
      <c r="AJ222" s="135">
        <f>AJ144/AI144-1</f>
        <v>4.0688575899843427E-2</v>
      </c>
      <c r="AK222" s="135">
        <f>AK144/AJ144-1</f>
        <v>3.7593984962406068E-2</v>
      </c>
      <c r="AL222" s="135">
        <f>AL144/AK144-1</f>
        <v>5.0724637681159424E-2</v>
      </c>
      <c r="AM222" s="136"/>
      <c r="AN222" s="135">
        <f>AN144/AL144-1</f>
        <v>-0.16689655172413798</v>
      </c>
      <c r="AO222" s="135">
        <f>AO144/AN144-1</f>
        <v>0.11092715231788075</v>
      </c>
      <c r="AP222" s="135">
        <f>AP144/AO144-1</f>
        <v>0.10283159463487324</v>
      </c>
      <c r="AQ222" s="135">
        <f>AQ144/AP144-1</f>
        <v>-0.10810810810810811</v>
      </c>
      <c r="AR222" s="136"/>
      <c r="AS222" s="135">
        <f>AS144/AQ144-1</f>
        <v>-0.22575757575757571</v>
      </c>
      <c r="AT222" s="135">
        <f>AT144/AS144-1</f>
        <v>1.5655577299412915E-2</v>
      </c>
      <c r="AU222" s="135">
        <f>AU144/AT144-1</f>
        <v>0.20423892100192687</v>
      </c>
      <c r="AV222" s="135">
        <f>AV144/AU144-1</f>
        <v>1.4399999999999968E-2</v>
      </c>
      <c r="AW222" s="136"/>
      <c r="AX222" s="135">
        <f>AX144/AV144-1</f>
        <v>0.87397984013556584</v>
      </c>
      <c r="AY222" s="135">
        <f>AY144/AX144-1</f>
        <v>7.9880913346430438E-2</v>
      </c>
      <c r="AZ222" s="135">
        <f>AZ144/AY144-1</f>
        <v>5.718811202845675E-2</v>
      </c>
      <c r="BA222" s="135">
        <f>BA144/AZ144-1</f>
        <v>-7.0720014139584064E-2</v>
      </c>
      <c r="BB222" s="136"/>
      <c r="BC222" s="135">
        <f>BC144/BA144-1</f>
        <v>0.22152219739115275</v>
      </c>
      <c r="BD222" s="135">
        <f>BD144/BC144-1</f>
        <v>0.12385934484819239</v>
      </c>
      <c r="BE222" s="135">
        <f>BE144/BD144-1</f>
        <v>-7.4618603979923925E-2</v>
      </c>
      <c r="BF222" s="135">
        <f>BF144/BE144-1</f>
        <v>-2.452487941339343E-2</v>
      </c>
      <c r="BG222" s="136"/>
      <c r="BH222" s="135">
        <f>BH144/BF144-1</f>
        <v>9.1093511520894399E-2</v>
      </c>
      <c r="BI222" s="135">
        <f>BI144/BH144-1</f>
        <v>0.12483418069143659</v>
      </c>
      <c r="BJ222" s="135">
        <f>BJ144/BI144-1</f>
        <v>-2.7681043880811718E-2</v>
      </c>
      <c r="BK222" s="135">
        <f>BK144/BJ144-1</f>
        <v>2.9116935159745339E-4</v>
      </c>
      <c r="BL222" s="136"/>
      <c r="BM222" s="135">
        <f>BM144/BK144-1</f>
        <v>-4.6634252501898787E-2</v>
      </c>
      <c r="BN222" s="135">
        <f>BN144/BM144-1</f>
        <v>-9.7786438658776231E-2</v>
      </c>
      <c r="BO222" s="135">
        <f>BO144/BN144-1</f>
        <v>-2.1668284925144832E-3</v>
      </c>
      <c r="BP222" s="135">
        <f>BP144/BO144-1</f>
        <v>-0.92891226337494226</v>
      </c>
      <c r="BQ222" s="136"/>
      <c r="BR222" s="135">
        <f>BR144/BP144-1</f>
        <v>12.165351181010186</v>
      </c>
      <c r="BS222" s="135">
        <f>BS144/BR144-1</f>
        <v>0.23833470800921019</v>
      </c>
      <c r="BT222" s="135">
        <f>BT144/BS144-1</f>
        <v>-9.2087467534799239E-2</v>
      </c>
      <c r="BU222" s="135">
        <f>BU144/BT144-1</f>
        <v>-0.19026062195974014</v>
      </c>
      <c r="BV222" s="136"/>
      <c r="BW222" s="135">
        <f>BW144/BU144-1</f>
        <v>0.27133842577216893</v>
      </c>
      <c r="BX222" s="135">
        <f>BX144/BW144-1</f>
        <v>7.0375407216177965E-2</v>
      </c>
      <c r="BY222" s="135">
        <f>BY144/BX144-1</f>
        <v>-1.6009087548407575E-2</v>
      </c>
      <c r="BZ222" s="135">
        <f>BZ144/BY144-1</f>
        <v>1.4603869359716581E-2</v>
      </c>
      <c r="CA222" s="136"/>
      <c r="CB222" s="135">
        <f>CB144/BZ144-1</f>
        <v>0.25926662627292174</v>
      </c>
      <c r="CC222" s="135">
        <f>CC144/CB144-1</f>
        <v>-3.2893161048974218E-2</v>
      </c>
      <c r="CD222" s="135">
        <f>CD144/CC144-1</f>
        <v>-6.7791624250873483E-2</v>
      </c>
      <c r="CE222" s="135">
        <f>CE144/CD144-1</f>
        <v>0.11532415723429024</v>
      </c>
      <c r="CF222" s="136"/>
      <c r="CG222" s="135">
        <f>CG144/CE144-1</f>
        <v>-0.18823623587900062</v>
      </c>
      <c r="CH222" s="135">
        <f>CH144/CG144-1</f>
        <v>0.18960084033613445</v>
      </c>
      <c r="CI222" s="135">
        <f>CI144/CH144-1</f>
        <v>3.487858719646808E-2</v>
      </c>
      <c r="CJ222" s="135">
        <f>CJ144/CI144-1</f>
        <v>-0.17576791808873715</v>
      </c>
      <c r="CK222" s="136"/>
      <c r="CL222" s="135">
        <f>CL144/CJ144-1</f>
        <v>0.12800782148608247</v>
      </c>
      <c r="CM222" s="135">
        <f>CM144/CL144-1</f>
        <v>-2.6486026622035306</v>
      </c>
      <c r="CN222" s="135">
        <f>CN144/CM144-1</f>
        <v>-1.117269268445741</v>
      </c>
      <c r="CO222" s="135">
        <f>CO144/CN144-1</f>
        <v>-0.59371277600882566</v>
      </c>
      <c r="CP222" s="136"/>
      <c r="CQ222" s="135">
        <f>CQ144/CO144-1</f>
        <v>4.9469620397108907</v>
      </c>
      <c r="CR222" s="135">
        <f>CR144/CQ144-1</f>
        <v>0.26424361493123771</v>
      </c>
      <c r="CS222" s="135">
        <f>CS144/CR144-1</f>
        <v>4.7397047397047309E-2</v>
      </c>
      <c r="CT222" s="135">
        <f>CT144/CS144-1</f>
        <v>0.10014836795252235</v>
      </c>
      <c r="CU222" s="136"/>
      <c r="CV222" s="135">
        <f>CV144/CT144-1</f>
        <v>-0.25691166554281863</v>
      </c>
      <c r="CW222" s="135">
        <f>CW144/CV144-1</f>
        <v>0.26225045372050815</v>
      </c>
      <c r="CX222" s="135">
        <f>CX144/CW144-1</f>
        <v>9.2739036664270413E-2</v>
      </c>
      <c r="CY222" s="135">
        <f>CY144/CX144-1</f>
        <v>-1.9078947368421084E-2</v>
      </c>
      <c r="CZ222" s="136"/>
      <c r="DA222" s="135">
        <f>DA144/CY144-1</f>
        <v>0.13145539906103276</v>
      </c>
      <c r="DB222" s="135">
        <f>DB144/DA144-1</f>
        <v>-0.11499703615886192</v>
      </c>
      <c r="DC222" s="135">
        <f>DC144/DB144-1</f>
        <v>-1.9350301406563966</v>
      </c>
      <c r="DD222" s="135">
        <f>DD144/DC144-1</f>
        <v>-2.2729226361031518</v>
      </c>
      <c r="DE222" s="136"/>
      <c r="DF222" s="135">
        <f>DF144/DD144-1</f>
        <v>5.2335396736072015E-2</v>
      </c>
      <c r="DG222" s="135">
        <f>DG144/DF144-1</f>
        <v>-0.71711229946524058</v>
      </c>
      <c r="DH222" s="135">
        <f>DH144/DG144-1</f>
        <v>2.8336483931947072</v>
      </c>
      <c r="DI222" s="135">
        <f>DI144/DH144-1</f>
        <v>4.0927021696252508E-2</v>
      </c>
      <c r="DJ222" s="136"/>
      <c r="DK222" s="135">
        <f>DK144/DI144-1</f>
        <v>-3.6001894836570347E-2</v>
      </c>
      <c r="DL222" s="135">
        <f>DL144/DK144-1</f>
        <v>5.4545454545454453E-2</v>
      </c>
      <c r="DM222" s="135">
        <f>DM144/DL144-1</f>
        <v>0.17567567567567566</v>
      </c>
      <c r="DN222" s="135">
        <f>DN144/DM144-1</f>
        <v>-7.9019569956400915E-2</v>
      </c>
      <c r="DO222" s="136"/>
      <c r="DP222" s="135">
        <f>DP144/DN144-1</f>
        <v>-4.9358291154871781E-2</v>
      </c>
      <c r="DQ222" s="135">
        <f>DQ144/DP144-1</f>
        <v>9.7056815009589403E-2</v>
      </c>
      <c r="DR222" s="135">
        <f>DR144/DQ144-1</f>
        <v>0.10895803894163714</v>
      </c>
      <c r="DS222" s="135">
        <f>DS144/DR144-1</f>
        <v>8.8902699684123565E-3</v>
      </c>
      <c r="DT222" s="136"/>
      <c r="DU222" s="136"/>
      <c r="DV222" s="136"/>
    </row>
    <row r="223" spans="2:126" s="92" customFormat="1" collapsed="1">
      <c r="C223" s="27"/>
      <c r="D223" s="27"/>
      <c r="E223" s="27"/>
      <c r="F223" s="27"/>
      <c r="G223" s="27"/>
      <c r="H223" s="27"/>
      <c r="I223" s="27"/>
      <c r="J223" s="68"/>
      <c r="K223" s="68"/>
      <c r="L223" s="68"/>
      <c r="M223" s="68"/>
      <c r="N223" s="27"/>
      <c r="O223" s="68"/>
      <c r="P223" s="68"/>
      <c r="Q223" s="68"/>
      <c r="R223" s="68"/>
      <c r="S223" s="27"/>
      <c r="T223" s="68"/>
      <c r="U223" s="68"/>
      <c r="V223" s="68"/>
      <c r="W223" s="68"/>
      <c r="X223" s="27"/>
      <c r="Y223" s="68"/>
      <c r="Z223" s="68"/>
      <c r="AA223" s="68"/>
      <c r="AB223" s="68"/>
      <c r="AC223" s="27"/>
      <c r="AD223" s="68"/>
      <c r="AE223" s="68"/>
      <c r="AF223" s="68"/>
      <c r="AG223" s="68"/>
      <c r="AH223" s="27"/>
      <c r="AI223" s="68"/>
      <c r="AJ223" s="68"/>
      <c r="AK223" s="68"/>
      <c r="AL223" s="68"/>
      <c r="AM223" s="27"/>
      <c r="AN223" s="68"/>
      <c r="AO223" s="68"/>
      <c r="AP223" s="68"/>
      <c r="AQ223" s="68"/>
      <c r="AR223" s="27"/>
      <c r="AS223" s="68"/>
      <c r="AT223" s="68"/>
      <c r="AU223" s="68"/>
      <c r="AV223" s="68"/>
      <c r="AW223" s="27"/>
      <c r="AX223" s="68"/>
      <c r="AY223" s="68"/>
      <c r="AZ223" s="68"/>
      <c r="BA223" s="68"/>
      <c r="BB223" s="27"/>
      <c r="BC223" s="68"/>
      <c r="BD223" s="68"/>
      <c r="BE223" s="68"/>
      <c r="BF223" s="68"/>
      <c r="BG223" s="27"/>
      <c r="BH223" s="68"/>
      <c r="BI223" s="68"/>
      <c r="BJ223" s="68"/>
      <c r="BK223" s="68"/>
      <c r="BL223" s="27"/>
      <c r="BM223" s="68"/>
      <c r="BN223" s="68"/>
      <c r="BO223" s="68"/>
      <c r="BP223" s="68"/>
      <c r="BQ223" s="27"/>
      <c r="BR223" s="68"/>
      <c r="BS223" s="68"/>
      <c r="BT223" s="68"/>
      <c r="BU223" s="68"/>
      <c r="BV223" s="27"/>
      <c r="BW223" s="68"/>
      <c r="BX223" s="68"/>
      <c r="BY223" s="68"/>
      <c r="BZ223" s="68"/>
      <c r="CA223" s="27"/>
      <c r="CB223" s="68"/>
      <c r="CC223" s="68"/>
      <c r="CD223" s="68"/>
      <c r="CE223" s="68"/>
      <c r="CF223" s="27"/>
      <c r="CG223" s="68"/>
      <c r="CH223" s="68"/>
      <c r="CI223" s="68"/>
      <c r="CJ223" s="68"/>
      <c r="CK223" s="27"/>
      <c r="CL223" s="68"/>
      <c r="CM223" s="68"/>
      <c r="CN223" s="68"/>
      <c r="CO223" s="68"/>
      <c r="CP223" s="27"/>
      <c r="CQ223" s="68"/>
      <c r="CR223" s="68"/>
      <c r="CS223" s="68"/>
      <c r="CT223" s="68"/>
      <c r="CU223" s="27"/>
      <c r="CV223" s="68"/>
      <c r="CW223" s="68"/>
      <c r="CX223" s="68"/>
      <c r="CY223" s="68"/>
      <c r="CZ223" s="27"/>
      <c r="DA223" s="68"/>
      <c r="DB223" s="68"/>
      <c r="DC223" s="68"/>
      <c r="DD223" s="68"/>
      <c r="DE223" s="27"/>
      <c r="DF223" s="68"/>
      <c r="DG223" s="68"/>
      <c r="DH223" s="68"/>
      <c r="DI223" s="68"/>
      <c r="DJ223" s="27"/>
      <c r="DK223" s="68"/>
      <c r="DL223" s="68"/>
      <c r="DM223" s="68"/>
      <c r="DN223" s="68"/>
      <c r="DO223" s="27"/>
      <c r="DP223" s="68"/>
      <c r="DQ223" s="68"/>
      <c r="DR223" s="68"/>
      <c r="DS223" s="68"/>
      <c r="DT223" s="27"/>
      <c r="DU223" s="27"/>
      <c r="DV223" s="27"/>
    </row>
    <row r="224" spans="2:126" s="92" customFormat="1">
      <c r="B224" s="126" t="s">
        <v>85</v>
      </c>
      <c r="C224" s="17"/>
      <c r="D224" s="17"/>
      <c r="E224" s="17"/>
      <c r="F224" s="17"/>
      <c r="G224" s="17"/>
      <c r="H224" s="17"/>
      <c r="I224" s="17"/>
      <c r="J224" s="16"/>
      <c r="K224" s="16"/>
      <c r="L224" s="16"/>
      <c r="M224" s="16"/>
      <c r="N224" s="17"/>
      <c r="O224" s="16"/>
      <c r="P224" s="16"/>
      <c r="Q224" s="16"/>
      <c r="R224" s="16"/>
      <c r="S224" s="17"/>
      <c r="T224" s="16"/>
      <c r="U224" s="16"/>
      <c r="V224" s="16"/>
      <c r="W224" s="16"/>
      <c r="X224" s="17"/>
      <c r="Y224" s="16"/>
      <c r="Z224" s="16"/>
      <c r="AA224" s="16"/>
      <c r="AB224" s="16"/>
      <c r="AC224" s="17"/>
      <c r="AD224" s="16"/>
      <c r="AE224" s="16"/>
      <c r="AF224" s="16"/>
      <c r="AG224" s="16"/>
      <c r="AH224" s="17"/>
      <c r="AI224" s="16"/>
      <c r="AJ224" s="16"/>
      <c r="AK224" s="16"/>
      <c r="AL224" s="16"/>
      <c r="AM224" s="17"/>
      <c r="AN224" s="16"/>
      <c r="AO224" s="16"/>
      <c r="AP224" s="16"/>
      <c r="AQ224" s="16"/>
      <c r="AR224" s="17"/>
      <c r="AS224" s="16"/>
      <c r="AT224" s="16"/>
      <c r="AU224" s="68"/>
      <c r="AV224" s="68"/>
      <c r="AW224" s="27"/>
      <c r="AX224" s="16"/>
      <c r="AY224" s="68"/>
      <c r="AZ224" s="68"/>
      <c r="BA224" s="68"/>
      <c r="BB224" s="27"/>
      <c r="BC224" s="16"/>
      <c r="BD224" s="68"/>
      <c r="BE224" s="68"/>
      <c r="BF224" s="68"/>
      <c r="BG224" s="27"/>
      <c r="BH224" s="16"/>
      <c r="BI224" s="68"/>
      <c r="BJ224" s="68"/>
      <c r="BK224" s="68"/>
      <c r="BL224" s="27"/>
      <c r="BM224" s="16"/>
      <c r="BN224" s="68"/>
      <c r="BO224" s="68"/>
      <c r="BP224" s="68"/>
      <c r="BQ224" s="27"/>
      <c r="BR224" s="68"/>
      <c r="BS224" s="68"/>
      <c r="BT224" s="68"/>
      <c r="BU224" s="68"/>
      <c r="BV224" s="27"/>
      <c r="BW224" s="68"/>
      <c r="BX224" s="68"/>
      <c r="BY224" s="68"/>
      <c r="BZ224" s="68"/>
      <c r="CA224" s="27"/>
      <c r="CB224" s="68"/>
      <c r="CC224" s="68"/>
      <c r="CD224" s="68"/>
      <c r="CE224" s="68"/>
      <c r="CF224" s="27"/>
      <c r="CG224" s="68"/>
      <c r="CH224" s="68"/>
      <c r="CI224" s="68"/>
      <c r="CJ224" s="68"/>
      <c r="CK224" s="27"/>
      <c r="CL224" s="68"/>
      <c r="CM224" s="68"/>
      <c r="CN224" s="68"/>
      <c r="CO224" s="68"/>
      <c r="CP224" s="27"/>
      <c r="CQ224" s="68"/>
      <c r="CR224" s="68"/>
      <c r="CS224" s="68"/>
      <c r="CT224" s="68"/>
      <c r="CU224" s="27"/>
      <c r="CV224" s="68"/>
      <c r="CW224" s="68"/>
      <c r="CX224" s="68"/>
      <c r="CY224" s="68"/>
      <c r="CZ224" s="27"/>
      <c r="DA224" s="68"/>
      <c r="DB224" s="68"/>
      <c r="DC224" s="68"/>
      <c r="DD224" s="68"/>
      <c r="DE224" s="27"/>
      <c r="DF224" s="68"/>
      <c r="DG224" s="68"/>
      <c r="DH224" s="68"/>
      <c r="DI224" s="68"/>
      <c r="DJ224" s="27"/>
      <c r="DK224" s="68"/>
      <c r="DL224" s="68"/>
      <c r="DM224" s="68"/>
      <c r="DN224" s="68"/>
      <c r="DO224" s="27"/>
      <c r="DP224" s="68"/>
      <c r="DQ224" s="68"/>
      <c r="DR224" s="68"/>
      <c r="DS224" s="68"/>
      <c r="DT224" s="27"/>
      <c r="DU224" s="27"/>
      <c r="DV224" s="27"/>
    </row>
    <row r="225" spans="2:126" s="398" customFormat="1">
      <c r="B225" s="125" t="s">
        <v>194</v>
      </c>
      <c r="C225" s="656"/>
      <c r="D225" s="656"/>
      <c r="E225" s="656"/>
      <c r="F225" s="656"/>
      <c r="G225" s="656"/>
      <c r="H225" s="656">
        <f>Data!H205</f>
        <v>13030</v>
      </c>
      <c r="I225" s="656">
        <f>Data!I205</f>
        <v>14375</v>
      </c>
      <c r="J225" s="657"/>
      <c r="K225" s="657"/>
      <c r="L225" s="657"/>
      <c r="M225" s="657"/>
      <c r="N225" s="656">
        <f>Data!N205</f>
        <v>12832</v>
      </c>
      <c r="O225" s="657"/>
      <c r="P225" s="657"/>
      <c r="Q225" s="657"/>
      <c r="R225" s="657"/>
      <c r="S225" s="656">
        <f>Data!S205</f>
        <v>16831</v>
      </c>
      <c r="T225" s="657"/>
      <c r="U225" s="657"/>
      <c r="V225" s="657"/>
      <c r="W225" s="657"/>
      <c r="X225" s="656">
        <f>Data!X205</f>
        <v>16893</v>
      </c>
      <c r="Y225" s="657"/>
      <c r="Z225" s="657"/>
      <c r="AA225" s="657"/>
      <c r="AB225" s="657"/>
      <c r="AC225" s="656">
        <f>Data!AC205</f>
        <v>23607</v>
      </c>
      <c r="AD225" s="657"/>
      <c r="AE225" s="657"/>
      <c r="AF225" s="657"/>
      <c r="AG225" s="657"/>
      <c r="AH225" s="656">
        <f>Data!AH205</f>
        <v>23570</v>
      </c>
      <c r="AI225" s="657"/>
      <c r="AJ225" s="657"/>
      <c r="AK225" s="657"/>
      <c r="AL225" s="657"/>
      <c r="AM225" s="656">
        <f>Data!AM205</f>
        <v>22614</v>
      </c>
      <c r="AN225" s="657"/>
      <c r="AO225" s="657"/>
      <c r="AP225" s="657"/>
      <c r="AQ225" s="657"/>
      <c r="AR225" s="656">
        <f>Data!AR205</f>
        <v>23533</v>
      </c>
      <c r="AS225" s="657"/>
      <c r="AT225" s="657"/>
      <c r="AU225" s="657"/>
      <c r="AV225" s="657"/>
      <c r="AW225" s="656">
        <f>Data!AW205</f>
        <v>22400</v>
      </c>
      <c r="AX225" s="657"/>
      <c r="AY225" s="657"/>
      <c r="AZ225" s="657"/>
      <c r="BA225" s="657"/>
      <c r="BB225" s="656">
        <f>Data!BB205</f>
        <v>43600</v>
      </c>
      <c r="BC225" s="657"/>
      <c r="BD225" s="657"/>
      <c r="BE225" s="657"/>
      <c r="BF225" s="657"/>
      <c r="BG225" s="656">
        <f>Data!BG205</f>
        <v>38500</v>
      </c>
      <c r="BH225" s="657"/>
      <c r="BI225" s="657"/>
      <c r="BJ225" s="657"/>
      <c r="BK225" s="657"/>
      <c r="BL225" s="656">
        <f>Data!BL205</f>
        <v>50200</v>
      </c>
      <c r="BM225" s="657"/>
      <c r="BN225" s="657"/>
      <c r="BO225" s="657"/>
      <c r="BP225" s="657"/>
      <c r="BQ225" s="656">
        <f>Data!BQ205</f>
        <v>52500</v>
      </c>
      <c r="BR225" s="657"/>
      <c r="BS225" s="657"/>
      <c r="BT225" s="657"/>
      <c r="BU225" s="657"/>
      <c r="BV225" s="656">
        <f>Data!BV205</f>
        <v>61800</v>
      </c>
      <c r="BW225" s="657"/>
      <c r="BX225" s="657"/>
      <c r="BY225" s="657"/>
      <c r="BZ225" s="657"/>
      <c r="CA225" s="656">
        <f>Data!CA205</f>
        <v>64300</v>
      </c>
      <c r="CB225" s="657"/>
      <c r="CC225" s="657"/>
      <c r="CD225" s="657"/>
      <c r="CE225" s="657"/>
      <c r="CF225" s="656">
        <f>Data!CF205</f>
        <v>71100</v>
      </c>
      <c r="CG225" s="657"/>
      <c r="CH225" s="657"/>
      <c r="CI225" s="657"/>
      <c r="CJ225" s="657"/>
      <c r="CK225" s="658">
        <f>Data!CK205</f>
        <v>85200</v>
      </c>
      <c r="CL225" s="373"/>
      <c r="CM225" s="373"/>
      <c r="CN225" s="373"/>
      <c r="CO225" s="373"/>
      <c r="CP225" s="366"/>
      <c r="CQ225" s="373"/>
      <c r="CR225" s="373"/>
      <c r="CS225" s="373"/>
      <c r="CT225" s="373"/>
      <c r="CU225" s="366"/>
      <c r="CV225" s="373"/>
      <c r="CW225" s="373"/>
      <c r="CX225" s="373"/>
      <c r="CY225" s="373"/>
      <c r="CZ225" s="366"/>
      <c r="DA225" s="373"/>
      <c r="DB225" s="373"/>
      <c r="DC225" s="373"/>
      <c r="DD225" s="373"/>
      <c r="DE225" s="366"/>
      <c r="DF225" s="373"/>
      <c r="DG225" s="373"/>
      <c r="DH225" s="373"/>
      <c r="DI225" s="373"/>
      <c r="DJ225" s="366"/>
      <c r="DK225" s="373"/>
      <c r="DL225" s="373"/>
      <c r="DM225" s="373"/>
      <c r="DN225" s="373"/>
      <c r="DO225" s="366"/>
      <c r="DP225" s="373"/>
      <c r="DQ225" s="373"/>
      <c r="DR225" s="373"/>
      <c r="DS225" s="373"/>
      <c r="DT225" s="366"/>
      <c r="DU225" s="366"/>
      <c r="DV225" s="366"/>
    </row>
    <row r="226" spans="2:126" s="398" customFormat="1">
      <c r="B226" s="125" t="s">
        <v>472</v>
      </c>
      <c r="C226" s="656"/>
      <c r="D226" s="656"/>
      <c r="E226" s="656"/>
      <c r="F226" s="656"/>
      <c r="G226" s="656"/>
      <c r="H226" s="656">
        <f>Data!H206</f>
        <v>0</v>
      </c>
      <c r="I226" s="656">
        <f>Data!I206</f>
        <v>0</v>
      </c>
      <c r="J226" s="657"/>
      <c r="K226" s="657"/>
      <c r="L226" s="657"/>
      <c r="M226" s="657"/>
      <c r="N226" s="656">
        <f>Data!N206</f>
        <v>2064</v>
      </c>
      <c r="O226" s="657"/>
      <c r="P226" s="657"/>
      <c r="Q226" s="657"/>
      <c r="R226" s="657"/>
      <c r="S226" s="656">
        <f>Data!S206</f>
        <v>2823</v>
      </c>
      <c r="T226" s="657"/>
      <c r="U226" s="657"/>
      <c r="V226" s="657"/>
      <c r="W226" s="657"/>
      <c r="X226" s="656">
        <f>Data!X206</f>
        <v>4527</v>
      </c>
      <c r="Y226" s="657"/>
      <c r="Z226" s="657"/>
      <c r="AA226" s="657"/>
      <c r="AB226" s="657"/>
      <c r="AC226" s="656">
        <f>Data!AC206</f>
        <v>5152</v>
      </c>
      <c r="AD226" s="657"/>
      <c r="AE226" s="657"/>
      <c r="AF226" s="657"/>
      <c r="AG226" s="657"/>
      <c r="AH226" s="656">
        <f>Data!AH206</f>
        <v>5226</v>
      </c>
      <c r="AI226" s="657"/>
      <c r="AJ226" s="657"/>
      <c r="AK226" s="657"/>
      <c r="AL226" s="657"/>
      <c r="AM226" s="656">
        <f>Data!AM206</f>
        <v>5077</v>
      </c>
      <c r="AN226" s="657"/>
      <c r="AO226" s="657"/>
      <c r="AP226" s="657"/>
      <c r="AQ226" s="657"/>
      <c r="AR226" s="656">
        <f>Data!AR206</f>
        <v>5119</v>
      </c>
      <c r="AS226" s="657"/>
      <c r="AT226" s="657"/>
      <c r="AU226" s="657"/>
      <c r="AV226" s="657"/>
      <c r="AW226" s="656">
        <f>Data!AW206</f>
        <v>5400</v>
      </c>
      <c r="AX226" s="657"/>
      <c r="AY226" s="657"/>
      <c r="AZ226" s="657"/>
      <c r="BA226" s="657"/>
      <c r="BB226" s="656">
        <f>Data!BB206</f>
        <v>10100</v>
      </c>
      <c r="BC226" s="657"/>
      <c r="BD226" s="657"/>
      <c r="BE226" s="657"/>
      <c r="BF226" s="657"/>
      <c r="BG226" s="656">
        <f>Data!BG206</f>
        <v>10200</v>
      </c>
      <c r="BH226" s="657"/>
      <c r="BI226" s="657"/>
      <c r="BJ226" s="657"/>
      <c r="BK226" s="657"/>
      <c r="BL226" s="656">
        <f>Data!BL206</f>
        <v>11100</v>
      </c>
      <c r="BM226" s="657"/>
      <c r="BN226" s="657"/>
      <c r="BO226" s="657"/>
      <c r="BP226" s="657"/>
      <c r="BQ226" s="656">
        <f>Data!BQ206</f>
        <v>13200</v>
      </c>
      <c r="BR226" s="657"/>
      <c r="BS226" s="657"/>
      <c r="BT226" s="657"/>
      <c r="BU226" s="657"/>
      <c r="BV226" s="656">
        <f>Data!BV206</f>
        <v>13400</v>
      </c>
      <c r="BW226" s="657"/>
      <c r="BX226" s="657"/>
      <c r="BY226" s="657"/>
      <c r="BZ226" s="657"/>
      <c r="CA226" s="656">
        <f>Data!CA206</f>
        <v>13900</v>
      </c>
      <c r="CB226" s="657"/>
      <c r="CC226" s="657"/>
      <c r="CD226" s="657"/>
      <c r="CE226" s="657"/>
      <c r="CF226" s="656">
        <f>Data!CF206</f>
        <v>26600</v>
      </c>
      <c r="CG226" s="657"/>
      <c r="CH226" s="657"/>
      <c r="CI226" s="657"/>
      <c r="CJ226" s="657"/>
      <c r="CK226" s="658">
        <f>Data!CK206</f>
        <v>29500</v>
      </c>
      <c r="CL226" s="373"/>
      <c r="CM226" s="373"/>
      <c r="CN226" s="373"/>
      <c r="CO226" s="373"/>
      <c r="CP226" s="366"/>
      <c r="CQ226" s="373"/>
      <c r="CR226" s="373"/>
      <c r="CS226" s="373"/>
      <c r="CT226" s="373"/>
      <c r="CU226" s="366"/>
      <c r="CV226" s="373"/>
      <c r="CW226" s="373"/>
      <c r="CX226" s="373"/>
      <c r="CY226" s="373"/>
      <c r="CZ226" s="366"/>
      <c r="DA226" s="373"/>
      <c r="DB226" s="373"/>
      <c r="DC226" s="373"/>
      <c r="DD226" s="373"/>
      <c r="DE226" s="366"/>
      <c r="DF226" s="373"/>
      <c r="DG226" s="373"/>
      <c r="DH226" s="373"/>
      <c r="DI226" s="373"/>
      <c r="DJ226" s="366"/>
      <c r="DK226" s="373"/>
      <c r="DL226" s="373"/>
      <c r="DM226" s="373"/>
      <c r="DN226" s="373"/>
      <c r="DO226" s="366"/>
      <c r="DP226" s="373"/>
      <c r="DQ226" s="373"/>
      <c r="DR226" s="373"/>
      <c r="DS226" s="373"/>
      <c r="DT226" s="366"/>
      <c r="DU226" s="366"/>
      <c r="DV226" s="366"/>
    </row>
    <row r="227" spans="2:126" s="398" customFormat="1" hidden="1" outlineLevel="1">
      <c r="B227" s="180" t="s">
        <v>570</v>
      </c>
      <c r="C227" s="656"/>
      <c r="D227" s="656"/>
      <c r="E227" s="656"/>
      <c r="F227" s="656"/>
      <c r="G227" s="656"/>
      <c r="H227" s="656">
        <f>Data!H208</f>
        <v>0</v>
      </c>
      <c r="I227" s="656">
        <f>Data!I208</f>
        <v>0</v>
      </c>
      <c r="J227" s="657"/>
      <c r="K227" s="657"/>
      <c r="L227" s="657"/>
      <c r="M227" s="657"/>
      <c r="N227" s="656">
        <f>Data!N208</f>
        <v>0</v>
      </c>
      <c r="O227" s="657"/>
      <c r="P227" s="657"/>
      <c r="Q227" s="657"/>
      <c r="R227" s="657"/>
      <c r="S227" s="656">
        <f>Data!S208</f>
        <v>0</v>
      </c>
      <c r="T227" s="657"/>
      <c r="U227" s="657"/>
      <c r="V227" s="657"/>
      <c r="W227" s="657"/>
      <c r="X227" s="656">
        <f>Data!X208</f>
        <v>0</v>
      </c>
      <c r="Y227" s="657"/>
      <c r="Z227" s="657"/>
      <c r="AA227" s="657"/>
      <c r="AB227" s="657"/>
      <c r="AC227" s="656">
        <f>Data!AC208</f>
        <v>0</v>
      </c>
      <c r="AD227" s="657"/>
      <c r="AE227" s="657"/>
      <c r="AF227" s="657"/>
      <c r="AG227" s="657"/>
      <c r="AH227" s="656">
        <f>Data!AH208</f>
        <v>0</v>
      </c>
      <c r="AI227" s="657"/>
      <c r="AJ227" s="657"/>
      <c r="AK227" s="657"/>
      <c r="AL227" s="657"/>
      <c r="AM227" s="656">
        <f>Data!AM208</f>
        <v>0</v>
      </c>
      <c r="AN227" s="657"/>
      <c r="AO227" s="657"/>
      <c r="AP227" s="657"/>
      <c r="AQ227" s="657"/>
      <c r="AR227" s="656">
        <f>Data!AR208</f>
        <v>0</v>
      </c>
      <c r="AS227" s="657"/>
      <c r="AT227" s="657"/>
      <c r="AU227" s="657"/>
      <c r="AV227" s="657"/>
      <c r="AW227" s="656">
        <f>Data!AW208</f>
        <v>14319</v>
      </c>
      <c r="AX227" s="657">
        <f>Data!AX208</f>
        <v>14140</v>
      </c>
      <c r="AY227" s="657">
        <f>Data!AY208</f>
        <v>13910</v>
      </c>
      <c r="AZ227" s="657">
        <f>Data!AZ208</f>
        <v>14389</v>
      </c>
      <c r="BA227" s="657">
        <f>Data!BA208</f>
        <v>13849</v>
      </c>
      <c r="BB227" s="656">
        <f>Data!BB208</f>
        <v>13849</v>
      </c>
      <c r="BC227" s="657">
        <f>Data!BC208</f>
        <v>12974</v>
      </c>
      <c r="BD227" s="657">
        <f>Data!BD208</f>
        <v>12827</v>
      </c>
      <c r="BE227" s="657">
        <f>Data!BE208</f>
        <v>13043</v>
      </c>
      <c r="BF227" s="657">
        <f>Data!BF208</f>
        <v>13607</v>
      </c>
      <c r="BG227" s="656">
        <f>Data!BG208</f>
        <v>13607</v>
      </c>
      <c r="BH227" s="657">
        <f>Data!BH208</f>
        <v>12920</v>
      </c>
      <c r="BI227" s="657">
        <f>Data!BI208</f>
        <v>13745</v>
      </c>
      <c r="BJ227" s="657">
        <f>Data!BJ208</f>
        <v>13759</v>
      </c>
      <c r="BK227" s="657">
        <f>Data!BK208</f>
        <v>12807</v>
      </c>
      <c r="BL227" s="656">
        <f>Data!BL208</f>
        <v>12807</v>
      </c>
      <c r="BM227" s="657">
        <f>Data!BM208</f>
        <v>11832</v>
      </c>
      <c r="BN227" s="657">
        <f>Data!BN208</f>
        <v>12070</v>
      </c>
      <c r="BO227" s="657">
        <f>Data!BO208</f>
        <v>11850</v>
      </c>
      <c r="BP227" s="657">
        <f>Data!BP208</f>
        <v>13155</v>
      </c>
      <c r="BQ227" s="656">
        <f>Data!BQ208</f>
        <v>13155</v>
      </c>
      <c r="BR227" s="657">
        <f>Data!BR208</f>
        <v>13704</v>
      </c>
      <c r="BS227" s="657">
        <f>Data!BS208</f>
        <v>14408</v>
      </c>
      <c r="BT227" s="657">
        <f>Data!BT208</f>
        <v>15067</v>
      </c>
      <c r="BU227" s="657">
        <f>Data!BU208</f>
        <v>14982</v>
      </c>
      <c r="BV227" s="656">
        <f>Data!BV208</f>
        <v>14982</v>
      </c>
      <c r="BW227" s="657">
        <f>Data!BW208</f>
        <v>15233</v>
      </c>
      <c r="BX227" s="657">
        <f>Data!BX208</f>
        <v>14731</v>
      </c>
      <c r="BY227" s="657">
        <f>Data!BY208</f>
        <v>15644</v>
      </c>
      <c r="BZ227" s="657">
        <f>Data!BZ208</f>
        <v>15598</v>
      </c>
      <c r="CA227" s="656">
        <f>Data!CA208</f>
        <v>15598</v>
      </c>
      <c r="CB227" s="657">
        <f>Data!CB208</f>
        <v>14942</v>
      </c>
      <c r="CC227" s="657">
        <f>Data!CC208</f>
        <v>15789</v>
      </c>
      <c r="CD227" s="657">
        <f>Data!CD208</f>
        <v>16545</v>
      </c>
      <c r="CE227" s="657">
        <f>Data!CE208</f>
        <v>16887</v>
      </c>
      <c r="CF227" s="656">
        <f>Data!CF208</f>
        <v>16887</v>
      </c>
      <c r="CG227" s="657">
        <f>Data!CG208</f>
        <v>17029</v>
      </c>
      <c r="CH227" s="657">
        <f>Data!CH208</f>
        <v>18093</v>
      </c>
      <c r="CI227" s="657">
        <f>Data!CI208</f>
        <v>18377</v>
      </c>
      <c r="CJ227" s="657">
        <f>Data!CJ208</f>
        <v>18737</v>
      </c>
      <c r="CK227" s="658">
        <f>Data!CK208</f>
        <v>18737</v>
      </c>
      <c r="CL227" s="657">
        <f>Data!CL208</f>
        <v>19114</v>
      </c>
      <c r="CM227" s="657">
        <f>Data!CM208</f>
        <v>19000</v>
      </c>
      <c r="CN227" s="657">
        <f>Data!CN208</f>
        <v>18300</v>
      </c>
      <c r="CO227" s="657">
        <f>Data!CO208</f>
        <v>18700</v>
      </c>
      <c r="CP227" s="658">
        <f>Data!CP208</f>
        <v>18700</v>
      </c>
      <c r="CQ227" s="657">
        <f>Data!CQ208</f>
        <v>19000</v>
      </c>
      <c r="CR227" s="657">
        <f>Data!CR208</f>
        <v>19400</v>
      </c>
      <c r="CS227" s="657">
        <f>Data!CS208</f>
        <v>18700</v>
      </c>
      <c r="CT227" s="657">
        <f>Data!CT208</f>
        <v>18000</v>
      </c>
      <c r="CU227" s="658">
        <f>Data!CU208</f>
        <v>18000</v>
      </c>
      <c r="CV227" s="657">
        <f>Data!CV208</f>
        <v>17000</v>
      </c>
      <c r="CW227" s="657">
        <f>Data!CW208</f>
        <v>16000</v>
      </c>
      <c r="CX227" s="657">
        <f>Data!CX208</f>
        <v>17000</v>
      </c>
      <c r="CY227" s="657">
        <f>Data!CY208</f>
        <v>16000</v>
      </c>
      <c r="CZ227" s="658">
        <f>Data!CZ208</f>
        <v>16000</v>
      </c>
      <c r="DA227" s="657">
        <f>Data!DA208</f>
        <v>17000</v>
      </c>
      <c r="DB227" s="657">
        <f>Data!DB208</f>
        <v>17000</v>
      </c>
      <c r="DC227" s="657"/>
      <c r="DD227" s="657"/>
      <c r="DE227" s="366"/>
      <c r="DF227" s="373"/>
      <c r="DG227" s="373"/>
      <c r="DH227" s="373"/>
      <c r="DI227" s="373"/>
      <c r="DJ227" s="366"/>
      <c r="DK227" s="373"/>
      <c r="DL227" s="373"/>
      <c r="DM227" s="373"/>
      <c r="DN227" s="373"/>
      <c r="DO227" s="366"/>
      <c r="DP227" s="373"/>
      <c r="DQ227" s="373"/>
      <c r="DR227" s="373"/>
      <c r="DS227" s="373"/>
      <c r="DT227" s="366"/>
      <c r="DU227" s="366"/>
      <c r="DV227" s="366"/>
    </row>
    <row r="228" spans="2:126" s="398" customFormat="1" hidden="1" outlineLevel="1">
      <c r="B228" s="180" t="s">
        <v>641</v>
      </c>
      <c r="C228" s="656"/>
      <c r="D228" s="656"/>
      <c r="E228" s="656"/>
      <c r="F228" s="656"/>
      <c r="G228" s="656"/>
      <c r="H228" s="656">
        <f>Data!H209</f>
        <v>0</v>
      </c>
      <c r="I228" s="656">
        <f>Data!I209</f>
        <v>0</v>
      </c>
      <c r="J228" s="657"/>
      <c r="K228" s="657"/>
      <c r="L228" s="657"/>
      <c r="M228" s="657"/>
      <c r="N228" s="656">
        <f>Data!N209</f>
        <v>0</v>
      </c>
      <c r="O228" s="657"/>
      <c r="P228" s="657"/>
      <c r="Q228" s="657"/>
      <c r="R228" s="657"/>
      <c r="S228" s="656">
        <f>Data!S209</f>
        <v>0</v>
      </c>
      <c r="T228" s="657"/>
      <c r="U228" s="657"/>
      <c r="V228" s="657"/>
      <c r="W228" s="657"/>
      <c r="X228" s="656">
        <f>Data!X209</f>
        <v>0</v>
      </c>
      <c r="Y228" s="657"/>
      <c r="Z228" s="657"/>
      <c r="AA228" s="657"/>
      <c r="AB228" s="657"/>
      <c r="AC228" s="656">
        <f>Data!AC209</f>
        <v>0</v>
      </c>
      <c r="AD228" s="657"/>
      <c r="AE228" s="657"/>
      <c r="AF228" s="657"/>
      <c r="AG228" s="657"/>
      <c r="AH228" s="656">
        <f>Data!AH209</f>
        <v>0</v>
      </c>
      <c r="AI228" s="657"/>
      <c r="AJ228" s="657"/>
      <c r="AK228" s="657"/>
      <c r="AL228" s="657"/>
      <c r="AM228" s="656">
        <f>Data!AM209</f>
        <v>0</v>
      </c>
      <c r="AN228" s="657"/>
      <c r="AO228" s="657"/>
      <c r="AP228" s="657"/>
      <c r="AQ228" s="657"/>
      <c r="AR228" s="656">
        <f>Data!AR209</f>
        <v>0</v>
      </c>
      <c r="AS228" s="657"/>
      <c r="AT228" s="657"/>
      <c r="AU228" s="657"/>
      <c r="AV228" s="657"/>
      <c r="AW228" s="656">
        <f>Data!AW209</f>
        <v>20993</v>
      </c>
      <c r="AX228" s="657">
        <f>Data!AX209</f>
        <v>20163</v>
      </c>
      <c r="AY228" s="657">
        <f>Data!AY209</f>
        <v>20013</v>
      </c>
      <c r="AZ228" s="657">
        <f>Data!AZ209</f>
        <v>20626</v>
      </c>
      <c r="BA228" s="657">
        <f>Data!BA209</f>
        <v>22332</v>
      </c>
      <c r="BB228" s="656">
        <f>Data!BB209</f>
        <v>22332</v>
      </c>
      <c r="BC228" s="657">
        <f>Data!BC209</f>
        <v>20572</v>
      </c>
      <c r="BD228" s="657">
        <f>Data!BD209</f>
        <v>19608</v>
      </c>
      <c r="BE228" s="657">
        <f>Data!BE209</f>
        <v>19192</v>
      </c>
      <c r="BF228" s="657">
        <f>Data!BF209</f>
        <v>20078</v>
      </c>
      <c r="BG228" s="656">
        <f>Data!BG209</f>
        <v>20078</v>
      </c>
      <c r="BH228" s="657">
        <f>Data!BH209</f>
        <v>19263</v>
      </c>
      <c r="BI228" s="657">
        <f>Data!BI209</f>
        <v>19274</v>
      </c>
      <c r="BJ228" s="657">
        <f>Data!BJ209</f>
        <v>19488</v>
      </c>
      <c r="BK228" s="657">
        <f>Data!BK209</f>
        <v>20764</v>
      </c>
      <c r="BL228" s="656">
        <f>Data!BL209</f>
        <v>20764</v>
      </c>
      <c r="BM228" s="657">
        <f>Data!BM209</f>
        <v>20653</v>
      </c>
      <c r="BN228" s="657">
        <f>Data!BN209</f>
        <v>22424</v>
      </c>
      <c r="BO228" s="657">
        <f>Data!BO209</f>
        <v>21721</v>
      </c>
      <c r="BP228" s="657">
        <f>Data!BP209</f>
        <v>21514</v>
      </c>
      <c r="BQ228" s="656">
        <f>Data!BQ209</f>
        <v>21514</v>
      </c>
      <c r="BR228" s="657">
        <f>Data!BR209</f>
        <v>21064</v>
      </c>
      <c r="BS228" s="657">
        <f>Data!BS209</f>
        <v>20902</v>
      </c>
      <c r="BT228" s="657">
        <f>Data!BT209</f>
        <v>20744</v>
      </c>
      <c r="BU228" s="657">
        <f>Data!BU209</f>
        <v>21727</v>
      </c>
      <c r="BV228" s="656">
        <f>Data!BV209</f>
        <v>21727</v>
      </c>
      <c r="BW228" s="657">
        <f>Data!BW209</f>
        <v>20821</v>
      </c>
      <c r="BX228" s="657">
        <f>Data!BX209</f>
        <v>21437</v>
      </c>
      <c r="BY228" s="657">
        <f>Data!BY209</f>
        <v>21032</v>
      </c>
      <c r="BZ228" s="657">
        <f>Data!BZ209</f>
        <v>22612</v>
      </c>
      <c r="CA228" s="656">
        <f>Data!CA209</f>
        <v>22612</v>
      </c>
      <c r="CB228" s="657">
        <f>Data!CB209</f>
        <v>23197</v>
      </c>
      <c r="CC228" s="657">
        <f>Data!CC209</f>
        <v>24092</v>
      </c>
      <c r="CD228" s="657">
        <f>Data!CD209</f>
        <v>25054</v>
      </c>
      <c r="CE228" s="657">
        <f>Data!CE209</f>
        <v>25533</v>
      </c>
      <c r="CF228" s="656">
        <f>Data!CF209</f>
        <v>25533</v>
      </c>
      <c r="CG228" s="657">
        <f>Data!CG209</f>
        <v>24044</v>
      </c>
      <c r="CH228" s="657">
        <f>Data!CH209</f>
        <v>25038</v>
      </c>
      <c r="CI228" s="657">
        <f>Data!CI209</f>
        <v>26237</v>
      </c>
      <c r="CJ228" s="657">
        <f>Data!CJ209</f>
        <v>30015</v>
      </c>
      <c r="CK228" s="658">
        <f>Data!CK209</f>
        <v>30015</v>
      </c>
      <c r="CL228" s="657">
        <f>Data!CL209</f>
        <v>32198</v>
      </c>
      <c r="CM228" s="657">
        <f>Data!CM209</f>
        <v>32800</v>
      </c>
      <c r="CN228" s="657">
        <f>Data!CN209</f>
        <v>31600</v>
      </c>
      <c r="CO228" s="657">
        <f>Data!CO209</f>
        <v>29600</v>
      </c>
      <c r="CP228" s="658">
        <f>Data!CP209</f>
        <v>29600</v>
      </c>
      <c r="CQ228" s="657">
        <f>Data!CQ209</f>
        <v>27700</v>
      </c>
      <c r="CR228" s="657">
        <f>Data!CR209</f>
        <v>29700</v>
      </c>
      <c r="CS228" s="657">
        <f>Data!CS209</f>
        <v>29600</v>
      </c>
      <c r="CT228" s="657">
        <f>Data!CT209</f>
        <v>29000</v>
      </c>
      <c r="CU228" s="658">
        <f>Data!CU209</f>
        <v>29000</v>
      </c>
      <c r="CV228" s="657">
        <f>Data!CV209</f>
        <v>29000</v>
      </c>
      <c r="CW228" s="657">
        <f>Data!CW209</f>
        <v>30000</v>
      </c>
      <c r="CX228" s="657">
        <f>Data!CX209</f>
        <v>32000</v>
      </c>
      <c r="CY228" s="657">
        <f>Data!CY209</f>
        <v>34000</v>
      </c>
      <c r="CZ228" s="658">
        <f>Data!CZ209</f>
        <v>34000</v>
      </c>
      <c r="DA228" s="657">
        <f>Data!DA209</f>
        <v>35000</v>
      </c>
      <c r="DB228" s="657">
        <f>Data!DB209</f>
        <v>35000</v>
      </c>
      <c r="DC228" s="657">
        <f>+Data!DC209</f>
        <v>50000</v>
      </c>
      <c r="DD228" s="657">
        <f>+Data!DD209</f>
        <v>52000</v>
      </c>
      <c r="DE228" s="366">
        <f>+Data!DE209</f>
        <v>52000</v>
      </c>
      <c r="DF228" s="657">
        <f>+Data!DF209</f>
        <v>53000</v>
      </c>
      <c r="DG228" s="657">
        <f>+Data!DG209</f>
        <v>51000</v>
      </c>
      <c r="DH228" s="657">
        <f>+Data!DH209</f>
        <v>60000</v>
      </c>
      <c r="DI228" s="373"/>
      <c r="DJ228" s="366"/>
      <c r="DK228" s="373"/>
      <c r="DL228" s="373"/>
      <c r="DM228" s="373"/>
      <c r="DN228" s="373"/>
      <c r="DO228" s="366"/>
      <c r="DP228" s="373"/>
      <c r="DQ228" s="373"/>
      <c r="DR228" s="373"/>
      <c r="DS228" s="373"/>
      <c r="DT228" s="366"/>
      <c r="DU228" s="366"/>
      <c r="DV228" s="366"/>
    </row>
    <row r="229" spans="2:126" s="398" customFormat="1" collapsed="1">
      <c r="B229" s="41" t="s">
        <v>623</v>
      </c>
      <c r="C229" s="656"/>
      <c r="D229" s="656"/>
      <c r="E229" s="656"/>
      <c r="F229" s="656"/>
      <c r="G229" s="656"/>
      <c r="H229" s="656"/>
      <c r="I229" s="656"/>
      <c r="J229" s="657"/>
      <c r="K229" s="657"/>
      <c r="L229" s="657"/>
      <c r="M229" s="657"/>
      <c r="N229" s="656"/>
      <c r="O229" s="657"/>
      <c r="P229" s="657"/>
      <c r="Q229" s="657"/>
      <c r="R229" s="657"/>
      <c r="S229" s="656"/>
      <c r="T229" s="657"/>
      <c r="U229" s="657"/>
      <c r="V229" s="657"/>
      <c r="W229" s="657"/>
      <c r="X229" s="656"/>
      <c r="Y229" s="657"/>
      <c r="Z229" s="657"/>
      <c r="AA229" s="657"/>
      <c r="AB229" s="657"/>
      <c r="AC229" s="656"/>
      <c r="AD229" s="657"/>
      <c r="AE229" s="657"/>
      <c r="AF229" s="657"/>
      <c r="AG229" s="657"/>
      <c r="AH229" s="656"/>
      <c r="AI229" s="657"/>
      <c r="AJ229" s="657"/>
      <c r="AK229" s="657"/>
      <c r="AL229" s="657"/>
      <c r="AM229" s="656"/>
      <c r="AN229" s="657"/>
      <c r="AO229" s="657"/>
      <c r="AP229" s="657"/>
      <c r="AQ229" s="657"/>
      <c r="AR229" s="656"/>
      <c r="AS229" s="657"/>
      <c r="AT229" s="657"/>
      <c r="AU229" s="657"/>
      <c r="AV229" s="657"/>
      <c r="AW229" s="656"/>
      <c r="AX229" s="657"/>
      <c r="AY229" s="657"/>
      <c r="AZ229" s="657"/>
      <c r="BA229" s="657"/>
      <c r="BB229" s="656"/>
      <c r="BC229" s="657"/>
      <c r="BD229" s="657"/>
      <c r="BE229" s="657"/>
      <c r="BF229" s="657"/>
      <c r="BG229" s="656"/>
      <c r="BH229" s="657"/>
      <c r="BI229" s="657"/>
      <c r="BJ229" s="657"/>
      <c r="BK229" s="657"/>
      <c r="BL229" s="656"/>
      <c r="BM229" s="657"/>
      <c r="BN229" s="657"/>
      <c r="BO229" s="657"/>
      <c r="BP229" s="657"/>
      <c r="BQ229" s="656"/>
      <c r="BR229" s="657"/>
      <c r="BS229" s="657"/>
      <c r="BT229" s="657"/>
      <c r="BU229" s="657"/>
      <c r="BV229" s="656"/>
      <c r="BW229" s="657"/>
      <c r="BX229" s="657"/>
      <c r="BY229" s="657"/>
      <c r="BZ229" s="657"/>
      <c r="CA229" s="656"/>
      <c r="CB229" s="657"/>
      <c r="CC229" s="657"/>
      <c r="CD229" s="657"/>
      <c r="CE229" s="657"/>
      <c r="CF229" s="656"/>
      <c r="CG229" s="657"/>
      <c r="CH229" s="657"/>
      <c r="CI229" s="657"/>
      <c r="CJ229" s="657"/>
      <c r="CK229" s="658"/>
      <c r="CL229" s="657"/>
      <c r="CM229" s="657"/>
      <c r="CN229" s="657"/>
      <c r="CO229" s="657"/>
      <c r="CP229" s="658"/>
      <c r="CQ229" s="657"/>
      <c r="CR229" s="657"/>
      <c r="CS229" s="657"/>
      <c r="CT229" s="657"/>
      <c r="CU229" s="658"/>
      <c r="CV229" s="657"/>
      <c r="CW229" s="657"/>
      <c r="CX229" s="657"/>
      <c r="CY229" s="657"/>
      <c r="CZ229" s="658"/>
      <c r="DA229" s="657"/>
      <c r="DB229" s="657"/>
      <c r="DC229" s="657">
        <f>Data!DC210</f>
        <v>75000</v>
      </c>
      <c r="DD229" s="657">
        <f>Data!DD210</f>
        <v>78000</v>
      </c>
      <c r="DE229" s="366">
        <f>Data!DE210</f>
        <v>78000</v>
      </c>
      <c r="DF229" s="657">
        <f>Data!DF210</f>
        <v>77000</v>
      </c>
      <c r="DG229" s="657">
        <f>Data!DG210</f>
        <v>77000</v>
      </c>
      <c r="DH229" s="657">
        <f>Data!DH210</f>
        <v>90000</v>
      </c>
      <c r="DI229" s="657">
        <f>Data!DI210</f>
        <v>93000</v>
      </c>
      <c r="DJ229" s="656">
        <f>Data!DJ210</f>
        <v>93000</v>
      </c>
      <c r="DK229" s="657">
        <f>Data!DK210</f>
        <v>92000</v>
      </c>
      <c r="DL229" s="657">
        <f>Data!DL210</f>
        <v>92000</v>
      </c>
      <c r="DM229" s="657">
        <f>Data!DM210</f>
        <v>103000</v>
      </c>
      <c r="DN229" s="373"/>
      <c r="DO229" s="366"/>
      <c r="DP229" s="657"/>
      <c r="DQ229" s="373"/>
      <c r="DR229" s="373"/>
      <c r="DS229" s="373"/>
      <c r="DT229" s="366"/>
      <c r="DU229" s="366"/>
      <c r="DV229" s="366"/>
    </row>
    <row r="230" spans="2:126" s="110" customFormat="1">
      <c r="B230" s="141" t="s">
        <v>519</v>
      </c>
      <c r="C230" s="659"/>
      <c r="D230" s="659"/>
      <c r="E230" s="659"/>
      <c r="F230" s="659"/>
      <c r="G230" s="659"/>
      <c r="H230" s="659">
        <f>SUM(H225:H228)</f>
        <v>13030</v>
      </c>
      <c r="I230" s="659">
        <f>SUM(I225:I228)</f>
        <v>14375</v>
      </c>
      <c r="J230" s="660"/>
      <c r="K230" s="660"/>
      <c r="L230" s="660"/>
      <c r="M230" s="660"/>
      <c r="N230" s="659">
        <f>SUM(N225:N228)</f>
        <v>14896</v>
      </c>
      <c r="O230" s="660"/>
      <c r="P230" s="660"/>
      <c r="Q230" s="660"/>
      <c r="R230" s="660"/>
      <c r="S230" s="659">
        <f>SUM(S225:S228)</f>
        <v>19654</v>
      </c>
      <c r="T230" s="660"/>
      <c r="U230" s="660"/>
      <c r="V230" s="660"/>
      <c r="W230" s="660"/>
      <c r="X230" s="659">
        <f>SUM(X225:X228)</f>
        <v>21420</v>
      </c>
      <c r="Y230" s="660"/>
      <c r="Z230" s="660"/>
      <c r="AA230" s="660"/>
      <c r="AB230" s="660"/>
      <c r="AC230" s="659">
        <f>SUM(AC225:AC228)</f>
        <v>28759</v>
      </c>
      <c r="AD230" s="660"/>
      <c r="AE230" s="660"/>
      <c r="AF230" s="660"/>
      <c r="AG230" s="660"/>
      <c r="AH230" s="659">
        <f>SUM(AH225:AH228)</f>
        <v>28796</v>
      </c>
      <c r="AI230" s="660"/>
      <c r="AJ230" s="660"/>
      <c r="AK230" s="660"/>
      <c r="AL230" s="660"/>
      <c r="AM230" s="659">
        <f>SUM(AM225:AM228)</f>
        <v>27691</v>
      </c>
      <c r="AN230" s="660"/>
      <c r="AO230" s="660"/>
      <c r="AP230" s="660"/>
      <c r="AQ230" s="660"/>
      <c r="AR230" s="659">
        <f>SUM(AR225:AR228)</f>
        <v>28652</v>
      </c>
      <c r="AS230" s="660"/>
      <c r="AT230" s="660"/>
      <c r="AU230" s="660"/>
      <c r="AV230" s="660"/>
      <c r="AW230" s="659">
        <f t="shared" ref="AW230:CL230" si="723">SUM(AW225:AW228)</f>
        <v>63112</v>
      </c>
      <c r="AX230" s="660">
        <f t="shared" si="723"/>
        <v>34303</v>
      </c>
      <c r="AY230" s="660">
        <f t="shared" si="723"/>
        <v>33923</v>
      </c>
      <c r="AZ230" s="660">
        <f t="shared" si="723"/>
        <v>35015</v>
      </c>
      <c r="BA230" s="660">
        <f t="shared" si="723"/>
        <v>36181</v>
      </c>
      <c r="BB230" s="659">
        <f t="shared" si="723"/>
        <v>89881</v>
      </c>
      <c r="BC230" s="660">
        <f t="shared" si="723"/>
        <v>33546</v>
      </c>
      <c r="BD230" s="660">
        <f t="shared" si="723"/>
        <v>32435</v>
      </c>
      <c r="BE230" s="660">
        <f t="shared" si="723"/>
        <v>32235</v>
      </c>
      <c r="BF230" s="660">
        <f t="shared" si="723"/>
        <v>33685</v>
      </c>
      <c r="BG230" s="659">
        <f t="shared" si="723"/>
        <v>82385</v>
      </c>
      <c r="BH230" s="660">
        <f t="shared" si="723"/>
        <v>32183</v>
      </c>
      <c r="BI230" s="660">
        <f t="shared" si="723"/>
        <v>33019</v>
      </c>
      <c r="BJ230" s="660">
        <f t="shared" si="723"/>
        <v>33247</v>
      </c>
      <c r="BK230" s="660">
        <f t="shared" si="723"/>
        <v>33571</v>
      </c>
      <c r="BL230" s="659">
        <f t="shared" si="723"/>
        <v>94871</v>
      </c>
      <c r="BM230" s="660">
        <f t="shared" si="723"/>
        <v>32485</v>
      </c>
      <c r="BN230" s="660">
        <f t="shared" si="723"/>
        <v>34494</v>
      </c>
      <c r="BO230" s="660">
        <f t="shared" si="723"/>
        <v>33571</v>
      </c>
      <c r="BP230" s="660">
        <f t="shared" si="723"/>
        <v>34669</v>
      </c>
      <c r="BQ230" s="659">
        <f t="shared" si="723"/>
        <v>100369</v>
      </c>
      <c r="BR230" s="660">
        <f t="shared" si="723"/>
        <v>34768</v>
      </c>
      <c r="BS230" s="660">
        <f t="shared" si="723"/>
        <v>35310</v>
      </c>
      <c r="BT230" s="660">
        <f t="shared" si="723"/>
        <v>35811</v>
      </c>
      <c r="BU230" s="660">
        <f t="shared" si="723"/>
        <v>36709</v>
      </c>
      <c r="BV230" s="659">
        <f t="shared" si="723"/>
        <v>111909</v>
      </c>
      <c r="BW230" s="660">
        <f t="shared" si="723"/>
        <v>36054</v>
      </c>
      <c r="BX230" s="660">
        <f t="shared" si="723"/>
        <v>36168</v>
      </c>
      <c r="BY230" s="660">
        <f t="shared" si="723"/>
        <v>36676</v>
      </c>
      <c r="BZ230" s="660">
        <f t="shared" si="723"/>
        <v>38210</v>
      </c>
      <c r="CA230" s="659">
        <f t="shared" si="723"/>
        <v>116410</v>
      </c>
      <c r="CB230" s="660">
        <f t="shared" si="723"/>
        <v>38139</v>
      </c>
      <c r="CC230" s="660">
        <f t="shared" si="723"/>
        <v>39881</v>
      </c>
      <c r="CD230" s="660">
        <f t="shared" si="723"/>
        <v>41599</v>
      </c>
      <c r="CE230" s="660">
        <f t="shared" si="723"/>
        <v>42420</v>
      </c>
      <c r="CF230" s="659">
        <f t="shared" si="723"/>
        <v>140120</v>
      </c>
      <c r="CG230" s="660">
        <f t="shared" si="723"/>
        <v>41073</v>
      </c>
      <c r="CH230" s="660">
        <f t="shared" si="723"/>
        <v>43131</v>
      </c>
      <c r="CI230" s="660">
        <f t="shared" si="723"/>
        <v>44614</v>
      </c>
      <c r="CJ230" s="660">
        <f t="shared" si="723"/>
        <v>48752</v>
      </c>
      <c r="CK230" s="659">
        <f t="shared" si="723"/>
        <v>163452</v>
      </c>
      <c r="CL230" s="660">
        <f t="shared" si="723"/>
        <v>51312</v>
      </c>
      <c r="CM230" s="660">
        <v>158700</v>
      </c>
      <c r="CN230" s="660">
        <v>152300</v>
      </c>
      <c r="CO230" s="660">
        <v>150100</v>
      </c>
      <c r="CP230" s="143"/>
      <c r="CQ230" s="660">
        <v>147400</v>
      </c>
      <c r="CR230" s="660">
        <v>151800</v>
      </c>
      <c r="CS230" s="660">
        <v>156100</v>
      </c>
      <c r="CT230" s="660">
        <v>156000</v>
      </c>
      <c r="CU230" s="659">
        <f>CT230</f>
        <v>156000</v>
      </c>
      <c r="CV230" s="660">
        <v>154000</v>
      </c>
      <c r="CW230" s="660">
        <f>Data!CW211</f>
        <v>161000</v>
      </c>
      <c r="CX230" s="660">
        <f>Data!CX211</f>
        <v>168000</v>
      </c>
      <c r="CY230" s="660">
        <f>Data!CY211</f>
        <v>175000</v>
      </c>
      <c r="CZ230" s="659">
        <f>CY230</f>
        <v>175000</v>
      </c>
      <c r="DA230" s="660">
        <f>Data!DA211</f>
        <v>180000</v>
      </c>
      <c r="DB230" s="660">
        <f>Data!DB211</f>
        <v>185000</v>
      </c>
      <c r="DC230" s="660">
        <f>Data!DC211</f>
        <v>190000</v>
      </c>
      <c r="DD230" s="660">
        <f>Data!DD211</f>
        <v>196000</v>
      </c>
      <c r="DE230" s="842">
        <f>Data!DE211</f>
        <v>196000</v>
      </c>
      <c r="DF230" s="660">
        <f>Data!DF211</f>
        <v>202000</v>
      </c>
      <c r="DG230" s="660">
        <f>Data!DG211</f>
        <v>206000</v>
      </c>
      <c r="DH230" s="660">
        <f>Data!DH211</f>
        <v>221000</v>
      </c>
      <c r="DI230" s="660">
        <f>Data!DI211</f>
        <v>218000</v>
      </c>
      <c r="DJ230" s="659">
        <f>Data!DJ211</f>
        <v>218000</v>
      </c>
      <c r="DK230" s="660">
        <f>Data!DK211</f>
        <v>217000</v>
      </c>
      <c r="DL230" s="660">
        <f>Data!DL211</f>
        <v>236000</v>
      </c>
      <c r="DM230" s="660">
        <f>Data!DM211</f>
        <v>251000</v>
      </c>
      <c r="DN230" s="145"/>
      <c r="DO230" s="143"/>
      <c r="DP230" s="660"/>
      <c r="DQ230" s="145"/>
      <c r="DR230" s="145"/>
      <c r="DS230" s="145"/>
      <c r="DT230" s="143"/>
      <c r="DU230" s="143"/>
      <c r="DV230" s="143"/>
    </row>
    <row r="231" spans="2:126" s="398" customFormat="1" hidden="1" outlineLevel="1">
      <c r="B231" s="180"/>
      <c r="C231" s="366"/>
      <c r="D231" s="366"/>
      <c r="E231" s="366"/>
      <c r="F231" s="366"/>
      <c r="G231" s="366"/>
      <c r="H231" s="366"/>
      <c r="I231" s="366"/>
      <c r="J231" s="368"/>
      <c r="K231" s="368"/>
      <c r="L231" s="368"/>
      <c r="M231" s="368"/>
      <c r="N231" s="366"/>
      <c r="O231" s="368"/>
      <c r="P231" s="368"/>
      <c r="Q231" s="368"/>
      <c r="R231" s="368"/>
      <c r="S231" s="366"/>
      <c r="T231" s="368"/>
      <c r="U231" s="368"/>
      <c r="V231" s="368"/>
      <c r="W231" s="368"/>
      <c r="X231" s="366"/>
      <c r="Y231" s="368"/>
      <c r="Z231" s="368"/>
      <c r="AA231" s="368"/>
      <c r="AB231" s="368"/>
      <c r="AC231" s="366"/>
      <c r="AD231" s="368"/>
      <c r="AE231" s="368"/>
      <c r="AF231" s="368"/>
      <c r="AG231" s="368"/>
      <c r="AH231" s="366"/>
      <c r="AI231" s="368"/>
      <c r="AJ231" s="368"/>
      <c r="AK231" s="368"/>
      <c r="AL231" s="368"/>
      <c r="AM231" s="366"/>
      <c r="AN231" s="368"/>
      <c r="AO231" s="368"/>
      <c r="AP231" s="368"/>
      <c r="AQ231" s="368"/>
      <c r="AR231" s="366"/>
      <c r="AS231" s="368"/>
      <c r="AT231" s="368"/>
      <c r="AU231" s="373"/>
      <c r="AV231" s="373"/>
      <c r="AW231" s="366"/>
      <c r="AX231" s="368"/>
      <c r="AY231" s="373"/>
      <c r="AZ231" s="373"/>
      <c r="BA231" s="373"/>
      <c r="BB231" s="366"/>
      <c r="BC231" s="368"/>
      <c r="BD231" s="373"/>
      <c r="BE231" s="373"/>
      <c r="BF231" s="373"/>
      <c r="BG231" s="366"/>
      <c r="BH231" s="368"/>
      <c r="BI231" s="373"/>
      <c r="BJ231" s="373"/>
      <c r="BK231" s="373"/>
      <c r="BL231" s="366"/>
      <c r="BM231" s="368"/>
      <c r="BN231" s="373"/>
      <c r="BO231" s="373"/>
      <c r="BP231" s="373"/>
      <c r="BQ231" s="366"/>
      <c r="BR231" s="373"/>
      <c r="BS231" s="373"/>
      <c r="BT231" s="373"/>
      <c r="BU231" s="373"/>
      <c r="BV231" s="366"/>
      <c r="BW231" s="373"/>
      <c r="BX231" s="373"/>
      <c r="BY231" s="373"/>
      <c r="BZ231" s="373"/>
      <c r="CA231" s="366"/>
      <c r="CB231" s="373"/>
      <c r="CC231" s="373"/>
      <c r="CD231" s="373"/>
      <c r="CE231" s="373"/>
      <c r="CF231" s="366"/>
      <c r="CG231" s="373"/>
      <c r="CH231" s="373"/>
      <c r="CI231" s="373"/>
      <c r="CJ231" s="373"/>
      <c r="CK231" s="366"/>
      <c r="CL231" s="373"/>
      <c r="CM231" s="373"/>
      <c r="CN231" s="373"/>
      <c r="CO231" s="373"/>
      <c r="CP231" s="366"/>
      <c r="CQ231" s="373"/>
      <c r="CR231" s="373"/>
      <c r="CS231" s="373"/>
      <c r="CT231" s="373"/>
      <c r="CU231" s="366"/>
      <c r="CV231" s="373"/>
      <c r="CW231" s="373"/>
      <c r="CX231" s="373"/>
      <c r="CY231" s="373"/>
      <c r="CZ231" s="366"/>
      <c r="DA231" s="373"/>
      <c r="DB231" s="373"/>
      <c r="DC231" s="373"/>
      <c r="DD231" s="373"/>
      <c r="DE231" s="366"/>
      <c r="DF231" s="373"/>
      <c r="DG231" s="373"/>
      <c r="DH231" s="373"/>
      <c r="DI231" s="373"/>
      <c r="DJ231" s="181"/>
      <c r="DK231" s="373"/>
      <c r="DL231" s="373"/>
      <c r="DM231" s="373"/>
      <c r="DN231" s="373"/>
      <c r="DO231" s="366"/>
      <c r="DP231" s="373"/>
      <c r="DQ231" s="373"/>
      <c r="DR231" s="373"/>
      <c r="DS231" s="373"/>
      <c r="DT231" s="366"/>
      <c r="DU231" s="366"/>
      <c r="DV231" s="366"/>
    </row>
    <row r="232" spans="2:126" s="398" customFormat="1" hidden="1" outlineLevel="1">
      <c r="B232" s="179" t="s">
        <v>520</v>
      </c>
      <c r="C232" s="366"/>
      <c r="D232" s="366"/>
      <c r="E232" s="366"/>
      <c r="F232" s="366"/>
      <c r="G232" s="366"/>
      <c r="H232" s="366"/>
      <c r="I232" s="366"/>
      <c r="J232" s="368"/>
      <c r="K232" s="368"/>
      <c r="L232" s="368"/>
      <c r="M232" s="368"/>
      <c r="N232" s="366"/>
      <c r="O232" s="368"/>
      <c r="P232" s="368"/>
      <c r="Q232" s="368"/>
      <c r="R232" s="368"/>
      <c r="S232" s="366"/>
      <c r="T232" s="368"/>
      <c r="U232" s="368"/>
      <c r="V232" s="368"/>
      <c r="W232" s="368"/>
      <c r="X232" s="366"/>
      <c r="Y232" s="368"/>
      <c r="Z232" s="368"/>
      <c r="AA232" s="368"/>
      <c r="AB232" s="368"/>
      <c r="AC232" s="366"/>
      <c r="AD232" s="368"/>
      <c r="AE232" s="368"/>
      <c r="AF232" s="368"/>
      <c r="AG232" s="368"/>
      <c r="AH232" s="366"/>
      <c r="AI232" s="368"/>
      <c r="AJ232" s="368"/>
      <c r="AK232" s="368"/>
      <c r="AL232" s="368"/>
      <c r="AM232" s="366"/>
      <c r="AN232" s="368"/>
      <c r="AO232" s="368"/>
      <c r="AP232" s="368"/>
      <c r="AQ232" s="368"/>
      <c r="AR232" s="366"/>
      <c r="AS232" s="368"/>
      <c r="AT232" s="368"/>
      <c r="AU232" s="373"/>
      <c r="AV232" s="373"/>
      <c r="AW232" s="366"/>
      <c r="AX232" s="368"/>
      <c r="AY232" s="373"/>
      <c r="AZ232" s="373"/>
      <c r="BA232" s="373"/>
      <c r="BB232" s="366"/>
      <c r="BC232" s="368"/>
      <c r="BD232" s="373"/>
      <c r="BE232" s="373"/>
      <c r="BF232" s="373"/>
      <c r="BG232" s="366"/>
      <c r="BH232" s="368"/>
      <c r="BI232" s="373"/>
      <c r="BJ232" s="373"/>
      <c r="BK232" s="373"/>
      <c r="BL232" s="366"/>
      <c r="BM232" s="368"/>
      <c r="BN232" s="373"/>
      <c r="BO232" s="373"/>
      <c r="BP232" s="373"/>
      <c r="BQ232" s="366"/>
      <c r="BR232" s="373"/>
      <c r="BS232" s="373"/>
      <c r="BT232" s="373"/>
      <c r="BU232" s="373"/>
      <c r="BV232" s="366"/>
      <c r="BW232" s="373"/>
      <c r="BX232" s="373"/>
      <c r="BY232" s="373"/>
      <c r="BZ232" s="373"/>
      <c r="CA232" s="366"/>
      <c r="CB232" s="373"/>
      <c r="CC232" s="373"/>
      <c r="CD232" s="373"/>
      <c r="CE232" s="373"/>
      <c r="CF232" s="366"/>
      <c r="CG232" s="373"/>
      <c r="CH232" s="373"/>
      <c r="CI232" s="373"/>
      <c r="CJ232" s="373"/>
      <c r="CK232" s="366"/>
      <c r="CL232" s="373"/>
      <c r="CM232" s="373"/>
      <c r="CN232" s="373"/>
      <c r="CO232" s="373"/>
      <c r="CP232" s="366"/>
      <c r="CQ232" s="373"/>
      <c r="CR232" s="373"/>
      <c r="CS232" s="373"/>
      <c r="CT232" s="373"/>
      <c r="CU232" s="366"/>
      <c r="CV232" s="373"/>
      <c r="CW232" s="373"/>
      <c r="CX232" s="373"/>
      <c r="CY232" s="373"/>
      <c r="CZ232" s="366"/>
      <c r="DA232" s="373"/>
      <c r="DB232" s="373"/>
      <c r="DC232" s="373"/>
      <c r="DD232" s="373"/>
      <c r="DE232" s="366"/>
      <c r="DF232" s="373"/>
      <c r="DG232" s="373"/>
      <c r="DH232" s="373"/>
      <c r="DI232" s="373"/>
      <c r="DJ232" s="181"/>
      <c r="DK232" s="373"/>
      <c r="DL232" s="373"/>
      <c r="DM232" s="373"/>
      <c r="DN232" s="373"/>
      <c r="DO232" s="366"/>
      <c r="DP232" s="373"/>
      <c r="DQ232" s="373"/>
      <c r="DR232" s="373"/>
      <c r="DS232" s="373"/>
      <c r="DT232" s="366"/>
      <c r="DU232" s="366"/>
      <c r="DV232" s="366"/>
    </row>
    <row r="233" spans="2:126" s="753" customFormat="1" hidden="1" outlineLevel="1">
      <c r="B233" s="752" t="s">
        <v>194</v>
      </c>
      <c r="C233" s="656"/>
      <c r="D233" s="656"/>
      <c r="E233" s="656"/>
      <c r="F233" s="656"/>
      <c r="G233" s="656"/>
      <c r="H233" s="656"/>
      <c r="I233" s="656"/>
      <c r="J233" s="657"/>
      <c r="K233" s="657"/>
      <c r="L233" s="657"/>
      <c r="M233" s="657"/>
      <c r="N233" s="656"/>
      <c r="O233" s="657"/>
      <c r="P233" s="657"/>
      <c r="Q233" s="657"/>
      <c r="R233" s="657"/>
      <c r="S233" s="656"/>
      <c r="T233" s="657"/>
      <c r="U233" s="657"/>
      <c r="V233" s="657"/>
      <c r="W233" s="657"/>
      <c r="X233" s="656"/>
      <c r="Y233" s="657"/>
      <c r="Z233" s="657"/>
      <c r="AA233" s="657"/>
      <c r="AB233" s="657"/>
      <c r="AC233" s="656"/>
      <c r="AD233" s="657"/>
      <c r="AE233" s="657"/>
      <c r="AF233" s="657"/>
      <c r="AG233" s="657"/>
      <c r="AH233" s="656"/>
      <c r="AI233" s="657"/>
      <c r="AJ233" s="657"/>
      <c r="AK233" s="657"/>
      <c r="AL233" s="657"/>
      <c r="AM233" s="656"/>
      <c r="AN233" s="657"/>
      <c r="AO233" s="657"/>
      <c r="AP233" s="657"/>
      <c r="AQ233" s="657"/>
      <c r="AR233" s="658"/>
      <c r="AS233" s="657"/>
      <c r="AT233" s="657"/>
      <c r="AU233" s="657"/>
      <c r="AV233" s="657"/>
      <c r="AW233" s="658"/>
      <c r="AX233" s="657"/>
      <c r="AY233" s="657"/>
      <c r="AZ233" s="657"/>
      <c r="BA233" s="657"/>
      <c r="BB233" s="658">
        <f>BB225-AW225+BB14</f>
        <v>35164</v>
      </c>
      <c r="BC233" s="657"/>
      <c r="BD233" s="657"/>
      <c r="BE233" s="657"/>
      <c r="BF233" s="657"/>
      <c r="BG233" s="658">
        <f>BG225-BB225+BG14</f>
        <v>9401</v>
      </c>
      <c r="BH233" s="657"/>
      <c r="BI233" s="657"/>
      <c r="BJ233" s="657"/>
      <c r="BK233" s="657"/>
      <c r="BL233" s="658">
        <f>BL225-BG225+BL14</f>
        <v>26208</v>
      </c>
      <c r="BM233" s="657"/>
      <c r="BN233" s="657"/>
      <c r="BO233" s="657"/>
      <c r="BP233" s="657"/>
      <c r="BQ233" s="658">
        <f>BQ225-BL225+BQ14</f>
        <v>16382</v>
      </c>
      <c r="BR233" s="657"/>
      <c r="BS233" s="657"/>
      <c r="BT233" s="657"/>
      <c r="BU233" s="657"/>
      <c r="BV233" s="658">
        <f>BV225-BQ225+BV14</f>
        <v>24194</v>
      </c>
      <c r="BW233" s="657"/>
      <c r="BX233" s="657"/>
      <c r="BY233" s="657"/>
      <c r="BZ233" s="657"/>
      <c r="CA233" s="658">
        <f>CA225-BV225+CA14</f>
        <v>19045</v>
      </c>
      <c r="CB233" s="657"/>
      <c r="CC233" s="657"/>
      <c r="CD233" s="657"/>
      <c r="CE233" s="657"/>
      <c r="CF233" s="658">
        <f>CF225-CA225+CF14</f>
        <v>26197</v>
      </c>
      <c r="CG233" s="657"/>
      <c r="CH233" s="657"/>
      <c r="CI233" s="657"/>
      <c r="CJ233" s="657"/>
      <c r="CK233" s="658">
        <f>CK225-CF225+CK14</f>
        <v>35002</v>
      </c>
      <c r="CL233" s="657"/>
      <c r="CM233" s="657"/>
      <c r="CN233" s="657"/>
      <c r="CO233" s="657"/>
      <c r="CP233" s="656"/>
      <c r="CQ233" s="657"/>
      <c r="CR233" s="657"/>
      <c r="CS233" s="657"/>
      <c r="CT233" s="657"/>
      <c r="CU233" s="656"/>
      <c r="CV233" s="657"/>
      <c r="CW233" s="657"/>
      <c r="CX233" s="657"/>
      <c r="CY233" s="657"/>
      <c r="CZ233" s="656"/>
      <c r="DA233" s="657"/>
      <c r="DB233" s="657"/>
      <c r="DC233" s="657"/>
      <c r="DD233" s="657"/>
      <c r="DE233" s="656"/>
      <c r="DF233" s="657"/>
      <c r="DG233" s="657"/>
      <c r="DH233" s="657"/>
      <c r="DI233" s="657"/>
      <c r="DJ233" s="656"/>
      <c r="DK233" s="657"/>
      <c r="DL233" s="657"/>
      <c r="DM233" s="657"/>
      <c r="DN233" s="657"/>
      <c r="DO233" s="656"/>
      <c r="DP233" s="657"/>
      <c r="DQ233" s="657"/>
      <c r="DR233" s="657"/>
      <c r="DS233" s="657"/>
      <c r="DT233" s="656"/>
      <c r="DU233" s="656"/>
      <c r="DV233" s="656"/>
    </row>
    <row r="234" spans="2:126" s="753" customFormat="1" hidden="1" outlineLevel="1">
      <c r="B234" s="752" t="s">
        <v>472</v>
      </c>
      <c r="C234" s="656"/>
      <c r="D234" s="656"/>
      <c r="E234" s="656"/>
      <c r="F234" s="656"/>
      <c r="G234" s="656"/>
      <c r="H234" s="656"/>
      <c r="I234" s="656"/>
      <c r="J234" s="657"/>
      <c r="K234" s="657"/>
      <c r="L234" s="657"/>
      <c r="M234" s="657"/>
      <c r="N234" s="656"/>
      <c r="O234" s="657"/>
      <c r="P234" s="657"/>
      <c r="Q234" s="657"/>
      <c r="R234" s="657"/>
      <c r="S234" s="656"/>
      <c r="T234" s="657"/>
      <c r="U234" s="657"/>
      <c r="V234" s="657"/>
      <c r="W234" s="657"/>
      <c r="X234" s="656"/>
      <c r="Y234" s="657"/>
      <c r="Z234" s="657"/>
      <c r="AA234" s="657"/>
      <c r="AB234" s="657"/>
      <c r="AC234" s="656"/>
      <c r="AD234" s="657"/>
      <c r="AE234" s="657"/>
      <c r="AF234" s="657"/>
      <c r="AG234" s="657"/>
      <c r="AH234" s="656"/>
      <c r="AI234" s="657"/>
      <c r="AJ234" s="657"/>
      <c r="AK234" s="657"/>
      <c r="AL234" s="657"/>
      <c r="AM234" s="656"/>
      <c r="AN234" s="657"/>
      <c r="AO234" s="657"/>
      <c r="AP234" s="657"/>
      <c r="AQ234" s="657"/>
      <c r="AR234" s="658"/>
      <c r="AS234" s="657"/>
      <c r="AT234" s="657"/>
      <c r="AU234" s="657"/>
      <c r="AV234" s="657"/>
      <c r="AW234" s="658"/>
      <c r="AX234" s="657"/>
      <c r="AY234" s="657"/>
      <c r="AZ234" s="657"/>
      <c r="BA234" s="657"/>
      <c r="BB234" s="658">
        <f>BB226-AW226+BB26</f>
        <v>13034</v>
      </c>
      <c r="BC234" s="657"/>
      <c r="BD234" s="657"/>
      <c r="BE234" s="657"/>
      <c r="BF234" s="657"/>
      <c r="BG234" s="658">
        <f>BG226-BB226+BG26</f>
        <v>13447</v>
      </c>
      <c r="BH234" s="657"/>
      <c r="BI234" s="657"/>
      <c r="BJ234" s="657"/>
      <c r="BK234" s="657"/>
      <c r="BL234" s="658">
        <f>BL226-BG226+BL26</f>
        <v>15115</v>
      </c>
      <c r="BM234" s="657"/>
      <c r="BN234" s="657"/>
      <c r="BO234" s="657"/>
      <c r="BP234" s="657"/>
      <c r="BQ234" s="658">
        <f>BQ226-BL226+BQ26</f>
        <v>16194</v>
      </c>
      <c r="BR234" s="657"/>
      <c r="BS234" s="657"/>
      <c r="BT234" s="657"/>
      <c r="BU234" s="657"/>
      <c r="BV234" s="658">
        <f>BV226-BQ226+BV26</f>
        <v>14665</v>
      </c>
      <c r="BW234" s="657"/>
      <c r="BX234" s="657"/>
      <c r="BY234" s="657"/>
      <c r="BZ234" s="657"/>
      <c r="CA234" s="658">
        <f>CA226-BV226+CA26</f>
        <v>15191</v>
      </c>
      <c r="CB234" s="657"/>
      <c r="CC234" s="657"/>
      <c r="CD234" s="657"/>
      <c r="CE234" s="657"/>
      <c r="CF234" s="658">
        <f>CF226-CA226+CF26-10100</f>
        <v>26869</v>
      </c>
      <c r="CG234" s="657"/>
      <c r="CH234" s="657"/>
      <c r="CI234" s="657"/>
      <c r="CJ234" s="657"/>
      <c r="CK234" s="658">
        <f>CK226-CF226+CK26</f>
        <v>28928</v>
      </c>
      <c r="CL234" s="657"/>
      <c r="CM234" s="657"/>
      <c r="CN234" s="657"/>
      <c r="CO234" s="657"/>
      <c r="CP234" s="656"/>
      <c r="CQ234" s="657"/>
      <c r="CR234" s="657"/>
      <c r="CS234" s="657"/>
      <c r="CT234" s="657"/>
      <c r="CU234" s="656"/>
      <c r="CV234" s="657"/>
      <c r="CW234" s="657"/>
      <c r="CX234" s="657"/>
      <c r="CY234" s="657"/>
      <c r="CZ234" s="656"/>
      <c r="DA234" s="657"/>
      <c r="DB234" s="657"/>
      <c r="DC234" s="657"/>
      <c r="DD234" s="657"/>
      <c r="DE234" s="656"/>
      <c r="DF234" s="657"/>
      <c r="DG234" s="657"/>
      <c r="DH234" s="657"/>
      <c r="DI234" s="657"/>
      <c r="DJ234" s="656"/>
      <c r="DK234" s="657"/>
      <c r="DL234" s="657"/>
      <c r="DM234" s="657"/>
      <c r="DN234" s="657"/>
      <c r="DO234" s="656"/>
      <c r="DP234" s="657"/>
      <c r="DQ234" s="657"/>
      <c r="DR234" s="657"/>
      <c r="DS234" s="657"/>
      <c r="DT234" s="656"/>
      <c r="DU234" s="656"/>
      <c r="DV234" s="656"/>
    </row>
    <row r="235" spans="2:126" s="753" customFormat="1" hidden="1" outlineLevel="1">
      <c r="B235" s="754" t="s">
        <v>570</v>
      </c>
      <c r="C235" s="656"/>
      <c r="D235" s="656"/>
      <c r="E235" s="656"/>
      <c r="F235" s="656"/>
      <c r="G235" s="656"/>
      <c r="H235" s="656"/>
      <c r="I235" s="656"/>
      <c r="J235" s="657"/>
      <c r="K235" s="657"/>
      <c r="L235" s="657"/>
      <c r="M235" s="657"/>
      <c r="N235" s="656"/>
      <c r="O235" s="657"/>
      <c r="P235" s="657"/>
      <c r="Q235" s="657"/>
      <c r="R235" s="657"/>
      <c r="S235" s="656"/>
      <c r="T235" s="657"/>
      <c r="U235" s="657"/>
      <c r="V235" s="657"/>
      <c r="W235" s="657"/>
      <c r="X235" s="656"/>
      <c r="Y235" s="657"/>
      <c r="Z235" s="657"/>
      <c r="AA235" s="657"/>
      <c r="AB235" s="657"/>
      <c r="AC235" s="656"/>
      <c r="AD235" s="657"/>
      <c r="AE235" s="657"/>
      <c r="AF235" s="657"/>
      <c r="AG235" s="657"/>
      <c r="AH235" s="656"/>
      <c r="AI235" s="657"/>
      <c r="AJ235" s="657"/>
      <c r="AK235" s="657"/>
      <c r="AL235" s="657"/>
      <c r="AM235" s="656"/>
      <c r="AN235" s="657"/>
      <c r="AO235" s="657"/>
      <c r="AP235" s="657"/>
      <c r="AQ235" s="657"/>
      <c r="AR235" s="658"/>
      <c r="AS235" s="657"/>
      <c r="AT235" s="657"/>
      <c r="AU235" s="657"/>
      <c r="AV235" s="657"/>
      <c r="AW235" s="658"/>
      <c r="AX235" s="657"/>
      <c r="AY235" s="657"/>
      <c r="AZ235" s="657"/>
      <c r="BA235" s="657"/>
      <c r="BB235" s="658">
        <f>BB227-AW227+BB41</f>
        <v>12688</v>
      </c>
      <c r="BC235" s="657">
        <f>BC227-BB227+BC41</f>
        <v>2228</v>
      </c>
      <c r="BD235" s="657">
        <f>BD227-BC227+BD41</f>
        <v>3043</v>
      </c>
      <c r="BE235" s="657">
        <f>BE227-BD227+BE41</f>
        <v>3268</v>
      </c>
      <c r="BF235" s="657">
        <f>BF227-BE227+BF41</f>
        <v>3635</v>
      </c>
      <c r="BG235" s="658">
        <f>BG227-BB227+BG41</f>
        <v>12174</v>
      </c>
      <c r="BH235" s="657">
        <f>BH227-BG227+BH41</f>
        <v>2161</v>
      </c>
      <c r="BI235" s="657">
        <f>BI227-BH227+BI41</f>
        <v>3848</v>
      </c>
      <c r="BJ235" s="657">
        <f>BJ227-BI227+BJ41</f>
        <v>2973</v>
      </c>
      <c r="BK235" s="657">
        <f>BK227-BJ227+BK41</f>
        <v>2246</v>
      </c>
      <c r="BL235" s="658">
        <f>BL227-BG227+BL41</f>
        <v>11228</v>
      </c>
      <c r="BM235" s="657">
        <f>BM227-BL227+BM41</f>
        <v>1844</v>
      </c>
      <c r="BN235" s="657">
        <f>BN227-BM227+BN41</f>
        <v>3248</v>
      </c>
      <c r="BO235" s="657">
        <f>BO227-BN227+BO41</f>
        <v>2745</v>
      </c>
      <c r="BP235" s="657">
        <f>BP227-BO227+BP41</f>
        <v>4418</v>
      </c>
      <c r="BQ235" s="658">
        <f>BQ227-BL227+BQ41</f>
        <v>12255</v>
      </c>
      <c r="BR235" s="657">
        <f>BR227-BQ227+BR41</f>
        <v>3492</v>
      </c>
      <c r="BS235" s="657">
        <f>BS227-BR227+BS41</f>
        <v>3893</v>
      </c>
      <c r="BT235" s="657">
        <f>BT227-BS227+BT41</f>
        <v>3790</v>
      </c>
      <c r="BU235" s="657">
        <f>BU227-BT227+BU41</f>
        <v>3045</v>
      </c>
      <c r="BV235" s="658">
        <f>BV227-BQ227+BV41</f>
        <v>14220</v>
      </c>
      <c r="BW235" s="657">
        <f>BW227-BV227+BW41</f>
        <v>3313</v>
      </c>
      <c r="BX235" s="657">
        <f>BX227-BW227+BX41</f>
        <v>2661</v>
      </c>
      <c r="BY235" s="657">
        <f>BY227-BX227+BY41</f>
        <v>4053</v>
      </c>
      <c r="BZ235" s="657">
        <f>BZ227-BY227+BZ41</f>
        <v>3196</v>
      </c>
      <c r="CA235" s="658">
        <f>CA227-BV227+CA41</f>
        <v>13223</v>
      </c>
      <c r="CB235" s="657">
        <f>CB227-CA227+CB41</f>
        <v>2494</v>
      </c>
      <c r="CC235" s="657">
        <f>CC227-CB227+CC41</f>
        <v>4139</v>
      </c>
      <c r="CD235" s="657">
        <f>CD227-CC227+CD41</f>
        <v>4193</v>
      </c>
      <c r="CE235" s="657">
        <f>CE227-CD227+CE41</f>
        <v>3933</v>
      </c>
      <c r="CF235" s="658">
        <f>CF227-CA227+CF41</f>
        <v>14759</v>
      </c>
      <c r="CG235" s="657">
        <f>CG227-CF227+CG41</f>
        <v>3539</v>
      </c>
      <c r="CH235" s="657">
        <f>CH227-CG227+CH41</f>
        <v>4621</v>
      </c>
      <c r="CI235" s="657">
        <f>CI227-CH227+CI41</f>
        <v>4045</v>
      </c>
      <c r="CJ235" s="657">
        <f>CJ227-CI227+CJ41</f>
        <v>4090</v>
      </c>
      <c r="CK235" s="658">
        <f>CK227-CF227+CK41</f>
        <v>16295</v>
      </c>
      <c r="CL235" s="657">
        <f>CL227-CK227+CL41</f>
        <v>4053</v>
      </c>
      <c r="CM235" s="657">
        <f>CM227-CL227+CM41</f>
        <v>3487</v>
      </c>
      <c r="CN235" s="657">
        <f>CN227-CM227+CN41</f>
        <v>3049</v>
      </c>
      <c r="CO235" s="657">
        <f>CO227-CN227+CO41</f>
        <v>4333</v>
      </c>
      <c r="CP235" s="658">
        <f>CP227-CK227+CP41</f>
        <v>14922</v>
      </c>
      <c r="CQ235" s="657">
        <f>CQ227-CP227+CQ41</f>
        <v>4065</v>
      </c>
      <c r="CR235" s="657">
        <f>CR227-CQ227+CR41</f>
        <v>4205</v>
      </c>
      <c r="CS235" s="657">
        <f>CS227-CR227+CS41</f>
        <v>3040</v>
      </c>
      <c r="CT235" s="657"/>
      <c r="CU235" s="656"/>
      <c r="CV235" s="657"/>
      <c r="CW235" s="657"/>
      <c r="CX235" s="657"/>
      <c r="CY235" s="657"/>
      <c r="CZ235" s="656"/>
      <c r="DA235" s="657"/>
      <c r="DB235" s="657"/>
      <c r="DC235" s="657"/>
      <c r="DD235" s="657"/>
      <c r="DE235" s="656"/>
      <c r="DF235" s="657"/>
      <c r="DG235" s="657"/>
      <c r="DH235" s="657"/>
      <c r="DI235" s="657"/>
      <c r="DJ235" s="656"/>
      <c r="DK235" s="657"/>
      <c r="DL235" s="657"/>
      <c r="DM235" s="657"/>
      <c r="DN235" s="657"/>
      <c r="DO235" s="656"/>
      <c r="DP235" s="657"/>
      <c r="DQ235" s="657"/>
      <c r="DR235" s="657"/>
      <c r="DS235" s="657"/>
      <c r="DT235" s="656"/>
      <c r="DU235" s="656"/>
      <c r="DV235" s="656"/>
    </row>
    <row r="236" spans="2:126" s="753" customFormat="1" hidden="1" outlineLevel="1">
      <c r="B236" s="754" t="s">
        <v>569</v>
      </c>
      <c r="C236" s="656"/>
      <c r="D236" s="656"/>
      <c r="E236" s="656"/>
      <c r="F236" s="656"/>
      <c r="G236" s="656"/>
      <c r="H236" s="656"/>
      <c r="I236" s="656"/>
      <c r="J236" s="657"/>
      <c r="K236" s="657"/>
      <c r="L236" s="657"/>
      <c r="M236" s="657"/>
      <c r="N236" s="656"/>
      <c r="O236" s="657"/>
      <c r="P236" s="657"/>
      <c r="Q236" s="657"/>
      <c r="R236" s="657"/>
      <c r="S236" s="656"/>
      <c r="T236" s="657"/>
      <c r="U236" s="657"/>
      <c r="V236" s="657"/>
      <c r="W236" s="657"/>
      <c r="X236" s="656"/>
      <c r="Y236" s="657"/>
      <c r="Z236" s="657"/>
      <c r="AA236" s="657"/>
      <c r="AB236" s="657"/>
      <c r="AC236" s="656"/>
      <c r="AD236" s="657"/>
      <c r="AE236" s="657"/>
      <c r="AF236" s="657"/>
      <c r="AG236" s="657"/>
      <c r="AH236" s="656"/>
      <c r="AI236" s="657"/>
      <c r="AJ236" s="657"/>
      <c r="AK236" s="657"/>
      <c r="AL236" s="657"/>
      <c r="AM236" s="656"/>
      <c r="AN236" s="657"/>
      <c r="AO236" s="657"/>
      <c r="AP236" s="657"/>
      <c r="AQ236" s="657"/>
      <c r="AR236" s="658"/>
      <c r="AS236" s="657"/>
      <c r="AT236" s="657"/>
      <c r="AU236" s="657"/>
      <c r="AV236" s="657"/>
      <c r="AW236" s="658"/>
      <c r="AX236" s="657"/>
      <c r="AY236" s="657"/>
      <c r="AZ236" s="657"/>
      <c r="BA236" s="657"/>
      <c r="BB236" s="658">
        <f>BB228-AW228+BB48</f>
        <v>14470</v>
      </c>
      <c r="BC236" s="657">
        <f>BC228-BB228+BC48</f>
        <v>1472</v>
      </c>
      <c r="BD236" s="657">
        <f>BD228-BC228+BD48</f>
        <v>2447</v>
      </c>
      <c r="BE236" s="657">
        <f>BE228-BD228+BE48</f>
        <v>2822</v>
      </c>
      <c r="BF236" s="657">
        <f>BF228-BE228+BF48</f>
        <v>4093</v>
      </c>
      <c r="BG236" s="658">
        <f>BG228-BB228+BG48</f>
        <v>10834</v>
      </c>
      <c r="BH236" s="657">
        <f>BH228-BG228+BH48</f>
        <v>2240</v>
      </c>
      <c r="BI236" s="657">
        <f>BI228-BH228+BI48</f>
        <v>3099</v>
      </c>
      <c r="BJ236" s="657">
        <f>BJ228-BI228+BJ48</f>
        <v>3119</v>
      </c>
      <c r="BK236" s="657">
        <f>BK228-BJ228+BK48</f>
        <v>4622</v>
      </c>
      <c r="BL236" s="658">
        <f>BL228-BG228+BL48</f>
        <v>13080</v>
      </c>
      <c r="BM236" s="657">
        <f>BM228-BL228+BM48</f>
        <v>2669</v>
      </c>
      <c r="BN236" s="657">
        <f>BN228-BM228+BN48</f>
        <v>4895</v>
      </c>
      <c r="BO236" s="657">
        <f>BO228-BN228+BO48</f>
        <v>2359</v>
      </c>
      <c r="BP236" s="657">
        <f>BP228-BO228+BP48</f>
        <v>3230</v>
      </c>
      <c r="BQ236" s="658">
        <f>BQ228-BL228+BQ48</f>
        <v>13153</v>
      </c>
      <c r="BR236" s="657">
        <f>BR228-BQ228+BR48</f>
        <v>2607</v>
      </c>
      <c r="BS236" s="657">
        <f>BS228-BR228+BS48</f>
        <v>2893</v>
      </c>
      <c r="BT236" s="657">
        <f>BT228-BS228+BT48</f>
        <v>2976</v>
      </c>
      <c r="BU236" s="657">
        <f>BU228-BT228+BU48</f>
        <v>4284</v>
      </c>
      <c r="BV236" s="658">
        <f>BV228-BQ228+BV48</f>
        <v>12760</v>
      </c>
      <c r="BW236" s="657">
        <f>BW228-BV228+BW48</f>
        <v>2248</v>
      </c>
      <c r="BX236" s="657">
        <f>BX228-BW228+BX48</f>
        <v>3979</v>
      </c>
      <c r="BY236" s="657">
        <f>BY228-BX228+BY48</f>
        <v>2931</v>
      </c>
      <c r="BZ236" s="657">
        <f>BZ228-BY228+BZ48</f>
        <v>5318</v>
      </c>
      <c r="CA236" s="658">
        <f>CA228-BV228+CA48</f>
        <v>14476</v>
      </c>
      <c r="CB236" s="657">
        <f>CB228-CA228+CB48</f>
        <v>3922</v>
      </c>
      <c r="CC236" s="657">
        <f>CC228-CB228+CC48</f>
        <v>4460</v>
      </c>
      <c r="CD236" s="657">
        <f>CD228-CC228+CD48</f>
        <v>4537</v>
      </c>
      <c r="CE236" s="657">
        <f>CE228-CD228+CE48</f>
        <v>4480</v>
      </c>
      <c r="CF236" s="658">
        <f>CF228-CA228+CF48</f>
        <v>17399</v>
      </c>
      <c r="CG236" s="657">
        <f>CG228-CF228+CG48</f>
        <v>2030</v>
      </c>
      <c r="CH236" s="657">
        <f>CH228-CG228+CH48</f>
        <v>4798</v>
      </c>
      <c r="CI236" s="657">
        <f>CI228-CH228+CI48</f>
        <v>5081</v>
      </c>
      <c r="CJ236" s="657">
        <f>CJ228-CI228+CJ48</f>
        <v>8067</v>
      </c>
      <c r="CK236" s="658">
        <f>CK228-CF228+CK48</f>
        <v>19976</v>
      </c>
      <c r="CL236" s="657">
        <f>CL228-CK228+CL48</f>
        <v>5924</v>
      </c>
      <c r="CM236" s="657">
        <f>CM228-CL228+CM48</f>
        <v>4314</v>
      </c>
      <c r="CN236" s="657">
        <f>CN228-CM228+CN48</f>
        <v>2506</v>
      </c>
      <c r="CO236" s="657">
        <f>CO228-CN228+CO48</f>
        <v>2184</v>
      </c>
      <c r="CP236" s="658">
        <f>CP228-CK228+CP48</f>
        <v>14928</v>
      </c>
      <c r="CQ236" s="657">
        <f>CQ228-CP228+CQ48</f>
        <v>1893</v>
      </c>
      <c r="CR236" s="657">
        <f>CR228-CQ228+CR48</f>
        <v>5985</v>
      </c>
      <c r="CS236" s="657">
        <f>CS228-CR228+CS48</f>
        <v>3802</v>
      </c>
      <c r="CT236" s="657"/>
      <c r="CU236" s="656"/>
      <c r="CV236" s="657"/>
      <c r="CW236" s="657"/>
      <c r="CX236" s="657"/>
      <c r="CY236" s="657"/>
      <c r="CZ236" s="656"/>
      <c r="DA236" s="657"/>
      <c r="DB236" s="657"/>
      <c r="DC236" s="657"/>
      <c r="DD236" s="657"/>
      <c r="DE236" s="656"/>
      <c r="DF236" s="657"/>
      <c r="DG236" s="657"/>
      <c r="DH236" s="657"/>
      <c r="DI236" s="657"/>
      <c r="DJ236" s="656"/>
      <c r="DK236" s="657"/>
      <c r="DL236" s="657"/>
      <c r="DM236" s="657"/>
      <c r="DN236" s="657"/>
      <c r="DO236" s="656"/>
      <c r="DP236" s="657"/>
      <c r="DQ236" s="657"/>
      <c r="DR236" s="657"/>
      <c r="DS236" s="657"/>
      <c r="DT236" s="656"/>
      <c r="DU236" s="656"/>
      <c r="DV236" s="656"/>
    </row>
    <row r="237" spans="2:126" s="755" customFormat="1" collapsed="1">
      <c r="B237" s="660" t="s">
        <v>522</v>
      </c>
      <c r="C237" s="659"/>
      <c r="D237" s="659"/>
      <c r="E237" s="659"/>
      <c r="F237" s="659"/>
      <c r="G237" s="659"/>
      <c r="H237" s="659"/>
      <c r="I237" s="659"/>
      <c r="J237" s="660"/>
      <c r="K237" s="660"/>
      <c r="L237" s="660"/>
      <c r="M237" s="660"/>
      <c r="N237" s="659"/>
      <c r="O237" s="660"/>
      <c r="P237" s="660"/>
      <c r="Q237" s="660"/>
      <c r="R237" s="660"/>
      <c r="S237" s="659"/>
      <c r="T237" s="660"/>
      <c r="U237" s="660"/>
      <c r="V237" s="660"/>
      <c r="W237" s="660"/>
      <c r="X237" s="659"/>
      <c r="Y237" s="660"/>
      <c r="Z237" s="660"/>
      <c r="AA237" s="660"/>
      <c r="AB237" s="660"/>
      <c r="AC237" s="659"/>
      <c r="AD237" s="660"/>
      <c r="AE237" s="660"/>
      <c r="AF237" s="660"/>
      <c r="AG237" s="660"/>
      <c r="AH237" s="659"/>
      <c r="AI237" s="660"/>
      <c r="AJ237" s="660"/>
      <c r="AK237" s="660"/>
      <c r="AL237" s="660"/>
      <c r="AM237" s="659"/>
      <c r="AN237" s="660"/>
      <c r="AO237" s="660"/>
      <c r="AP237" s="660"/>
      <c r="AQ237" s="660"/>
      <c r="AR237" s="659"/>
      <c r="AS237" s="660"/>
      <c r="AT237" s="660"/>
      <c r="AU237" s="660"/>
      <c r="AV237" s="660"/>
      <c r="AW237" s="659"/>
      <c r="AX237" s="660"/>
      <c r="AY237" s="660"/>
      <c r="AZ237" s="660"/>
      <c r="BA237" s="660"/>
      <c r="BB237" s="659">
        <f>SUM(BB233:BB236)</f>
        <v>75356</v>
      </c>
      <c r="BC237" s="660"/>
      <c r="BD237" s="660"/>
      <c r="BE237" s="660"/>
      <c r="BF237" s="660"/>
      <c r="BG237" s="659">
        <f>SUM(BG233:BG236)</f>
        <v>45856</v>
      </c>
      <c r="BH237" s="660"/>
      <c r="BI237" s="660"/>
      <c r="BJ237" s="660"/>
      <c r="BK237" s="660"/>
      <c r="BL237" s="659">
        <f>SUM(BL233:BL236)</f>
        <v>65631</v>
      </c>
      <c r="BM237" s="660"/>
      <c r="BN237" s="660"/>
      <c r="BO237" s="660"/>
      <c r="BP237" s="660"/>
      <c r="BQ237" s="659">
        <f>SUM(BQ233:BQ236)</f>
        <v>57984</v>
      </c>
      <c r="BR237" s="660"/>
      <c r="BS237" s="660"/>
      <c r="BT237" s="660"/>
      <c r="BU237" s="660"/>
      <c r="BV237" s="659">
        <f>SUM(BV233:BV236)</f>
        <v>65839</v>
      </c>
      <c r="BW237" s="660"/>
      <c r="BX237" s="660"/>
      <c r="BY237" s="660"/>
      <c r="BZ237" s="660"/>
      <c r="CA237" s="659">
        <f>SUM(CA233:CA236)</f>
        <v>61935</v>
      </c>
      <c r="CB237" s="660"/>
      <c r="CC237" s="660"/>
      <c r="CD237" s="660"/>
      <c r="CE237" s="660"/>
      <c r="CF237" s="659">
        <f>SUM(CF233:CF236)</f>
        <v>85224</v>
      </c>
      <c r="CG237" s="660"/>
      <c r="CH237" s="660"/>
      <c r="CI237" s="660"/>
      <c r="CJ237" s="660"/>
      <c r="CK237" s="659">
        <f>SUM(CK233:CK236)</f>
        <v>100201</v>
      </c>
      <c r="CL237" s="660"/>
      <c r="CM237" s="660"/>
      <c r="CN237" s="660"/>
      <c r="CO237" s="660"/>
      <c r="CP237" s="659"/>
      <c r="CQ237" s="660"/>
      <c r="CR237" s="660">
        <f>CR230-CQ230+CR62</f>
        <v>21176.86</v>
      </c>
      <c r="CS237" s="660">
        <f>CS230-CR230+CS62</f>
        <v>21354.028000000002</v>
      </c>
      <c r="CT237" s="660">
        <f>CT230-CS230+CT62</f>
        <v>18301.339999999997</v>
      </c>
      <c r="CU237" s="659"/>
      <c r="CV237" s="660">
        <f>CV230-CU230+CV62</f>
        <v>13716</v>
      </c>
      <c r="CW237" s="660">
        <f>CW230-CV230+CW62</f>
        <v>23314</v>
      </c>
      <c r="CX237" s="660">
        <f>CX230-CW230+CX62</f>
        <v>23951</v>
      </c>
      <c r="CY237" s="660">
        <f>CY230-CX230+CY62</f>
        <v>25093</v>
      </c>
      <c r="CZ237" s="659">
        <f>CZ230-CU230+CZ62</f>
        <v>86074</v>
      </c>
      <c r="DA237" s="660">
        <f>DA230-CZ230+DA62</f>
        <v>22214</v>
      </c>
      <c r="DB237" s="660">
        <f>DB230-DA230+DB62</f>
        <v>23315</v>
      </c>
      <c r="DC237" s="660">
        <f>DC230-DB230+DC62+(18952-13464)</f>
        <v>23952</v>
      </c>
      <c r="DD237" s="660">
        <f>DD230-DC230+DD62</f>
        <v>25927</v>
      </c>
      <c r="DE237" s="659"/>
      <c r="DF237" s="660">
        <f>DF230-DE230+DF62</f>
        <v>25305</v>
      </c>
      <c r="DG237" s="660">
        <f>DG230-DF230+DG62</f>
        <v>23791</v>
      </c>
      <c r="DH237" s="660">
        <f>DH230-DG230+DH62</f>
        <v>35089</v>
      </c>
      <c r="DI237" s="660">
        <f t="shared" ref="DI237:DK237" si="724">DI230-DH230+DI62</f>
        <v>18623</v>
      </c>
      <c r="DJ237" s="659">
        <f t="shared" si="724"/>
        <v>80808</v>
      </c>
      <c r="DK237" s="660">
        <f t="shared" si="724"/>
        <v>19306</v>
      </c>
      <c r="DL237" s="660">
        <f>DL230-DK230+DL62</f>
        <v>40581</v>
      </c>
      <c r="DM237" s="660">
        <f>DM230-DL230+DM62</f>
        <v>37478</v>
      </c>
      <c r="DN237" s="660"/>
      <c r="DO237" s="659"/>
      <c r="DP237" s="660"/>
      <c r="DQ237" s="660"/>
      <c r="DR237" s="660"/>
      <c r="DS237" s="660"/>
      <c r="DT237" s="659"/>
      <c r="DU237" s="659"/>
      <c r="DV237" s="659"/>
    </row>
    <row r="238" spans="2:126" s="398" customFormat="1">
      <c r="B238" s="180"/>
      <c r="C238" s="366"/>
      <c r="D238" s="366"/>
      <c r="E238" s="366"/>
      <c r="F238" s="366"/>
      <c r="G238" s="366"/>
      <c r="H238" s="366"/>
      <c r="I238" s="366"/>
      <c r="J238" s="368"/>
      <c r="K238" s="368"/>
      <c r="L238" s="368"/>
      <c r="M238" s="368"/>
      <c r="N238" s="366"/>
      <c r="O238" s="368"/>
      <c r="P238" s="368"/>
      <c r="Q238" s="368"/>
      <c r="R238" s="368"/>
      <c r="S238" s="366"/>
      <c r="T238" s="368"/>
      <c r="U238" s="368"/>
      <c r="V238" s="368"/>
      <c r="W238" s="368"/>
      <c r="X238" s="366"/>
      <c r="Y238" s="368"/>
      <c r="Z238" s="368"/>
      <c r="AA238" s="368"/>
      <c r="AB238" s="368"/>
      <c r="AC238" s="366"/>
      <c r="AD238" s="368"/>
      <c r="AE238" s="368"/>
      <c r="AF238" s="368"/>
      <c r="AG238" s="368"/>
      <c r="AH238" s="366"/>
      <c r="AI238" s="368"/>
      <c r="AJ238" s="368"/>
      <c r="AK238" s="368"/>
      <c r="AL238" s="368"/>
      <c r="AM238" s="366"/>
      <c r="AN238" s="368"/>
      <c r="AO238" s="368"/>
      <c r="AP238" s="368"/>
      <c r="AQ238" s="368"/>
      <c r="AR238" s="366"/>
      <c r="AS238" s="368"/>
      <c r="AT238" s="368"/>
      <c r="AU238" s="373"/>
      <c r="AV238" s="373"/>
      <c r="AW238" s="366"/>
      <c r="AX238" s="368"/>
      <c r="AY238" s="373"/>
      <c r="AZ238" s="373"/>
      <c r="BA238" s="373"/>
      <c r="BB238" s="366"/>
      <c r="BC238" s="373"/>
      <c r="BD238" s="373"/>
      <c r="BE238" s="373"/>
      <c r="BF238" s="373"/>
      <c r="BG238" s="366"/>
      <c r="BH238" s="373"/>
      <c r="BI238" s="373"/>
      <c r="BJ238" s="373"/>
      <c r="BK238" s="373"/>
      <c r="BL238" s="366"/>
      <c r="BM238" s="373"/>
      <c r="BN238" s="373"/>
      <c r="BO238" s="373"/>
      <c r="BP238" s="373"/>
      <c r="BQ238" s="366"/>
      <c r="BR238" s="373"/>
      <c r="BS238" s="373"/>
      <c r="BT238" s="373"/>
      <c r="BU238" s="373"/>
      <c r="BV238" s="366"/>
      <c r="BW238" s="373"/>
      <c r="BX238" s="373"/>
      <c r="BY238" s="373"/>
      <c r="BZ238" s="373"/>
      <c r="CA238" s="366"/>
      <c r="CB238" s="373"/>
      <c r="CC238" s="373"/>
      <c r="CD238" s="373"/>
      <c r="CE238" s="373"/>
      <c r="CF238" s="366"/>
      <c r="CG238" s="373"/>
      <c r="CH238" s="373"/>
      <c r="CI238" s="373"/>
      <c r="CJ238" s="373"/>
      <c r="CK238" s="366"/>
      <c r="CL238" s="373"/>
      <c r="CM238" s="373"/>
      <c r="CN238" s="373"/>
      <c r="CO238" s="373"/>
      <c r="CP238" s="366"/>
      <c r="CQ238" s="373"/>
      <c r="CR238" s="373"/>
      <c r="CS238" s="373"/>
      <c r="CT238" s="373"/>
      <c r="CU238" s="366"/>
      <c r="CV238" s="373"/>
      <c r="CW238" s="373"/>
      <c r="CX238" s="373"/>
      <c r="CY238" s="373"/>
      <c r="CZ238" s="366"/>
      <c r="DA238" s="373"/>
      <c r="DB238" s="373"/>
      <c r="DC238" s="373"/>
      <c r="DD238" s="373"/>
      <c r="DE238" s="366"/>
      <c r="DF238" s="373"/>
      <c r="DG238" s="373"/>
      <c r="DH238" s="373"/>
      <c r="DI238" s="373"/>
      <c r="DJ238" s="366"/>
      <c r="DK238" s="373"/>
      <c r="DL238" s="373"/>
      <c r="DM238" s="373"/>
      <c r="DN238" s="373"/>
      <c r="DO238" s="366"/>
      <c r="DP238" s="373"/>
      <c r="DQ238" s="373"/>
      <c r="DR238" s="373"/>
      <c r="DS238" s="373"/>
      <c r="DT238" s="366"/>
      <c r="DU238" s="366"/>
      <c r="DV238" s="366"/>
    </row>
    <row r="239" spans="2:126" s="398" customFormat="1">
      <c r="B239" s="655" t="s">
        <v>521</v>
      </c>
      <c r="C239" s="366"/>
      <c r="D239" s="366"/>
      <c r="E239" s="366"/>
      <c r="F239" s="366"/>
      <c r="G239" s="366"/>
      <c r="H239" s="366"/>
      <c r="I239" s="366"/>
      <c r="J239" s="368"/>
      <c r="K239" s="368"/>
      <c r="L239" s="368"/>
      <c r="M239" s="368"/>
      <c r="N239" s="366"/>
      <c r="O239" s="368"/>
      <c r="P239" s="368"/>
      <c r="Q239" s="368"/>
      <c r="R239" s="368"/>
      <c r="S239" s="366"/>
      <c r="T239" s="368"/>
      <c r="U239" s="368"/>
      <c r="V239" s="368"/>
      <c r="W239" s="368"/>
      <c r="X239" s="366"/>
      <c r="Y239" s="368"/>
      <c r="Z239" s="368"/>
      <c r="AA239" s="368"/>
      <c r="AB239" s="368"/>
      <c r="AC239" s="366"/>
      <c r="AD239" s="368"/>
      <c r="AE239" s="368"/>
      <c r="AF239" s="368"/>
      <c r="AG239" s="368"/>
      <c r="AH239" s="366"/>
      <c r="AI239" s="368"/>
      <c r="AJ239" s="368"/>
      <c r="AK239" s="368"/>
      <c r="AL239" s="368"/>
      <c r="AM239" s="366"/>
      <c r="AN239" s="368"/>
      <c r="AO239" s="368"/>
      <c r="AP239" s="368"/>
      <c r="AQ239" s="368"/>
      <c r="AR239" s="366"/>
      <c r="AS239" s="368"/>
      <c r="AT239" s="368"/>
      <c r="AU239" s="373"/>
      <c r="AV239" s="373"/>
      <c r="AW239" s="366"/>
      <c r="AX239" s="368"/>
      <c r="AY239" s="373"/>
      <c r="AZ239" s="373"/>
      <c r="BA239" s="373"/>
      <c r="BB239" s="366"/>
      <c r="BC239" s="373"/>
      <c r="BD239" s="373"/>
      <c r="BE239" s="373"/>
      <c r="BF239" s="373"/>
      <c r="BG239" s="366"/>
      <c r="BH239" s="373"/>
      <c r="BI239" s="373"/>
      <c r="BJ239" s="373"/>
      <c r="BK239" s="373"/>
      <c r="BL239" s="366"/>
      <c r="BM239" s="373"/>
      <c r="BN239" s="373"/>
      <c r="BO239" s="373"/>
      <c r="BP239" s="373"/>
      <c r="BQ239" s="366"/>
      <c r="BR239" s="373"/>
      <c r="BS239" s="373"/>
      <c r="BT239" s="373"/>
      <c r="BU239" s="373"/>
      <c r="BV239" s="366"/>
      <c r="BW239" s="373"/>
      <c r="BX239" s="373"/>
      <c r="BY239" s="373"/>
      <c r="BZ239" s="373"/>
      <c r="CA239" s="366"/>
      <c r="CB239" s="373"/>
      <c r="CC239" s="373"/>
      <c r="CD239" s="373"/>
      <c r="CE239" s="373"/>
      <c r="CF239" s="366"/>
      <c r="CG239" s="373"/>
      <c r="CH239" s="373"/>
      <c r="CI239" s="373"/>
      <c r="CJ239" s="373"/>
      <c r="CK239" s="366"/>
      <c r="CL239" s="373"/>
      <c r="CM239" s="373"/>
      <c r="CN239" s="373"/>
      <c r="CO239" s="373"/>
      <c r="CP239" s="366"/>
      <c r="CQ239" s="373"/>
      <c r="CR239" s="373"/>
      <c r="CS239" s="373"/>
      <c r="CT239" s="373"/>
      <c r="CU239" s="366"/>
      <c r="CV239" s="373"/>
      <c r="CW239" s="373"/>
      <c r="CX239" s="373"/>
      <c r="CY239" s="373"/>
      <c r="CZ239" s="366"/>
      <c r="DA239" s="373"/>
      <c r="DB239" s="373"/>
      <c r="DC239" s="373"/>
      <c r="DD239" s="373"/>
      <c r="DE239" s="366"/>
      <c r="DF239" s="373"/>
      <c r="DG239" s="373"/>
      <c r="DH239" s="373"/>
      <c r="DI239" s="373"/>
      <c r="DJ239" s="366"/>
      <c r="DK239" s="373"/>
      <c r="DL239" s="373"/>
      <c r="DM239" s="373"/>
      <c r="DN239" s="373"/>
      <c r="DO239" s="366"/>
      <c r="DP239" s="373"/>
      <c r="DQ239" s="373"/>
      <c r="DR239" s="373"/>
      <c r="DS239" s="373"/>
      <c r="DT239" s="366"/>
      <c r="DU239" s="366"/>
      <c r="DV239" s="366"/>
    </row>
    <row r="240" spans="2:126" s="398" customFormat="1">
      <c r="B240" s="125" t="s">
        <v>194</v>
      </c>
      <c r="C240" s="366"/>
      <c r="D240" s="366"/>
      <c r="E240" s="366"/>
      <c r="F240" s="366"/>
      <c r="G240" s="366"/>
      <c r="H240" s="366"/>
      <c r="I240" s="366"/>
      <c r="J240" s="368"/>
      <c r="K240" s="368"/>
      <c r="L240" s="368"/>
      <c r="M240" s="368"/>
      <c r="N240" s="366"/>
      <c r="O240" s="368"/>
      <c r="P240" s="368"/>
      <c r="Q240" s="368"/>
      <c r="R240" s="368"/>
      <c r="S240" s="366"/>
      <c r="T240" s="368"/>
      <c r="U240" s="368"/>
      <c r="V240" s="368"/>
      <c r="W240" s="368"/>
      <c r="X240" s="366"/>
      <c r="Y240" s="368"/>
      <c r="Z240" s="368"/>
      <c r="AA240" s="368"/>
      <c r="AB240" s="368"/>
      <c r="AC240" s="366"/>
      <c r="AD240" s="368"/>
      <c r="AE240" s="368"/>
      <c r="AF240" s="368"/>
      <c r="AG240" s="368"/>
      <c r="AH240" s="366"/>
      <c r="AI240" s="368"/>
      <c r="AJ240" s="368"/>
      <c r="AK240" s="368"/>
      <c r="AL240" s="368"/>
      <c r="AM240" s="366"/>
      <c r="AN240" s="368"/>
      <c r="AO240" s="368"/>
      <c r="AP240" s="368"/>
      <c r="AQ240" s="368"/>
      <c r="AR240" s="661"/>
      <c r="AS240" s="368"/>
      <c r="AT240" s="368"/>
      <c r="AU240" s="373"/>
      <c r="AV240" s="373"/>
      <c r="AW240" s="661"/>
      <c r="AX240" s="368"/>
      <c r="AY240" s="373"/>
      <c r="AZ240" s="373"/>
      <c r="BA240" s="373"/>
      <c r="BB240" s="661">
        <f>BB233/BB14</f>
        <v>2.5181896304783731</v>
      </c>
      <c r="BC240" s="756"/>
      <c r="BD240" s="757"/>
      <c r="BE240" s="757"/>
      <c r="BF240" s="758"/>
      <c r="BG240" s="661">
        <f>BG233/BG14</f>
        <v>0.64830011723329428</v>
      </c>
      <c r="BH240" s="756"/>
      <c r="BI240" s="757"/>
      <c r="BJ240" s="757"/>
      <c r="BK240" s="758"/>
      <c r="BL240" s="661">
        <f>BL233/BL14</f>
        <v>1.8064516129032258</v>
      </c>
      <c r="BM240" s="756"/>
      <c r="BN240" s="757"/>
      <c r="BO240" s="757"/>
      <c r="BP240" s="758"/>
      <c r="BQ240" s="661">
        <f>BQ233/BQ14</f>
        <v>1.1633290725749184</v>
      </c>
      <c r="BR240" s="756"/>
      <c r="BS240" s="757"/>
      <c r="BT240" s="757"/>
      <c r="BU240" s="758"/>
      <c r="BV240" s="661">
        <f>BV233/BV14</f>
        <v>1.6244125151067543</v>
      </c>
      <c r="BW240" s="756"/>
      <c r="BX240" s="757"/>
      <c r="BY240" s="757"/>
      <c r="BZ240" s="758"/>
      <c r="CA240" s="661">
        <f>CA233/CA14</f>
        <v>1.1511030522816561</v>
      </c>
      <c r="CB240" s="756"/>
      <c r="CC240" s="757"/>
      <c r="CD240" s="757"/>
      <c r="CE240" s="758"/>
      <c r="CF240" s="661">
        <f>CF233/CF14</f>
        <v>1.3505696757230499</v>
      </c>
      <c r="CG240" s="756"/>
      <c r="CH240" s="757"/>
      <c r="CI240" s="757"/>
      <c r="CJ240" s="758"/>
      <c r="CK240" s="661">
        <f>CK233/CK14</f>
        <v>1.6745765955410965</v>
      </c>
      <c r="CL240" s="756"/>
      <c r="CM240" s="757"/>
      <c r="CN240" s="757"/>
      <c r="CO240" s="758"/>
      <c r="CP240" s="661"/>
      <c r="CQ240" s="757"/>
      <c r="CR240" s="757"/>
      <c r="CS240" s="757"/>
      <c r="CT240" s="757"/>
      <c r="CU240" s="366"/>
      <c r="CV240" s="757"/>
      <c r="CW240" s="757"/>
      <c r="CX240" s="757"/>
      <c r="CY240" s="757"/>
      <c r="CZ240" s="366"/>
      <c r="DA240" s="757"/>
      <c r="DB240" s="757"/>
      <c r="DC240" s="757"/>
      <c r="DD240" s="757"/>
      <c r="DE240" s="366"/>
      <c r="DF240" s="757"/>
      <c r="DG240" s="757"/>
      <c r="DH240" s="757"/>
      <c r="DI240" s="757"/>
      <c r="DJ240" s="366"/>
      <c r="DK240" s="757"/>
      <c r="DL240" s="757"/>
      <c r="DM240" s="757"/>
      <c r="DN240" s="757"/>
      <c r="DO240" s="366"/>
      <c r="DP240" s="757"/>
      <c r="DQ240" s="757"/>
      <c r="DR240" s="757"/>
      <c r="DS240" s="757"/>
      <c r="DT240" s="366"/>
      <c r="DU240" s="366"/>
      <c r="DV240" s="366"/>
    </row>
    <row r="241" spans="2:126" s="398" customFormat="1">
      <c r="B241" s="125" t="s">
        <v>472</v>
      </c>
      <c r="C241" s="366"/>
      <c r="D241" s="366"/>
      <c r="E241" s="366"/>
      <c r="F241" s="366"/>
      <c r="G241" s="366"/>
      <c r="H241" s="366"/>
      <c r="I241" s="366"/>
      <c r="J241" s="368"/>
      <c r="K241" s="368"/>
      <c r="L241" s="368"/>
      <c r="M241" s="368"/>
      <c r="N241" s="366"/>
      <c r="O241" s="368"/>
      <c r="P241" s="368"/>
      <c r="Q241" s="368"/>
      <c r="R241" s="368"/>
      <c r="S241" s="366"/>
      <c r="T241" s="368"/>
      <c r="U241" s="368"/>
      <c r="V241" s="368"/>
      <c r="W241" s="368"/>
      <c r="X241" s="366"/>
      <c r="Y241" s="368"/>
      <c r="Z241" s="368"/>
      <c r="AA241" s="368"/>
      <c r="AB241" s="368"/>
      <c r="AC241" s="366"/>
      <c r="AD241" s="368"/>
      <c r="AE241" s="368"/>
      <c r="AF241" s="368"/>
      <c r="AG241" s="368"/>
      <c r="AH241" s="366"/>
      <c r="AI241" s="368"/>
      <c r="AJ241" s="368"/>
      <c r="AK241" s="368"/>
      <c r="AL241" s="368"/>
      <c r="AM241" s="366"/>
      <c r="AN241" s="368"/>
      <c r="AO241" s="368"/>
      <c r="AP241" s="368"/>
      <c r="AQ241" s="368"/>
      <c r="AR241" s="661"/>
      <c r="AS241" s="368"/>
      <c r="AT241" s="368"/>
      <c r="AU241" s="373"/>
      <c r="AV241" s="373"/>
      <c r="AW241" s="661"/>
      <c r="AX241" s="368"/>
      <c r="AY241" s="373"/>
      <c r="AZ241" s="373"/>
      <c r="BA241" s="373"/>
      <c r="BB241" s="661">
        <f>BB234/BB26</f>
        <v>1.5639548836093113</v>
      </c>
      <c r="BC241" s="756"/>
      <c r="BD241" s="757"/>
      <c r="BE241" s="757"/>
      <c r="BF241" s="758"/>
      <c r="BG241" s="661">
        <f>BG234/BG26</f>
        <v>1.0074923203716191</v>
      </c>
      <c r="BH241" s="756"/>
      <c r="BI241" s="757"/>
      <c r="BJ241" s="757"/>
      <c r="BK241" s="758"/>
      <c r="BL241" s="661">
        <f>BL234/BL26</f>
        <v>1.0633134013366163</v>
      </c>
      <c r="BM241" s="756"/>
      <c r="BN241" s="757"/>
      <c r="BO241" s="757"/>
      <c r="BP241" s="758"/>
      <c r="BQ241" s="661">
        <f>BQ234/BQ26</f>
        <v>1.1489995742869306</v>
      </c>
      <c r="BR241" s="756"/>
      <c r="BS241" s="757"/>
      <c r="BT241" s="757"/>
      <c r="BU241" s="758"/>
      <c r="BV241" s="661">
        <f>BV234/BV26</f>
        <v>1.0138264777048047</v>
      </c>
      <c r="BW241" s="756"/>
      <c r="BX241" s="757"/>
      <c r="BY241" s="757"/>
      <c r="BZ241" s="758"/>
      <c r="CA241" s="661">
        <f>CA234/CA26</f>
        <v>1.0340344428561705</v>
      </c>
      <c r="CB241" s="756"/>
      <c r="CC241" s="757"/>
      <c r="CD241" s="757"/>
      <c r="CE241" s="758"/>
      <c r="CF241" s="661">
        <f>CF234/CF26</f>
        <v>1.1071325559355556</v>
      </c>
      <c r="CG241" s="756"/>
      <c r="CH241" s="757"/>
      <c r="CI241" s="757"/>
      <c r="CJ241" s="758"/>
      <c r="CK241" s="661">
        <f>CK234/CK26</f>
        <v>1.111418472414323</v>
      </c>
      <c r="CL241" s="756"/>
      <c r="CM241" s="757"/>
      <c r="CN241" s="757"/>
      <c r="CO241" s="758"/>
      <c r="CP241" s="661"/>
      <c r="CQ241" s="757"/>
      <c r="CR241" s="757"/>
      <c r="CS241" s="757"/>
      <c r="CT241" s="757"/>
      <c r="CU241" s="366"/>
      <c r="CV241" s="757"/>
      <c r="CW241" s="757"/>
      <c r="CX241" s="757"/>
      <c r="CY241" s="757"/>
      <c r="CZ241" s="366"/>
      <c r="DA241" s="757"/>
      <c r="DB241" s="757"/>
      <c r="DC241" s="757"/>
      <c r="DD241" s="757"/>
      <c r="DE241" s="366"/>
      <c r="DF241" s="757"/>
      <c r="DG241" s="757"/>
      <c r="DH241" s="757"/>
      <c r="DI241" s="757"/>
      <c r="DJ241" s="366"/>
      <c r="DK241" s="757"/>
      <c r="DL241" s="757"/>
      <c r="DM241" s="757"/>
      <c r="DN241" s="757"/>
      <c r="DO241" s="366"/>
      <c r="DP241" s="757"/>
      <c r="DQ241" s="757"/>
      <c r="DR241" s="757"/>
      <c r="DS241" s="757"/>
      <c r="DT241" s="366"/>
      <c r="DU241" s="366"/>
      <c r="DV241" s="366"/>
    </row>
    <row r="242" spans="2:126" s="398" customFormat="1" hidden="1" outlineLevel="1">
      <c r="B242" s="180" t="s">
        <v>570</v>
      </c>
      <c r="C242" s="366"/>
      <c r="D242" s="366"/>
      <c r="E242" s="366"/>
      <c r="F242" s="366"/>
      <c r="G242" s="366"/>
      <c r="H242" s="366"/>
      <c r="I242" s="366"/>
      <c r="J242" s="368"/>
      <c r="K242" s="368"/>
      <c r="L242" s="368"/>
      <c r="M242" s="368"/>
      <c r="N242" s="366"/>
      <c r="O242" s="368"/>
      <c r="P242" s="368"/>
      <c r="Q242" s="368"/>
      <c r="R242" s="368"/>
      <c r="S242" s="366"/>
      <c r="T242" s="368"/>
      <c r="U242" s="368"/>
      <c r="V242" s="368"/>
      <c r="W242" s="368"/>
      <c r="X242" s="366"/>
      <c r="Y242" s="368"/>
      <c r="Z242" s="368"/>
      <c r="AA242" s="368"/>
      <c r="AB242" s="368"/>
      <c r="AC242" s="366"/>
      <c r="AD242" s="368"/>
      <c r="AE242" s="368"/>
      <c r="AF242" s="368"/>
      <c r="AG242" s="368"/>
      <c r="AH242" s="366"/>
      <c r="AI242" s="368"/>
      <c r="AJ242" s="368"/>
      <c r="AK242" s="368"/>
      <c r="AL242" s="368"/>
      <c r="AM242" s="366"/>
      <c r="AN242" s="368"/>
      <c r="AO242" s="368"/>
      <c r="AP242" s="368"/>
      <c r="AQ242" s="368"/>
      <c r="AR242" s="661"/>
      <c r="AS242" s="368"/>
      <c r="AT242" s="368"/>
      <c r="AU242" s="373"/>
      <c r="AV242" s="373"/>
      <c r="AW242" s="661"/>
      <c r="AX242" s="368"/>
      <c r="AY242" s="373"/>
      <c r="AZ242" s="373"/>
      <c r="BA242" s="373"/>
      <c r="BB242" s="661">
        <f t="shared" ref="BB242:CL242" si="725">BB235/BB41</f>
        <v>0.96428028575771396</v>
      </c>
      <c r="BC242" s="757">
        <f t="shared" si="725"/>
        <v>0.71801482436351916</v>
      </c>
      <c r="BD242" s="757">
        <f t="shared" si="725"/>
        <v>0.95391849529780559</v>
      </c>
      <c r="BE242" s="757">
        <f t="shared" si="725"/>
        <v>1.0707732634338138</v>
      </c>
      <c r="BF242" s="757">
        <f t="shared" si="725"/>
        <v>1.1836535330511233</v>
      </c>
      <c r="BG242" s="661">
        <f t="shared" si="725"/>
        <v>0.98050902061855671</v>
      </c>
      <c r="BH242" s="757">
        <f t="shared" si="725"/>
        <v>0.75877808988764039</v>
      </c>
      <c r="BI242" s="757">
        <f t="shared" si="725"/>
        <v>1.2729077075752564</v>
      </c>
      <c r="BJ242" s="757">
        <f t="shared" si="725"/>
        <v>1.0047313281514025</v>
      </c>
      <c r="BK242" s="757">
        <f t="shared" si="725"/>
        <v>0.70231394621638521</v>
      </c>
      <c r="BL242" s="661">
        <f t="shared" si="725"/>
        <v>0.93348852677086802</v>
      </c>
      <c r="BM242" s="757">
        <f t="shared" si="725"/>
        <v>0.65413267115998586</v>
      </c>
      <c r="BN242" s="757">
        <f t="shared" si="725"/>
        <v>1.0790697674418606</v>
      </c>
      <c r="BO242" s="757">
        <f t="shared" si="725"/>
        <v>0.92580101180438445</v>
      </c>
      <c r="BP242" s="757">
        <f t="shared" si="725"/>
        <v>1.4192097654995182</v>
      </c>
      <c r="BQ242" s="661">
        <f t="shared" si="725"/>
        <v>1.0292265054169816</v>
      </c>
      <c r="BR242" s="757">
        <f t="shared" si="725"/>
        <v>1.1865443425076452</v>
      </c>
      <c r="BS242" s="757">
        <f t="shared" si="725"/>
        <v>1.2207588585763562</v>
      </c>
      <c r="BT242" s="757">
        <f t="shared" si="725"/>
        <v>1.2104758862983072</v>
      </c>
      <c r="BU242" s="757">
        <f t="shared" si="725"/>
        <v>0.97284345047923326</v>
      </c>
      <c r="BV242" s="661">
        <f t="shared" si="725"/>
        <v>1.1474219317356573</v>
      </c>
      <c r="BW242" s="757">
        <f t="shared" si="725"/>
        <v>1.081972566949706</v>
      </c>
      <c r="BX242" s="757">
        <f t="shared" si="725"/>
        <v>0.84128991463800185</v>
      </c>
      <c r="BY242" s="757">
        <f t="shared" si="725"/>
        <v>1.2907643312101911</v>
      </c>
      <c r="BZ242" s="757">
        <f t="shared" si="725"/>
        <v>0.98581122763726092</v>
      </c>
      <c r="CA242" s="661">
        <f t="shared" si="725"/>
        <v>1.0488617434758467</v>
      </c>
      <c r="CB242" s="757">
        <f t="shared" si="725"/>
        <v>0.79174603174603175</v>
      </c>
      <c r="CC242" s="757">
        <f t="shared" si="725"/>
        <v>1.2572904009720534</v>
      </c>
      <c r="CD242" s="757">
        <f t="shared" si="725"/>
        <v>1.2199592668024439</v>
      </c>
      <c r="CE242" s="757">
        <f t="shared" si="725"/>
        <v>1.0952380952380953</v>
      </c>
      <c r="CF242" s="661">
        <f t="shared" si="725"/>
        <v>1.0956941351150706</v>
      </c>
      <c r="CG242" s="757">
        <f t="shared" si="725"/>
        <v>1.0418015896379158</v>
      </c>
      <c r="CH242" s="757">
        <f t="shared" si="725"/>
        <v>1.2991284790553836</v>
      </c>
      <c r="CI242" s="757">
        <f t="shared" si="725"/>
        <v>1.0755118319595851</v>
      </c>
      <c r="CJ242" s="757">
        <f t="shared" si="725"/>
        <v>1.0965147453083111</v>
      </c>
      <c r="CK242" s="661">
        <f t="shared" si="725"/>
        <v>1.1280719972308757</v>
      </c>
      <c r="CL242" s="756">
        <f t="shared" si="725"/>
        <v>1.102557127312296</v>
      </c>
      <c r="CM242" s="775">
        <v>1.17</v>
      </c>
      <c r="CN242" s="775">
        <v>0.85</v>
      </c>
      <c r="CO242" s="775">
        <v>1.1100000000000001</v>
      </c>
      <c r="CP242" s="805">
        <v>1.07</v>
      </c>
      <c r="CQ242" s="757">
        <v>1.08</v>
      </c>
      <c r="CR242" s="757">
        <v>1.1299999999999999</v>
      </c>
      <c r="CS242" s="757">
        <v>0.84</v>
      </c>
      <c r="CT242" s="757">
        <v>0.97</v>
      </c>
      <c r="CU242" s="661">
        <v>1.01</v>
      </c>
      <c r="CV242" s="757">
        <v>0.8</v>
      </c>
      <c r="CW242" s="757">
        <v>0.86</v>
      </c>
      <c r="CX242" s="757">
        <v>0.86</v>
      </c>
      <c r="CY242" s="757">
        <v>0.92</v>
      </c>
      <c r="CZ242" s="661">
        <v>0.96</v>
      </c>
      <c r="DA242" s="757">
        <v>1.34</v>
      </c>
      <c r="DB242" s="757">
        <v>0.86</v>
      </c>
      <c r="DC242" s="757"/>
      <c r="DD242" s="757"/>
      <c r="DE242" s="366"/>
      <c r="DF242" s="757"/>
      <c r="DG242" s="757"/>
      <c r="DH242" s="757"/>
      <c r="DI242" s="757"/>
      <c r="DJ242" s="366"/>
      <c r="DK242" s="757"/>
      <c r="DL242" s="757"/>
      <c r="DM242" s="757"/>
      <c r="DN242" s="757"/>
      <c r="DO242" s="366"/>
      <c r="DP242" s="757"/>
      <c r="DQ242" s="757"/>
      <c r="DR242" s="757"/>
      <c r="DS242" s="757"/>
      <c r="DT242" s="366"/>
      <c r="DU242" s="366"/>
      <c r="DV242" s="366"/>
    </row>
    <row r="243" spans="2:126" s="398" customFormat="1" hidden="1" outlineLevel="1">
      <c r="B243" s="180" t="s">
        <v>569</v>
      </c>
      <c r="C243" s="366"/>
      <c r="D243" s="366"/>
      <c r="E243" s="366"/>
      <c r="F243" s="366"/>
      <c r="G243" s="366"/>
      <c r="H243" s="366"/>
      <c r="I243" s="366"/>
      <c r="J243" s="368"/>
      <c r="K243" s="368"/>
      <c r="L243" s="368"/>
      <c r="M243" s="368"/>
      <c r="N243" s="366"/>
      <c r="O243" s="368"/>
      <c r="P243" s="368"/>
      <c r="Q243" s="368"/>
      <c r="R243" s="368"/>
      <c r="S243" s="366"/>
      <c r="T243" s="368"/>
      <c r="U243" s="368"/>
      <c r="V243" s="368"/>
      <c r="W243" s="368"/>
      <c r="X243" s="366"/>
      <c r="Y243" s="368"/>
      <c r="Z243" s="368"/>
      <c r="AA243" s="368"/>
      <c r="AB243" s="368"/>
      <c r="AC243" s="366"/>
      <c r="AD243" s="368"/>
      <c r="AE243" s="368"/>
      <c r="AF243" s="368"/>
      <c r="AG243" s="368"/>
      <c r="AH243" s="366"/>
      <c r="AI243" s="368"/>
      <c r="AJ243" s="368"/>
      <c r="AK243" s="368"/>
      <c r="AL243" s="368"/>
      <c r="AM243" s="366"/>
      <c r="AN243" s="368"/>
      <c r="AO243" s="368"/>
      <c r="AP243" s="368"/>
      <c r="AQ243" s="368"/>
      <c r="AR243" s="661"/>
      <c r="AS243" s="368"/>
      <c r="AT243" s="368"/>
      <c r="AU243" s="373"/>
      <c r="AV243" s="373"/>
      <c r="AW243" s="661"/>
      <c r="AX243" s="368"/>
      <c r="AY243" s="373"/>
      <c r="AZ243" s="373"/>
      <c r="BA243" s="373"/>
      <c r="BB243" s="661">
        <f t="shared" ref="BB243:CL243" si="726">BB236/BB48</f>
        <v>1.1019724316502932</v>
      </c>
      <c r="BC243" s="760">
        <f t="shared" si="726"/>
        <v>0.45544554455445546</v>
      </c>
      <c r="BD243" s="760">
        <f t="shared" si="726"/>
        <v>0.7173849311052477</v>
      </c>
      <c r="BE243" s="760">
        <f t="shared" si="726"/>
        <v>0.87152563310685605</v>
      </c>
      <c r="BF243" s="760">
        <f t="shared" si="726"/>
        <v>1.2762706579357654</v>
      </c>
      <c r="BG243" s="661">
        <f t="shared" si="726"/>
        <v>0.82778117359413206</v>
      </c>
      <c r="BH243" s="760">
        <f t="shared" si="726"/>
        <v>0.73322422258592468</v>
      </c>
      <c r="BI243" s="760">
        <f t="shared" si="726"/>
        <v>1.0035621761658031</v>
      </c>
      <c r="BJ243" s="760">
        <f t="shared" si="726"/>
        <v>1.0736660929432014</v>
      </c>
      <c r="BK243" s="760">
        <f t="shared" si="726"/>
        <v>1.3813508667065153</v>
      </c>
      <c r="BL243" s="661">
        <f t="shared" si="726"/>
        <v>1.0553493625948038</v>
      </c>
      <c r="BM243" s="760">
        <f t="shared" si="726"/>
        <v>0.96007194244604321</v>
      </c>
      <c r="BN243" s="760">
        <f t="shared" si="726"/>
        <v>1.5669014084507042</v>
      </c>
      <c r="BO243" s="760">
        <f t="shared" si="726"/>
        <v>0.77041149575440893</v>
      </c>
      <c r="BP243" s="760">
        <f t="shared" si="726"/>
        <v>0.93977305789933085</v>
      </c>
      <c r="BQ243" s="661">
        <f t="shared" si="726"/>
        <v>1.0604692413125856</v>
      </c>
      <c r="BR243" s="760">
        <f t="shared" si="726"/>
        <v>0.85279685966633956</v>
      </c>
      <c r="BS243" s="760">
        <f t="shared" si="726"/>
        <v>0.94697217675941081</v>
      </c>
      <c r="BT243" s="760">
        <f t="shared" si="726"/>
        <v>0.94958519463943847</v>
      </c>
      <c r="BU243" s="760">
        <f t="shared" si="726"/>
        <v>1.2977885489245684</v>
      </c>
      <c r="BV243" s="661">
        <f t="shared" si="726"/>
        <v>1.0169761696022954</v>
      </c>
      <c r="BW243" s="760">
        <f t="shared" si="726"/>
        <v>0.71274571972098921</v>
      </c>
      <c r="BX243" s="760">
        <f t="shared" si="726"/>
        <v>1.1831697888789772</v>
      </c>
      <c r="BY243" s="760">
        <f t="shared" si="726"/>
        <v>0.87859712230215825</v>
      </c>
      <c r="BZ243" s="760">
        <f t="shared" si="726"/>
        <v>1.4226859283039057</v>
      </c>
      <c r="CA243" s="661">
        <f t="shared" si="726"/>
        <v>1.065116621293503</v>
      </c>
      <c r="CB243" s="760">
        <f t="shared" si="726"/>
        <v>1.1753071621216662</v>
      </c>
      <c r="CC243" s="760">
        <f t="shared" si="726"/>
        <v>1.2510518934081347</v>
      </c>
      <c r="CD243" s="760">
        <f t="shared" si="726"/>
        <v>1.269090909090909</v>
      </c>
      <c r="CE243" s="760">
        <f t="shared" si="726"/>
        <v>1.1197200699825043</v>
      </c>
      <c r="CF243" s="661">
        <f t="shared" si="726"/>
        <v>1.2017543859649122</v>
      </c>
      <c r="CG243" s="760">
        <f t="shared" si="726"/>
        <v>0.57686842853083264</v>
      </c>
      <c r="CH243" s="760">
        <f t="shared" si="726"/>
        <v>1.26130389064143</v>
      </c>
      <c r="CI243" s="760">
        <f t="shared" si="726"/>
        <v>1.3088614116434827</v>
      </c>
      <c r="CJ243" s="760">
        <f t="shared" si="726"/>
        <v>1.8808580088598741</v>
      </c>
      <c r="CK243" s="661">
        <f t="shared" si="726"/>
        <v>1.2892732670711242</v>
      </c>
      <c r="CL243" s="759">
        <f t="shared" si="726"/>
        <v>1.5835338144881048</v>
      </c>
      <c r="CM243" s="776">
        <v>1.22</v>
      </c>
      <c r="CN243" s="776">
        <v>0.69</v>
      </c>
      <c r="CO243" s="776">
        <v>0.75</v>
      </c>
      <c r="CP243" s="805">
        <v>1.06</v>
      </c>
      <c r="CQ243" s="760">
        <v>0.68</v>
      </c>
      <c r="CR243" s="760">
        <v>1.55</v>
      </c>
      <c r="CS243" s="760">
        <v>1.02</v>
      </c>
      <c r="CT243" s="760">
        <v>0.83</v>
      </c>
      <c r="CU243" s="661">
        <v>1.02</v>
      </c>
      <c r="CV243" s="760">
        <v>1.18</v>
      </c>
      <c r="CW243" s="760">
        <v>1.3</v>
      </c>
      <c r="CX243" s="760">
        <v>1.3</v>
      </c>
      <c r="CY243" s="760">
        <v>1.48</v>
      </c>
      <c r="CZ243" s="661">
        <v>1.37</v>
      </c>
      <c r="DA243" s="760">
        <v>1.43</v>
      </c>
      <c r="DB243" s="760">
        <v>1.3</v>
      </c>
      <c r="DC243" s="760"/>
      <c r="DD243" s="760"/>
      <c r="DE243" s="366"/>
      <c r="DF243" s="760"/>
      <c r="DG243" s="760"/>
      <c r="DH243" s="760"/>
      <c r="DI243" s="760"/>
      <c r="DJ243" s="366"/>
      <c r="DK243" s="760"/>
      <c r="DL243" s="760"/>
      <c r="DM243" s="760"/>
      <c r="DN243" s="760"/>
      <c r="DO243" s="366"/>
      <c r="DP243" s="760"/>
      <c r="DQ243" s="760"/>
      <c r="DR243" s="760"/>
      <c r="DS243" s="760"/>
      <c r="DT243" s="366"/>
      <c r="DU243" s="366"/>
      <c r="DV243" s="366"/>
    </row>
    <row r="244" spans="2:126" s="110" customFormat="1" collapsed="1">
      <c r="B244" s="141" t="s">
        <v>172</v>
      </c>
      <c r="C244" s="142"/>
      <c r="D244" s="143"/>
      <c r="E244" s="143"/>
      <c r="F244" s="143"/>
      <c r="G244" s="143"/>
      <c r="H244" s="143"/>
      <c r="I244" s="143"/>
      <c r="J244" s="144"/>
      <c r="K244" s="144"/>
      <c r="L244" s="144"/>
      <c r="M244" s="144"/>
      <c r="N244" s="143"/>
      <c r="O244" s="144"/>
      <c r="P244" s="144"/>
      <c r="Q244" s="144"/>
      <c r="R244" s="144"/>
      <c r="S244" s="143"/>
      <c r="T244" s="144"/>
      <c r="U244" s="144"/>
      <c r="V244" s="144"/>
      <c r="W244" s="144"/>
      <c r="X244" s="143"/>
      <c r="Y244" s="144"/>
      <c r="Z244" s="144"/>
      <c r="AA244" s="144"/>
      <c r="AB244" s="144"/>
      <c r="AC244" s="143"/>
      <c r="AD244" s="144"/>
      <c r="AE244" s="144"/>
      <c r="AF244" s="144"/>
      <c r="AG244" s="144"/>
      <c r="AH244" s="143"/>
      <c r="AI244" s="144"/>
      <c r="AJ244" s="144"/>
      <c r="AK244" s="144"/>
      <c r="AL244" s="144"/>
      <c r="AM244" s="143"/>
      <c r="AN244" s="144"/>
      <c r="AO244" s="144"/>
      <c r="AP244" s="144"/>
      <c r="AQ244" s="144"/>
      <c r="AR244" s="143"/>
      <c r="AS244" s="144"/>
      <c r="AT244" s="144"/>
      <c r="AU244" s="145"/>
      <c r="AV244" s="145"/>
      <c r="AW244" s="143"/>
      <c r="AX244" s="144"/>
      <c r="AY244" s="145"/>
      <c r="AZ244" s="145"/>
      <c r="BA244" s="145"/>
      <c r="BB244" s="143">
        <f>BB237/BB62</f>
        <v>1.6316119952365487</v>
      </c>
      <c r="BC244" s="144"/>
      <c r="BD244" s="145"/>
      <c r="BE244" s="145"/>
      <c r="BF244" s="145"/>
      <c r="BG244" s="143">
        <f>BG237/BG62</f>
        <v>0.90292600322923644</v>
      </c>
      <c r="BH244" s="144"/>
      <c r="BI244" s="145"/>
      <c r="BJ244" s="145"/>
      <c r="BK244" s="145"/>
      <c r="BL244" s="143">
        <f>BL237/BL62</f>
        <v>1.2960308056872039</v>
      </c>
      <c r="BM244" s="144"/>
      <c r="BN244" s="145"/>
      <c r="BO244" s="145"/>
      <c r="BP244" s="145"/>
      <c r="BQ244" s="143">
        <f>BQ237/BQ62</f>
        <v>1.1467447195633256</v>
      </c>
      <c r="BR244" s="145"/>
      <c r="BS244" s="145"/>
      <c r="BT244" s="145"/>
      <c r="BU244" s="145"/>
      <c r="BV244" s="143">
        <f>BV237/BV62</f>
        <v>1.2524301394357891</v>
      </c>
      <c r="BW244" s="145"/>
      <c r="BX244" s="145"/>
      <c r="BY244" s="145"/>
      <c r="BZ244" s="145"/>
      <c r="CA244" s="143">
        <f>CA237/CA62</f>
        <v>1.1176173376400744</v>
      </c>
      <c r="CB244" s="145"/>
      <c r="CC244" s="145"/>
      <c r="CD244" s="145"/>
      <c r="CE244" s="145"/>
      <c r="CF244" s="143">
        <f>CF237/CF62</f>
        <v>1.2320592147111549</v>
      </c>
      <c r="CG244" s="145"/>
      <c r="CH244" s="145"/>
      <c r="CI244" s="145"/>
      <c r="CJ244" s="145"/>
      <c r="CK244" s="143">
        <f>CK237/CK62</f>
        <v>1.3497447364521735</v>
      </c>
      <c r="CL244" s="145"/>
      <c r="CM244" s="145"/>
      <c r="CN244" s="145"/>
      <c r="CO244" s="145"/>
      <c r="CP244" s="143"/>
      <c r="CQ244" s="145"/>
      <c r="CR244" s="816">
        <f>CR237/CR62</f>
        <v>1.2622660021005123</v>
      </c>
      <c r="CS244" s="816">
        <f>CS237/CS62</f>
        <v>1.2521398463752962</v>
      </c>
      <c r="CT244" s="816">
        <f>CT237/CT62</f>
        <v>0.99456561315643321</v>
      </c>
      <c r="CU244" s="143"/>
      <c r="CV244" s="816">
        <f t="shared" ref="CV244:DB244" si="727">CV237/CV62</f>
        <v>0.87274115551030795</v>
      </c>
      <c r="CW244" s="816">
        <f t="shared" si="727"/>
        <v>1.4290793183768542</v>
      </c>
      <c r="CX244" s="816">
        <f t="shared" si="727"/>
        <v>1.4129549879063181</v>
      </c>
      <c r="CY244" s="816">
        <f t="shared" si="727"/>
        <v>1.3868899574421047</v>
      </c>
      <c r="CZ244" s="143">
        <f t="shared" si="727"/>
        <v>1.2832692250350359</v>
      </c>
      <c r="DA244" s="816">
        <f t="shared" si="727"/>
        <v>1.2904612524689207</v>
      </c>
      <c r="DB244" s="816">
        <f t="shared" si="727"/>
        <v>1.273000273000273</v>
      </c>
      <c r="DC244" s="816">
        <f>DC237/(DC62+(18952-13464))</f>
        <v>1.2638243984803714</v>
      </c>
      <c r="DD244" s="816">
        <f>DD237/DD62</f>
        <v>1.3010990113915792</v>
      </c>
      <c r="DE244" s="143"/>
      <c r="DF244" s="816">
        <f t="shared" ref="DF244:DL244" si="728">DF237/DF62</f>
        <v>1.3108003108003108</v>
      </c>
      <c r="DG244" s="816">
        <f t="shared" si="728"/>
        <v>1.202112071143449</v>
      </c>
      <c r="DH244" s="816">
        <f t="shared" si="728"/>
        <v>1.7466772860769575</v>
      </c>
      <c r="DI244" s="816">
        <f t="shared" si="728"/>
        <v>0.86125884474864722</v>
      </c>
      <c r="DJ244" s="143">
        <f t="shared" si="728"/>
        <v>1</v>
      </c>
      <c r="DK244" s="816">
        <f t="shared" si="728"/>
        <v>0.9507534718802324</v>
      </c>
      <c r="DL244" s="816">
        <f t="shared" si="728"/>
        <v>1.8804040591260831</v>
      </c>
      <c r="DM244" s="816">
        <f t="shared" ref="DM244" si="729">DM237/DM62</f>
        <v>1.6673191565085861</v>
      </c>
      <c r="DN244" s="145"/>
      <c r="DO244" s="143"/>
      <c r="DP244" s="816"/>
      <c r="DQ244" s="145"/>
      <c r="DR244" s="145"/>
      <c r="DS244" s="145"/>
      <c r="DT244" s="143"/>
      <c r="DU244" s="143"/>
      <c r="DV244" s="143"/>
    </row>
    <row r="245" spans="2:126" s="110" customFormat="1" ht="6" customHeight="1" thickBot="1">
      <c r="C245" s="140"/>
      <c r="D245" s="140"/>
      <c r="E245" s="140"/>
      <c r="F245" s="140"/>
      <c r="G245" s="140"/>
      <c r="H245" s="140"/>
      <c r="I245" s="140"/>
      <c r="J245" s="139"/>
      <c r="K245" s="139"/>
      <c r="L245" s="139"/>
      <c r="M245" s="139"/>
      <c r="N245" s="140"/>
      <c r="O245" s="139"/>
      <c r="P245" s="139"/>
      <c r="Q245" s="139"/>
      <c r="R245" s="139"/>
      <c r="S245" s="140"/>
      <c r="T245" s="139"/>
      <c r="U245" s="139"/>
      <c r="V245" s="139"/>
      <c r="W245" s="139"/>
      <c r="X245" s="140"/>
      <c r="Y245" s="139"/>
      <c r="Z245" s="139"/>
      <c r="AA245" s="139"/>
      <c r="AB245" s="139"/>
      <c r="AC245" s="140"/>
      <c r="AD245" s="139"/>
      <c r="AE245" s="139"/>
      <c r="AF245" s="139"/>
      <c r="AG245" s="139"/>
      <c r="AH245" s="140"/>
      <c r="AI245" s="139"/>
      <c r="AJ245" s="139"/>
      <c r="AK245" s="139"/>
      <c r="AL245" s="139"/>
      <c r="AM245" s="140"/>
      <c r="AN245" s="139"/>
      <c r="AO245" s="139"/>
      <c r="AP245" s="139"/>
      <c r="AQ245" s="139"/>
      <c r="AR245" s="140"/>
      <c r="AS245" s="139"/>
      <c r="AT245" s="139"/>
      <c r="AU245" s="139"/>
      <c r="AV245" s="139"/>
      <c r="AW245" s="140"/>
      <c r="AX245" s="139"/>
      <c r="AY245" s="139"/>
      <c r="AZ245" s="139"/>
      <c r="BA245" s="139"/>
      <c r="BB245" s="140"/>
      <c r="BC245" s="139"/>
      <c r="BD245" s="139"/>
      <c r="BE245" s="139"/>
      <c r="BF245" s="139"/>
      <c r="BG245" s="140"/>
      <c r="BH245" s="139"/>
      <c r="BI245" s="139"/>
      <c r="BJ245" s="139"/>
      <c r="BK245" s="139"/>
      <c r="BL245" s="140"/>
      <c r="BM245" s="139"/>
      <c r="BN245" s="139"/>
      <c r="BO245" s="139"/>
      <c r="BP245" s="139"/>
      <c r="BQ245" s="140"/>
      <c r="BR245" s="139"/>
      <c r="BS245" s="139"/>
      <c r="BT245" s="139"/>
      <c r="BU245" s="139"/>
      <c r="BV245" s="140"/>
      <c r="BW245" s="139"/>
      <c r="BX245" s="139"/>
      <c r="BY245" s="139"/>
      <c r="BZ245" s="139"/>
      <c r="CA245" s="140"/>
      <c r="CB245" s="139"/>
      <c r="CC245" s="139"/>
      <c r="CD245" s="139"/>
      <c r="CE245" s="139"/>
      <c r="CF245" s="140"/>
      <c r="CG245" s="139"/>
      <c r="CH245" s="139"/>
      <c r="CI245" s="139"/>
      <c r="CJ245" s="139"/>
      <c r="CK245" s="140"/>
      <c r="CL245" s="139"/>
      <c r="CM245" s="139"/>
      <c r="CN245" s="139"/>
      <c r="CO245" s="139"/>
      <c r="CP245" s="140"/>
      <c r="CQ245" s="139"/>
      <c r="CR245" s="139"/>
      <c r="CS245" s="139"/>
      <c r="CT245" s="139"/>
      <c r="CU245" s="140"/>
      <c r="CV245" s="139"/>
      <c r="CW245" s="139"/>
      <c r="CX245" s="139"/>
      <c r="CY245" s="139"/>
      <c r="CZ245" s="140"/>
      <c r="DA245" s="139"/>
      <c r="DB245" s="139"/>
      <c r="DC245" s="139"/>
      <c r="DD245" s="139"/>
      <c r="DE245" s="140"/>
      <c r="DF245" s="139"/>
      <c r="DG245" s="139"/>
      <c r="DH245" s="139"/>
      <c r="DI245" s="139"/>
      <c r="DJ245" s="140"/>
      <c r="DK245" s="139"/>
      <c r="DL245" s="139"/>
      <c r="DM245" s="139"/>
      <c r="DN245" s="139"/>
      <c r="DO245" s="140"/>
      <c r="DP245" s="139"/>
      <c r="DQ245" s="139"/>
      <c r="DR245" s="139"/>
      <c r="DS245" s="139"/>
      <c r="DT245" s="140"/>
      <c r="DU245" s="140"/>
      <c r="DV245" s="140"/>
    </row>
  </sheetData>
  <phoneticPr fontId="6" type="noConversion"/>
  <pageMargins left="0.24" right="0.19" top="0.33" bottom="0.5" header="0.21" footer="0.5"/>
  <pageSetup scale="27" orientation="portrait" r:id="rId1"/>
  <headerFooter alignWithMargins="0"/>
  <customProperties>
    <customPr name="Qube.Worksheet.ID" r:id="rId2"/>
    <customPr name="Qube.Worksheet.Visibility" r:id="rId3"/>
  </customProperties>
  <ignoredErrors>
    <ignoredError sqref="AR106:AR107 N180:X180 AR180:AS180 AM107:AQ107 N106:AQ106 AC79:AS79 N99:AS99 AU99:AW99 AR245:AU245 AV180:AW180 AR223:AS224 AV63:AW63 N64:AS64 BB180 N8 BB64 BB79 BB129:BB131 N15:N16 BB99 O100 BB106:BB107 AU205:AU206 AR205:AS206 AU215 AR215:AS215 N20 BB114:BB115 BB121:BB123 AW161 AR161 BB19 BG10 BG19 AR221:AR222 AU221:AU224 BB10 N63:AR63 BB13 BL132:BL133 BG132:BG133 BB132:BB133 X156:X157 AC156:AC157 AH156:AH157 AM156:AM157 AR216 BB8 BG8 BG15:BG16 BB20 BG20 BG11 BB15:BB16 BB116:BB117 BB124:BB125 AM161" formula="1"/>
  </ignoredErrors>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autoPageBreaks="0" fitToPage="1"/>
  </sheetPr>
  <dimension ref="A1:DV71"/>
  <sheetViews>
    <sheetView showGridLines="0" zoomScaleNormal="100" workbookViewId="0">
      <pane xSplit="2" ySplit="4" topLeftCell="C5" activePane="bottomRight" state="frozen"/>
      <selection activeCell="AX4" sqref="AX4"/>
      <selection pane="topRight" activeCell="AX4" sqref="AX4"/>
      <selection pane="bottomLeft" activeCell="AX4" sqref="AX4"/>
      <selection pane="bottomRight"/>
    </sheetView>
  </sheetViews>
  <sheetFormatPr defaultColWidth="9.140625" defaultRowHeight="12" outlineLevelRow="1"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hidden="1" customWidth="1" outlineLevel="1"/>
    <col min="114" max="114" width="9.7109375" customWidth="1" collapsed="1"/>
    <col min="115" max="118" width="9.7109375" customWidth="1" outlineLevel="1"/>
    <col min="119" max="119" width="9.7109375" customWidth="1"/>
    <col min="120" max="123" width="9.7109375" hidden="1" customWidth="1" outlineLevel="1"/>
    <col min="124" max="124" width="9.7109375" customWidth="1" collapsed="1"/>
    <col min="125" max="125" width="9.7109375" customWidth="1"/>
    <col min="126" max="16384" width="9.140625" style="164"/>
  </cols>
  <sheetData>
    <row r="1" spans="1:126" customFormat="1" ht="12.75" thickBot="1">
      <c r="AZ1" s="29"/>
      <c r="BA1" s="29"/>
      <c r="BB1" s="182"/>
      <c r="BC1" s="29"/>
      <c r="BD1" s="29"/>
      <c r="BE1" s="29"/>
      <c r="BF1" s="29"/>
      <c r="BG1" s="29"/>
      <c r="BH1" s="29"/>
      <c r="BI1" s="29"/>
      <c r="BJ1" s="29"/>
      <c r="BK1" s="29"/>
      <c r="BL1" s="29"/>
      <c r="BM1" s="29"/>
      <c r="BN1" s="29"/>
      <c r="BO1" s="29"/>
      <c r="BP1" s="29"/>
      <c r="BQ1" s="29"/>
      <c r="BR1" s="29"/>
      <c r="BS1" s="29"/>
      <c r="BT1" s="29"/>
      <c r="BU1" s="29"/>
      <c r="BW1" s="29"/>
      <c r="BX1" s="29"/>
      <c r="BY1" s="29"/>
      <c r="BZ1" s="29"/>
      <c r="CB1" s="29"/>
      <c r="CC1" s="29"/>
      <c r="CD1" s="29"/>
      <c r="CE1" s="29"/>
      <c r="CG1" s="29"/>
      <c r="CH1" s="29"/>
      <c r="CI1" s="29"/>
      <c r="CJ1" s="29"/>
      <c r="CL1" s="29"/>
      <c r="CM1" s="29"/>
      <c r="CN1" s="29"/>
      <c r="CO1" s="29"/>
      <c r="CQ1" s="29"/>
      <c r="CR1" s="29"/>
      <c r="CS1" s="29"/>
      <c r="CT1" s="29"/>
      <c r="CV1" s="29"/>
      <c r="CW1" s="29"/>
      <c r="CX1" s="29"/>
      <c r="CY1" s="29"/>
      <c r="DA1" s="29"/>
      <c r="DB1" s="29"/>
      <c r="DC1" s="29"/>
      <c r="DD1" s="29"/>
      <c r="DF1" s="29"/>
      <c r="DG1" s="29"/>
      <c r="DH1" s="29"/>
      <c r="DI1" s="29"/>
      <c r="DK1" s="29"/>
      <c r="DL1" s="29"/>
      <c r="DM1" s="29"/>
      <c r="DN1" s="29"/>
      <c r="DP1" s="29"/>
      <c r="DQ1" s="29"/>
      <c r="DR1" s="29"/>
      <c r="DS1" s="29"/>
    </row>
    <row r="2" spans="1:126" customFormat="1" ht="6" customHeight="1">
      <c r="C2" s="19"/>
      <c r="D2" s="19"/>
      <c r="E2" s="19"/>
      <c r="F2" s="19"/>
      <c r="G2" s="19"/>
      <c r="H2" s="19"/>
      <c r="I2" s="19"/>
      <c r="N2" s="19"/>
      <c r="S2" s="19"/>
      <c r="X2" s="19"/>
      <c r="AC2" s="19"/>
      <c r="AH2" s="19"/>
      <c r="AM2" s="19"/>
      <c r="AR2" s="19"/>
      <c r="AW2" s="19"/>
      <c r="BB2" s="19"/>
      <c r="BG2" s="19"/>
      <c r="BL2" s="19"/>
      <c r="BQ2" s="19"/>
      <c r="BV2" s="19"/>
      <c r="CA2" s="19"/>
      <c r="CF2" s="19"/>
      <c r="CK2" s="19"/>
      <c r="CP2" s="19"/>
      <c r="CU2" s="19"/>
      <c r="CZ2" s="19"/>
      <c r="DE2" s="19"/>
      <c r="DJ2" s="19"/>
      <c r="DO2" s="19"/>
      <c r="DT2" s="19"/>
      <c r="DU2" s="19"/>
      <c r="DV2" s="19"/>
    </row>
    <row r="3" spans="1:126" ht="15.75">
      <c r="B3" s="23" t="s">
        <v>555</v>
      </c>
      <c r="C3" s="467">
        <v>1997</v>
      </c>
      <c r="D3" s="467">
        <v>1998</v>
      </c>
      <c r="E3" s="467">
        <v>1999</v>
      </c>
      <c r="F3" s="467">
        <v>2000</v>
      </c>
      <c r="G3" s="467">
        <v>2001</v>
      </c>
      <c r="H3" s="467">
        <v>2002</v>
      </c>
      <c r="I3" s="467">
        <v>2003</v>
      </c>
      <c r="J3" s="20" t="s">
        <v>0</v>
      </c>
      <c r="K3" s="20" t="s">
        <v>1</v>
      </c>
      <c r="L3" s="20" t="s">
        <v>2</v>
      </c>
      <c r="M3" s="20" t="s">
        <v>3</v>
      </c>
      <c r="N3" s="467">
        <v>2004</v>
      </c>
      <c r="O3" s="20" t="s">
        <v>4</v>
      </c>
      <c r="P3" s="20" t="s">
        <v>5</v>
      </c>
      <c r="Q3" s="20" t="s">
        <v>6</v>
      </c>
      <c r="R3" s="20" t="s">
        <v>7</v>
      </c>
      <c r="S3" s="467">
        <v>2005</v>
      </c>
      <c r="T3" s="20" t="s">
        <v>8</v>
      </c>
      <c r="U3" s="20" t="s">
        <v>9</v>
      </c>
      <c r="V3" s="20" t="s">
        <v>10</v>
      </c>
      <c r="W3" s="20" t="s">
        <v>11</v>
      </c>
      <c r="X3" s="467">
        <v>2006</v>
      </c>
      <c r="Y3" s="20" t="s">
        <v>12</v>
      </c>
      <c r="Z3" s="20" t="s">
        <v>13</v>
      </c>
      <c r="AA3" s="20" t="s">
        <v>14</v>
      </c>
      <c r="AB3" s="20" t="s">
        <v>15</v>
      </c>
      <c r="AC3" s="467">
        <v>2007</v>
      </c>
      <c r="AD3" s="20" t="s">
        <v>16</v>
      </c>
      <c r="AE3" s="20" t="s">
        <v>17</v>
      </c>
      <c r="AF3" s="20" t="s">
        <v>18</v>
      </c>
      <c r="AG3" s="20" t="s">
        <v>19</v>
      </c>
      <c r="AH3" s="467">
        <v>2008</v>
      </c>
      <c r="AI3" s="20" t="s">
        <v>20</v>
      </c>
      <c r="AJ3" s="20" t="s">
        <v>21</v>
      </c>
      <c r="AK3" s="20" t="s">
        <v>22</v>
      </c>
      <c r="AL3" s="20" t="s">
        <v>23</v>
      </c>
      <c r="AM3" s="467">
        <v>2009</v>
      </c>
      <c r="AN3" s="20" t="s">
        <v>24</v>
      </c>
      <c r="AO3" s="20" t="s">
        <v>25</v>
      </c>
      <c r="AP3" s="20" t="s">
        <v>174</v>
      </c>
      <c r="AQ3" s="20" t="s">
        <v>175</v>
      </c>
      <c r="AR3" s="467">
        <v>2010</v>
      </c>
      <c r="AS3" s="20" t="s">
        <v>176</v>
      </c>
      <c r="AT3" s="20" t="s">
        <v>177</v>
      </c>
      <c r="AU3" s="20" t="s">
        <v>178</v>
      </c>
      <c r="AV3" s="20" t="s">
        <v>179</v>
      </c>
      <c r="AW3" s="467">
        <v>2011</v>
      </c>
      <c r="AX3" s="20" t="s">
        <v>181</v>
      </c>
      <c r="AY3" s="20" t="s">
        <v>182</v>
      </c>
      <c r="AZ3" s="20" t="s">
        <v>242</v>
      </c>
      <c r="BA3" s="20" t="s">
        <v>183</v>
      </c>
      <c r="BB3" s="467">
        <v>2012</v>
      </c>
      <c r="BC3" s="20"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461</v>
      </c>
      <c r="CH3" s="20" t="s">
        <v>462</v>
      </c>
      <c r="CI3" s="20" t="s">
        <v>463</v>
      </c>
      <c r="CJ3" s="20" t="s">
        <v>464</v>
      </c>
      <c r="CK3" s="467">
        <v>2019</v>
      </c>
      <c r="CL3" s="20" t="s">
        <v>466</v>
      </c>
      <c r="CM3" s="20" t="s">
        <v>469</v>
      </c>
      <c r="CN3" s="20" t="s">
        <v>468</v>
      </c>
      <c r="CO3" s="20" t="s">
        <v>467</v>
      </c>
      <c r="CP3" s="467">
        <v>2020</v>
      </c>
      <c r="CQ3" s="20" t="s">
        <v>597</v>
      </c>
      <c r="CR3" s="20" t="s">
        <v>598</v>
      </c>
      <c r="CS3" s="20" t="s">
        <v>599</v>
      </c>
      <c r="CT3" s="20" t="s">
        <v>600</v>
      </c>
      <c r="CU3" s="467">
        <v>2021</v>
      </c>
      <c r="CV3" s="20" t="s">
        <v>611</v>
      </c>
      <c r="CW3" s="20" t="s">
        <v>612</v>
      </c>
      <c r="CX3" s="20" t="s">
        <v>613</v>
      </c>
      <c r="CY3" s="20" t="s">
        <v>614</v>
      </c>
      <c r="CZ3" s="467">
        <v>2022</v>
      </c>
      <c r="DA3" s="20" t="s">
        <v>617</v>
      </c>
      <c r="DB3" s="20" t="s">
        <v>618</v>
      </c>
      <c r="DC3" s="20" t="s">
        <v>619</v>
      </c>
      <c r="DD3" s="20" t="s">
        <v>620</v>
      </c>
      <c r="DE3" s="467">
        <v>2023</v>
      </c>
      <c r="DF3" s="20" t="s">
        <v>625</v>
      </c>
      <c r="DG3" s="20" t="s">
        <v>626</v>
      </c>
      <c r="DH3" s="20" t="s">
        <v>627</v>
      </c>
      <c r="DI3" s="20" t="s">
        <v>628</v>
      </c>
      <c r="DJ3" s="467">
        <v>2024</v>
      </c>
      <c r="DK3" s="20" t="s">
        <v>642</v>
      </c>
      <c r="DL3" s="20" t="s">
        <v>643</v>
      </c>
      <c r="DM3" s="20" t="s">
        <v>644</v>
      </c>
      <c r="DN3" s="20" t="s">
        <v>635</v>
      </c>
      <c r="DO3" s="467" t="s">
        <v>404</v>
      </c>
      <c r="DP3" s="20" t="s">
        <v>651</v>
      </c>
      <c r="DQ3" s="20" t="s">
        <v>652</v>
      </c>
      <c r="DR3" s="20" t="s">
        <v>653</v>
      </c>
      <c r="DS3" s="20" t="s">
        <v>654</v>
      </c>
      <c r="DT3" s="467" t="s">
        <v>632</v>
      </c>
      <c r="DU3" s="467" t="s">
        <v>633</v>
      </c>
      <c r="DV3" s="467" t="s">
        <v>650</v>
      </c>
    </row>
    <row r="4" spans="1:126" ht="12.75">
      <c r="B4" s="24" t="s">
        <v>87</v>
      </c>
      <c r="C4" s="21">
        <v>35795</v>
      </c>
      <c r="D4" s="21">
        <v>36160</v>
      </c>
      <c r="E4" s="21">
        <v>36525</v>
      </c>
      <c r="F4" s="21">
        <v>36891</v>
      </c>
      <c r="G4" s="21">
        <v>37256</v>
      </c>
      <c r="H4" s="21">
        <v>37621</v>
      </c>
      <c r="I4" s="21">
        <v>37986</v>
      </c>
      <c r="J4" s="217">
        <v>38077</v>
      </c>
      <c r="K4" s="217">
        <v>38168</v>
      </c>
      <c r="L4" s="217">
        <v>38260</v>
      </c>
      <c r="M4" s="22">
        <v>38352</v>
      </c>
      <c r="N4" s="21">
        <v>38352</v>
      </c>
      <c r="O4" s="217">
        <v>38442</v>
      </c>
      <c r="P4" s="217">
        <v>38533</v>
      </c>
      <c r="Q4" s="217">
        <v>38625</v>
      </c>
      <c r="R4" s="22">
        <v>38717</v>
      </c>
      <c r="S4" s="21">
        <v>38717</v>
      </c>
      <c r="T4" s="217">
        <v>38807</v>
      </c>
      <c r="U4" s="217">
        <v>38898</v>
      </c>
      <c r="V4" s="217">
        <v>38990</v>
      </c>
      <c r="W4" s="22">
        <v>39082</v>
      </c>
      <c r="X4" s="21">
        <v>39082</v>
      </c>
      <c r="Y4" s="217">
        <v>39172</v>
      </c>
      <c r="Z4" s="217">
        <v>39263</v>
      </c>
      <c r="AA4" s="217">
        <v>39355</v>
      </c>
      <c r="AB4" s="22">
        <v>39447</v>
      </c>
      <c r="AC4" s="21">
        <v>39447</v>
      </c>
      <c r="AD4" s="217">
        <v>39538</v>
      </c>
      <c r="AE4" s="217">
        <v>39629</v>
      </c>
      <c r="AF4" s="217">
        <v>39721</v>
      </c>
      <c r="AG4" s="22">
        <v>39813</v>
      </c>
      <c r="AH4" s="21">
        <v>39813</v>
      </c>
      <c r="AI4" s="217">
        <v>39903</v>
      </c>
      <c r="AJ4" s="217">
        <v>39994</v>
      </c>
      <c r="AK4" s="217">
        <v>40086</v>
      </c>
      <c r="AL4" s="22">
        <v>40178</v>
      </c>
      <c r="AM4" s="21">
        <v>40178</v>
      </c>
      <c r="AN4" s="217">
        <v>40268</v>
      </c>
      <c r="AO4" s="217">
        <v>40359</v>
      </c>
      <c r="AP4" s="217">
        <v>40451</v>
      </c>
      <c r="AQ4" s="22">
        <v>40543</v>
      </c>
      <c r="AR4" s="21">
        <v>40543</v>
      </c>
      <c r="AS4" s="217">
        <v>40633</v>
      </c>
      <c r="AT4" s="217">
        <v>40724</v>
      </c>
      <c r="AU4" s="217">
        <v>40816</v>
      </c>
      <c r="AV4" s="22">
        <v>40908</v>
      </c>
      <c r="AW4" s="21">
        <v>40908</v>
      </c>
      <c r="AX4" s="217">
        <v>40999</v>
      </c>
      <c r="AY4" s="217">
        <v>41090</v>
      </c>
      <c r="AZ4" s="217">
        <v>41182</v>
      </c>
      <c r="BA4" s="217">
        <v>41274</v>
      </c>
      <c r="BB4" s="21">
        <v>41274</v>
      </c>
      <c r="BC4" s="217">
        <v>41364</v>
      </c>
      <c r="BD4" s="217">
        <v>41455</v>
      </c>
      <c r="BE4" s="217">
        <v>41547</v>
      </c>
      <c r="BF4" s="22">
        <v>41639</v>
      </c>
      <c r="BG4" s="21">
        <v>41639</v>
      </c>
      <c r="BH4" s="217">
        <v>41729</v>
      </c>
      <c r="BI4" s="217">
        <v>41820</v>
      </c>
      <c r="BJ4" s="217">
        <v>41912</v>
      </c>
      <c r="BK4" s="22">
        <v>42004</v>
      </c>
      <c r="BL4" s="21">
        <v>42004</v>
      </c>
      <c r="BM4" s="217">
        <v>42094</v>
      </c>
      <c r="BN4" s="217">
        <v>42185</v>
      </c>
      <c r="BO4" s="217">
        <v>42277</v>
      </c>
      <c r="BP4" s="22">
        <v>42369</v>
      </c>
      <c r="BQ4" s="21">
        <v>42369</v>
      </c>
      <c r="BR4" s="217">
        <v>42460</v>
      </c>
      <c r="BS4" s="217">
        <v>42551</v>
      </c>
      <c r="BT4" s="217">
        <v>42643</v>
      </c>
      <c r="BU4" s="22">
        <v>42735</v>
      </c>
      <c r="BV4" s="21">
        <v>42735</v>
      </c>
      <c r="BW4" s="217">
        <v>42825</v>
      </c>
      <c r="BX4" s="217">
        <v>42916</v>
      </c>
      <c r="BY4" s="217">
        <v>43008</v>
      </c>
      <c r="BZ4" s="22">
        <v>43100</v>
      </c>
      <c r="CA4" s="21">
        <v>43100</v>
      </c>
      <c r="CB4" s="217">
        <v>43190</v>
      </c>
      <c r="CC4" s="217">
        <v>43281</v>
      </c>
      <c r="CD4" s="217">
        <v>43373</v>
      </c>
      <c r="CE4" s="22">
        <v>43465</v>
      </c>
      <c r="CF4" s="21">
        <v>43465</v>
      </c>
      <c r="CG4" s="217">
        <v>43555</v>
      </c>
      <c r="CH4" s="217">
        <v>43646</v>
      </c>
      <c r="CI4" s="217">
        <v>43738</v>
      </c>
      <c r="CJ4" s="22">
        <v>43830</v>
      </c>
      <c r="CK4" s="21">
        <v>43830</v>
      </c>
      <c r="CL4" s="217">
        <v>43921</v>
      </c>
      <c r="CM4" s="217">
        <v>44012</v>
      </c>
      <c r="CN4" s="217">
        <v>44104</v>
      </c>
      <c r="CO4" s="22">
        <v>44196</v>
      </c>
      <c r="CP4" s="21">
        <v>44196</v>
      </c>
      <c r="CQ4" s="217">
        <v>44286</v>
      </c>
      <c r="CR4" s="217">
        <v>44377</v>
      </c>
      <c r="CS4" s="217">
        <v>44469</v>
      </c>
      <c r="CT4" s="22">
        <v>44561</v>
      </c>
      <c r="CU4" s="21">
        <v>44561</v>
      </c>
      <c r="CV4" s="217">
        <v>44651</v>
      </c>
      <c r="CW4" s="217">
        <v>44742</v>
      </c>
      <c r="CX4" s="217">
        <v>44834</v>
      </c>
      <c r="CY4" s="22">
        <v>44926</v>
      </c>
      <c r="CZ4" s="21">
        <v>44926</v>
      </c>
      <c r="DA4" s="217">
        <v>45016</v>
      </c>
      <c r="DB4" s="217">
        <v>45107</v>
      </c>
      <c r="DC4" s="217">
        <v>45199</v>
      </c>
      <c r="DD4" s="22">
        <v>45291</v>
      </c>
      <c r="DE4" s="21">
        <v>45291</v>
      </c>
      <c r="DF4" s="217">
        <v>45382</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
        <f>SEG!DU4</f>
        <v>46752</v>
      </c>
      <c r="DV4" s="21">
        <f>SEG!DV4</f>
        <v>47118</v>
      </c>
    </row>
    <row r="5" spans="1:126" s="45" customFormat="1">
      <c r="A5" s="32"/>
      <c r="B5" s="32"/>
      <c r="C5" s="34"/>
      <c r="D5" s="34"/>
      <c r="E5" s="34"/>
      <c r="F5" s="34"/>
      <c r="G5" s="34"/>
      <c r="H5" s="34"/>
      <c r="I5" s="34"/>
      <c r="J5" s="32"/>
      <c r="K5" s="32"/>
      <c r="L5" s="32"/>
      <c r="M5" s="32"/>
      <c r="N5" s="34"/>
      <c r="O5" s="32"/>
      <c r="P5" s="32"/>
      <c r="Q5" s="32"/>
      <c r="R5" s="32"/>
      <c r="S5" s="34"/>
      <c r="T5" s="32"/>
      <c r="U5" s="32"/>
      <c r="V5" s="32"/>
      <c r="W5" s="32"/>
      <c r="X5" s="34"/>
      <c r="Y5" s="32"/>
      <c r="Z5" s="32"/>
      <c r="AA5" s="32"/>
      <c r="AB5" s="32"/>
      <c r="AC5" s="34"/>
      <c r="AD5" s="32"/>
      <c r="AE5" s="32"/>
      <c r="AF5" s="32"/>
      <c r="AG5" s="32"/>
      <c r="AH5" s="34"/>
      <c r="AI5" s="32"/>
      <c r="AJ5" s="32"/>
      <c r="AK5" s="32"/>
      <c r="AL5" s="32"/>
      <c r="AM5" s="34"/>
      <c r="AN5" s="32"/>
      <c r="AO5" s="32"/>
      <c r="AP5" s="32"/>
      <c r="AQ5" s="68"/>
      <c r="AR5" s="34"/>
      <c r="AS5" s="32"/>
      <c r="AT5" s="32"/>
      <c r="AU5" s="32"/>
      <c r="AV5" s="32"/>
      <c r="AW5" s="34"/>
      <c r="AX5" s="32"/>
      <c r="AY5" s="32"/>
      <c r="AZ5" s="32"/>
      <c r="BA5" s="32"/>
      <c r="BB5" s="34"/>
      <c r="BC5" s="32"/>
      <c r="BD5" s="32"/>
      <c r="BE5" s="32"/>
      <c r="BF5" s="32"/>
      <c r="BG5" s="34"/>
      <c r="BH5" s="32"/>
      <c r="BI5" s="32"/>
      <c r="BJ5" s="32"/>
      <c r="BK5" s="32"/>
      <c r="BL5" s="34"/>
      <c r="BM5" s="32"/>
      <c r="BN5" s="32"/>
      <c r="BO5" s="32"/>
      <c r="BP5" s="32"/>
      <c r="BQ5" s="34"/>
      <c r="BR5" s="32"/>
      <c r="BS5" s="32"/>
      <c r="BT5" s="32"/>
      <c r="BU5" s="32"/>
      <c r="BV5" s="34"/>
      <c r="BW5" s="32"/>
      <c r="BX5" s="32"/>
      <c r="BY5" s="32"/>
      <c r="BZ5" s="32"/>
      <c r="CA5" s="34"/>
      <c r="CB5" s="32"/>
      <c r="CC5" s="32"/>
      <c r="CD5" s="32"/>
      <c r="CE5" s="32"/>
      <c r="CF5" s="34"/>
      <c r="CG5" s="32"/>
      <c r="CH5" s="32"/>
      <c r="CI5" s="32"/>
      <c r="CJ5" s="32"/>
      <c r="CK5" s="34"/>
      <c r="CL5" s="32"/>
      <c r="CM5" s="32"/>
      <c r="CN5" s="32"/>
      <c r="CO5" s="32"/>
      <c r="CP5" s="34"/>
      <c r="CQ5" s="32"/>
      <c r="CR5" s="32"/>
      <c r="CS5" s="32"/>
      <c r="CT5" s="32"/>
      <c r="CU5" s="34"/>
      <c r="CV5" s="32"/>
      <c r="CW5" s="32"/>
      <c r="CX5" s="32"/>
      <c r="CY5" s="32"/>
      <c r="CZ5" s="34"/>
      <c r="DA5" s="32"/>
      <c r="DB5" s="32"/>
      <c r="DC5" s="32"/>
      <c r="DD5" s="32"/>
      <c r="DE5" s="34"/>
      <c r="DF5" s="32"/>
      <c r="DG5" s="32"/>
      <c r="DH5" s="32"/>
      <c r="DI5" s="32"/>
      <c r="DJ5" s="34"/>
      <c r="DK5" s="32"/>
      <c r="DL5" s="32"/>
      <c r="DM5" s="32"/>
      <c r="DN5" s="32"/>
      <c r="DO5" s="34"/>
      <c r="DP5" s="32"/>
      <c r="DQ5" s="32"/>
      <c r="DR5" s="32"/>
      <c r="DS5" s="32"/>
      <c r="DT5" s="34"/>
      <c r="DU5" s="34"/>
      <c r="DV5" s="34"/>
    </row>
    <row r="6" spans="1:126" s="45" customFormat="1">
      <c r="A6" s="32"/>
      <c r="B6" s="173" t="s">
        <v>26</v>
      </c>
      <c r="C6" s="174"/>
      <c r="D6" s="174"/>
      <c r="E6" s="174"/>
      <c r="F6" s="174"/>
      <c r="G6" s="174"/>
      <c r="H6" s="174"/>
      <c r="I6" s="174"/>
      <c r="J6" s="175"/>
      <c r="K6" s="175"/>
      <c r="L6" s="175"/>
      <c r="M6" s="175"/>
      <c r="N6" s="174"/>
      <c r="O6" s="175"/>
      <c r="P6" s="175"/>
      <c r="Q6" s="175"/>
      <c r="R6" s="175"/>
      <c r="S6" s="174"/>
      <c r="T6" s="175"/>
      <c r="U6" s="175"/>
      <c r="V6" s="175"/>
      <c r="W6" s="175"/>
      <c r="X6" s="174"/>
      <c r="Y6" s="175"/>
      <c r="Z6" s="175"/>
      <c r="AA6" s="175"/>
      <c r="AB6" s="175"/>
      <c r="AC6" s="174"/>
      <c r="AD6" s="175"/>
      <c r="AE6" s="175"/>
      <c r="AF6" s="175"/>
      <c r="AG6" s="175"/>
      <c r="AH6" s="174"/>
      <c r="AI6" s="175"/>
      <c r="AJ6" s="175"/>
      <c r="AK6" s="175"/>
      <c r="AL6" s="175"/>
      <c r="AM6" s="174"/>
      <c r="AN6" s="175"/>
      <c r="AO6" s="175"/>
      <c r="AP6" s="175"/>
      <c r="AQ6" s="175"/>
      <c r="AR6" s="174"/>
      <c r="AS6" s="175"/>
      <c r="AT6" s="175"/>
      <c r="AU6" s="175"/>
      <c r="AV6" s="175"/>
      <c r="AW6" s="174"/>
      <c r="AX6" s="175"/>
      <c r="AY6" s="175"/>
      <c r="AZ6" s="175"/>
      <c r="BA6" s="175"/>
      <c r="BB6" s="174"/>
      <c r="BC6" s="175"/>
      <c r="BD6" s="175"/>
      <c r="BE6" s="175"/>
      <c r="BF6" s="175"/>
      <c r="BG6" s="174"/>
      <c r="BH6" s="175"/>
      <c r="BI6" s="175"/>
      <c r="BJ6" s="175"/>
      <c r="BK6" s="175"/>
      <c r="BL6" s="174">
        <f>SEG!BL62</f>
        <v>50640</v>
      </c>
      <c r="BM6" s="175"/>
      <c r="BN6" s="175"/>
      <c r="BO6" s="175"/>
      <c r="BP6" s="175"/>
      <c r="BQ6" s="174">
        <f>SEG!BQ62</f>
        <v>50564</v>
      </c>
      <c r="BR6" s="175"/>
      <c r="BS6" s="175"/>
      <c r="BT6" s="175"/>
      <c r="BU6" s="175"/>
      <c r="BV6" s="174">
        <f>SEG!BV62</f>
        <v>52569</v>
      </c>
      <c r="BW6" s="175"/>
      <c r="BX6" s="175"/>
      <c r="BY6" s="175"/>
      <c r="BZ6" s="175"/>
      <c r="CA6" s="174">
        <f>SEG!CA62</f>
        <v>55417</v>
      </c>
      <c r="CB6" s="175"/>
      <c r="CC6" s="175"/>
      <c r="CD6" s="175"/>
      <c r="CE6" s="175"/>
      <c r="CF6" s="174">
        <f>+Data!CF9</f>
        <v>69172</v>
      </c>
      <c r="CG6" s="674">
        <f>+Data!CG9</f>
        <v>17664.5</v>
      </c>
      <c r="CH6" s="674">
        <f>+Data!CH9</f>
        <v>18385.5</v>
      </c>
      <c r="CI6" s="674">
        <f>+Data!CI9</f>
        <v>18711.629999999997</v>
      </c>
      <c r="CJ6" s="674">
        <f>+Data!CJ9</f>
        <v>19475.370000000003</v>
      </c>
      <c r="CK6" s="673">
        <f t="shared" ref="CK6:CK13" si="0">SUM(CG6:CJ6)</f>
        <v>74237</v>
      </c>
      <c r="CL6" s="772">
        <f>Data!CL9</f>
        <v>18451</v>
      </c>
      <c r="CM6" s="772">
        <f>Data!CM9</f>
        <v>14470</v>
      </c>
      <c r="CN6" s="772">
        <f>Data!CN9</f>
        <v>14747</v>
      </c>
      <c r="CO6" s="772">
        <f>Data!CO9</f>
        <v>16419</v>
      </c>
      <c r="CP6" s="673">
        <f t="shared" ref="CP6:CP13" si="1">SUM(CL6:CO6)</f>
        <v>64087</v>
      </c>
      <c r="CQ6" s="772">
        <f>Data!CQ9</f>
        <v>15251</v>
      </c>
      <c r="CR6" s="772">
        <f>Data!CR9</f>
        <v>15880</v>
      </c>
      <c r="CS6" s="772">
        <f>Data!CS9</f>
        <v>16213</v>
      </c>
      <c r="CT6" s="772">
        <f>Data!CT9</f>
        <v>17044</v>
      </c>
      <c r="CU6" s="673">
        <f t="shared" ref="CU6:CU13" si="2">SUM(CQ6:CT6)</f>
        <v>64388</v>
      </c>
      <c r="CV6" s="772">
        <f>Data!CV9</f>
        <v>15716</v>
      </c>
      <c r="CW6" s="772">
        <f>Data!CW9</f>
        <v>16314</v>
      </c>
      <c r="CX6" s="772">
        <f>Data!CX9</f>
        <v>16951</v>
      </c>
      <c r="CY6" s="772">
        <f>Data!CY9</f>
        <v>18093</v>
      </c>
      <c r="CZ6" s="673">
        <f t="shared" ref="CZ6:CZ13" si="3">SUM(CV6:CY6)</f>
        <v>67074</v>
      </c>
      <c r="DA6" s="772">
        <f>Data!DA9</f>
        <v>17214</v>
      </c>
      <c r="DB6" s="772">
        <f>Data!DB9</f>
        <v>18315</v>
      </c>
      <c r="DC6" s="772">
        <f>Data!DC9</f>
        <v>13464</v>
      </c>
      <c r="DD6" s="772">
        <f>Data!DD9</f>
        <v>19927</v>
      </c>
      <c r="DE6" s="673">
        <f t="shared" ref="DE6:DE13" si="4">SUM(DA6:DD6)</f>
        <v>68920</v>
      </c>
      <c r="DF6" s="772">
        <f>Data!DF9</f>
        <v>19305</v>
      </c>
      <c r="DG6" s="772">
        <f>Data!DG9</f>
        <v>19721</v>
      </c>
      <c r="DH6" s="772">
        <f>Data!DH9</f>
        <v>20089</v>
      </c>
      <c r="DI6" s="772">
        <f>Data!DI9</f>
        <v>21623</v>
      </c>
      <c r="DJ6" s="673">
        <f t="shared" ref="DJ6:DJ13" si="5">SUM(DF6:DI6)</f>
        <v>80738</v>
      </c>
      <c r="DK6" s="772">
        <f>Data!DK9</f>
        <v>20306</v>
      </c>
      <c r="DL6" s="772">
        <f>Data!DL9</f>
        <v>21581</v>
      </c>
      <c r="DM6" s="772">
        <f>Data!DM9</f>
        <v>22478</v>
      </c>
      <c r="DN6" s="674">
        <f>SEG!DN62</f>
        <v>22600.391</v>
      </c>
      <c r="DO6" s="673">
        <f t="shared" ref="DO6:DO13" si="6">SUM(DK6:DN6)</f>
        <v>86965.391000000003</v>
      </c>
      <c r="DP6" s="674">
        <f>SEG!DP62</f>
        <v>21412.09</v>
      </c>
      <c r="DQ6" s="674">
        <f>SEG!DQ62</f>
        <v>22660.136000000002</v>
      </c>
      <c r="DR6" s="674">
        <f>SEG!DR62</f>
        <v>23884.547999999999</v>
      </c>
      <c r="DS6" s="674">
        <f>SEG!DS62</f>
        <v>24230.983132000001</v>
      </c>
      <c r="DT6" s="673">
        <f t="shared" ref="DT6:DT13" si="7">SUM(DP6:DS6)</f>
        <v>92187.757131999999</v>
      </c>
      <c r="DU6" s="675">
        <f>SEG!DU62</f>
        <v>98332.758137616009</v>
      </c>
      <c r="DV6" s="675">
        <f>SEG!DV62</f>
        <v>104225.82930776612</v>
      </c>
    </row>
    <row r="7" spans="1:126" s="45" customFormat="1">
      <c r="A7" s="32"/>
      <c r="B7" s="32" t="s">
        <v>27</v>
      </c>
      <c r="C7" s="85"/>
      <c r="D7" s="85"/>
      <c r="E7" s="85"/>
      <c r="F7" s="85"/>
      <c r="G7" s="85"/>
      <c r="H7" s="85"/>
      <c r="I7" s="85"/>
      <c r="J7" s="86"/>
      <c r="K7" s="86"/>
      <c r="L7" s="86"/>
      <c r="M7" s="86"/>
      <c r="N7" s="85"/>
      <c r="O7" s="86"/>
      <c r="P7" s="86"/>
      <c r="Q7" s="86"/>
      <c r="R7" s="86"/>
      <c r="S7" s="85"/>
      <c r="T7" s="86"/>
      <c r="U7" s="86"/>
      <c r="V7" s="86"/>
      <c r="W7" s="86"/>
      <c r="X7" s="85"/>
      <c r="Y7" s="86"/>
      <c r="Z7" s="86"/>
      <c r="AA7" s="86"/>
      <c r="AB7" s="86"/>
      <c r="AC7" s="85"/>
      <c r="AD7" s="86"/>
      <c r="AE7" s="86"/>
      <c r="AF7" s="86"/>
      <c r="AG7" s="86"/>
      <c r="AH7" s="85"/>
      <c r="AI7" s="86"/>
      <c r="AJ7" s="86"/>
      <c r="AK7" s="86"/>
      <c r="AL7" s="86"/>
      <c r="AM7" s="85"/>
      <c r="AN7" s="86"/>
      <c r="AO7" s="86"/>
      <c r="AP7" s="86"/>
      <c r="AQ7" s="86"/>
      <c r="AR7" s="85"/>
      <c r="AS7" s="86"/>
      <c r="AT7" s="86"/>
      <c r="AU7" s="86"/>
      <c r="AV7" s="86"/>
      <c r="AW7" s="85"/>
      <c r="AX7" s="86"/>
      <c r="AY7" s="86"/>
      <c r="AZ7" s="86"/>
      <c r="BA7" s="86"/>
      <c r="BB7" s="85"/>
      <c r="BC7" s="86"/>
      <c r="BD7" s="86"/>
      <c r="BE7" s="86"/>
      <c r="BF7" s="86"/>
      <c r="BG7" s="85"/>
      <c r="BH7" s="86"/>
      <c r="BI7" s="86"/>
      <c r="BJ7" s="86"/>
      <c r="BK7" s="86"/>
      <c r="BL7" s="85"/>
      <c r="BM7" s="86"/>
      <c r="BN7" s="86"/>
      <c r="BO7" s="86"/>
      <c r="BP7" s="86"/>
      <c r="BQ7" s="85"/>
      <c r="BR7" s="86"/>
      <c r="BS7" s="86"/>
      <c r="BT7" s="86"/>
      <c r="BU7" s="86"/>
      <c r="BV7" s="85"/>
      <c r="BW7" s="86"/>
      <c r="BX7" s="86"/>
      <c r="BY7" s="86"/>
      <c r="BZ7" s="86"/>
      <c r="CA7" s="85"/>
      <c r="CB7" s="86"/>
      <c r="CC7" s="86"/>
      <c r="CD7" s="86"/>
      <c r="CE7" s="86"/>
      <c r="CF7" s="85">
        <f t="shared" ref="CF7:CH7" si="8">CF8-CF6</f>
        <v>-51666.942371958918</v>
      </c>
      <c r="CG7" s="676">
        <f t="shared" si="8"/>
        <v>-13710.34</v>
      </c>
      <c r="CH7" s="676">
        <f t="shared" si="8"/>
        <v>-13986.66</v>
      </c>
      <c r="CI7" s="676">
        <f t="shared" ref="CI7" si="9">CI8-CI6</f>
        <v>-14210.649999999998</v>
      </c>
      <c r="CJ7" s="676">
        <f t="shared" ref="CJ7" si="10">CJ8-CJ6</f>
        <v>-15298.350000000002</v>
      </c>
      <c r="CK7" s="85">
        <f t="shared" si="0"/>
        <v>-57206</v>
      </c>
      <c r="CL7" s="676">
        <f t="shared" ref="CL7:CM7" si="11">CL8-CL6</f>
        <v>-14224.823888888888</v>
      </c>
      <c r="CM7" s="676">
        <f t="shared" si="11"/>
        <v>-15638.818099547512</v>
      </c>
      <c r="CN7" s="676">
        <f>-Data!CN12</f>
        <v>-13004</v>
      </c>
      <c r="CO7" s="676">
        <f>-Data!CO12</f>
        <v>-14266</v>
      </c>
      <c r="CP7" s="671">
        <f t="shared" si="1"/>
        <v>-57133.6419884364</v>
      </c>
      <c r="CQ7" s="676">
        <f>-Data!CQ12</f>
        <v>-12537</v>
      </c>
      <c r="CR7" s="676">
        <f>-Data!CR12</f>
        <v>-12655</v>
      </c>
      <c r="CS7" s="676">
        <f>-Data!CS12</f>
        <v>-13089</v>
      </c>
      <c r="CT7" s="676">
        <f>-Data!CT12</f>
        <v>-13616</v>
      </c>
      <c r="CU7" s="671">
        <f t="shared" si="2"/>
        <v>-51897</v>
      </c>
      <c r="CV7" s="676">
        <f>-Data!CV12</f>
        <v>-12560</v>
      </c>
      <c r="CW7" s="676">
        <f>-Data!CW12</f>
        <v>-12856</v>
      </c>
      <c r="CX7" s="676">
        <f>-Data!CX12</f>
        <v>-13464</v>
      </c>
      <c r="CY7" s="676">
        <f>-Data!CY12</f>
        <v>-14526</v>
      </c>
      <c r="CZ7" s="671">
        <f t="shared" si="3"/>
        <v>-53406</v>
      </c>
      <c r="DA7" s="676">
        <f>-Data!DA12</f>
        <v>-13645</v>
      </c>
      <c r="DB7" s="676">
        <f>-Data!DB12</f>
        <v>-14518</v>
      </c>
      <c r="DC7" s="676">
        <f>-Data!DC12</f>
        <v>-12750</v>
      </c>
      <c r="DD7" s="676">
        <f>-Data!DD12</f>
        <v>-15918</v>
      </c>
      <c r="DE7" s="671">
        <f t="shared" si="4"/>
        <v>-56831</v>
      </c>
      <c r="DF7" s="676">
        <f>-Data!DF12</f>
        <v>-15744</v>
      </c>
      <c r="DG7" s="676">
        <f>-Data!DG12</f>
        <v>-16141</v>
      </c>
      <c r="DH7" s="676">
        <f>-Data!DH12</f>
        <v>-16055</v>
      </c>
      <c r="DI7" s="676">
        <f>-Data!DI12</f>
        <v>-17388</v>
      </c>
      <c r="DJ7" s="671">
        <f t="shared" si="5"/>
        <v>-65328</v>
      </c>
      <c r="DK7" s="676">
        <f>-Data!DK12</f>
        <v>-16190</v>
      </c>
      <c r="DL7" s="676">
        <f>-Data!DL12</f>
        <v>-17205</v>
      </c>
      <c r="DM7" s="676">
        <f>-Data!DM12</f>
        <v>-17898</v>
      </c>
      <c r="DN7" s="676">
        <f t="shared" ref="DN7" si="12">DN8-DN6</f>
        <v>-17840.714365</v>
      </c>
      <c r="DO7" s="671">
        <f t="shared" si="6"/>
        <v>-69133.714364999993</v>
      </c>
      <c r="DP7" s="676">
        <f t="shared" ref="DP7" si="13">DP8-DP6</f>
        <v>-16897.817060000001</v>
      </c>
      <c r="DQ7" s="676">
        <f t="shared" ref="DQ7:DS7" si="14">DQ8-DQ6</f>
        <v>-17794.185024000002</v>
      </c>
      <c r="DR7" s="676">
        <f t="shared" si="14"/>
        <v>-18619.869763999999</v>
      </c>
      <c r="DS7" s="676">
        <f t="shared" si="14"/>
        <v>-18904.305515944001</v>
      </c>
      <c r="DT7" s="671">
        <f t="shared" si="7"/>
        <v>-72216.177363944007</v>
      </c>
      <c r="DU7" s="671">
        <f t="shared" ref="DU7:DV7" si="15">DU8-DU6</f>
        <v>-76679.533547803265</v>
      </c>
      <c r="DV7" s="671">
        <f t="shared" si="15"/>
        <v>-80914.022331420361</v>
      </c>
    </row>
    <row r="8" spans="1:126" s="45" customFormat="1">
      <c r="A8" s="32"/>
      <c r="B8" s="37" t="s">
        <v>33</v>
      </c>
      <c r="C8" s="75"/>
      <c r="D8" s="75"/>
      <c r="E8" s="75"/>
      <c r="F8" s="75"/>
      <c r="G8" s="75"/>
      <c r="H8" s="75"/>
      <c r="I8" s="75"/>
      <c r="J8" s="76"/>
      <c r="K8" s="76"/>
      <c r="L8" s="76"/>
      <c r="M8" s="76"/>
      <c r="N8" s="75"/>
      <c r="O8" s="76"/>
      <c r="P8" s="76"/>
      <c r="Q8" s="76"/>
      <c r="R8" s="76"/>
      <c r="S8" s="75"/>
      <c r="T8" s="76"/>
      <c r="U8" s="76"/>
      <c r="V8" s="76"/>
      <c r="W8" s="76"/>
      <c r="X8" s="75"/>
      <c r="Y8" s="76"/>
      <c r="Z8" s="76"/>
      <c r="AA8" s="76"/>
      <c r="AB8" s="76"/>
      <c r="AC8" s="75"/>
      <c r="AD8" s="76"/>
      <c r="AE8" s="76"/>
      <c r="AF8" s="76"/>
      <c r="AG8" s="76"/>
      <c r="AH8" s="75"/>
      <c r="AI8" s="76"/>
      <c r="AJ8" s="76"/>
      <c r="AK8" s="76"/>
      <c r="AL8" s="76"/>
      <c r="AM8" s="75"/>
      <c r="AN8" s="76"/>
      <c r="AO8" s="76"/>
      <c r="AP8" s="76"/>
      <c r="AQ8" s="76"/>
      <c r="AR8" s="75"/>
      <c r="AS8" s="76"/>
      <c r="AT8" s="76"/>
      <c r="AU8" s="76"/>
      <c r="AV8" s="76"/>
      <c r="AW8" s="75"/>
      <c r="AX8" s="76"/>
      <c r="AY8" s="76"/>
      <c r="AZ8" s="76"/>
      <c r="BA8" s="76"/>
      <c r="BB8" s="75"/>
      <c r="BC8" s="76"/>
      <c r="BD8" s="76"/>
      <c r="BE8" s="76"/>
      <c r="BF8" s="76"/>
      <c r="BG8" s="75"/>
      <c r="BH8" s="76"/>
      <c r="BI8" s="76"/>
      <c r="BJ8" s="76"/>
      <c r="BK8" s="76"/>
      <c r="BL8" s="75"/>
      <c r="BM8" s="76"/>
      <c r="BN8" s="76"/>
      <c r="BO8" s="76"/>
      <c r="BP8" s="76"/>
      <c r="BQ8" s="75"/>
      <c r="BR8" s="76"/>
      <c r="BS8" s="76"/>
      <c r="BT8" s="76"/>
      <c r="BU8" s="76"/>
      <c r="BV8" s="75"/>
      <c r="BW8" s="76"/>
      <c r="BX8" s="76"/>
      <c r="BY8" s="76"/>
      <c r="BZ8" s="76"/>
      <c r="CA8" s="75"/>
      <c r="CB8" s="76"/>
      <c r="CC8" s="76"/>
      <c r="CD8" s="76"/>
      <c r="CE8" s="76"/>
      <c r="CF8" s="75">
        <f t="shared" ref="CF8:CH8" si="16">CF13-CF10-CF9-CF12</f>
        <v>17505.057628041082</v>
      </c>
      <c r="CG8" s="498">
        <f t="shared" si="16"/>
        <v>3954.16</v>
      </c>
      <c r="CH8" s="498">
        <f t="shared" si="16"/>
        <v>4398.84</v>
      </c>
      <c r="CI8" s="498">
        <f t="shared" ref="CI8" si="17">CI13-CI10-CI9-CI12</f>
        <v>4500.9800000000005</v>
      </c>
      <c r="CJ8" s="498">
        <f t="shared" ref="CJ8" si="18">CJ13-CJ10-CJ9-CJ12</f>
        <v>4177.0199999999995</v>
      </c>
      <c r="CK8" s="75">
        <f t="shared" si="0"/>
        <v>17031</v>
      </c>
      <c r="CL8" s="498">
        <f t="shared" ref="CL8:CM8" si="19">CL13-CL10-CL9-CL12</f>
        <v>4226.1761111111109</v>
      </c>
      <c r="CM8" s="498">
        <f t="shared" si="19"/>
        <v>-1168.8180995475113</v>
      </c>
      <c r="CN8" s="498">
        <f>CN6+CN7</f>
        <v>1743</v>
      </c>
      <c r="CO8" s="498">
        <f>CO6+CO7</f>
        <v>2153</v>
      </c>
      <c r="CP8" s="496">
        <f t="shared" si="1"/>
        <v>6953.3580115635996</v>
      </c>
      <c r="CQ8" s="498">
        <f>CQ6+CQ7</f>
        <v>2714</v>
      </c>
      <c r="CR8" s="498">
        <f>CR6+CR7</f>
        <v>3225</v>
      </c>
      <c r="CS8" s="498">
        <f>CS6+CS7</f>
        <v>3124</v>
      </c>
      <c r="CT8" s="498">
        <f>CT6+CT7</f>
        <v>3428</v>
      </c>
      <c r="CU8" s="496">
        <f t="shared" si="2"/>
        <v>12491</v>
      </c>
      <c r="CV8" s="498">
        <f>CV6+CV7</f>
        <v>3156</v>
      </c>
      <c r="CW8" s="498">
        <f>CW6+CW7</f>
        <v>3458</v>
      </c>
      <c r="CX8" s="498">
        <f>CX6+CX7</f>
        <v>3487</v>
      </c>
      <c r="CY8" s="498">
        <f>CY6+CY7</f>
        <v>3567</v>
      </c>
      <c r="CZ8" s="496">
        <f t="shared" si="3"/>
        <v>13668</v>
      </c>
      <c r="DA8" s="498">
        <f>DA6+DA7</f>
        <v>3569</v>
      </c>
      <c r="DB8" s="498">
        <f>DB6+DB7</f>
        <v>3797</v>
      </c>
      <c r="DC8" s="498">
        <f>DC6+DC7</f>
        <v>714</v>
      </c>
      <c r="DD8" s="498">
        <f>DD6+DD7</f>
        <v>4009</v>
      </c>
      <c r="DE8" s="496">
        <f t="shared" si="4"/>
        <v>12089</v>
      </c>
      <c r="DF8" s="498">
        <f>DF6+DF7</f>
        <v>3561</v>
      </c>
      <c r="DG8" s="498">
        <f>DG6+DG7</f>
        <v>3580</v>
      </c>
      <c r="DH8" s="498">
        <f>DH6+DH7</f>
        <v>4034</v>
      </c>
      <c r="DI8" s="498">
        <f>DI6+DI7</f>
        <v>4235</v>
      </c>
      <c r="DJ8" s="496">
        <f t="shared" si="5"/>
        <v>15410</v>
      </c>
      <c r="DK8" s="498">
        <f>DK6+DK7</f>
        <v>4116</v>
      </c>
      <c r="DL8" s="498">
        <f>DL6+DL7</f>
        <v>4376</v>
      </c>
      <c r="DM8" s="498">
        <f>DM6+DM7</f>
        <v>4580</v>
      </c>
      <c r="DN8" s="498">
        <f t="shared" ref="DN8" si="20">DN13-DN10-DN9-DN12</f>
        <v>4759.6766350000007</v>
      </c>
      <c r="DO8" s="496">
        <f t="shared" si="6"/>
        <v>17831.676635</v>
      </c>
      <c r="DP8" s="498">
        <f t="shared" ref="DP8" si="21">DP13-DP10-DP9-DP12</f>
        <v>4514.2729400000007</v>
      </c>
      <c r="DQ8" s="498">
        <f t="shared" ref="DQ8:DS8" si="22">DQ13-DQ10-DQ9-DQ12</f>
        <v>4865.9509760000001</v>
      </c>
      <c r="DR8" s="498">
        <f t="shared" si="22"/>
        <v>5264.6782359999997</v>
      </c>
      <c r="DS8" s="498">
        <f t="shared" si="22"/>
        <v>5326.6776160560003</v>
      </c>
      <c r="DT8" s="496">
        <f t="shared" si="7"/>
        <v>19971.579768055999</v>
      </c>
      <c r="DU8" s="496">
        <f t="shared" ref="DU8:DV8" si="23">DU13-DU10-DU12-DU9</f>
        <v>21653.22458981274</v>
      </c>
      <c r="DV8" s="496">
        <f t="shared" si="23"/>
        <v>23311.806976345764</v>
      </c>
    </row>
    <row r="9" spans="1:126" s="45" customFormat="1">
      <c r="A9" s="32"/>
      <c r="B9" s="3" t="str">
        <f>+Data!B13</f>
        <v>Research and development</v>
      </c>
      <c r="C9" s="75"/>
      <c r="D9" s="75"/>
      <c r="E9" s="75"/>
      <c r="F9" s="75"/>
      <c r="G9" s="75"/>
      <c r="H9" s="75"/>
      <c r="I9" s="75"/>
      <c r="J9" s="198"/>
      <c r="K9" s="198"/>
      <c r="L9" s="198"/>
      <c r="M9" s="198"/>
      <c r="N9" s="75"/>
      <c r="O9" s="198"/>
      <c r="P9" s="198"/>
      <c r="Q9" s="198"/>
      <c r="R9" s="198"/>
      <c r="S9" s="75"/>
      <c r="T9" s="198"/>
      <c r="U9" s="198"/>
      <c r="V9" s="198"/>
      <c r="W9" s="198"/>
      <c r="X9" s="75"/>
      <c r="Y9" s="198"/>
      <c r="Z9" s="198"/>
      <c r="AA9" s="198"/>
      <c r="AB9" s="198"/>
      <c r="AC9" s="75"/>
      <c r="AD9" s="198"/>
      <c r="AE9" s="198"/>
      <c r="AF9" s="198"/>
      <c r="AG9" s="198"/>
      <c r="AH9" s="75"/>
      <c r="AI9" s="198"/>
      <c r="AJ9" s="198"/>
      <c r="AK9" s="198"/>
      <c r="AL9" s="198"/>
      <c r="AM9" s="75"/>
      <c r="AN9" s="198"/>
      <c r="AO9" s="198"/>
      <c r="AP9" s="198"/>
      <c r="AQ9" s="198"/>
      <c r="AR9" s="75"/>
      <c r="AS9" s="198"/>
      <c r="AT9" s="198"/>
      <c r="AU9" s="198"/>
      <c r="AV9" s="198"/>
      <c r="AW9" s="75"/>
      <c r="AX9" s="198"/>
      <c r="AY9" s="198"/>
      <c r="AZ9" s="198"/>
      <c r="BA9" s="198"/>
      <c r="BB9" s="75"/>
      <c r="BC9" s="198"/>
      <c r="BD9" s="198"/>
      <c r="BE9" s="198"/>
      <c r="BF9" s="198"/>
      <c r="BG9" s="75"/>
      <c r="BH9" s="198"/>
      <c r="BI9" s="198"/>
      <c r="BJ9" s="198"/>
      <c r="BK9" s="198"/>
      <c r="BL9" s="75"/>
      <c r="BM9" s="198"/>
      <c r="BN9" s="198"/>
      <c r="BO9" s="198"/>
      <c r="BP9" s="198"/>
      <c r="BQ9" s="75"/>
      <c r="BR9" s="198"/>
      <c r="BS9" s="198"/>
      <c r="BT9" s="198"/>
      <c r="BU9" s="198"/>
      <c r="BV9" s="75"/>
      <c r="BW9" s="198"/>
      <c r="BX9" s="198"/>
      <c r="BY9" s="198"/>
      <c r="BZ9" s="198"/>
      <c r="CA9" s="75"/>
      <c r="CB9" s="198"/>
      <c r="CC9" s="198"/>
      <c r="CD9" s="198"/>
      <c r="CE9" s="198"/>
      <c r="CF9" s="75">
        <f>-Data!CF13</f>
        <v>-3252</v>
      </c>
      <c r="CG9" s="608">
        <f>-Data!CG13</f>
        <v>-779.1</v>
      </c>
      <c r="CH9" s="608">
        <f>-Data!CH13</f>
        <v>-810.9</v>
      </c>
      <c r="CI9" s="608">
        <f>-Data!CI13</f>
        <v>-782.04</v>
      </c>
      <c r="CJ9" s="608">
        <f>-Data!CJ13</f>
        <v>-813.96</v>
      </c>
      <c r="CK9" s="75">
        <f t="shared" si="0"/>
        <v>-3186</v>
      </c>
      <c r="CL9" s="608">
        <f>-CL6*CL51</f>
        <v>-645.78500000000008</v>
      </c>
      <c r="CM9" s="453">
        <f>-Data!CM13</f>
        <v>-695</v>
      </c>
      <c r="CN9" s="453">
        <f>-Data!CN13</f>
        <v>-642</v>
      </c>
      <c r="CO9" s="453">
        <f>-Data!CO13</f>
        <v>-710</v>
      </c>
      <c r="CP9" s="496">
        <f t="shared" si="1"/>
        <v>-2692.7849999999999</v>
      </c>
      <c r="CQ9" s="453">
        <f>-Data!CQ13</f>
        <v>-589</v>
      </c>
      <c r="CR9" s="453">
        <f>-Data!CR13</f>
        <v>-657</v>
      </c>
      <c r="CS9" s="453">
        <f>-Data!CS13</f>
        <v>-676</v>
      </c>
      <c r="CT9" s="453">
        <f>-Data!CT13</f>
        <v>-810</v>
      </c>
      <c r="CU9" s="496">
        <f t="shared" si="2"/>
        <v>-2732</v>
      </c>
      <c r="CV9" s="453">
        <f>-Data!CV13</f>
        <v>-635</v>
      </c>
      <c r="CW9" s="453">
        <f>-Data!CW13</f>
        <v>-698</v>
      </c>
      <c r="CX9" s="453">
        <f>-Data!CX13</f>
        <v>-662</v>
      </c>
      <c r="CY9" s="453">
        <f>-Data!CY13</f>
        <v>-716</v>
      </c>
      <c r="CZ9" s="496">
        <f t="shared" si="3"/>
        <v>-2711</v>
      </c>
      <c r="DA9" s="453">
        <f>-Data!DA13</f>
        <v>-607</v>
      </c>
      <c r="DB9" s="453">
        <f>-Data!DB13</f>
        <v>-729</v>
      </c>
      <c r="DC9" s="453">
        <f>-Data!DC13</f>
        <v>-712</v>
      </c>
      <c r="DD9" s="453">
        <f>-Data!DD13</f>
        <v>-757</v>
      </c>
      <c r="DE9" s="496">
        <f t="shared" si="4"/>
        <v>-2805</v>
      </c>
      <c r="DF9" s="453">
        <f>-Data!DF13</f>
        <v>-669</v>
      </c>
      <c r="DG9" s="453">
        <f>-Data!DG13</f>
        <v>-706</v>
      </c>
      <c r="DH9" s="453">
        <f>-Data!DH13</f>
        <v>-751</v>
      </c>
      <c r="DI9" s="453">
        <f>-Data!DI13</f>
        <v>-808</v>
      </c>
      <c r="DJ9" s="496">
        <f t="shared" si="5"/>
        <v>-2934</v>
      </c>
      <c r="DK9" s="453">
        <f>-Data!DK13</f>
        <v>-637</v>
      </c>
      <c r="DL9" s="453">
        <f>-Data!DL13</f>
        <v>-697</v>
      </c>
      <c r="DM9" s="453">
        <f>-Data!DM13</f>
        <v>-684</v>
      </c>
      <c r="DN9" s="608">
        <f t="shared" ref="DN9" si="24">-DN6*DN51</f>
        <v>-791.01368500000001</v>
      </c>
      <c r="DO9" s="496">
        <f t="shared" si="6"/>
        <v>-2809.0136849999999</v>
      </c>
      <c r="DP9" s="608">
        <f t="shared" ref="DP9" si="25">-DP6*DP51</f>
        <v>-749.42315000000008</v>
      </c>
      <c r="DQ9" s="608">
        <f t="shared" ref="DQ9:DS9" si="26">-DQ6*DQ51</f>
        <v>-793.10476000000017</v>
      </c>
      <c r="DR9" s="608">
        <f t="shared" si="26"/>
        <v>-835.95918000000006</v>
      </c>
      <c r="DS9" s="608">
        <f t="shared" si="26"/>
        <v>-848.08440962000009</v>
      </c>
      <c r="DT9" s="496">
        <f t="shared" si="7"/>
        <v>-3226.5714996200004</v>
      </c>
      <c r="DU9" s="367">
        <f t="shared" ref="DU9:DV9" si="27">-DU6*DU51</f>
        <v>-3441.6465348165607</v>
      </c>
      <c r="DV9" s="367">
        <f t="shared" si="27"/>
        <v>-3647.9040257718148</v>
      </c>
    </row>
    <row r="10" spans="1:126" s="45" customFormat="1">
      <c r="A10" s="32"/>
      <c r="B10" s="32" t="s">
        <v>28</v>
      </c>
      <c r="C10" s="85"/>
      <c r="D10" s="85"/>
      <c r="E10" s="85"/>
      <c r="F10" s="85"/>
      <c r="G10" s="85"/>
      <c r="H10" s="85"/>
      <c r="I10" s="85"/>
      <c r="J10" s="198"/>
      <c r="K10" s="198"/>
      <c r="L10" s="198"/>
      <c r="M10" s="198"/>
      <c r="N10" s="195"/>
      <c r="O10" s="198"/>
      <c r="P10" s="198"/>
      <c r="Q10" s="198"/>
      <c r="R10" s="198"/>
      <c r="S10" s="195"/>
      <c r="T10" s="198"/>
      <c r="U10" s="198"/>
      <c r="V10" s="198"/>
      <c r="W10" s="198"/>
      <c r="X10" s="195"/>
      <c r="Y10" s="198"/>
      <c r="Z10" s="198"/>
      <c r="AA10" s="198"/>
      <c r="AB10" s="198"/>
      <c r="AC10" s="195"/>
      <c r="AD10" s="198"/>
      <c r="AE10" s="198"/>
      <c r="AF10" s="198"/>
      <c r="AG10" s="198"/>
      <c r="AH10" s="195"/>
      <c r="AI10" s="198"/>
      <c r="AJ10" s="198"/>
      <c r="AK10" s="198"/>
      <c r="AL10" s="198"/>
      <c r="AM10" s="195"/>
      <c r="AN10" s="198"/>
      <c r="AO10" s="198"/>
      <c r="AP10" s="198"/>
      <c r="AQ10" s="198"/>
      <c r="AR10" s="195"/>
      <c r="AS10" s="198"/>
      <c r="AT10" s="198"/>
      <c r="AU10" s="198"/>
      <c r="AV10" s="198"/>
      <c r="AW10" s="195"/>
      <c r="AX10" s="198"/>
      <c r="AY10" s="198"/>
      <c r="AZ10" s="198"/>
      <c r="BA10" s="198"/>
      <c r="BB10" s="195"/>
      <c r="BC10" s="198"/>
      <c r="BD10" s="198"/>
      <c r="BE10" s="198"/>
      <c r="BF10" s="198"/>
      <c r="BG10" s="195"/>
      <c r="BH10" s="198"/>
      <c r="BI10" s="198"/>
      <c r="BJ10" s="198"/>
      <c r="BK10" s="198"/>
      <c r="BL10" s="195"/>
      <c r="BM10" s="198"/>
      <c r="BN10" s="198"/>
      <c r="BO10" s="198"/>
      <c r="BP10" s="198"/>
      <c r="BQ10" s="195"/>
      <c r="BR10" s="198"/>
      <c r="BS10" s="198"/>
      <c r="BT10" s="198"/>
      <c r="BU10" s="198"/>
      <c r="BV10" s="195"/>
      <c r="BW10" s="198"/>
      <c r="BX10" s="198"/>
      <c r="BY10" s="198"/>
      <c r="BZ10" s="198"/>
      <c r="CA10" s="195"/>
      <c r="CB10" s="198"/>
      <c r="CC10" s="198"/>
      <c r="CD10" s="198"/>
      <c r="CE10" s="198"/>
      <c r="CF10" s="195">
        <f>-Data!CF14</f>
        <v>-5553</v>
      </c>
      <c r="CG10" s="608">
        <f>-Data!CG14</f>
        <v>-1368.08</v>
      </c>
      <c r="CH10" s="608">
        <f>-Data!CH14</f>
        <v>-1423.92</v>
      </c>
      <c r="CI10" s="608">
        <f>-Data!CI14</f>
        <v>-1450.8899999999999</v>
      </c>
      <c r="CJ10" s="608">
        <f>-Data!CJ14</f>
        <v>-1510.1100000000001</v>
      </c>
      <c r="CK10" s="195">
        <f t="shared" si="0"/>
        <v>-5753</v>
      </c>
      <c r="CL10" s="608">
        <f>-CL6*CL50</f>
        <v>-1476.08</v>
      </c>
      <c r="CM10" s="453">
        <f>-Data!CM14</f>
        <v>-1811</v>
      </c>
      <c r="CN10" s="453">
        <f>-Data!CN14</f>
        <v>-1401</v>
      </c>
      <c r="CO10" s="453">
        <f>-Data!CO14</f>
        <v>-1351</v>
      </c>
      <c r="CP10" s="495">
        <f t="shared" si="1"/>
        <v>-6039.08</v>
      </c>
      <c r="CQ10" s="453">
        <f>-Data!CQ14</f>
        <v>-1220</v>
      </c>
      <c r="CR10" s="453">
        <f>-Data!CR14</f>
        <v>-1368</v>
      </c>
      <c r="CS10" s="453">
        <f>-Data!CS14</f>
        <v>-1229</v>
      </c>
      <c r="CT10" s="453">
        <f>-Data!CT14</f>
        <v>-1407</v>
      </c>
      <c r="CU10" s="495">
        <f t="shared" si="2"/>
        <v>-5224</v>
      </c>
      <c r="CV10" s="453">
        <f>-Data!CV14</f>
        <v>-1469</v>
      </c>
      <c r="CW10" s="453">
        <f>-Data!CW14</f>
        <v>-1424</v>
      </c>
      <c r="CX10" s="453">
        <f>-Data!CX14</f>
        <v>-1391</v>
      </c>
      <c r="CY10" s="453">
        <f>-Data!CY14</f>
        <v>-1379</v>
      </c>
      <c r="CZ10" s="495">
        <f t="shared" si="3"/>
        <v>-5663</v>
      </c>
      <c r="DA10" s="453">
        <f>-Data!DA14</f>
        <v>-1398</v>
      </c>
      <c r="DB10" s="453">
        <f>-Data!DB14</f>
        <v>-1635</v>
      </c>
      <c r="DC10" s="453">
        <f>-Data!DC14</f>
        <v>-1401</v>
      </c>
      <c r="DD10" s="453">
        <f>-Data!DD14</f>
        <v>-1445</v>
      </c>
      <c r="DE10" s="495">
        <f t="shared" si="4"/>
        <v>-5879</v>
      </c>
      <c r="DF10" s="453">
        <f>-Data!DF14</f>
        <v>-1394</v>
      </c>
      <c r="DG10" s="453">
        <f>-Data!DG14</f>
        <v>-1449</v>
      </c>
      <c r="DH10" s="453">
        <f>-Data!DH14</f>
        <v>-1389</v>
      </c>
      <c r="DI10" s="453">
        <f>-Data!DI14</f>
        <v>-1574</v>
      </c>
      <c r="DJ10" s="495">
        <f t="shared" si="5"/>
        <v>-5806</v>
      </c>
      <c r="DK10" s="453">
        <f>-Data!DK14</f>
        <v>-1448</v>
      </c>
      <c r="DL10" s="453">
        <f>-Data!DL14</f>
        <v>-1573</v>
      </c>
      <c r="DM10" s="453">
        <f>-Data!DM14</f>
        <v>-1436</v>
      </c>
      <c r="DN10" s="608">
        <f t="shared" ref="DN10" si="28">-DN6*DN50</f>
        <v>-1695.029325</v>
      </c>
      <c r="DO10" s="495">
        <f t="shared" si="6"/>
        <v>-6152.0293249999995</v>
      </c>
      <c r="DP10" s="608">
        <f t="shared" ref="DP10" si="29">-DP6*DP50</f>
        <v>-1605.9067499999999</v>
      </c>
      <c r="DQ10" s="608">
        <f t="shared" ref="DQ10:DS10" si="30">-DQ6*DQ50</f>
        <v>-1699.5102000000002</v>
      </c>
      <c r="DR10" s="608">
        <f t="shared" si="30"/>
        <v>-1791.3410999999999</v>
      </c>
      <c r="DS10" s="608">
        <f t="shared" si="30"/>
        <v>-1817.3237349000001</v>
      </c>
      <c r="DT10" s="495">
        <f t="shared" si="7"/>
        <v>-6914.0817848999995</v>
      </c>
      <c r="DU10" s="367">
        <f t="shared" ref="DU10:DV10" si="31">-DU6*DU50</f>
        <v>-7374.9568603212001</v>
      </c>
      <c r="DV10" s="367">
        <f t="shared" si="31"/>
        <v>-7816.937198082459</v>
      </c>
    </row>
    <row r="11" spans="1:126" s="45" customFormat="1">
      <c r="A11" s="32"/>
      <c r="B11" s="3" t="s">
        <v>582</v>
      </c>
      <c r="C11" s="85"/>
      <c r="D11" s="85"/>
      <c r="E11" s="85"/>
      <c r="F11" s="85"/>
      <c r="G11" s="85"/>
      <c r="H11" s="85"/>
      <c r="I11" s="85"/>
      <c r="J11" s="198"/>
      <c r="K11" s="198"/>
      <c r="L11" s="198"/>
      <c r="M11" s="198"/>
      <c r="N11" s="195"/>
      <c r="O11" s="198"/>
      <c r="P11" s="198"/>
      <c r="Q11" s="198"/>
      <c r="R11" s="198"/>
      <c r="S11" s="195"/>
      <c r="T11" s="198"/>
      <c r="U11" s="198"/>
      <c r="V11" s="198"/>
      <c r="W11" s="198"/>
      <c r="X11" s="195"/>
      <c r="Y11" s="198"/>
      <c r="Z11" s="198"/>
      <c r="AA11" s="198"/>
      <c r="AB11" s="198"/>
      <c r="AC11" s="195"/>
      <c r="AD11" s="198"/>
      <c r="AE11" s="198"/>
      <c r="AF11" s="198"/>
      <c r="AG11" s="198"/>
      <c r="AH11" s="195"/>
      <c r="AI11" s="198"/>
      <c r="AJ11" s="198"/>
      <c r="AK11" s="198"/>
      <c r="AL11" s="198"/>
      <c r="AM11" s="195"/>
      <c r="AN11" s="198"/>
      <c r="AO11" s="198"/>
      <c r="AP11" s="198"/>
      <c r="AQ11" s="198"/>
      <c r="AR11" s="195"/>
      <c r="AS11" s="198"/>
      <c r="AT11" s="198"/>
      <c r="AU11" s="198"/>
      <c r="AV11" s="198"/>
      <c r="AW11" s="195"/>
      <c r="AX11" s="198"/>
      <c r="AY11" s="198"/>
      <c r="AZ11" s="198"/>
      <c r="BA11" s="198"/>
      <c r="BB11" s="195"/>
      <c r="BC11" s="198"/>
      <c r="BD11" s="198"/>
      <c r="BE11" s="198"/>
      <c r="BF11" s="198"/>
      <c r="BG11" s="195"/>
      <c r="BH11" s="198"/>
      <c r="BI11" s="198"/>
      <c r="BJ11" s="198"/>
      <c r="BK11" s="198"/>
      <c r="BL11" s="195"/>
      <c r="BM11" s="198"/>
      <c r="BN11" s="198"/>
      <c r="BO11" s="198"/>
      <c r="BP11" s="198"/>
      <c r="BQ11" s="195"/>
      <c r="BR11" s="198"/>
      <c r="BS11" s="198"/>
      <c r="BT11" s="198"/>
      <c r="BU11" s="198"/>
      <c r="BV11" s="195"/>
      <c r="BW11" s="198"/>
      <c r="BX11" s="198"/>
      <c r="BY11" s="198"/>
      <c r="BZ11" s="198"/>
      <c r="CA11" s="195"/>
      <c r="CB11" s="198"/>
      <c r="CC11" s="198"/>
      <c r="CD11" s="198"/>
      <c r="CE11" s="198"/>
      <c r="CF11" s="195"/>
      <c r="CG11" s="608"/>
      <c r="CH11" s="608"/>
      <c r="CI11" s="608"/>
      <c r="CJ11" s="608"/>
      <c r="CK11" s="195"/>
      <c r="CL11" s="355">
        <v>0</v>
      </c>
      <c r="CM11" s="453">
        <f>Data!CM15</f>
        <v>-3183</v>
      </c>
      <c r="CN11" s="453">
        <f>Data!CN15</f>
        <v>0</v>
      </c>
      <c r="CO11" s="453">
        <f>Data!CO15</f>
        <v>0</v>
      </c>
      <c r="CP11" s="495">
        <f t="shared" si="1"/>
        <v>-3183</v>
      </c>
      <c r="CQ11" s="453">
        <f>Data!CQ15</f>
        <v>0</v>
      </c>
      <c r="CR11" s="453">
        <f>Data!CR15</f>
        <v>0</v>
      </c>
      <c r="CS11" s="453">
        <f>Data!CS15</f>
        <v>0</v>
      </c>
      <c r="CT11" s="453">
        <f>Data!CT15</f>
        <v>-617</v>
      </c>
      <c r="CU11" s="495">
        <f t="shared" si="2"/>
        <v>-617</v>
      </c>
      <c r="CV11" s="453">
        <f>Data!CV15</f>
        <v>0</v>
      </c>
      <c r="CW11" s="453">
        <f>Data!CW15</f>
        <v>0</v>
      </c>
      <c r="CX11" s="453">
        <f>Data!CX15</f>
        <v>0</v>
      </c>
      <c r="CY11" s="453">
        <f>Data!CY15</f>
        <v>0</v>
      </c>
      <c r="CZ11" s="495">
        <f t="shared" si="3"/>
        <v>0</v>
      </c>
      <c r="DA11" s="355">
        <v>0</v>
      </c>
      <c r="DB11" s="453">
        <f>Data!DB15</f>
        <v>0</v>
      </c>
      <c r="DC11" s="453">
        <f>Data!DC15</f>
        <v>0</v>
      </c>
      <c r="DD11" s="453">
        <f>Data!DD15</f>
        <v>0</v>
      </c>
      <c r="DE11" s="495">
        <f t="shared" si="4"/>
        <v>0</v>
      </c>
      <c r="DF11" s="355">
        <v>0</v>
      </c>
      <c r="DG11" s="453">
        <f>Data!DG15</f>
        <v>0</v>
      </c>
      <c r="DH11" s="453">
        <f>Data!DH15</f>
        <v>0</v>
      </c>
      <c r="DI11" s="453">
        <f>Data!DI15</f>
        <v>0</v>
      </c>
      <c r="DJ11" s="495">
        <f t="shared" si="5"/>
        <v>0</v>
      </c>
      <c r="DK11" s="355">
        <v>0</v>
      </c>
      <c r="DL11" s="453">
        <f>Data!DL15</f>
        <v>0</v>
      </c>
      <c r="DM11" s="453">
        <f>Data!DM15</f>
        <v>0</v>
      </c>
      <c r="DN11" s="355">
        <v>0</v>
      </c>
      <c r="DO11" s="495">
        <f t="shared" si="6"/>
        <v>0</v>
      </c>
      <c r="DP11" s="355">
        <v>0</v>
      </c>
      <c r="DQ11" s="355">
        <v>0</v>
      </c>
      <c r="DR11" s="355">
        <v>0</v>
      </c>
      <c r="DS11" s="355">
        <v>0</v>
      </c>
      <c r="DT11" s="495">
        <f t="shared" si="7"/>
        <v>0</v>
      </c>
      <c r="DU11" s="74">
        <v>0</v>
      </c>
      <c r="DV11" s="74">
        <v>0</v>
      </c>
    </row>
    <row r="12" spans="1:126" s="45" customFormat="1">
      <c r="A12" s="32"/>
      <c r="B12" s="3" t="s">
        <v>523</v>
      </c>
      <c r="C12" s="85"/>
      <c r="D12" s="85"/>
      <c r="E12" s="85"/>
      <c r="F12" s="85"/>
      <c r="G12" s="85"/>
      <c r="H12" s="85"/>
      <c r="I12" s="85"/>
      <c r="J12" s="86"/>
      <c r="K12" s="86"/>
      <c r="L12" s="86"/>
      <c r="M12" s="86"/>
      <c r="N12" s="85"/>
      <c r="O12" s="86"/>
      <c r="P12" s="86"/>
      <c r="Q12" s="86"/>
      <c r="R12" s="86"/>
      <c r="S12" s="85"/>
      <c r="T12" s="86"/>
      <c r="U12" s="86"/>
      <c r="V12" s="86"/>
      <c r="W12" s="86"/>
      <c r="X12" s="85"/>
      <c r="Y12" s="86"/>
      <c r="Z12" s="86"/>
      <c r="AA12" s="86"/>
      <c r="AB12" s="86"/>
      <c r="AC12" s="85"/>
      <c r="AD12" s="86"/>
      <c r="AE12" s="86"/>
      <c r="AF12" s="86"/>
      <c r="AG12" s="86"/>
      <c r="AH12" s="85"/>
      <c r="AI12" s="86"/>
      <c r="AJ12" s="86"/>
      <c r="AK12" s="86"/>
      <c r="AL12" s="86"/>
      <c r="AM12" s="85"/>
      <c r="AN12" s="86"/>
      <c r="AO12" s="86"/>
      <c r="AP12" s="86"/>
      <c r="AQ12" s="86"/>
      <c r="AR12" s="85"/>
      <c r="AS12" s="86"/>
      <c r="AT12" s="86"/>
      <c r="AU12" s="86"/>
      <c r="AV12" s="86"/>
      <c r="AW12" s="85"/>
      <c r="AX12" s="86"/>
      <c r="AY12" s="86"/>
      <c r="AZ12" s="86"/>
      <c r="BA12" s="86"/>
      <c r="BB12" s="85"/>
      <c r="BC12" s="86"/>
      <c r="BD12" s="86"/>
      <c r="BE12" s="86"/>
      <c r="BF12" s="86"/>
      <c r="BG12" s="85"/>
      <c r="BH12" s="86"/>
      <c r="BI12" s="86"/>
      <c r="BJ12" s="86"/>
      <c r="BK12" s="86"/>
      <c r="BL12" s="85"/>
      <c r="BM12" s="86"/>
      <c r="BN12" s="86"/>
      <c r="BO12" s="86"/>
      <c r="BP12" s="86"/>
      <c r="BQ12" s="85"/>
      <c r="BR12" s="86"/>
      <c r="BS12" s="86"/>
      <c r="BT12" s="86"/>
      <c r="BU12" s="86"/>
      <c r="BV12" s="85"/>
      <c r="BW12" s="86"/>
      <c r="BX12" s="86"/>
      <c r="BY12" s="86"/>
      <c r="BZ12" s="86"/>
      <c r="CA12" s="85"/>
      <c r="CB12" s="86"/>
      <c r="CC12" s="86"/>
      <c r="CD12" s="86"/>
      <c r="CE12" s="86"/>
      <c r="CF12" s="85">
        <f>Data!CF16</f>
        <v>337</v>
      </c>
      <c r="CG12" s="672">
        <f>Data!CG16</f>
        <v>97.02</v>
      </c>
      <c r="CH12" s="672">
        <f>Data!CH16</f>
        <v>100.98</v>
      </c>
      <c r="CI12" s="672">
        <f>Data!CI16</f>
        <v>75.95</v>
      </c>
      <c r="CJ12" s="672">
        <f>Data!CJ16</f>
        <v>79.05</v>
      </c>
      <c r="CK12" s="671">
        <f t="shared" si="0"/>
        <v>353</v>
      </c>
      <c r="CL12" s="672">
        <v>75</v>
      </c>
      <c r="CM12" s="676">
        <f>Data!CM16</f>
        <v>82</v>
      </c>
      <c r="CN12" s="676">
        <f>Data!CN16</f>
        <v>734</v>
      </c>
      <c r="CO12" s="676">
        <f>Data!CO16</f>
        <v>50</v>
      </c>
      <c r="CP12" s="671">
        <f t="shared" si="1"/>
        <v>941</v>
      </c>
      <c r="CQ12" s="676">
        <f>Data!CQ16</f>
        <v>108</v>
      </c>
      <c r="CR12" s="676">
        <f>Data!CR16</f>
        <v>82</v>
      </c>
      <c r="CS12" s="676">
        <f>Data!CS16</f>
        <v>124</v>
      </c>
      <c r="CT12" s="676">
        <f>Data!CT16</f>
        <v>109</v>
      </c>
      <c r="CU12" s="671">
        <f t="shared" si="2"/>
        <v>423</v>
      </c>
      <c r="CV12" s="676">
        <f>Data!CV16</f>
        <v>28</v>
      </c>
      <c r="CW12" s="676">
        <f>Data!CW16</f>
        <v>17</v>
      </c>
      <c r="CX12" s="676">
        <f>Data!CX16</f>
        <v>46</v>
      </c>
      <c r="CY12" s="676">
        <f>Data!CY16</f>
        <v>29</v>
      </c>
      <c r="CZ12" s="671">
        <f t="shared" si="3"/>
        <v>120</v>
      </c>
      <c r="DA12" s="676">
        <f>Data!DA16</f>
        <v>88</v>
      </c>
      <c r="DB12" s="676">
        <f>Data!DB16</f>
        <v>25</v>
      </c>
      <c r="DC12" s="676">
        <f>Data!DC16</f>
        <v>3</v>
      </c>
      <c r="DD12" s="676">
        <f>Data!DD16</f>
        <v>-30</v>
      </c>
      <c r="DE12" s="671">
        <f t="shared" si="4"/>
        <v>86</v>
      </c>
      <c r="DF12" s="676">
        <f>Data!DF16</f>
        <v>372</v>
      </c>
      <c r="DG12" s="676">
        <f>Data!DG16</f>
        <v>-896</v>
      </c>
      <c r="DH12" s="676">
        <f>Data!DH16</f>
        <v>134</v>
      </c>
      <c r="DI12" s="676">
        <f>Data!DI16</f>
        <v>258</v>
      </c>
      <c r="DJ12" s="671">
        <f t="shared" si="5"/>
        <v>-132</v>
      </c>
      <c r="DK12" s="676">
        <f>Data!DK16</f>
        <v>4</v>
      </c>
      <c r="DL12" s="676">
        <f>Data!DL16</f>
        <v>40</v>
      </c>
      <c r="DM12" s="676">
        <f>Data!DM16</f>
        <v>63</v>
      </c>
      <c r="DN12" s="672">
        <v>50</v>
      </c>
      <c r="DO12" s="671">
        <f t="shared" si="6"/>
        <v>157</v>
      </c>
      <c r="DP12" s="672">
        <v>50</v>
      </c>
      <c r="DQ12" s="672">
        <v>50</v>
      </c>
      <c r="DR12" s="672">
        <v>50</v>
      </c>
      <c r="DS12" s="672">
        <v>50</v>
      </c>
      <c r="DT12" s="671">
        <f t="shared" si="7"/>
        <v>200</v>
      </c>
      <c r="DU12" s="420">
        <v>200</v>
      </c>
      <c r="DV12" s="420">
        <v>200</v>
      </c>
    </row>
    <row r="13" spans="1:126" s="108" customFormat="1">
      <c r="A13" s="37"/>
      <c r="B13" s="37" t="s">
        <v>34</v>
      </c>
      <c r="C13" s="75"/>
      <c r="D13" s="75"/>
      <c r="E13" s="75"/>
      <c r="F13" s="75"/>
      <c r="G13" s="75"/>
      <c r="H13" s="75"/>
      <c r="I13" s="75"/>
      <c r="J13" s="76"/>
      <c r="K13" s="76"/>
      <c r="L13" s="76"/>
      <c r="M13" s="76"/>
      <c r="N13" s="75"/>
      <c r="O13" s="76"/>
      <c r="P13" s="76"/>
      <c r="Q13" s="76"/>
      <c r="R13" s="76"/>
      <c r="S13" s="75"/>
      <c r="T13" s="76"/>
      <c r="U13" s="76"/>
      <c r="V13" s="76"/>
      <c r="W13" s="76"/>
      <c r="X13" s="75"/>
      <c r="Y13" s="76"/>
      <c r="Z13" s="76"/>
      <c r="AA13" s="76"/>
      <c r="AB13" s="76"/>
      <c r="AC13" s="75"/>
      <c r="AD13" s="76"/>
      <c r="AE13" s="76"/>
      <c r="AF13" s="76"/>
      <c r="AG13" s="76"/>
      <c r="AH13" s="75"/>
      <c r="AI13" s="76"/>
      <c r="AJ13" s="76"/>
      <c r="AK13" s="76"/>
      <c r="AL13" s="76"/>
      <c r="AM13" s="75"/>
      <c r="AN13" s="76"/>
      <c r="AO13" s="76"/>
      <c r="AP13" s="76"/>
      <c r="AQ13" s="76"/>
      <c r="AR13" s="75"/>
      <c r="AS13" s="76"/>
      <c r="AT13" s="76"/>
      <c r="AU13" s="76"/>
      <c r="AV13" s="76"/>
      <c r="AW13" s="75"/>
      <c r="AX13" s="76"/>
      <c r="AY13" s="76"/>
      <c r="AZ13" s="76"/>
      <c r="BA13" s="76"/>
      <c r="BB13" s="75"/>
      <c r="BC13" s="76"/>
      <c r="BD13" s="76"/>
      <c r="BE13" s="76"/>
      <c r="BF13" s="76"/>
      <c r="BG13" s="75"/>
      <c r="BH13" s="76"/>
      <c r="BI13" s="76"/>
      <c r="BJ13" s="76"/>
      <c r="BK13" s="76"/>
      <c r="BL13" s="75"/>
      <c r="BM13" s="76"/>
      <c r="BN13" s="76"/>
      <c r="BO13" s="76"/>
      <c r="BP13" s="76"/>
      <c r="BQ13" s="75"/>
      <c r="BR13" s="76"/>
      <c r="BS13" s="76"/>
      <c r="BT13" s="76"/>
      <c r="BU13" s="76"/>
      <c r="BV13" s="75"/>
      <c r="BW13" s="76"/>
      <c r="BX13" s="76"/>
      <c r="BY13" s="76"/>
      <c r="BZ13" s="76"/>
      <c r="CA13" s="75"/>
      <c r="CB13" s="76"/>
      <c r="CC13" s="76"/>
      <c r="CD13" s="76"/>
      <c r="CE13" s="76"/>
      <c r="CF13" s="75">
        <f>SEG!CF144</f>
        <v>9037.0576280410805</v>
      </c>
      <c r="CG13" s="677">
        <f>SEG!CG144</f>
        <v>1904</v>
      </c>
      <c r="CH13" s="677">
        <f>SEG!CH144</f>
        <v>2265</v>
      </c>
      <c r="CI13" s="677">
        <f>SEG!CI144</f>
        <v>2344</v>
      </c>
      <c r="CJ13" s="677">
        <f>SEG!CJ144</f>
        <v>1932</v>
      </c>
      <c r="CK13" s="496">
        <f t="shared" si="0"/>
        <v>8445</v>
      </c>
      <c r="CL13" s="498">
        <f>SEG!CL144</f>
        <v>2179.3111111111111</v>
      </c>
      <c r="CM13" s="498">
        <f>SEG!CM144</f>
        <v>-3592.8180995475113</v>
      </c>
      <c r="CN13" s="498">
        <f>SUM(CN8:CN12)</f>
        <v>434</v>
      </c>
      <c r="CO13" s="498">
        <f>SUM(CO8:CO12)</f>
        <v>142</v>
      </c>
      <c r="CP13" s="496">
        <f t="shared" si="1"/>
        <v>-837.50698843640021</v>
      </c>
      <c r="CQ13" s="498">
        <f>SUM(CQ8:CQ12)</f>
        <v>1013</v>
      </c>
      <c r="CR13" s="498">
        <f>SUM(CR8:CR12)</f>
        <v>1282</v>
      </c>
      <c r="CS13" s="498">
        <f>SUM(CS8:CS12)</f>
        <v>1343</v>
      </c>
      <c r="CT13" s="498">
        <f>SUM(CT8:CT12)</f>
        <v>703</v>
      </c>
      <c r="CU13" s="496">
        <f t="shared" si="2"/>
        <v>4341</v>
      </c>
      <c r="CV13" s="498">
        <f>SUM(CV8:CV12)</f>
        <v>1080</v>
      </c>
      <c r="CW13" s="498">
        <f>SUM(CW8:CW12)</f>
        <v>1353</v>
      </c>
      <c r="CX13" s="498">
        <f>SUM(CX8:CX12)</f>
        <v>1480</v>
      </c>
      <c r="CY13" s="498">
        <f>SUM(CY8:CY12)</f>
        <v>1501</v>
      </c>
      <c r="CZ13" s="496">
        <f t="shared" si="3"/>
        <v>5414</v>
      </c>
      <c r="DA13" s="498">
        <f>SUM(DA8:DA12)</f>
        <v>1652</v>
      </c>
      <c r="DB13" s="498">
        <f>SUM(DB8:DB12)</f>
        <v>1458</v>
      </c>
      <c r="DC13" s="498">
        <f>SUM(DC8:DC12)</f>
        <v>-1396</v>
      </c>
      <c r="DD13" s="498">
        <f>SUM(DD8:DD12)</f>
        <v>1777</v>
      </c>
      <c r="DE13" s="496">
        <f t="shared" si="4"/>
        <v>3491</v>
      </c>
      <c r="DF13" s="498">
        <f>SUM(DF8:DF12)</f>
        <v>1870</v>
      </c>
      <c r="DG13" s="498">
        <f>SUM(DG8:DG12)</f>
        <v>529</v>
      </c>
      <c r="DH13" s="498">
        <f>SUM(DH8:DH12)</f>
        <v>2028</v>
      </c>
      <c r="DI13" s="498">
        <f>SUM(DI8:DI12)</f>
        <v>2111</v>
      </c>
      <c r="DJ13" s="496">
        <f t="shared" si="5"/>
        <v>6538</v>
      </c>
      <c r="DK13" s="498">
        <f>SUM(DK8:DK12)</f>
        <v>2035</v>
      </c>
      <c r="DL13" s="498">
        <f>SUM(DL8:DL12)</f>
        <v>2146</v>
      </c>
      <c r="DM13" s="498">
        <f>SUM(DM8:DM12)</f>
        <v>2523</v>
      </c>
      <c r="DN13" s="677">
        <f>SEG!DN144</f>
        <v>2323.6336250000004</v>
      </c>
      <c r="DO13" s="496">
        <f t="shared" si="6"/>
        <v>9027.6336250000004</v>
      </c>
      <c r="DP13" s="677">
        <f>SEG!DP144</f>
        <v>2208.9430400000001</v>
      </c>
      <c r="DQ13" s="677">
        <f>SEG!DQ144</f>
        <v>2423.3360160000002</v>
      </c>
      <c r="DR13" s="677">
        <f>SEG!DR144</f>
        <v>2687.3779559999998</v>
      </c>
      <c r="DS13" s="677">
        <f>SEG!DS144</f>
        <v>2711.2694715359999</v>
      </c>
      <c r="DT13" s="496">
        <f t="shared" si="7"/>
        <v>10030.926483535999</v>
      </c>
      <c r="DU13" s="678">
        <f>SEG!DU144</f>
        <v>11036.621194674979</v>
      </c>
      <c r="DV13" s="678">
        <f>SEG!DV144</f>
        <v>12046.965752491491</v>
      </c>
    </row>
    <row r="14" spans="1:126" s="165" customFormat="1">
      <c r="A14" s="3"/>
      <c r="B14" s="180" t="s">
        <v>524</v>
      </c>
      <c r="C14" s="195"/>
      <c r="D14" s="195"/>
      <c r="E14" s="195"/>
      <c r="F14" s="195"/>
      <c r="G14" s="195"/>
      <c r="H14" s="195"/>
      <c r="I14" s="195"/>
      <c r="J14" s="198"/>
      <c r="K14" s="198"/>
      <c r="L14" s="198"/>
      <c r="M14" s="198"/>
      <c r="N14" s="195"/>
      <c r="O14" s="198"/>
      <c r="P14" s="198"/>
      <c r="Q14" s="198"/>
      <c r="R14" s="198"/>
      <c r="S14" s="195"/>
      <c r="T14" s="198"/>
      <c r="U14" s="198"/>
      <c r="V14" s="198"/>
      <c r="W14" s="198"/>
      <c r="X14" s="195"/>
      <c r="Y14" s="198"/>
      <c r="Z14" s="198"/>
      <c r="AA14" s="198"/>
      <c r="AB14" s="198"/>
      <c r="AC14" s="195"/>
      <c r="AD14" s="198"/>
      <c r="AE14" s="198"/>
      <c r="AF14" s="198"/>
      <c r="AG14" s="198"/>
      <c r="AH14" s="195"/>
      <c r="AI14" s="198"/>
      <c r="AJ14" s="198"/>
      <c r="AK14" s="198"/>
      <c r="AL14" s="198"/>
      <c r="AM14" s="195"/>
      <c r="AN14" s="198"/>
      <c r="AO14" s="198"/>
      <c r="AP14" s="198"/>
      <c r="AQ14" s="198"/>
      <c r="AR14" s="195"/>
      <c r="AS14" s="198"/>
      <c r="AT14" s="198"/>
      <c r="AU14" s="198"/>
      <c r="AV14" s="198"/>
      <c r="AW14" s="195"/>
      <c r="AX14" s="198"/>
      <c r="AY14" s="198"/>
      <c r="AZ14" s="198"/>
      <c r="BA14" s="198"/>
      <c r="BB14" s="195"/>
      <c r="BC14" s="198"/>
      <c r="BD14" s="198"/>
      <c r="BE14" s="198"/>
      <c r="BF14" s="198"/>
      <c r="BG14" s="195"/>
      <c r="BH14" s="198"/>
      <c r="BI14" s="198"/>
      <c r="BJ14" s="198"/>
      <c r="BK14" s="198"/>
      <c r="BL14" s="195"/>
      <c r="BM14" s="198"/>
      <c r="BN14" s="198"/>
      <c r="BO14" s="198"/>
      <c r="BP14" s="198"/>
      <c r="BQ14" s="195"/>
      <c r="BR14" s="198"/>
      <c r="BS14" s="198"/>
      <c r="BT14" s="198"/>
      <c r="BU14" s="198"/>
      <c r="BV14" s="195"/>
      <c r="BW14" s="198"/>
      <c r="BX14" s="198"/>
      <c r="BY14" s="198"/>
      <c r="BZ14" s="198"/>
      <c r="CA14" s="195"/>
      <c r="CB14" s="198"/>
      <c r="CC14" s="198"/>
      <c r="CD14" s="198"/>
      <c r="CE14" s="198"/>
      <c r="CF14" s="195">
        <f>-Data!CF18</f>
        <v>1305</v>
      </c>
      <c r="CG14" s="355">
        <f>-Data!CG18</f>
        <v>315.07</v>
      </c>
      <c r="CH14" s="355">
        <f>-Data!CH18</f>
        <v>327.93</v>
      </c>
      <c r="CI14" s="355">
        <f>-Data!CI18</f>
        <v>278.81</v>
      </c>
      <c r="CJ14" s="355">
        <f>-Data!CJ18</f>
        <v>290.19</v>
      </c>
      <c r="CK14" s="195">
        <f>SUM(CG14:CJ14)</f>
        <v>1212</v>
      </c>
      <c r="CL14" s="453">
        <f>-Data!CL18</f>
        <v>276</v>
      </c>
      <c r="CM14" s="453">
        <f>-Data!CM18</f>
        <v>225</v>
      </c>
      <c r="CN14" s="453">
        <f>-Data!CN18</f>
        <v>253</v>
      </c>
      <c r="CO14" s="453">
        <f>-Data!CO18</f>
        <v>244</v>
      </c>
      <c r="CP14" s="495">
        <f>SUM(CL14:CO14)</f>
        <v>998</v>
      </c>
      <c r="CQ14" s="453">
        <f>-Data!CQ18</f>
        <v>491</v>
      </c>
      <c r="CR14" s="453">
        <f>-Data!CR18</f>
        <v>490</v>
      </c>
      <c r="CS14" s="453">
        <f>-Data!CS18</f>
        <v>491</v>
      </c>
      <c r="CT14" s="453">
        <f>-Data!CT18</f>
        <v>472</v>
      </c>
      <c r="CU14" s="495">
        <f>SUM(CQ14:CT14)</f>
        <v>1944</v>
      </c>
      <c r="CV14" s="453">
        <f>-Data!CV18</f>
        <v>480</v>
      </c>
      <c r="CW14" s="453">
        <f>-Data!CW18</f>
        <v>474</v>
      </c>
      <c r="CX14" s="453">
        <f>-Data!CX18</f>
        <v>468</v>
      </c>
      <c r="CY14" s="453">
        <f>-Data!CY18</f>
        <v>467</v>
      </c>
      <c r="CZ14" s="495">
        <f>SUM(CV14:CY14)</f>
        <v>1889</v>
      </c>
      <c r="DA14" s="453">
        <f>-Data!DA18</f>
        <v>444</v>
      </c>
      <c r="DB14" s="453">
        <f>-Data!DB18</f>
        <v>447</v>
      </c>
      <c r="DC14" s="453">
        <f>-Data!DC18</f>
        <v>443</v>
      </c>
      <c r="DD14" s="453">
        <f>-Data!DD18</f>
        <v>446</v>
      </c>
      <c r="DE14" s="495">
        <f>SUM(DA14:DD14)</f>
        <v>1780</v>
      </c>
      <c r="DF14" s="453">
        <f>-Data!DF18</f>
        <v>386</v>
      </c>
      <c r="DG14" s="453">
        <f>-Data!DG18</f>
        <v>374</v>
      </c>
      <c r="DH14" s="453">
        <f>-Data!DH18</f>
        <v>374</v>
      </c>
      <c r="DI14" s="453">
        <f>-Data!DI18</f>
        <v>384</v>
      </c>
      <c r="DJ14" s="495">
        <f>SUM(DF14:DI14)</f>
        <v>1518</v>
      </c>
      <c r="DK14" s="453">
        <f>-Data!DK18</f>
        <v>366</v>
      </c>
      <c r="DL14" s="453">
        <f>-Data!DL18</f>
        <v>351</v>
      </c>
      <c r="DM14" s="453">
        <f>-Data!DM18</f>
        <v>364</v>
      </c>
      <c r="DN14" s="355">
        <v>350</v>
      </c>
      <c r="DO14" s="495">
        <f>SUM(DK14:DN14)</f>
        <v>1431</v>
      </c>
      <c r="DP14" s="355">
        <v>325</v>
      </c>
      <c r="DQ14" s="355">
        <v>325</v>
      </c>
      <c r="DR14" s="355">
        <v>325</v>
      </c>
      <c r="DS14" s="355">
        <v>325</v>
      </c>
      <c r="DT14" s="495">
        <f>SUM(DP14:DS14)</f>
        <v>1300</v>
      </c>
      <c r="DU14" s="74">
        <v>1200</v>
      </c>
      <c r="DV14" s="74">
        <v>1200</v>
      </c>
    </row>
    <row r="15" spans="1:126" s="45" customFormat="1">
      <c r="A15" s="32"/>
      <c r="B15" s="165" t="s">
        <v>525</v>
      </c>
      <c r="C15" s="85"/>
      <c r="D15" s="85"/>
      <c r="E15" s="85"/>
      <c r="F15" s="85"/>
      <c r="G15" s="85"/>
      <c r="H15" s="85"/>
      <c r="I15" s="85"/>
      <c r="J15" s="86"/>
      <c r="K15" s="86"/>
      <c r="L15" s="86"/>
      <c r="M15" s="86"/>
      <c r="N15" s="85"/>
      <c r="O15" s="86"/>
      <c r="P15" s="86"/>
      <c r="Q15" s="86"/>
      <c r="R15" s="86"/>
      <c r="S15" s="85"/>
      <c r="T15" s="86"/>
      <c r="U15" s="86"/>
      <c r="V15" s="86"/>
      <c r="W15" s="86"/>
      <c r="X15" s="85"/>
      <c r="Y15" s="86"/>
      <c r="Z15" s="86"/>
      <c r="AA15" s="86"/>
      <c r="AB15" s="86"/>
      <c r="AC15" s="85"/>
      <c r="AD15" s="86"/>
      <c r="AE15" s="86"/>
      <c r="AF15" s="86"/>
      <c r="AG15" s="86"/>
      <c r="AH15" s="85"/>
      <c r="AI15" s="86"/>
      <c r="AJ15" s="86"/>
      <c r="AK15" s="86"/>
      <c r="AL15" s="86"/>
      <c r="AM15" s="85"/>
      <c r="AN15" s="86"/>
      <c r="AO15" s="86"/>
      <c r="AP15" s="86"/>
      <c r="AQ15" s="86"/>
      <c r="AR15" s="85"/>
      <c r="AS15" s="86"/>
      <c r="AT15" s="86"/>
      <c r="AU15" s="86"/>
      <c r="AV15" s="86"/>
      <c r="AW15" s="85"/>
      <c r="AX15" s="86"/>
      <c r="AY15" s="86"/>
      <c r="AZ15" s="86"/>
      <c r="BA15" s="86"/>
      <c r="BB15" s="85"/>
      <c r="BC15" s="86"/>
      <c r="BD15" s="86"/>
      <c r="BE15" s="86"/>
      <c r="BF15" s="86"/>
      <c r="BG15" s="85"/>
      <c r="BH15" s="86"/>
      <c r="BI15" s="86"/>
      <c r="BJ15" s="86"/>
      <c r="BK15" s="86"/>
      <c r="BL15" s="85"/>
      <c r="BM15" s="86"/>
      <c r="BN15" s="86"/>
      <c r="BO15" s="86"/>
      <c r="BP15" s="86"/>
      <c r="BQ15" s="85"/>
      <c r="BR15" s="86"/>
      <c r="BS15" s="86"/>
      <c r="BT15" s="86"/>
      <c r="BU15" s="86"/>
      <c r="BV15" s="85"/>
      <c r="BW15" s="86"/>
      <c r="BX15" s="86"/>
      <c r="BY15" s="86"/>
      <c r="BZ15" s="86"/>
      <c r="CA15" s="85"/>
      <c r="CB15" s="86"/>
      <c r="CC15" s="86"/>
      <c r="CD15" s="86"/>
      <c r="CE15" s="86"/>
      <c r="CF15" s="85">
        <f>-Data!CF19</f>
        <v>-1001</v>
      </c>
      <c r="CG15" s="672">
        <f>-Data!CG19</f>
        <v>-253.82</v>
      </c>
      <c r="CH15" s="672">
        <f>-Data!CH19</f>
        <v>-264.18</v>
      </c>
      <c r="CI15" s="672">
        <f>-Data!CI19</f>
        <v>-274.89</v>
      </c>
      <c r="CJ15" s="672">
        <f>-Data!CJ19</f>
        <v>-286.11</v>
      </c>
      <c r="CK15" s="85">
        <f>SUM(CG15:CJ15)</f>
        <v>-1079</v>
      </c>
      <c r="CL15" s="676">
        <f>-Data!CL19</f>
        <v>-252</v>
      </c>
      <c r="CM15" s="676">
        <f>-Data!CM19</f>
        <v>-337</v>
      </c>
      <c r="CN15" s="676">
        <f>-Data!CN19</f>
        <v>-350</v>
      </c>
      <c r="CO15" s="676">
        <f>-Data!CO19</f>
        <v>-349</v>
      </c>
      <c r="CP15" s="671">
        <f>SUM(CL15:CO15)</f>
        <v>-1288</v>
      </c>
      <c r="CQ15" s="676">
        <f>-Data!CQ19</f>
        <v>-346</v>
      </c>
      <c r="CR15" s="676">
        <f>-Data!CR19</f>
        <v>-342</v>
      </c>
      <c r="CS15" s="676">
        <f>-Data!CS19</f>
        <v>-358</v>
      </c>
      <c r="CT15" s="676">
        <f>-Data!CT19</f>
        <v>-308</v>
      </c>
      <c r="CU15" s="671">
        <f>SUM(CQ15:CT15)</f>
        <v>-1354</v>
      </c>
      <c r="CV15" s="676">
        <f>-Data!CV19</f>
        <v>-318</v>
      </c>
      <c r="CW15" s="676">
        <f>-Data!CW19</f>
        <v>-329</v>
      </c>
      <c r="CX15" s="676">
        <f>-Data!CX19</f>
        <v>-311</v>
      </c>
      <c r="CY15" s="676">
        <f>-Data!CY19</f>
        <v>-318</v>
      </c>
      <c r="CZ15" s="671">
        <f>SUM(CV15:CY15)</f>
        <v>-1276</v>
      </c>
      <c r="DA15" s="676">
        <f>-Data!DA19</f>
        <v>-315</v>
      </c>
      <c r="DB15" s="676">
        <f>-Data!DB19</f>
        <v>-333</v>
      </c>
      <c r="DC15" s="676">
        <f>-Data!DC19</f>
        <v>-369</v>
      </c>
      <c r="DD15" s="676">
        <f>-Data!DD19</f>
        <v>-488</v>
      </c>
      <c r="DE15" s="671">
        <f>SUM(DA15:DD15)</f>
        <v>-1505</v>
      </c>
      <c r="DF15" s="676">
        <f>-Data!DF19</f>
        <v>-405</v>
      </c>
      <c r="DG15" s="676">
        <f>-Data!DG19</f>
        <v>-475</v>
      </c>
      <c r="DH15" s="676">
        <f>-Data!DH19</f>
        <v>-496</v>
      </c>
      <c r="DI15" s="676">
        <f>-Data!DI19</f>
        <v>-486</v>
      </c>
      <c r="DJ15" s="671">
        <f>SUM(DF15:DI15)</f>
        <v>-1862</v>
      </c>
      <c r="DK15" s="676">
        <f>-Data!DK19</f>
        <v>-443</v>
      </c>
      <c r="DL15" s="676">
        <f>-Data!DL19</f>
        <v>-457</v>
      </c>
      <c r="DM15" s="676">
        <f>-Data!DM19</f>
        <v>-449</v>
      </c>
      <c r="DN15" s="672">
        <f>(BS!DN7*0.015/4)-(BS!DN56*(0.05/4))</f>
        <v>-449.48272000000003</v>
      </c>
      <c r="DO15" s="671">
        <f>SUM(DK15:DN15)</f>
        <v>-1798.48272</v>
      </c>
      <c r="DP15" s="672">
        <f>(BS!DP7*0.015/4)-(BS!DP56*(0.0485/4))</f>
        <v>-437.265715</v>
      </c>
      <c r="DQ15" s="672">
        <f>(BS!DQ7*0.015/4)-(BS!DQ56*(0.0485/4))</f>
        <v>-438.36480699999998</v>
      </c>
      <c r="DR15" s="672">
        <f>(BS!DR7*0.015/4)-(BS!DR56*(0.0485/4))</f>
        <v>-437.46237400000001</v>
      </c>
      <c r="DS15" s="672">
        <f>(BS!DS7*0.015/4)-(BS!DS56*(0.0485/4))</f>
        <v>-430.67341599999997</v>
      </c>
      <c r="DT15" s="671">
        <f>SUM(DP15:DS15)</f>
        <v>-1743.7663119999997</v>
      </c>
      <c r="DU15" s="420">
        <f>(BS!DU7*0.015)-(BS!DU56*(0.0485))</f>
        <v>-1710.2208484</v>
      </c>
      <c r="DV15" s="420">
        <f>(BS!DV7*0.015)-(BS!DV56*(0.0485))</f>
        <v>-1701.4540452400001</v>
      </c>
    </row>
    <row r="16" spans="1:126" s="108" customFormat="1">
      <c r="A16" s="37"/>
      <c r="B16" s="37" t="s">
        <v>35</v>
      </c>
      <c r="C16" s="75"/>
      <c r="D16" s="75"/>
      <c r="E16" s="75"/>
      <c r="F16" s="75"/>
      <c r="G16" s="75"/>
      <c r="H16" s="75"/>
      <c r="I16" s="75"/>
      <c r="J16" s="76"/>
      <c r="K16" s="76"/>
      <c r="L16" s="76"/>
      <c r="M16" s="76"/>
      <c r="N16" s="75"/>
      <c r="O16" s="76"/>
      <c r="P16" s="76"/>
      <c r="Q16" s="76"/>
      <c r="R16" s="76"/>
      <c r="S16" s="75"/>
      <c r="T16" s="76"/>
      <c r="U16" s="76"/>
      <c r="V16" s="76"/>
      <c r="W16" s="76"/>
      <c r="X16" s="75"/>
      <c r="Y16" s="76"/>
      <c r="Z16" s="76"/>
      <c r="AA16" s="76"/>
      <c r="AB16" s="76"/>
      <c r="AC16" s="75"/>
      <c r="AD16" s="76"/>
      <c r="AE16" s="76"/>
      <c r="AF16" s="76"/>
      <c r="AG16" s="76"/>
      <c r="AH16" s="75"/>
      <c r="AI16" s="76"/>
      <c r="AJ16" s="76"/>
      <c r="AK16" s="76"/>
      <c r="AL16" s="76"/>
      <c r="AM16" s="75"/>
      <c r="AN16" s="76"/>
      <c r="AO16" s="76"/>
      <c r="AP16" s="76"/>
      <c r="AQ16" s="76"/>
      <c r="AR16" s="75"/>
      <c r="AS16" s="76"/>
      <c r="AT16" s="76"/>
      <c r="AU16" s="76"/>
      <c r="AV16" s="76"/>
      <c r="AW16" s="75"/>
      <c r="AX16" s="76"/>
      <c r="AY16" s="76"/>
      <c r="AZ16" s="76"/>
      <c r="BA16" s="76"/>
      <c r="BB16" s="75"/>
      <c r="BC16" s="76"/>
      <c r="BD16" s="76"/>
      <c r="BE16" s="76"/>
      <c r="BF16" s="76"/>
      <c r="BG16" s="75"/>
      <c r="BH16" s="76"/>
      <c r="BI16" s="76"/>
      <c r="BJ16" s="76"/>
      <c r="BK16" s="76"/>
      <c r="BL16" s="75"/>
      <c r="BM16" s="76"/>
      <c r="BN16" s="76"/>
      <c r="BO16" s="76"/>
      <c r="BP16" s="76"/>
      <c r="BQ16" s="75"/>
      <c r="BR16" s="76"/>
      <c r="BS16" s="76"/>
      <c r="BT16" s="76"/>
      <c r="BU16" s="76"/>
      <c r="BV16" s="75"/>
      <c r="BW16" s="76"/>
      <c r="BX16" s="76"/>
      <c r="BY16" s="76"/>
      <c r="BZ16" s="76"/>
      <c r="CA16" s="75"/>
      <c r="CB16" s="76"/>
      <c r="CC16" s="76"/>
      <c r="CD16" s="76"/>
      <c r="CE16" s="76"/>
      <c r="CF16" s="75">
        <f t="shared" ref="CF16" si="32">SUM(CF13:CF15)</f>
        <v>9341.0576280410805</v>
      </c>
      <c r="CG16" s="498">
        <f t="shared" ref="CG16" si="33">SUM(CG13:CG15)</f>
        <v>1965.2500000000002</v>
      </c>
      <c r="CH16" s="498">
        <f t="shared" ref="CH16:CI16" si="34">SUM(CH13:CH15)</f>
        <v>2328.75</v>
      </c>
      <c r="CI16" s="498">
        <f t="shared" si="34"/>
        <v>2347.92</v>
      </c>
      <c r="CJ16" s="498">
        <f t="shared" ref="CJ16" si="35">SUM(CJ13:CJ15)</f>
        <v>1936.08</v>
      </c>
      <c r="CK16" s="75">
        <f t="shared" ref="CK16:CK17" si="36">SUM(CG16:CJ16)</f>
        <v>8578</v>
      </c>
      <c r="CL16" s="498">
        <f t="shared" ref="CL16:CM16" si="37">SUM(CL13:CL15)</f>
        <v>2203.3111111111111</v>
      </c>
      <c r="CM16" s="498">
        <f t="shared" si="37"/>
        <v>-3704.8180995475113</v>
      </c>
      <c r="CN16" s="498">
        <f t="shared" ref="CN16:CO16" si="38">SUM(CN13:CN15)</f>
        <v>337</v>
      </c>
      <c r="CO16" s="498">
        <f t="shared" si="38"/>
        <v>37</v>
      </c>
      <c r="CP16" s="496">
        <f t="shared" ref="CP16:CP17" si="39">SUM(CL16:CO16)</f>
        <v>-1127.5069884364002</v>
      </c>
      <c r="CQ16" s="498">
        <f t="shared" ref="CQ16:CR16" si="40">SUM(CQ13:CQ15)</f>
        <v>1158</v>
      </c>
      <c r="CR16" s="498">
        <f t="shared" si="40"/>
        <v>1430</v>
      </c>
      <c r="CS16" s="498">
        <f t="shared" ref="CS16:CT16" si="41">SUM(CS13:CS15)</f>
        <v>1476</v>
      </c>
      <c r="CT16" s="498">
        <f t="shared" si="41"/>
        <v>867</v>
      </c>
      <c r="CU16" s="496">
        <f t="shared" ref="CU16:CU17" si="42">SUM(CQ16:CT16)</f>
        <v>4931</v>
      </c>
      <c r="CV16" s="498">
        <f t="shared" ref="CV16:CW16" si="43">SUM(CV13:CV15)</f>
        <v>1242</v>
      </c>
      <c r="CW16" s="498">
        <f t="shared" si="43"/>
        <v>1498</v>
      </c>
      <c r="CX16" s="498">
        <f t="shared" ref="CX16" si="44">SUM(CX13:CX15)</f>
        <v>1637</v>
      </c>
      <c r="CY16" s="498">
        <f t="shared" ref="CY16" si="45">SUM(CY13:CY15)</f>
        <v>1650</v>
      </c>
      <c r="CZ16" s="496">
        <f t="shared" ref="CZ16:CZ17" si="46">SUM(CV16:CY16)</f>
        <v>6027</v>
      </c>
      <c r="DA16" s="498">
        <f t="shared" ref="DA16:DD16" si="47">SUM(DA13:DA15)</f>
        <v>1781</v>
      </c>
      <c r="DB16" s="498">
        <f t="shared" si="47"/>
        <v>1572</v>
      </c>
      <c r="DC16" s="498">
        <f t="shared" si="47"/>
        <v>-1322</v>
      </c>
      <c r="DD16" s="498">
        <f t="shared" si="47"/>
        <v>1735</v>
      </c>
      <c r="DE16" s="496">
        <f t="shared" ref="DE16:DE17" si="48">SUM(DA16:DD16)</f>
        <v>3766</v>
      </c>
      <c r="DF16" s="498">
        <f t="shared" ref="DF16:DI16" si="49">SUM(DF13:DF15)</f>
        <v>1851</v>
      </c>
      <c r="DG16" s="498">
        <f t="shared" si="49"/>
        <v>428</v>
      </c>
      <c r="DH16" s="498">
        <f t="shared" si="49"/>
        <v>1906</v>
      </c>
      <c r="DI16" s="498">
        <f t="shared" si="49"/>
        <v>2009</v>
      </c>
      <c r="DJ16" s="496">
        <f t="shared" ref="DJ16:DJ17" si="50">SUM(DF16:DI16)</f>
        <v>6194</v>
      </c>
      <c r="DK16" s="498">
        <f t="shared" ref="DK16:DM16" si="51">SUM(DK13:DK15)</f>
        <v>1958</v>
      </c>
      <c r="DL16" s="498">
        <f t="shared" si="51"/>
        <v>2040</v>
      </c>
      <c r="DM16" s="498">
        <f t="shared" si="51"/>
        <v>2438</v>
      </c>
      <c r="DN16" s="498">
        <f t="shared" ref="DN16" si="52">SUM(DN13:DN15)</f>
        <v>2224.1509050000004</v>
      </c>
      <c r="DO16" s="496">
        <f t="shared" ref="DO16:DO17" si="53">SUM(DK16:DN16)</f>
        <v>8660.1509050000004</v>
      </c>
      <c r="DP16" s="498">
        <f t="shared" ref="DP16" si="54">SUM(DP13:DP15)</f>
        <v>2096.6773250000001</v>
      </c>
      <c r="DQ16" s="498">
        <f t="shared" ref="DQ16:DS16" si="55">SUM(DQ13:DQ15)</f>
        <v>2309.9712090000003</v>
      </c>
      <c r="DR16" s="498">
        <f t="shared" si="55"/>
        <v>2574.9155819999996</v>
      </c>
      <c r="DS16" s="498">
        <f t="shared" si="55"/>
        <v>2605.5960555359998</v>
      </c>
      <c r="DT16" s="496">
        <f t="shared" ref="DT16:DT17" si="56">SUM(DP16:DS16)</f>
        <v>9587.1601715359993</v>
      </c>
      <c r="DU16" s="496">
        <f t="shared" ref="DU16:DV16" si="57">SUM(DU13:DU15)</f>
        <v>10526.400346274979</v>
      </c>
      <c r="DV16" s="496">
        <f t="shared" si="57"/>
        <v>11545.511707251491</v>
      </c>
    </row>
    <row r="17" spans="1:126" s="45" customFormat="1">
      <c r="A17" s="32"/>
      <c r="B17" s="3" t="s">
        <v>526</v>
      </c>
      <c r="C17" s="17"/>
      <c r="D17" s="17"/>
      <c r="E17" s="17"/>
      <c r="F17" s="17"/>
      <c r="G17" s="17"/>
      <c r="H17" s="17"/>
      <c r="I17" s="17"/>
      <c r="J17" s="198"/>
      <c r="K17" s="198"/>
      <c r="L17" s="198"/>
      <c r="M17" s="198"/>
      <c r="N17" s="17"/>
      <c r="O17" s="198"/>
      <c r="P17" s="198"/>
      <c r="Q17" s="198"/>
      <c r="R17" s="198"/>
      <c r="S17" s="17"/>
      <c r="T17" s="198"/>
      <c r="U17" s="198"/>
      <c r="V17" s="198"/>
      <c r="W17" s="198"/>
      <c r="X17" s="17"/>
      <c r="Y17" s="198"/>
      <c r="Z17" s="198"/>
      <c r="AA17" s="198"/>
      <c r="AB17" s="198"/>
      <c r="AC17" s="17"/>
      <c r="AD17" s="198"/>
      <c r="AE17" s="198"/>
      <c r="AF17" s="198"/>
      <c r="AG17" s="198"/>
      <c r="AH17" s="17"/>
      <c r="AI17" s="198"/>
      <c r="AJ17" s="198"/>
      <c r="AK17" s="198"/>
      <c r="AL17" s="198"/>
      <c r="AM17" s="17"/>
      <c r="AN17" s="198"/>
      <c r="AO17" s="198"/>
      <c r="AP17" s="198"/>
      <c r="AQ17" s="198"/>
      <c r="AR17" s="17"/>
      <c r="AS17" s="198"/>
      <c r="AT17" s="198"/>
      <c r="AU17" s="198"/>
      <c r="AV17" s="198"/>
      <c r="AW17" s="17"/>
      <c r="AX17" s="198"/>
      <c r="AY17" s="198"/>
      <c r="AZ17" s="198"/>
      <c r="BA17" s="198"/>
      <c r="BB17" s="17"/>
      <c r="BC17" s="198"/>
      <c r="BD17" s="198"/>
      <c r="BE17" s="198"/>
      <c r="BF17" s="198"/>
      <c r="BG17" s="17"/>
      <c r="BH17" s="198"/>
      <c r="BI17" s="198"/>
      <c r="BJ17" s="198"/>
      <c r="BK17" s="198"/>
      <c r="BL17" s="17"/>
      <c r="BM17" s="198"/>
      <c r="BN17" s="198"/>
      <c r="BO17" s="198"/>
      <c r="BP17" s="198"/>
      <c r="BQ17" s="17"/>
      <c r="BR17" s="198"/>
      <c r="BS17" s="198"/>
      <c r="BT17" s="198"/>
      <c r="BU17" s="198"/>
      <c r="BV17" s="17"/>
      <c r="BW17" s="198"/>
      <c r="BX17" s="198"/>
      <c r="BY17" s="198"/>
      <c r="BZ17" s="198"/>
      <c r="CA17" s="17"/>
      <c r="CB17" s="198"/>
      <c r="CC17" s="198"/>
      <c r="CD17" s="198"/>
      <c r="CE17" s="198"/>
      <c r="CF17" s="17">
        <f>-Data!CF21</f>
        <v>-1808</v>
      </c>
      <c r="CG17" s="608">
        <f>-Data!CG21</f>
        <v>-296.94</v>
      </c>
      <c r="CH17" s="608">
        <f>-Data!CH21</f>
        <v>-309.06</v>
      </c>
      <c r="CI17" s="608">
        <f>-Data!CI21</f>
        <v>-299.88</v>
      </c>
      <c r="CJ17" s="608">
        <f>-Data!CJ21</f>
        <v>-312.12</v>
      </c>
      <c r="CK17" s="366">
        <f t="shared" si="36"/>
        <v>-1218</v>
      </c>
      <c r="CL17" s="453">
        <f>-Data!CL21</f>
        <v>-419</v>
      </c>
      <c r="CM17" s="453">
        <f>-Data!CM21</f>
        <v>23</v>
      </c>
      <c r="CN17" s="453">
        <f>-Data!CN21</f>
        <v>-152</v>
      </c>
      <c r="CO17" s="453">
        <f>-Data!CO21</f>
        <v>178</v>
      </c>
      <c r="CP17" s="366">
        <f t="shared" si="39"/>
        <v>-370</v>
      </c>
      <c r="CQ17" s="453">
        <f>-Data!CQ21</f>
        <v>-345</v>
      </c>
      <c r="CR17" s="453">
        <f>-Data!CR21</f>
        <v>-342</v>
      </c>
      <c r="CS17" s="453">
        <f>-Data!CS21</f>
        <v>-3</v>
      </c>
      <c r="CT17" s="453">
        <f>-Data!CT21</f>
        <v>-96</v>
      </c>
      <c r="CU17" s="366">
        <f t="shared" si="42"/>
        <v>-786</v>
      </c>
      <c r="CV17" s="453">
        <f>-Data!CV21</f>
        <v>-116</v>
      </c>
      <c r="CW17" s="453">
        <f>-Data!CW21</f>
        <v>-160</v>
      </c>
      <c r="CX17" s="453">
        <f>-Data!CX21</f>
        <v>-242</v>
      </c>
      <c r="CY17" s="453">
        <f>-Data!CY21</f>
        <v>-182</v>
      </c>
      <c r="CZ17" s="366">
        <f t="shared" si="46"/>
        <v>-700</v>
      </c>
      <c r="DA17" s="453">
        <f>-Data!DA21</f>
        <v>-300</v>
      </c>
      <c r="DB17" s="453">
        <f>-Data!DB21</f>
        <v>-213</v>
      </c>
      <c r="DC17" s="453">
        <f>-Data!DC21</f>
        <v>389</v>
      </c>
      <c r="DD17" s="453">
        <f>-Data!DD21</f>
        <v>-262</v>
      </c>
      <c r="DE17" s="366">
        <f t="shared" si="48"/>
        <v>-386</v>
      </c>
      <c r="DF17" s="453">
        <f>-Data!DF21</f>
        <v>-108</v>
      </c>
      <c r="DG17" s="453">
        <f>-Data!DG21</f>
        <v>-253</v>
      </c>
      <c r="DH17" s="453">
        <f>-Data!DH21</f>
        <v>-371</v>
      </c>
      <c r="DI17" s="453">
        <f>-Data!DI21</f>
        <v>-449</v>
      </c>
      <c r="DJ17" s="366">
        <f t="shared" si="50"/>
        <v>-1181</v>
      </c>
      <c r="DK17" s="453">
        <f>-Data!DK21</f>
        <v>-333</v>
      </c>
      <c r="DL17" s="453">
        <f>-Data!DL21</f>
        <v>-315</v>
      </c>
      <c r="DM17" s="453">
        <f>-Data!DM21</f>
        <v>-432</v>
      </c>
      <c r="DN17" s="608">
        <f t="shared" ref="DN17" si="58">-DN16*DN54</f>
        <v>-533.79621720000011</v>
      </c>
      <c r="DO17" s="366">
        <f t="shared" si="53"/>
        <v>-1613.7962172000002</v>
      </c>
      <c r="DP17" s="608">
        <f t="shared" ref="DP17" si="59">-DP16*DP54</f>
        <v>-398.36869175000004</v>
      </c>
      <c r="DQ17" s="608">
        <f t="shared" ref="DQ17:DS17" si="60">-DQ16*DQ54</f>
        <v>-438.89452971000003</v>
      </c>
      <c r="DR17" s="608">
        <f t="shared" si="60"/>
        <v>-489.23396057999992</v>
      </c>
      <c r="DS17" s="608">
        <f t="shared" si="60"/>
        <v>-495.06325055183999</v>
      </c>
      <c r="DT17" s="366">
        <f t="shared" si="56"/>
        <v>-1821.56043259184</v>
      </c>
      <c r="DU17" s="367">
        <f t="shared" ref="DU17:DV17" si="61">-DU16*DU54</f>
        <v>-2000.0160657922461</v>
      </c>
      <c r="DV17" s="367">
        <f t="shared" si="61"/>
        <v>-2193.6472243777835</v>
      </c>
    </row>
    <row r="18" spans="1:126" s="45" customFormat="1">
      <c r="A18" s="32"/>
      <c r="B18" s="32" t="s">
        <v>36</v>
      </c>
      <c r="C18" s="17"/>
      <c r="D18" s="17"/>
      <c r="E18" s="17"/>
      <c r="F18" s="17"/>
      <c r="G18" s="17"/>
      <c r="H18" s="17"/>
      <c r="I18" s="17"/>
      <c r="J18" s="210"/>
      <c r="K18" s="210"/>
      <c r="L18" s="210"/>
      <c r="M18" s="210"/>
      <c r="N18" s="17"/>
      <c r="O18" s="210"/>
      <c r="P18" s="210"/>
      <c r="Q18" s="210"/>
      <c r="R18" s="210"/>
      <c r="S18" s="17"/>
      <c r="T18" s="210"/>
      <c r="U18" s="210"/>
      <c r="V18" s="210"/>
      <c r="W18" s="210"/>
      <c r="X18" s="17"/>
      <c r="Y18" s="210"/>
      <c r="Z18" s="210"/>
      <c r="AA18" s="210"/>
      <c r="AB18" s="210"/>
      <c r="AC18" s="17"/>
      <c r="AD18" s="210"/>
      <c r="AE18" s="210"/>
      <c r="AF18" s="210"/>
      <c r="AG18" s="210"/>
      <c r="AH18" s="17"/>
      <c r="AI18" s="210"/>
      <c r="AJ18" s="210"/>
      <c r="AK18" s="210"/>
      <c r="AL18" s="210"/>
      <c r="AM18" s="17"/>
      <c r="AN18" s="210"/>
      <c r="AO18" s="210"/>
      <c r="AP18" s="210"/>
      <c r="AQ18" s="210"/>
      <c r="AR18" s="17"/>
      <c r="AS18" s="210"/>
      <c r="AT18" s="210"/>
      <c r="AU18" s="210"/>
      <c r="AV18" s="210"/>
      <c r="AW18" s="17"/>
      <c r="AX18" s="210"/>
      <c r="AY18" s="210"/>
      <c r="AZ18" s="210"/>
      <c r="BA18" s="210"/>
      <c r="BB18" s="17"/>
      <c r="BC18" s="210"/>
      <c r="BD18" s="210"/>
      <c r="BE18" s="210"/>
      <c r="BF18" s="210"/>
      <c r="BG18" s="17"/>
      <c r="BH18" s="210"/>
      <c r="BI18" s="210"/>
      <c r="BJ18" s="210"/>
      <c r="BK18" s="210"/>
      <c r="BL18" s="17"/>
      <c r="BM18" s="210"/>
      <c r="BN18" s="210"/>
      <c r="BO18" s="210"/>
      <c r="BP18" s="210"/>
      <c r="BQ18" s="17"/>
      <c r="BR18" s="210"/>
      <c r="BS18" s="210"/>
      <c r="BT18" s="210"/>
      <c r="BU18" s="210"/>
      <c r="BV18" s="17"/>
      <c r="BW18" s="210"/>
      <c r="BX18" s="210"/>
      <c r="BY18" s="210"/>
      <c r="BZ18" s="210"/>
      <c r="CA18" s="17"/>
      <c r="CB18" s="210"/>
      <c r="CC18" s="210"/>
      <c r="CD18" s="210"/>
      <c r="CE18" s="210"/>
      <c r="CF18" s="17">
        <f>-Data!CF25</f>
        <v>-163</v>
      </c>
      <c r="CG18" s="73">
        <f>-Data!CG25</f>
        <v>-41.16</v>
      </c>
      <c r="CH18" s="73">
        <f>-Data!CH25</f>
        <v>-42.84</v>
      </c>
      <c r="CI18" s="73">
        <f>-Data!CI25</f>
        <v>-60.269999999999996</v>
      </c>
      <c r="CJ18" s="73">
        <f>-Data!CJ25</f>
        <v>-62.730000000000004</v>
      </c>
      <c r="CK18" s="366">
        <f>SUM(CG18:CJ18)</f>
        <v>-207</v>
      </c>
      <c r="CL18" s="453">
        <f>-Data!CL25</f>
        <v>-56</v>
      </c>
      <c r="CM18" s="453">
        <f>-Data!CM25</f>
        <v>-24</v>
      </c>
      <c r="CN18" s="453">
        <f>-Data!CN25</f>
        <v>-34</v>
      </c>
      <c r="CO18" s="453">
        <f>-Data!CO25</f>
        <v>-69</v>
      </c>
      <c r="CP18" s="366">
        <f>SUM(CL18:CO18)</f>
        <v>-183</v>
      </c>
      <c r="CQ18" s="453">
        <f>-Data!CQ25</f>
        <v>-41</v>
      </c>
      <c r="CR18" s="210">
        <f>-Data!CR25</f>
        <v>-48</v>
      </c>
      <c r="CS18" s="210">
        <f>-Data!CS25</f>
        <v>-73</v>
      </c>
      <c r="CT18" s="210">
        <f>-Data!CT25</f>
        <v>-86</v>
      </c>
      <c r="CU18" s="366">
        <f>SUM(CQ18:CT18)</f>
        <v>-248</v>
      </c>
      <c r="CV18" s="210">
        <f>-Data!CV25</f>
        <v>-23</v>
      </c>
      <c r="CW18" s="210">
        <f>-Data!CW25</f>
        <v>-34</v>
      </c>
      <c r="CX18" s="210">
        <f>-Data!CX25</f>
        <v>-8</v>
      </c>
      <c r="CY18" s="210">
        <f>-Data!CY25</f>
        <v>-46</v>
      </c>
      <c r="CZ18" s="366">
        <f>SUM(CV18:CY18)</f>
        <v>-111</v>
      </c>
      <c r="DA18" s="210">
        <f>-Data!DA25</f>
        <v>-55</v>
      </c>
      <c r="DB18" s="210">
        <f>-Data!DB25</f>
        <v>-32</v>
      </c>
      <c r="DC18" s="210">
        <f>-Data!DC25</f>
        <v>-51</v>
      </c>
      <c r="DD18" s="210">
        <f>-Data!DD25</f>
        <v>-47</v>
      </c>
      <c r="DE18" s="366">
        <f>SUM(DA18:DD18)</f>
        <v>-185</v>
      </c>
      <c r="DF18" s="210">
        <f>-Data!DF25</f>
        <v>-34</v>
      </c>
      <c r="DG18" s="210">
        <f>-Data!DG25</f>
        <v>-64</v>
      </c>
      <c r="DH18" s="210">
        <f>-Data!DH25</f>
        <v>-63</v>
      </c>
      <c r="DI18" s="210">
        <f>-Data!DI25</f>
        <v>-78</v>
      </c>
      <c r="DJ18" s="366">
        <f>SUM(DF18:DI18)</f>
        <v>-239</v>
      </c>
      <c r="DK18" s="210">
        <f>-Data!DK25</f>
        <v>-90</v>
      </c>
      <c r="DL18" s="210">
        <f>-Data!DL25</f>
        <v>-68</v>
      </c>
      <c r="DM18" s="210">
        <f>-Data!DM25</f>
        <v>-88</v>
      </c>
      <c r="DN18" s="73">
        <v>-90</v>
      </c>
      <c r="DO18" s="366">
        <f>SUM(DK18:DN18)</f>
        <v>-336</v>
      </c>
      <c r="DP18" s="73">
        <v>-75</v>
      </c>
      <c r="DQ18" s="73">
        <v>-85</v>
      </c>
      <c r="DR18" s="73">
        <v>-90</v>
      </c>
      <c r="DS18" s="73">
        <v>-95</v>
      </c>
      <c r="DT18" s="366">
        <f>SUM(DP18:DS18)</f>
        <v>-345</v>
      </c>
      <c r="DU18" s="74">
        <v>-355</v>
      </c>
      <c r="DV18" s="74">
        <v>-375</v>
      </c>
    </row>
    <row r="19" spans="1:126" s="108" customFormat="1">
      <c r="A19" s="37"/>
      <c r="B19" s="47" t="s">
        <v>37</v>
      </c>
      <c r="C19" s="154"/>
      <c r="D19" s="154"/>
      <c r="E19" s="154"/>
      <c r="F19" s="154"/>
      <c r="G19" s="154"/>
      <c r="H19" s="154"/>
      <c r="I19" s="154"/>
      <c r="J19" s="155"/>
      <c r="K19" s="155"/>
      <c r="L19" s="155"/>
      <c r="M19" s="155"/>
      <c r="N19" s="154"/>
      <c r="O19" s="155"/>
      <c r="P19" s="155"/>
      <c r="Q19" s="155"/>
      <c r="R19" s="155"/>
      <c r="S19" s="154"/>
      <c r="T19" s="155"/>
      <c r="U19" s="155"/>
      <c r="V19" s="155"/>
      <c r="W19" s="155"/>
      <c r="X19" s="154"/>
      <c r="Y19" s="155"/>
      <c r="Z19" s="155"/>
      <c r="AA19" s="155"/>
      <c r="AB19" s="155"/>
      <c r="AC19" s="154"/>
      <c r="AD19" s="155"/>
      <c r="AE19" s="155"/>
      <c r="AF19" s="155"/>
      <c r="AG19" s="155"/>
      <c r="AH19" s="154"/>
      <c r="AI19" s="155"/>
      <c r="AJ19" s="155"/>
      <c r="AK19" s="155"/>
      <c r="AL19" s="155"/>
      <c r="AM19" s="154"/>
      <c r="AN19" s="155"/>
      <c r="AO19" s="155"/>
      <c r="AP19" s="155"/>
      <c r="AQ19" s="155"/>
      <c r="AR19" s="154"/>
      <c r="AS19" s="155"/>
      <c r="AT19" s="155"/>
      <c r="AU19" s="155"/>
      <c r="AV19" s="155"/>
      <c r="AW19" s="154"/>
      <c r="AX19" s="155"/>
      <c r="AY19" s="155"/>
      <c r="AZ19" s="155"/>
      <c r="BA19" s="155"/>
      <c r="BB19" s="154"/>
      <c r="BC19" s="155"/>
      <c r="BD19" s="155"/>
      <c r="BE19" s="155"/>
      <c r="BF19" s="155"/>
      <c r="BG19" s="154"/>
      <c r="BH19" s="155"/>
      <c r="BI19" s="155"/>
      <c r="BJ19" s="155"/>
      <c r="BK19" s="155"/>
      <c r="BL19" s="154"/>
      <c r="BM19" s="155"/>
      <c r="BN19" s="155"/>
      <c r="BO19" s="155"/>
      <c r="BP19" s="155"/>
      <c r="BQ19" s="154"/>
      <c r="BR19" s="155"/>
      <c r="BS19" s="155"/>
      <c r="BT19" s="155"/>
      <c r="BU19" s="155"/>
      <c r="BV19" s="154"/>
      <c r="BW19" s="155"/>
      <c r="BX19" s="155"/>
      <c r="BY19" s="155"/>
      <c r="BZ19" s="155"/>
      <c r="CA19" s="154"/>
      <c r="CB19" s="155"/>
      <c r="CC19" s="155"/>
      <c r="CD19" s="155"/>
      <c r="CE19" s="155"/>
      <c r="CF19" s="154">
        <f t="shared" ref="CF19" si="62">SUM(CF16:CF18)</f>
        <v>7370.0576280410805</v>
      </c>
      <c r="CG19" s="155">
        <f t="shared" ref="CG19:CH19" si="63">SUM(CG16:CG18)</f>
        <v>1627.15</v>
      </c>
      <c r="CH19" s="155">
        <f t="shared" si="63"/>
        <v>1976.8500000000001</v>
      </c>
      <c r="CI19" s="155">
        <f t="shared" ref="CI19:CJ19" si="64">SUM(CI16:CI18)</f>
        <v>1987.77</v>
      </c>
      <c r="CJ19" s="155">
        <f t="shared" si="64"/>
        <v>1561.23</v>
      </c>
      <c r="CK19" s="154">
        <f>SUM(CK16:CK18)</f>
        <v>7153</v>
      </c>
      <c r="CL19" s="155">
        <f t="shared" ref="CL19:CM19" si="65">SUM(CL16:CL18)</f>
        <v>1728.3111111111111</v>
      </c>
      <c r="CM19" s="155">
        <f t="shared" si="65"/>
        <v>-3705.8180995475113</v>
      </c>
      <c r="CN19" s="155">
        <f t="shared" ref="CN19:CO19" si="66">SUM(CN16:CN18)</f>
        <v>151</v>
      </c>
      <c r="CO19" s="155">
        <f t="shared" si="66"/>
        <v>146</v>
      </c>
      <c r="CP19" s="154">
        <f>SUM(CP16:CP18)</f>
        <v>-1680.5069884364002</v>
      </c>
      <c r="CQ19" s="155">
        <f t="shared" ref="CQ19:CR19" si="67">SUM(CQ16:CQ18)</f>
        <v>772</v>
      </c>
      <c r="CR19" s="155">
        <f t="shared" si="67"/>
        <v>1040</v>
      </c>
      <c r="CS19" s="155">
        <f t="shared" ref="CS19:CT19" si="68">SUM(CS16:CS18)</f>
        <v>1400</v>
      </c>
      <c r="CT19" s="155">
        <f t="shared" si="68"/>
        <v>685</v>
      </c>
      <c r="CU19" s="154">
        <f>SUM(CU16:CU18)</f>
        <v>3897</v>
      </c>
      <c r="CV19" s="155">
        <f t="shared" ref="CV19:CW19" si="69">SUM(CV16:CV18)</f>
        <v>1103</v>
      </c>
      <c r="CW19" s="155">
        <f t="shared" si="69"/>
        <v>1304</v>
      </c>
      <c r="CX19" s="155">
        <f t="shared" ref="CX19" si="70">SUM(CX16:CX18)</f>
        <v>1387</v>
      </c>
      <c r="CY19" s="155">
        <f t="shared" ref="CY19" si="71">SUM(CY16:CY18)</f>
        <v>1422</v>
      </c>
      <c r="CZ19" s="154">
        <f>SUM(CZ16:CZ18)</f>
        <v>5216</v>
      </c>
      <c r="DA19" s="155">
        <f t="shared" ref="DA19:DD19" si="72">SUM(DA16:DA18)</f>
        <v>1426</v>
      </c>
      <c r="DB19" s="155">
        <f t="shared" si="72"/>
        <v>1327</v>
      </c>
      <c r="DC19" s="155">
        <f t="shared" si="72"/>
        <v>-984</v>
      </c>
      <c r="DD19" s="155">
        <f t="shared" si="72"/>
        <v>1426</v>
      </c>
      <c r="DE19" s="154">
        <f>SUM(DE16:DE18)</f>
        <v>3195</v>
      </c>
      <c r="DF19" s="155">
        <f t="shared" ref="DF19:DI19" si="73">SUM(DF16:DF18)</f>
        <v>1709</v>
      </c>
      <c r="DG19" s="155">
        <f t="shared" si="73"/>
        <v>111</v>
      </c>
      <c r="DH19" s="155">
        <f t="shared" si="73"/>
        <v>1472</v>
      </c>
      <c r="DI19" s="155">
        <f t="shared" si="73"/>
        <v>1482</v>
      </c>
      <c r="DJ19" s="154">
        <f>SUM(DJ16:DJ18)</f>
        <v>4774</v>
      </c>
      <c r="DK19" s="155">
        <f t="shared" ref="DK19:DM19" si="74">SUM(DK16:DK18)</f>
        <v>1535</v>
      </c>
      <c r="DL19" s="155">
        <f t="shared" si="74"/>
        <v>1657</v>
      </c>
      <c r="DM19" s="155">
        <f t="shared" si="74"/>
        <v>1918</v>
      </c>
      <c r="DN19" s="155">
        <f t="shared" ref="DN19" si="75">SUM(DN16:DN18)</f>
        <v>1600.3546878000002</v>
      </c>
      <c r="DO19" s="154">
        <f>SUM(DO16:DO18)</f>
        <v>6710.3546877999997</v>
      </c>
      <c r="DP19" s="155">
        <f t="shared" ref="DP19" si="76">SUM(DP16:DP18)</f>
        <v>1623.3086332500002</v>
      </c>
      <c r="DQ19" s="155">
        <f t="shared" ref="DQ19:DS19" si="77">SUM(DQ16:DQ18)</f>
        <v>1786.0766792900004</v>
      </c>
      <c r="DR19" s="155">
        <f t="shared" si="77"/>
        <v>1995.6816214199998</v>
      </c>
      <c r="DS19" s="155">
        <f t="shared" si="77"/>
        <v>2015.5328049841596</v>
      </c>
      <c r="DT19" s="154">
        <f>SUM(DT16:DT18)</f>
        <v>7420.5997389441591</v>
      </c>
      <c r="DU19" s="154">
        <f t="shared" ref="DU19:DV19" si="78">SUM(DU16:DU18)</f>
        <v>8171.3842804827327</v>
      </c>
      <c r="DV19" s="154">
        <f t="shared" si="78"/>
        <v>8976.8644828737088</v>
      </c>
    </row>
    <row r="20" spans="1:126" s="165" customFormat="1" hidden="1" outlineLevel="1">
      <c r="A20" s="3"/>
      <c r="B20" s="3" t="s">
        <v>29</v>
      </c>
      <c r="C20" s="2"/>
      <c r="D20" s="2"/>
      <c r="E20" s="2"/>
      <c r="F20" s="2"/>
      <c r="G20" s="2"/>
      <c r="H20" s="2"/>
      <c r="I20" s="2"/>
      <c r="J20" s="3"/>
      <c r="K20" s="3"/>
      <c r="L20" s="3"/>
      <c r="M20" s="3"/>
      <c r="N20" s="2"/>
      <c r="O20" s="3"/>
      <c r="P20" s="3"/>
      <c r="Q20" s="3"/>
      <c r="R20" s="3"/>
      <c r="S20" s="2"/>
      <c r="T20" s="3"/>
      <c r="U20" s="3"/>
      <c r="V20" s="3"/>
      <c r="W20" s="3"/>
      <c r="X20" s="2"/>
      <c r="Y20" s="3"/>
      <c r="Z20" s="3"/>
      <c r="AA20" s="3"/>
      <c r="AB20" s="3"/>
      <c r="AC20" s="2"/>
      <c r="AD20" s="3"/>
      <c r="AE20" s="3"/>
      <c r="AF20" s="3"/>
      <c r="AG20" s="3"/>
      <c r="AH20" s="2"/>
      <c r="AI20" s="3"/>
      <c r="AJ20" s="3"/>
      <c r="AK20" s="3"/>
      <c r="AL20" s="3"/>
      <c r="AM20" s="2"/>
      <c r="AN20" s="3"/>
      <c r="AO20" s="3"/>
      <c r="AP20" s="3"/>
      <c r="AQ20" s="3"/>
      <c r="AR20" s="2"/>
      <c r="AS20" s="3"/>
      <c r="AT20" s="3"/>
      <c r="AU20" s="3"/>
      <c r="AV20" s="3"/>
      <c r="AW20" s="2"/>
      <c r="AX20" s="3"/>
      <c r="AY20" s="3"/>
      <c r="AZ20" s="3"/>
      <c r="BA20" s="3"/>
      <c r="BB20" s="2"/>
      <c r="BC20" s="3"/>
      <c r="BD20" s="3"/>
      <c r="BE20" s="3"/>
      <c r="BF20" s="3"/>
      <c r="BG20" s="2"/>
      <c r="BH20" s="3"/>
      <c r="BI20" s="3"/>
      <c r="BJ20" s="3"/>
      <c r="BK20" s="3"/>
      <c r="BL20" s="2"/>
      <c r="BM20" s="3"/>
      <c r="BN20" s="3"/>
      <c r="BO20" s="3"/>
      <c r="BP20" s="3"/>
      <c r="BQ20" s="2"/>
      <c r="BR20" s="3"/>
      <c r="BS20" s="3"/>
      <c r="BT20" s="3"/>
      <c r="BU20" s="3"/>
      <c r="BV20" s="2"/>
      <c r="BW20" s="3"/>
      <c r="BX20" s="3"/>
      <c r="BY20" s="3"/>
      <c r="BZ20" s="3"/>
      <c r="CA20" s="2"/>
      <c r="CB20" s="3"/>
      <c r="CC20" s="3"/>
      <c r="CD20" s="3"/>
      <c r="CE20" s="3"/>
      <c r="CF20" s="2"/>
      <c r="CG20" s="3"/>
      <c r="CH20" s="3"/>
      <c r="CI20" s="3"/>
      <c r="CJ20" s="3"/>
      <c r="CK20" s="2"/>
      <c r="CL20" s="3"/>
      <c r="CM20" s="3"/>
      <c r="CN20" s="3"/>
      <c r="CO20" s="3"/>
      <c r="CP20" s="2"/>
      <c r="CQ20" s="3"/>
      <c r="CR20" s="3"/>
      <c r="CS20" s="3"/>
      <c r="CT20" s="3"/>
      <c r="CU20" s="2"/>
      <c r="CV20" s="3"/>
      <c r="CW20" s="3"/>
      <c r="CX20" s="3"/>
      <c r="CY20" s="3"/>
      <c r="CZ20" s="2"/>
      <c r="DA20" s="3"/>
      <c r="DB20" s="3"/>
      <c r="DC20" s="3"/>
      <c r="DD20" s="3"/>
      <c r="DE20" s="2"/>
      <c r="DF20" s="3"/>
      <c r="DG20" s="3"/>
      <c r="DH20" s="3"/>
      <c r="DI20" s="3"/>
      <c r="DJ20" s="2"/>
      <c r="DK20" s="3"/>
      <c r="DL20" s="3"/>
      <c r="DM20" s="3"/>
      <c r="DN20" s="3"/>
      <c r="DO20" s="2"/>
      <c r="DP20" s="3"/>
      <c r="DQ20" s="3"/>
      <c r="DR20" s="3"/>
      <c r="DS20" s="3"/>
      <c r="DT20" s="2"/>
      <c r="DU20" s="2"/>
      <c r="DV20" s="2"/>
    </row>
    <row r="21" spans="1:126" s="165" customFormat="1" hidden="1" outlineLevel="1">
      <c r="A21" s="3"/>
      <c r="B21" s="3" t="s">
        <v>39</v>
      </c>
      <c r="C21" s="79"/>
      <c r="D21" s="79"/>
      <c r="E21" s="79"/>
      <c r="F21" s="79"/>
      <c r="G21" s="79"/>
      <c r="H21" s="79"/>
      <c r="I21" s="79"/>
      <c r="J21" s="80"/>
      <c r="K21" s="80"/>
      <c r="L21" s="80"/>
      <c r="M21" s="80"/>
      <c r="N21" s="79"/>
      <c r="O21" s="80"/>
      <c r="P21" s="80"/>
      <c r="Q21" s="80"/>
      <c r="R21" s="80"/>
      <c r="S21" s="79"/>
      <c r="T21" s="80"/>
      <c r="U21" s="80"/>
      <c r="V21" s="80"/>
      <c r="W21" s="80"/>
      <c r="X21" s="79"/>
      <c r="Y21" s="80"/>
      <c r="Z21" s="80"/>
      <c r="AA21" s="80"/>
      <c r="AB21" s="80"/>
      <c r="AC21" s="79"/>
      <c r="AD21" s="80"/>
      <c r="AE21" s="80"/>
      <c r="AF21" s="80"/>
      <c r="AG21" s="80"/>
      <c r="AH21" s="79"/>
      <c r="AI21" s="80"/>
      <c r="AJ21" s="80"/>
      <c r="AK21" s="80"/>
      <c r="AL21" s="80"/>
      <c r="AM21" s="79"/>
      <c r="AN21" s="80"/>
      <c r="AO21" s="80"/>
      <c r="AP21" s="80"/>
      <c r="AQ21" s="80"/>
      <c r="AR21" s="79"/>
      <c r="AS21" s="80"/>
      <c r="AT21" s="80"/>
      <c r="AU21" s="80"/>
      <c r="AV21" s="80"/>
      <c r="AW21" s="79"/>
      <c r="AX21" s="80"/>
      <c r="AY21" s="80"/>
      <c r="AZ21" s="80"/>
      <c r="BA21" s="80"/>
      <c r="BB21" s="79"/>
      <c r="BC21" s="80"/>
      <c r="BD21" s="80"/>
      <c r="BE21" s="80"/>
      <c r="BF21" s="80"/>
      <c r="BG21" s="79"/>
      <c r="BH21" s="80"/>
      <c r="BI21" s="80"/>
      <c r="BJ21" s="80"/>
      <c r="BK21" s="80"/>
      <c r="BL21" s="79"/>
      <c r="BM21" s="80"/>
      <c r="BN21" s="80"/>
      <c r="BO21" s="80"/>
      <c r="BP21" s="80"/>
      <c r="BQ21" s="79"/>
      <c r="BR21" s="80"/>
      <c r="BS21" s="80"/>
      <c r="BT21" s="80"/>
      <c r="BU21" s="80"/>
      <c r="BV21" s="79"/>
      <c r="BW21" s="80"/>
      <c r="BX21" s="80"/>
      <c r="BY21" s="80"/>
      <c r="BZ21" s="80"/>
      <c r="CA21" s="79"/>
      <c r="CB21" s="80"/>
      <c r="CC21" s="80"/>
      <c r="CD21" s="80"/>
      <c r="CE21" s="80"/>
      <c r="CF21" s="79">
        <f t="shared" ref="CF21:CP21" si="79">CF19/CF32</f>
        <v>5.0887645018580958</v>
      </c>
      <c r="CG21" s="80">
        <f t="shared" si="79"/>
        <v>1.0835386561896518</v>
      </c>
      <c r="CH21" s="80">
        <f t="shared" si="79"/>
        <v>1.3164080708530332</v>
      </c>
      <c r="CI21" s="80">
        <f t="shared" si="79"/>
        <v>1.320338757887745</v>
      </c>
      <c r="CJ21" s="80">
        <f t="shared" si="79"/>
        <v>1.03701760212554</v>
      </c>
      <c r="CK21" s="79">
        <f t="shared" si="79"/>
        <v>4.757249268422453</v>
      </c>
      <c r="CL21" s="80">
        <f t="shared" si="79"/>
        <v>1.1470837665833351</v>
      </c>
      <c r="CM21" s="80">
        <f t="shared" si="79"/>
        <v>-2.4684061143991949</v>
      </c>
      <c r="CN21" s="80">
        <f t="shared" ref="CN21" si="80">CN19/CN32</f>
        <v>9.9900760833608993E-2</v>
      </c>
      <c r="CO21" s="80">
        <f t="shared" si="79"/>
        <v>9.6541691463333995E-2</v>
      </c>
      <c r="CP21" s="79">
        <f t="shared" si="79"/>
        <v>-1.1116669897707219</v>
      </c>
      <c r="CQ21" s="80">
        <f t="shared" ref="CQ21:CR21" si="81">CQ19/CQ32</f>
        <v>0.51088610945668722</v>
      </c>
      <c r="CR21" s="80">
        <f t="shared" si="81"/>
        <v>0.69038767923526279</v>
      </c>
      <c r="CS21" s="80">
        <f t="shared" ref="CS21:CV21" si="82">CS19/CS32</f>
        <v>0.93464183189799044</v>
      </c>
      <c r="CT21" s="80">
        <f t="shared" ref="CT21" si="83">CT19/CT32</f>
        <v>0.45957732304595772</v>
      </c>
      <c r="CU21" s="79">
        <f t="shared" si="82"/>
        <v>2.5954478096538405</v>
      </c>
      <c r="CV21" s="80">
        <f t="shared" si="82"/>
        <v>0.7418617164379876</v>
      </c>
      <c r="CW21" s="80">
        <f t="shared" ref="CW21:CZ21" si="84">CW19/CW32</f>
        <v>0.88155759870200101</v>
      </c>
      <c r="CX21" s="80">
        <f t="shared" ref="CX21" si="85">CX19/CX32</f>
        <v>0.94347323311339371</v>
      </c>
      <c r="CY21" s="80">
        <f t="shared" si="84"/>
        <v>0.97031729785056298</v>
      </c>
      <c r="CZ21" s="79">
        <f t="shared" si="84"/>
        <v>3.5353124576386064</v>
      </c>
      <c r="DA21" s="80">
        <f t="shared" ref="DA21:DE21" si="86">DA19/DA32</f>
        <v>0.97524278484475446</v>
      </c>
      <c r="DB21" s="80">
        <f t="shared" si="86"/>
        <v>0.91046312178387645</v>
      </c>
      <c r="DC21" s="80">
        <f t="shared" si="86"/>
        <v>-0.67951108348870937</v>
      </c>
      <c r="DD21" s="80">
        <f t="shared" si="86"/>
        <v>1.0524761975053509</v>
      </c>
      <c r="DE21" s="79">
        <f t="shared" si="86"/>
        <v>2.2332115959250007</v>
      </c>
      <c r="DF21" s="80">
        <f t="shared" ref="DF21:DI21" si="87">DF19/DF32</f>
        <v>1.2855423499323002</v>
      </c>
      <c r="DG21" s="80">
        <f t="shared" si="87"/>
        <v>8.3345847724883612E-2</v>
      </c>
      <c r="DH21" s="80">
        <f t="shared" si="87"/>
        <v>1.104110411041104</v>
      </c>
      <c r="DI21" s="80">
        <f t="shared" si="87"/>
        <v>1.1106115107913668</v>
      </c>
      <c r="DJ21" s="79">
        <f t="shared" ref="DJ21:DM21" si="88">DJ19/DJ32</f>
        <v>3.5835460141119957</v>
      </c>
      <c r="DK21" s="80">
        <f t="shared" si="88"/>
        <v>1.1480068805624113</v>
      </c>
      <c r="DL21" s="80">
        <f t="shared" si="88"/>
        <v>1.2360137251976728</v>
      </c>
      <c r="DM21" s="80">
        <f t="shared" si="88"/>
        <v>1.4280396098577919</v>
      </c>
      <c r="DN21" s="80">
        <f t="shared" ref="DN21:DP21" si="89">DN19/DN32</f>
        <v>1.1906515049475488</v>
      </c>
      <c r="DO21" s="79">
        <f t="shared" si="89"/>
        <v>5.0031536004771757</v>
      </c>
      <c r="DP21" s="80">
        <f t="shared" si="89"/>
        <v>1.2095288229267569</v>
      </c>
      <c r="DQ21" s="80">
        <f t="shared" ref="DQ21:DS21" si="90">DQ19/DQ32</f>
        <v>1.3337888725935334</v>
      </c>
      <c r="DR21" s="80">
        <f t="shared" si="90"/>
        <v>1.4959010729480549</v>
      </c>
      <c r="DS21" s="80">
        <f t="shared" si="90"/>
        <v>1.5164643781387102</v>
      </c>
      <c r="DT21" s="79">
        <f t="shared" ref="DT21" si="91">DT19/DT32</f>
        <v>5.553925408984477</v>
      </c>
      <c r="DU21" s="79">
        <f t="shared" ref="DU21:DV21" si="92">DU19/DU32</f>
        <v>6.1619668806897918</v>
      </c>
      <c r="DV21" s="79">
        <f t="shared" si="92"/>
        <v>6.8208072964620543</v>
      </c>
    </row>
    <row r="22" spans="1:126" s="108" customFormat="1" collapsed="1">
      <c r="A22" s="37"/>
      <c r="B22" s="47" t="s">
        <v>41</v>
      </c>
      <c r="C22" s="83"/>
      <c r="D22" s="83"/>
      <c r="E22" s="83"/>
      <c r="F22" s="83"/>
      <c r="G22" s="83"/>
      <c r="H22" s="83"/>
      <c r="I22" s="83"/>
      <c r="J22" s="84"/>
      <c r="K22" s="84"/>
      <c r="L22" s="84"/>
      <c r="M22" s="84"/>
      <c r="N22" s="83"/>
      <c r="O22" s="84"/>
      <c r="P22" s="84"/>
      <c r="Q22" s="84"/>
      <c r="R22" s="84"/>
      <c r="S22" s="83"/>
      <c r="T22" s="84"/>
      <c r="U22" s="84"/>
      <c r="V22" s="84"/>
      <c r="W22" s="84"/>
      <c r="X22" s="83"/>
      <c r="Y22" s="84"/>
      <c r="Z22" s="84"/>
      <c r="AA22" s="84"/>
      <c r="AB22" s="84"/>
      <c r="AC22" s="83"/>
      <c r="AD22" s="84"/>
      <c r="AE22" s="84"/>
      <c r="AF22" s="84"/>
      <c r="AG22" s="84"/>
      <c r="AH22" s="83"/>
      <c r="AI22" s="84"/>
      <c r="AJ22" s="84"/>
      <c r="AK22" s="84"/>
      <c r="AL22" s="84"/>
      <c r="AM22" s="83"/>
      <c r="AN22" s="84"/>
      <c r="AO22" s="84"/>
      <c r="AP22" s="84"/>
      <c r="AQ22" s="84"/>
      <c r="AR22" s="83"/>
      <c r="AS22" s="84"/>
      <c r="AT22" s="84"/>
      <c r="AU22" s="84"/>
      <c r="AV22" s="84"/>
      <c r="AW22" s="83"/>
      <c r="AX22" s="84"/>
      <c r="AY22" s="84"/>
      <c r="AZ22" s="84"/>
      <c r="BA22" s="84"/>
      <c r="BB22" s="83"/>
      <c r="BC22" s="84"/>
      <c r="BD22" s="84"/>
      <c r="BE22" s="84"/>
      <c r="BF22" s="84"/>
      <c r="BG22" s="83"/>
      <c r="BH22" s="84"/>
      <c r="BI22" s="84"/>
      <c r="BJ22" s="84"/>
      <c r="BK22" s="84"/>
      <c r="BL22" s="83"/>
      <c r="BM22" s="84"/>
      <c r="BN22" s="84"/>
      <c r="BO22" s="84"/>
      <c r="BP22" s="84"/>
      <c r="BQ22" s="83"/>
      <c r="BR22" s="84"/>
      <c r="BS22" s="84"/>
      <c r="BT22" s="84"/>
      <c r="BU22" s="84"/>
      <c r="BV22" s="83"/>
      <c r="BW22" s="84"/>
      <c r="BX22" s="84"/>
      <c r="BY22" s="84"/>
      <c r="BZ22" s="84"/>
      <c r="CA22" s="83"/>
      <c r="CB22" s="84"/>
      <c r="CC22" s="84"/>
      <c r="CD22" s="84"/>
      <c r="CE22" s="84"/>
      <c r="CF22" s="83">
        <f t="shared" ref="CF22:CP22" si="93">CF19/CF33</f>
        <v>5.050752212199205</v>
      </c>
      <c r="CG22" s="84">
        <f t="shared" si="93"/>
        <v>1.075801652892562</v>
      </c>
      <c r="CH22" s="84">
        <f t="shared" si="93"/>
        <v>1.30700826446281</v>
      </c>
      <c r="CI22" s="84">
        <f t="shared" si="93"/>
        <v>1.3085182015667172</v>
      </c>
      <c r="CJ22" s="84">
        <f t="shared" si="93"/>
        <v>1.0277335264301233</v>
      </c>
      <c r="CK22" s="83">
        <f t="shared" si="93"/>
        <v>4.7189602849980208</v>
      </c>
      <c r="CL22" s="84">
        <f t="shared" si="93"/>
        <v>1.1386198768766791</v>
      </c>
      <c r="CM22" s="84">
        <f t="shared" si="93"/>
        <v>-2.4684061143991949</v>
      </c>
      <c r="CN22" s="84">
        <f t="shared" ref="CN22" si="94">CN19/CN33</f>
        <v>9.972262580900805E-2</v>
      </c>
      <c r="CO22" s="84">
        <f t="shared" si="93"/>
        <v>9.6344199551273588E-2</v>
      </c>
      <c r="CP22" s="83">
        <f t="shared" si="93"/>
        <v>-1.1116669897707219</v>
      </c>
      <c r="CQ22" s="84">
        <f t="shared" ref="CQ22:CR22" si="95">CQ19/CQ33</f>
        <v>0.50987385245360284</v>
      </c>
      <c r="CR22" s="84">
        <f t="shared" si="95"/>
        <v>0.6871489924017179</v>
      </c>
      <c r="CS22" s="84">
        <f t="shared" ref="CS22:CV22" si="96">CS19/CS33</f>
        <v>0.92967660535228103</v>
      </c>
      <c r="CT22" s="84">
        <f t="shared" ref="CT22" si="97">CT19/CT33</f>
        <v>0.45660578589521394</v>
      </c>
      <c r="CU22" s="83">
        <f t="shared" si="96"/>
        <v>2.5834894011966125</v>
      </c>
      <c r="CV22" s="84">
        <f t="shared" si="96"/>
        <v>0.73636424327391681</v>
      </c>
      <c r="CW22" s="84">
        <f t="shared" ref="CW22:CZ22" si="98">CW19/CW33</f>
        <v>0.87540279269602583</v>
      </c>
      <c r="CX22" s="84">
        <f t="shared" ref="CX22" si="99">CX19/CX33</f>
        <v>0.93760562428175487</v>
      </c>
      <c r="CY22" s="84">
        <f t="shared" si="98"/>
        <v>0.96321885795570006</v>
      </c>
      <c r="CZ22" s="83">
        <f t="shared" si="98"/>
        <v>3.5106257676969927</v>
      </c>
      <c r="DA22" s="84">
        <f t="shared" ref="DA22:DE22" si="100">DA19/DA33</f>
        <v>0.96730430063763395</v>
      </c>
      <c r="DB22" s="84">
        <f t="shared" si="100"/>
        <v>0.90352011983386671</v>
      </c>
      <c r="DC22" s="84">
        <f t="shared" si="100"/>
        <v>-0.67596345400838087</v>
      </c>
      <c r="DD22" s="84">
        <f t="shared" si="100"/>
        <v>1.0472203862818534</v>
      </c>
      <c r="DE22" s="83">
        <f t="shared" si="100"/>
        <v>2.2186344461225977</v>
      </c>
      <c r="DF22" s="84">
        <f t="shared" ref="DF22:DI22" si="101">DF19/DF33</f>
        <v>1.2779481043894414</v>
      </c>
      <c r="DG22" s="84">
        <f t="shared" si="101"/>
        <v>8.2706206691006631E-2</v>
      </c>
      <c r="DH22" s="84">
        <f t="shared" si="101"/>
        <v>1.0934482246322983</v>
      </c>
      <c r="DI22" s="84">
        <f t="shared" si="101"/>
        <v>1.0986729928089554</v>
      </c>
      <c r="DJ22" s="83">
        <f t="shared" ref="DJ22:DM22" si="102">DJ19/DJ33</f>
        <v>3.5530747046236861</v>
      </c>
      <c r="DK22" s="84">
        <f t="shared" si="102"/>
        <v>1.135523006361888</v>
      </c>
      <c r="DL22" s="84">
        <f t="shared" si="102"/>
        <v>1.223781388478582</v>
      </c>
      <c r="DM22" s="84">
        <f t="shared" si="102"/>
        <v>1.4119552414605416</v>
      </c>
      <c r="DN22" s="84">
        <f t="shared" ref="DN22:DP22" si="103">DN19/DN33</f>
        <v>1.1772507634250404</v>
      </c>
      <c r="DO22" s="83">
        <f t="shared" si="103"/>
        <v>4.9490041211003755</v>
      </c>
      <c r="DP22" s="84">
        <f t="shared" si="103"/>
        <v>1.1958955600780905</v>
      </c>
      <c r="DQ22" s="84">
        <f t="shared" ref="DQ22:DS22" si="104">DQ19/DQ33</f>
        <v>1.3187217065047254</v>
      </c>
      <c r="DR22" s="84">
        <f t="shared" si="104"/>
        <v>1.4789399891951975</v>
      </c>
      <c r="DS22" s="84">
        <f t="shared" si="104"/>
        <v>1.4992061923416837</v>
      </c>
      <c r="DT22" s="83">
        <f t="shared" ref="DT22" si="105">DT19/DT33</f>
        <v>5.4910461291580273</v>
      </c>
      <c r="DU22" s="83">
        <f t="shared" ref="DU22:DV22" si="106">DU19/DU33</f>
        <v>6.0916835250355836</v>
      </c>
      <c r="DV22" s="83">
        <f t="shared" si="106"/>
        <v>6.7424248782287126</v>
      </c>
    </row>
    <row r="23" spans="1:126" s="45" customFormat="1">
      <c r="A23" s="32"/>
      <c r="B23" s="32"/>
      <c r="C23" s="34"/>
      <c r="D23" s="34"/>
      <c r="E23" s="34"/>
      <c r="F23" s="34"/>
      <c r="G23" s="34"/>
      <c r="H23" s="34"/>
      <c r="I23" s="34"/>
      <c r="J23" s="82"/>
      <c r="K23" s="82"/>
      <c r="L23" s="80"/>
      <c r="M23" s="82"/>
      <c r="N23" s="34"/>
      <c r="O23" s="82"/>
      <c r="P23" s="82"/>
      <c r="Q23" s="80"/>
      <c r="R23" s="82"/>
      <c r="S23" s="34"/>
      <c r="T23" s="82"/>
      <c r="U23" s="82"/>
      <c r="V23" s="80"/>
      <c r="W23" s="82"/>
      <c r="X23" s="34"/>
      <c r="Y23" s="82"/>
      <c r="Z23" s="82"/>
      <c r="AA23" s="80"/>
      <c r="AB23" s="82"/>
      <c r="AC23" s="34"/>
      <c r="AD23" s="82"/>
      <c r="AE23" s="82"/>
      <c r="AF23" s="80"/>
      <c r="AG23" s="82"/>
      <c r="AH23" s="34"/>
      <c r="AI23" s="82"/>
      <c r="AJ23" s="82"/>
      <c r="AK23" s="80"/>
      <c r="AL23" s="82"/>
      <c r="AM23" s="34"/>
      <c r="AN23" s="82"/>
      <c r="AO23" s="82"/>
      <c r="AP23" s="80"/>
      <c r="AQ23" s="82"/>
      <c r="AR23" s="34"/>
      <c r="AS23" s="82"/>
      <c r="AT23" s="82"/>
      <c r="AU23" s="80"/>
      <c r="AV23" s="82"/>
      <c r="AW23" s="34"/>
      <c r="AX23" s="80"/>
      <c r="AY23" s="80"/>
      <c r="AZ23" s="82"/>
      <c r="BA23" s="82"/>
      <c r="BB23" s="34"/>
      <c r="BC23" s="80"/>
      <c r="BD23" s="80"/>
      <c r="BE23" s="80"/>
      <c r="BF23" s="80"/>
      <c r="BG23" s="34"/>
      <c r="BH23" s="82"/>
      <c r="BI23" s="82"/>
      <c r="BJ23" s="82"/>
      <c r="BK23" s="82"/>
      <c r="BL23" s="81"/>
      <c r="BM23" s="80"/>
      <c r="BN23" s="82"/>
      <c r="BO23" s="82"/>
      <c r="BP23" s="82"/>
      <c r="BQ23" s="81"/>
      <c r="BR23" s="82"/>
      <c r="BS23" s="82"/>
      <c r="BT23" s="82"/>
      <c r="BU23" s="82"/>
      <c r="BV23" s="81"/>
      <c r="BW23" s="82"/>
      <c r="BX23" s="82"/>
      <c r="BY23" s="82"/>
      <c r="BZ23" s="82"/>
      <c r="CA23" s="81"/>
      <c r="CB23" s="82"/>
      <c r="CC23" s="82"/>
      <c r="CD23" s="82"/>
      <c r="CE23" s="82"/>
      <c r="CF23" s="81"/>
      <c r="CG23" s="82"/>
      <c r="CH23" s="82"/>
      <c r="CI23" s="82"/>
      <c r="CJ23" s="82"/>
      <c r="CK23" s="81"/>
      <c r="CL23" s="82"/>
      <c r="CM23" s="82"/>
      <c r="CN23" s="82"/>
      <c r="CO23" s="82"/>
      <c r="CP23" s="81"/>
      <c r="CQ23" s="82"/>
      <c r="CR23" s="82"/>
      <c r="CS23" s="82"/>
      <c r="CT23" s="82"/>
      <c r="CU23" s="81"/>
      <c r="CV23" s="794"/>
      <c r="CW23" s="794"/>
      <c r="CX23" s="794"/>
      <c r="CY23" s="82"/>
      <c r="CZ23" s="81"/>
      <c r="DA23" s="82"/>
      <c r="DB23" s="82"/>
      <c r="DC23" s="82"/>
      <c r="DD23" s="82"/>
      <c r="DE23" s="81"/>
      <c r="DF23" s="82"/>
      <c r="DG23" s="82"/>
      <c r="DH23" s="82"/>
      <c r="DI23" s="82"/>
      <c r="DJ23" s="81"/>
      <c r="DK23" s="82"/>
      <c r="DL23" s="82"/>
      <c r="DM23" s="82"/>
      <c r="DN23" s="82"/>
      <c r="DO23" s="81"/>
      <c r="DP23" s="82"/>
      <c r="DQ23" s="82"/>
      <c r="DR23" s="82"/>
      <c r="DS23" s="82"/>
      <c r="DT23" s="81"/>
      <c r="DU23" s="81"/>
      <c r="DV23" s="81"/>
    </row>
    <row r="24" spans="1:126" s="45" customFormat="1" hidden="1" outlineLevel="1">
      <c r="A24" s="32"/>
      <c r="B24" s="3" t="s">
        <v>581</v>
      </c>
      <c r="C24" s="17"/>
      <c r="D24" s="17"/>
      <c r="E24" s="17"/>
      <c r="F24" s="17"/>
      <c r="G24" s="17"/>
      <c r="H24" s="17"/>
      <c r="I24" s="17"/>
      <c r="J24" s="210"/>
      <c r="K24" s="210"/>
      <c r="L24" s="210"/>
      <c r="M24" s="210"/>
      <c r="N24" s="17"/>
      <c r="O24" s="210"/>
      <c r="P24" s="210"/>
      <c r="Q24" s="210"/>
      <c r="R24" s="210"/>
      <c r="S24" s="17"/>
      <c r="T24" s="210"/>
      <c r="U24" s="210"/>
      <c r="V24" s="210"/>
      <c r="W24" s="210"/>
      <c r="X24" s="17"/>
      <c r="Y24" s="210"/>
      <c r="Z24" s="210"/>
      <c r="AA24" s="210"/>
      <c r="AB24" s="210"/>
      <c r="AC24" s="17"/>
      <c r="AD24" s="210"/>
      <c r="AE24" s="210"/>
      <c r="AF24" s="210"/>
      <c r="AG24" s="210"/>
      <c r="AH24" s="17"/>
      <c r="AI24" s="210"/>
      <c r="AJ24" s="210"/>
      <c r="AK24" s="210"/>
      <c r="AL24" s="210"/>
      <c r="AM24" s="17"/>
      <c r="AN24" s="210"/>
      <c r="AO24" s="210"/>
      <c r="AP24" s="210"/>
      <c r="AQ24" s="210"/>
      <c r="AR24" s="17"/>
      <c r="AS24" s="210"/>
      <c r="AT24" s="210"/>
      <c r="AU24" s="210"/>
      <c r="AV24" s="210"/>
      <c r="AW24" s="17"/>
      <c r="AX24" s="210"/>
      <c r="AY24" s="210"/>
      <c r="AZ24" s="210"/>
      <c r="BA24" s="210"/>
      <c r="BB24" s="17"/>
      <c r="BC24" s="210"/>
      <c r="BD24" s="210"/>
      <c r="BE24" s="210"/>
      <c r="BF24" s="210"/>
      <c r="BG24" s="17"/>
      <c r="BH24" s="210"/>
      <c r="BI24" s="210"/>
      <c r="BJ24" s="210"/>
      <c r="BK24" s="210"/>
      <c r="BL24" s="17"/>
      <c r="BM24" s="210"/>
      <c r="BN24" s="210"/>
      <c r="BO24" s="210"/>
      <c r="BP24" s="210"/>
      <c r="BQ24" s="17"/>
      <c r="BR24" s="210"/>
      <c r="BS24" s="210"/>
      <c r="BT24" s="210"/>
      <c r="BU24" s="210"/>
      <c r="BV24" s="17"/>
      <c r="BW24" s="210"/>
      <c r="BX24" s="210"/>
      <c r="BY24" s="210"/>
      <c r="BZ24" s="210"/>
      <c r="CA24" s="17"/>
      <c r="CB24" s="603"/>
      <c r="CC24" s="603"/>
      <c r="CD24" s="603"/>
      <c r="CE24" s="610"/>
      <c r="CF24" s="712">
        <f>-SEG!CF165</f>
        <v>741</v>
      </c>
      <c r="CG24" s="711">
        <f>-SEG!CG165</f>
        <v>249</v>
      </c>
      <c r="CH24" s="711">
        <f>-SEG!CH165</f>
        <v>54</v>
      </c>
      <c r="CI24" s="711">
        <f>-SEG!CI165</f>
        <v>41</v>
      </c>
      <c r="CJ24" s="711">
        <f>-SEG!CJ165</f>
        <v>203</v>
      </c>
      <c r="CK24" s="366">
        <f>SUM(CG24:CJ24)</f>
        <v>547</v>
      </c>
      <c r="CL24" s="610">
        <f>-SEG!CL165</f>
        <v>132.38888888888869</v>
      </c>
      <c r="CM24" s="610">
        <f>427+3673</f>
        <v>4100</v>
      </c>
      <c r="CN24" s="610">
        <f>245-29</f>
        <v>216</v>
      </c>
      <c r="CO24" s="610">
        <v>88</v>
      </c>
      <c r="CP24" s="366">
        <f>SUM(CL24:CO24)</f>
        <v>4536.3888888888887</v>
      </c>
      <c r="CQ24" s="610">
        <v>43</v>
      </c>
      <c r="CR24" s="610">
        <v>56</v>
      </c>
      <c r="CS24" s="610">
        <f>19</f>
        <v>19</v>
      </c>
      <c r="CT24" s="610">
        <f>-66+25</f>
        <v>-41</v>
      </c>
      <c r="CU24" s="366">
        <f>SUM(CQ24:CT24)</f>
        <v>77</v>
      </c>
      <c r="CV24" s="610">
        <v>44</v>
      </c>
      <c r="CW24" s="610">
        <f>12+69</f>
        <v>81</v>
      </c>
      <c r="CX24" s="610">
        <v>24</v>
      </c>
      <c r="CY24" s="610">
        <f>42+35+7</f>
        <v>84</v>
      </c>
      <c r="CZ24" s="366">
        <f>SUM(CV24:CY24)</f>
        <v>233</v>
      </c>
      <c r="DA24" s="610">
        <v>30</v>
      </c>
      <c r="DB24" s="610">
        <v>68</v>
      </c>
      <c r="DC24" s="610">
        <v>104</v>
      </c>
      <c r="DD24" s="610">
        <v>44</v>
      </c>
      <c r="DE24" s="366">
        <f>SUM(DA24:DD24)</f>
        <v>246</v>
      </c>
      <c r="DF24" s="610">
        <v>34</v>
      </c>
      <c r="DG24" s="610">
        <v>36</v>
      </c>
      <c r="DH24" s="610">
        <v>-128</v>
      </c>
      <c r="DI24" s="610">
        <v>142</v>
      </c>
      <c r="DJ24" s="366">
        <f>SUM(DF24:DI24)</f>
        <v>84</v>
      </c>
      <c r="DK24" s="610">
        <v>132</v>
      </c>
      <c r="DL24" s="846">
        <v>51</v>
      </c>
      <c r="DM24" s="711">
        <v>-83</v>
      </c>
      <c r="DN24" s="711">
        <f>-SEG!DN165</f>
        <v>0</v>
      </c>
      <c r="DO24" s="366">
        <f>SUM(DK24:DN24)</f>
        <v>100</v>
      </c>
      <c r="DP24" s="711">
        <f>-SEG!DP165</f>
        <v>0</v>
      </c>
      <c r="DQ24" s="711">
        <f>-SEG!DQ165</f>
        <v>0</v>
      </c>
      <c r="DR24" s="711">
        <f>-SEG!DR165</f>
        <v>0</v>
      </c>
      <c r="DS24" s="711">
        <f>-SEG!DS165</f>
        <v>0</v>
      </c>
      <c r="DT24" s="366">
        <f>SUM(DP24:DS24)</f>
        <v>0</v>
      </c>
      <c r="DU24" s="712">
        <f>-SEG!DU165</f>
        <v>0</v>
      </c>
      <c r="DV24" s="712">
        <f>-SEG!DV165</f>
        <v>0</v>
      </c>
    </row>
    <row r="25" spans="1:126" s="45" customFormat="1" hidden="1" outlineLevel="1">
      <c r="A25" s="32"/>
      <c r="B25" s="3" t="s">
        <v>580</v>
      </c>
      <c r="C25" s="17"/>
      <c r="D25" s="17"/>
      <c r="E25" s="17"/>
      <c r="F25" s="17"/>
      <c r="G25" s="17"/>
      <c r="H25" s="17"/>
      <c r="I25" s="17"/>
      <c r="J25" s="210"/>
      <c r="K25" s="210"/>
      <c r="L25" s="210"/>
      <c r="M25" s="210"/>
      <c r="N25" s="17"/>
      <c r="O25" s="210"/>
      <c r="P25" s="210"/>
      <c r="Q25" s="210"/>
      <c r="R25" s="210"/>
      <c r="S25" s="17"/>
      <c r="T25" s="210"/>
      <c r="U25" s="210"/>
      <c r="V25" s="210"/>
      <c r="W25" s="210"/>
      <c r="X25" s="17"/>
      <c r="Y25" s="210"/>
      <c r="Z25" s="210"/>
      <c r="AA25" s="210"/>
      <c r="AB25" s="210"/>
      <c r="AC25" s="17"/>
      <c r="AD25" s="210"/>
      <c r="AE25" s="210"/>
      <c r="AF25" s="210"/>
      <c r="AG25" s="210"/>
      <c r="AH25" s="17"/>
      <c r="AI25" s="210"/>
      <c r="AJ25" s="210"/>
      <c r="AK25" s="210"/>
      <c r="AL25" s="210"/>
      <c r="AM25" s="17"/>
      <c r="AN25" s="210"/>
      <c r="AO25" s="210"/>
      <c r="AP25" s="210"/>
      <c r="AQ25" s="210"/>
      <c r="AR25" s="17"/>
      <c r="AS25" s="210"/>
      <c r="AT25" s="210"/>
      <c r="AU25" s="210"/>
      <c r="AV25" s="210"/>
      <c r="AW25" s="17"/>
      <c r="AX25" s="210"/>
      <c r="AY25" s="210"/>
      <c r="AZ25" s="210"/>
      <c r="BA25" s="210"/>
      <c r="BB25" s="17"/>
      <c r="BC25" s="210"/>
      <c r="BD25" s="210"/>
      <c r="BE25" s="210"/>
      <c r="BF25" s="210"/>
      <c r="BG25" s="17"/>
      <c r="BH25" s="210"/>
      <c r="BI25" s="210"/>
      <c r="BJ25" s="210"/>
      <c r="BK25" s="210"/>
      <c r="BL25" s="17"/>
      <c r="BM25" s="210"/>
      <c r="BN25" s="210"/>
      <c r="BO25" s="210"/>
      <c r="BP25" s="210"/>
      <c r="BQ25" s="17"/>
      <c r="BR25" s="210"/>
      <c r="BS25" s="210"/>
      <c r="BT25" s="210"/>
      <c r="BU25" s="210"/>
      <c r="BV25" s="17"/>
      <c r="BW25" s="210"/>
      <c r="BX25" s="210"/>
      <c r="BY25" s="210"/>
      <c r="BZ25" s="210"/>
      <c r="CA25" s="17"/>
      <c r="CB25" s="603"/>
      <c r="CC25" s="603"/>
      <c r="CD25" s="603"/>
      <c r="CE25" s="610"/>
      <c r="CF25" s="712"/>
      <c r="CG25" s="711"/>
      <c r="CH25" s="711"/>
      <c r="CI25" s="711"/>
      <c r="CJ25" s="711"/>
      <c r="CK25" s="366"/>
      <c r="CL25" s="711">
        <v>0</v>
      </c>
      <c r="CM25" s="610">
        <f>25-4-88</f>
        <v>-67</v>
      </c>
      <c r="CN25" s="610">
        <f>8+5-17</f>
        <v>-4</v>
      </c>
      <c r="CO25" s="610">
        <v>4</v>
      </c>
      <c r="CP25" s="366">
        <f>SUM(CL25:CO25)</f>
        <v>-67</v>
      </c>
      <c r="CQ25" s="610">
        <v>25</v>
      </c>
      <c r="CR25" s="711">
        <v>0</v>
      </c>
      <c r="CS25" s="610">
        <v>32</v>
      </c>
      <c r="CT25" s="610">
        <f>617+29-12</f>
        <v>634</v>
      </c>
      <c r="CU25" s="366">
        <f>SUM(CQ25:CT25)</f>
        <v>691</v>
      </c>
      <c r="CV25" s="610">
        <f>290-5-11</f>
        <v>274</v>
      </c>
      <c r="CW25" s="711">
        <v>0</v>
      </c>
      <c r="CX25" s="711">
        <v>0</v>
      </c>
      <c r="CY25" s="711">
        <v>0</v>
      </c>
      <c r="CZ25" s="366">
        <f>SUM(CV25:CY25)</f>
        <v>274</v>
      </c>
      <c r="DA25" s="610">
        <f>-57+2</f>
        <v>-55</v>
      </c>
      <c r="DB25" s="610">
        <f>193-17</f>
        <v>176</v>
      </c>
      <c r="DC25" s="610">
        <v>3003</v>
      </c>
      <c r="DD25" s="833">
        <f>-49+2-1-10-61-3</f>
        <v>-122</v>
      </c>
      <c r="DE25" s="366">
        <f>SUM(DA25:DD25)</f>
        <v>3002</v>
      </c>
      <c r="DF25" s="610">
        <f>-112+2-9-78-296</f>
        <v>-493</v>
      </c>
      <c r="DG25" s="610">
        <f>504+1491+3+7</f>
        <v>2005</v>
      </c>
      <c r="DH25" s="610">
        <f>45+534+4+2</f>
        <v>585</v>
      </c>
      <c r="DI25" s="833">
        <f>79+520</f>
        <v>599</v>
      </c>
      <c r="DJ25" s="366">
        <f>SUM(DF25:DI25)</f>
        <v>2696</v>
      </c>
      <c r="DK25" s="610">
        <f>26-43+35-26</f>
        <v>-8</v>
      </c>
      <c r="DL25" s="846">
        <f>109-11-33</f>
        <v>65</v>
      </c>
      <c r="DM25" s="711">
        <v>19</v>
      </c>
      <c r="DN25" s="711">
        <v>0</v>
      </c>
      <c r="DO25" s="366">
        <f>SUM(DK25:DN25)</f>
        <v>76</v>
      </c>
      <c r="DP25" s="711">
        <v>0</v>
      </c>
      <c r="DQ25" s="711">
        <v>0</v>
      </c>
      <c r="DR25" s="711">
        <v>0</v>
      </c>
      <c r="DS25" s="711">
        <v>0</v>
      </c>
      <c r="DT25" s="366">
        <f>SUM(DP25:DS25)</f>
        <v>0</v>
      </c>
      <c r="DU25" s="712">
        <v>0</v>
      </c>
      <c r="DV25" s="712">
        <v>0</v>
      </c>
    </row>
    <row r="26" spans="1:126" s="45" customFormat="1" hidden="1" outlineLevel="1">
      <c r="A26" s="32"/>
      <c r="B26" s="3" t="s">
        <v>541</v>
      </c>
      <c r="C26" s="17"/>
      <c r="D26" s="17"/>
      <c r="E26" s="17"/>
      <c r="F26" s="17"/>
      <c r="G26" s="17"/>
      <c r="H26" s="17"/>
      <c r="I26" s="17"/>
      <c r="J26" s="210"/>
      <c r="K26" s="210"/>
      <c r="L26" s="210"/>
      <c r="M26" s="210"/>
      <c r="N26" s="17"/>
      <c r="O26" s="210"/>
      <c r="P26" s="210"/>
      <c r="Q26" s="210"/>
      <c r="R26" s="210"/>
      <c r="S26" s="17"/>
      <c r="T26" s="210"/>
      <c r="U26" s="210"/>
      <c r="V26" s="210"/>
      <c r="W26" s="210"/>
      <c r="X26" s="17"/>
      <c r="Y26" s="210"/>
      <c r="Z26" s="210"/>
      <c r="AA26" s="210"/>
      <c r="AB26" s="210"/>
      <c r="AC26" s="17"/>
      <c r="AD26" s="210"/>
      <c r="AE26" s="210"/>
      <c r="AF26" s="210"/>
      <c r="AG26" s="210"/>
      <c r="AH26" s="17"/>
      <c r="AI26" s="210"/>
      <c r="AJ26" s="210"/>
      <c r="AK26" s="210"/>
      <c r="AL26" s="210"/>
      <c r="AM26" s="17"/>
      <c r="AN26" s="210"/>
      <c r="AO26" s="210"/>
      <c r="AP26" s="210"/>
      <c r="AQ26" s="210"/>
      <c r="AR26" s="17"/>
      <c r="AS26" s="210"/>
      <c r="AT26" s="210"/>
      <c r="AU26" s="210"/>
      <c r="AV26" s="210"/>
      <c r="AW26" s="17"/>
      <c r="AX26" s="210"/>
      <c r="AY26" s="210"/>
      <c r="AZ26" s="210"/>
      <c r="BA26" s="210"/>
      <c r="BB26" s="17"/>
      <c r="BC26" s="210"/>
      <c r="BD26" s="210"/>
      <c r="BE26" s="210"/>
      <c r="BF26" s="210"/>
      <c r="BG26" s="17"/>
      <c r="BH26" s="210"/>
      <c r="BI26" s="210"/>
      <c r="BJ26" s="210"/>
      <c r="BK26" s="210"/>
      <c r="BL26" s="17"/>
      <c r="BM26" s="210"/>
      <c r="BN26" s="210"/>
      <c r="BO26" s="210"/>
      <c r="BP26" s="210"/>
      <c r="BQ26" s="17"/>
      <c r="BR26" s="210"/>
      <c r="BS26" s="210"/>
      <c r="BT26" s="210"/>
      <c r="BU26" s="210"/>
      <c r="BV26" s="17"/>
      <c r="BW26" s="210"/>
      <c r="BX26" s="210"/>
      <c r="BY26" s="210"/>
      <c r="BZ26" s="210"/>
      <c r="CA26" s="17"/>
      <c r="CB26" s="603"/>
      <c r="CC26" s="603"/>
      <c r="CD26" s="603"/>
      <c r="CE26" s="610"/>
      <c r="CF26" s="712">
        <f>-SEG!CF141</f>
        <v>611.68044077134982</v>
      </c>
      <c r="CG26" s="711">
        <f>-SEG!CG141</f>
        <v>588</v>
      </c>
      <c r="CH26" s="711">
        <f>-SEG!CH141</f>
        <v>571</v>
      </c>
      <c r="CI26" s="711">
        <f>-SEG!CI141</f>
        <v>581</v>
      </c>
      <c r="CJ26" s="711">
        <f>-SEG!CJ141</f>
        <v>594</v>
      </c>
      <c r="CK26" s="366">
        <f>SUM(CG26:CJ26)</f>
        <v>2334</v>
      </c>
      <c r="CL26" s="453">
        <f>-SEG!CL141</f>
        <v>644</v>
      </c>
      <c r="CM26" s="453">
        <f>-SEG!CM141</f>
        <v>545</v>
      </c>
      <c r="CN26" s="453">
        <f>-SEG!CN141</f>
        <v>523</v>
      </c>
      <c r="CO26" s="453">
        <f>-SEG!CO141</f>
        <v>561</v>
      </c>
      <c r="CP26" s="366">
        <f>SUM(CL26:CO26)</f>
        <v>2273</v>
      </c>
      <c r="CQ26" s="453">
        <f>-SEG!CQ141</f>
        <v>516</v>
      </c>
      <c r="CR26" s="453">
        <f>-SEG!CR141</f>
        <v>519</v>
      </c>
      <c r="CS26" s="453">
        <f>-SEG!CS141</f>
        <v>586</v>
      </c>
      <c r="CT26" s="453">
        <f>-SEG!CT141</f>
        <v>582</v>
      </c>
      <c r="CU26" s="366">
        <f>SUM(CQ26:CT26)</f>
        <v>2203</v>
      </c>
      <c r="CV26" s="453">
        <f>-SEG!CV141</f>
        <v>484</v>
      </c>
      <c r="CW26" s="453">
        <f>-SEG!CW141</f>
        <v>448</v>
      </c>
      <c r="CX26" s="453">
        <f>-SEG!CX141</f>
        <v>482</v>
      </c>
      <c r="CY26" s="453">
        <f>-SEG!CY141</f>
        <v>479</v>
      </c>
      <c r="CZ26" s="366">
        <f>SUM(CV26:CY26)</f>
        <v>1893</v>
      </c>
      <c r="DA26" s="453">
        <f>-SEG!DA141</f>
        <v>493</v>
      </c>
      <c r="DB26" s="453">
        <v>489</v>
      </c>
      <c r="DC26" s="453">
        <f>517+8</f>
        <v>525</v>
      </c>
      <c r="DD26" s="453">
        <f>499+5</f>
        <v>504</v>
      </c>
      <c r="DE26" s="366">
        <f>SUM(DA26:DD26)</f>
        <v>2011</v>
      </c>
      <c r="DF26" s="453">
        <v>500</v>
      </c>
      <c r="DG26" s="453">
        <v>0</v>
      </c>
      <c r="DH26" s="453">
        <v>0</v>
      </c>
      <c r="DI26" s="453">
        <v>0</v>
      </c>
      <c r="DJ26" s="366">
        <f>SUM(DF26:DI26)</f>
        <v>500</v>
      </c>
      <c r="DK26" s="453">
        <v>470</v>
      </c>
      <c r="DL26" s="847">
        <v>487</v>
      </c>
      <c r="DM26" s="847">
        <v>507</v>
      </c>
      <c r="DN26" s="608">
        <f>-SEG!DN141</f>
        <v>475</v>
      </c>
      <c r="DO26" s="366">
        <f>SUM(DK26:DN26)</f>
        <v>1939</v>
      </c>
      <c r="DP26" s="608">
        <f>-SEG!DP141</f>
        <v>470</v>
      </c>
      <c r="DQ26" s="608">
        <f>-SEG!DQ141</f>
        <v>470</v>
      </c>
      <c r="DR26" s="608">
        <f>-SEG!DR141</f>
        <v>470</v>
      </c>
      <c r="DS26" s="608">
        <f>-SEG!DS141</f>
        <v>470</v>
      </c>
      <c r="DT26" s="366">
        <f>SUM(DP26:DS26)</f>
        <v>1880</v>
      </c>
      <c r="DU26" s="367">
        <f>-SEG!DU141</f>
        <v>1850</v>
      </c>
      <c r="DV26" s="367">
        <f>-SEG!DV141</f>
        <v>1850</v>
      </c>
    </row>
    <row r="27" spans="1:126" s="45" customFormat="1" hidden="1" outlineLevel="1">
      <c r="A27" s="32"/>
      <c r="B27" s="3" t="s">
        <v>543</v>
      </c>
      <c r="C27" s="17"/>
      <c r="D27" s="17"/>
      <c r="E27" s="17"/>
      <c r="F27" s="17"/>
      <c r="G27" s="17"/>
      <c r="H27" s="17"/>
      <c r="I27" s="17"/>
      <c r="J27" s="210"/>
      <c r="K27" s="210"/>
      <c r="L27" s="210"/>
      <c r="M27" s="210"/>
      <c r="N27" s="17"/>
      <c r="O27" s="210"/>
      <c r="P27" s="210"/>
      <c r="Q27" s="210"/>
      <c r="R27" s="210"/>
      <c r="S27" s="17"/>
      <c r="T27" s="210"/>
      <c r="U27" s="210"/>
      <c r="V27" s="210"/>
      <c r="W27" s="210"/>
      <c r="X27" s="17"/>
      <c r="Y27" s="210"/>
      <c r="Z27" s="210"/>
      <c r="AA27" s="210"/>
      <c r="AB27" s="210"/>
      <c r="AC27" s="17"/>
      <c r="AD27" s="210"/>
      <c r="AE27" s="210"/>
      <c r="AF27" s="210"/>
      <c r="AG27" s="210"/>
      <c r="AH27" s="17"/>
      <c r="AI27" s="210"/>
      <c r="AJ27" s="210"/>
      <c r="AK27" s="210"/>
      <c r="AL27" s="210"/>
      <c r="AM27" s="17"/>
      <c r="AN27" s="210"/>
      <c r="AO27" s="210"/>
      <c r="AP27" s="210"/>
      <c r="AQ27" s="210"/>
      <c r="AR27" s="17"/>
      <c r="AS27" s="210"/>
      <c r="AT27" s="210"/>
      <c r="AU27" s="210"/>
      <c r="AV27" s="210"/>
      <c r="AW27" s="17"/>
      <c r="AX27" s="210"/>
      <c r="AY27" s="210"/>
      <c r="AZ27" s="210"/>
      <c r="BA27" s="210"/>
      <c r="BB27" s="17"/>
      <c r="BC27" s="210"/>
      <c r="BD27" s="210"/>
      <c r="BE27" s="210"/>
      <c r="BF27" s="210"/>
      <c r="BG27" s="17"/>
      <c r="BH27" s="210"/>
      <c r="BI27" s="210"/>
      <c r="BJ27" s="210"/>
      <c r="BK27" s="210"/>
      <c r="BL27" s="17"/>
      <c r="BM27" s="210"/>
      <c r="BN27" s="210"/>
      <c r="BO27" s="210"/>
      <c r="BP27" s="210"/>
      <c r="BQ27" s="17"/>
      <c r="BR27" s="210"/>
      <c r="BS27" s="210"/>
      <c r="BT27" s="210"/>
      <c r="BU27" s="210"/>
      <c r="BV27" s="17"/>
      <c r="BW27" s="210"/>
      <c r="BX27" s="210"/>
      <c r="BY27" s="210"/>
      <c r="BZ27" s="210"/>
      <c r="CA27" s="17"/>
      <c r="CB27" s="603"/>
      <c r="CC27" s="603"/>
      <c r="CD27" s="603"/>
      <c r="CE27" s="610"/>
      <c r="CF27" s="712">
        <f>-(CF24+CF26)*0.215</f>
        <v>-290.8262947658402</v>
      </c>
      <c r="CG27" s="711">
        <f>-(CG24+CG26)*0.215</f>
        <v>-179.95499999999998</v>
      </c>
      <c r="CH27" s="711">
        <f>-(CH24+CH26)*0.215</f>
        <v>-134.375</v>
      </c>
      <c r="CI27" s="711">
        <f>-(CI24+CI26)*0.215</f>
        <v>-133.72999999999999</v>
      </c>
      <c r="CJ27" s="711">
        <f>-(CJ24+CJ26)*0.215</f>
        <v>-171.35499999999999</v>
      </c>
      <c r="CK27" s="366">
        <f>SUM(CG27:CJ27)</f>
        <v>-619.41499999999996</v>
      </c>
      <c r="CL27" s="610">
        <f>-(CL24+CL26)*0.1975</f>
        <v>-153.33680555555551</v>
      </c>
      <c r="CM27" s="610">
        <f>-321+22+60+46-31</f>
        <v>-224</v>
      </c>
      <c r="CN27" s="610">
        <f>12-12-11-11-9</f>
        <v>-31</v>
      </c>
      <c r="CO27" s="610">
        <f>260+55-13-2+25-5+4-1</f>
        <v>323</v>
      </c>
      <c r="CP27" s="366">
        <f>SUM(CL27:CO27)</f>
        <v>-85.336805555555543</v>
      </c>
      <c r="CQ27" s="610">
        <f>-134+148</f>
        <v>14</v>
      </c>
      <c r="CR27" s="610">
        <f>-123+73</f>
        <v>-50</v>
      </c>
      <c r="CS27" s="610">
        <v>-141</v>
      </c>
      <c r="CT27" s="610">
        <f>-137-104-5</f>
        <v>-246</v>
      </c>
      <c r="CU27" s="366">
        <f>SUM(CQ27:CT27)</f>
        <v>-423</v>
      </c>
      <c r="CV27" s="610">
        <v>-182</v>
      </c>
      <c r="CW27" s="610">
        <v>-111</v>
      </c>
      <c r="CX27" s="610">
        <v>-108</v>
      </c>
      <c r="CY27" s="610">
        <v>-117</v>
      </c>
      <c r="CZ27" s="366">
        <f>SUM(CV27:CY27)</f>
        <v>-518</v>
      </c>
      <c r="DA27" s="610">
        <v>-101</v>
      </c>
      <c r="DB27" s="610">
        <v>-165</v>
      </c>
      <c r="DC27" s="610">
        <v>-826</v>
      </c>
      <c r="DD27" s="610">
        <v>-99</v>
      </c>
      <c r="DE27" s="366">
        <f>SUM(DA27:DD27)</f>
        <v>-1191</v>
      </c>
      <c r="DF27" s="610">
        <v>41</v>
      </c>
      <c r="DG27" s="610">
        <v>-257</v>
      </c>
      <c r="DH27" s="610">
        <f>11-148+156</f>
        <v>19</v>
      </c>
      <c r="DI27" s="610">
        <v>-152</v>
      </c>
      <c r="DJ27" s="366">
        <f>SUM(DF27:DI27)</f>
        <v>-349</v>
      </c>
      <c r="DK27" s="610">
        <v>-138</v>
      </c>
      <c r="DL27" s="846">
        <v>-142</v>
      </c>
      <c r="DM27" s="711">
        <v>-50</v>
      </c>
      <c r="DN27" s="711">
        <f>-(DN24+DN26)*0.22</f>
        <v>-104.5</v>
      </c>
      <c r="DO27" s="366">
        <f>SUM(DK27:DN27)</f>
        <v>-434.5</v>
      </c>
      <c r="DP27" s="711">
        <f t="shared" ref="DP27" si="107">-(DP24+DP26)*0.2</f>
        <v>-94</v>
      </c>
      <c r="DQ27" s="711">
        <f t="shared" ref="DQ27:DS27" si="108">-(DQ24+DQ26)*0.2</f>
        <v>-94</v>
      </c>
      <c r="DR27" s="711">
        <f t="shared" si="108"/>
        <v>-94</v>
      </c>
      <c r="DS27" s="711">
        <f t="shared" si="108"/>
        <v>-94</v>
      </c>
      <c r="DT27" s="366">
        <f>SUM(DP27:DS27)</f>
        <v>-376</v>
      </c>
      <c r="DU27" s="712">
        <f>-(DU24+DU26)*0.2</f>
        <v>-370</v>
      </c>
      <c r="DV27" s="712">
        <f>-(DV24+DV26)*0.2</f>
        <v>-370</v>
      </c>
    </row>
    <row r="28" spans="1:126" s="45" customFormat="1" hidden="1" outlineLevel="1">
      <c r="A28" s="32"/>
      <c r="B28" s="3" t="s">
        <v>398</v>
      </c>
      <c r="C28" s="17"/>
      <c r="D28" s="17"/>
      <c r="E28" s="17"/>
      <c r="F28" s="17"/>
      <c r="G28" s="17"/>
      <c r="H28" s="17"/>
      <c r="I28" s="17"/>
      <c r="J28" s="198"/>
      <c r="K28" s="198"/>
      <c r="L28" s="198"/>
      <c r="M28" s="198"/>
      <c r="N28" s="17"/>
      <c r="O28" s="198"/>
      <c r="P28" s="198"/>
      <c r="Q28" s="198"/>
      <c r="R28" s="198"/>
      <c r="S28" s="17"/>
      <c r="T28" s="198"/>
      <c r="U28" s="198"/>
      <c r="V28" s="198"/>
      <c r="W28" s="198"/>
      <c r="X28" s="17"/>
      <c r="Y28" s="198"/>
      <c r="Z28" s="198"/>
      <c r="AA28" s="198"/>
      <c r="AB28" s="198"/>
      <c r="AC28" s="17"/>
      <c r="AD28" s="198"/>
      <c r="AE28" s="198"/>
      <c r="AF28" s="198"/>
      <c r="AG28" s="198"/>
      <c r="AH28" s="17"/>
      <c r="AI28" s="198"/>
      <c r="AJ28" s="198"/>
      <c r="AK28" s="198"/>
      <c r="AL28" s="198"/>
      <c r="AM28" s="17"/>
      <c r="AN28" s="198"/>
      <c r="AO28" s="198"/>
      <c r="AP28" s="198"/>
      <c r="AQ28" s="198"/>
      <c r="AR28" s="17"/>
      <c r="AS28" s="198"/>
      <c r="AT28" s="198"/>
      <c r="AU28" s="198"/>
      <c r="AV28" s="198"/>
      <c r="AW28" s="17"/>
      <c r="AX28" s="198"/>
      <c r="AY28" s="198"/>
      <c r="AZ28" s="16"/>
      <c r="BA28" s="16"/>
      <c r="BB28" s="17"/>
      <c r="BC28" s="198"/>
      <c r="BD28" s="198"/>
      <c r="BE28" s="198"/>
      <c r="BF28" s="198"/>
      <c r="BG28" s="17"/>
      <c r="BH28" s="198"/>
      <c r="BI28" s="198"/>
      <c r="BJ28" s="198"/>
      <c r="BK28" s="198"/>
      <c r="BL28" s="17"/>
      <c r="BM28" s="198"/>
      <c r="BN28" s="198"/>
      <c r="BO28" s="198"/>
      <c r="BP28" s="198"/>
      <c r="BQ28" s="17"/>
      <c r="BR28" s="198"/>
      <c r="BS28" s="198"/>
      <c r="BT28" s="198"/>
      <c r="BU28" s="198"/>
      <c r="BV28" s="17"/>
      <c r="BW28" s="198"/>
      <c r="BX28" s="198"/>
      <c r="BY28" s="198"/>
      <c r="BZ28" s="198"/>
      <c r="CA28" s="17"/>
      <c r="CB28" s="16"/>
      <c r="CC28" s="16"/>
      <c r="CD28" s="16"/>
      <c r="CE28" s="16"/>
      <c r="CF28" s="366">
        <f>CF19+SUM(CF24:CF27)</f>
        <v>8431.9117740465899</v>
      </c>
      <c r="CG28" s="368">
        <f>CG19+SUM(CG24:CG27)</f>
        <v>2284.1950000000002</v>
      </c>
      <c r="CH28" s="368">
        <f>CH19+SUM(CH24:CH27)</f>
        <v>2467.4750000000004</v>
      </c>
      <c r="CI28" s="368">
        <f>CI19+SUM(CI24:CI27)</f>
        <v>2476.04</v>
      </c>
      <c r="CJ28" s="368">
        <f>CJ19+SUM(CJ24:CJ27)</f>
        <v>2186.875</v>
      </c>
      <c r="CK28" s="366">
        <f>SUM(CG28:CJ28)</f>
        <v>9414.5849999999991</v>
      </c>
      <c r="CL28" s="368">
        <f>CL19+SUM(CL24:CL27)</f>
        <v>2351.3631944444442</v>
      </c>
      <c r="CM28" s="453">
        <f>CM19+SUM(CM24:CM27)</f>
        <v>648.18190045248866</v>
      </c>
      <c r="CN28" s="368">
        <f>CN19+SUM(CN24:CN27)</f>
        <v>855</v>
      </c>
      <c r="CO28" s="368">
        <f>CO19+SUM(CO24:CO27)</f>
        <v>1122</v>
      </c>
      <c r="CP28" s="366">
        <f>SUM(CL28:CO28)</f>
        <v>4976.5450948969328</v>
      </c>
      <c r="CQ28" s="368">
        <f t="shared" ref="CQ28:CT28" si="109">CQ19+SUM(CQ24:CQ27)</f>
        <v>1370</v>
      </c>
      <c r="CR28" s="368">
        <f t="shared" si="109"/>
        <v>1565</v>
      </c>
      <c r="CS28" s="368">
        <f t="shared" ref="CS28" si="110">CS19+SUM(CS24:CS27)</f>
        <v>1896</v>
      </c>
      <c r="CT28" s="368">
        <f t="shared" si="109"/>
        <v>1614</v>
      </c>
      <c r="CU28" s="366">
        <f>SUM(CQ28:CT28)</f>
        <v>6445</v>
      </c>
      <c r="CV28" s="368">
        <f t="shared" ref="CV28" si="111">CV19+SUM(CV24:CV27)</f>
        <v>1723</v>
      </c>
      <c r="CW28" s="368">
        <f t="shared" ref="CW28:CY28" si="112">CW19+SUM(CW24:CW27)</f>
        <v>1722</v>
      </c>
      <c r="CX28" s="368">
        <f t="shared" si="112"/>
        <v>1785</v>
      </c>
      <c r="CY28" s="368">
        <f t="shared" si="112"/>
        <v>1868</v>
      </c>
      <c r="CZ28" s="366">
        <f>SUM(CV28:CY28)</f>
        <v>7098</v>
      </c>
      <c r="DA28" s="368">
        <f>DA19+SUM(DA24:DA27)</f>
        <v>1793</v>
      </c>
      <c r="DB28" s="368">
        <f t="shared" ref="DB28:DD28" si="113">DB19+SUM(DB24:DB27)</f>
        <v>1895</v>
      </c>
      <c r="DC28" s="368">
        <f>DC19+SUM(DC24:DC27)</f>
        <v>1822</v>
      </c>
      <c r="DD28" s="368">
        <f t="shared" si="113"/>
        <v>1753</v>
      </c>
      <c r="DE28" s="366">
        <f>SUM(DA28:DD28)</f>
        <v>7263</v>
      </c>
      <c r="DF28" s="368">
        <f t="shared" ref="DF28:DG28" si="114">DF19+SUM(DF24:DF27)</f>
        <v>1791</v>
      </c>
      <c r="DG28" s="368">
        <f t="shared" si="114"/>
        <v>1895</v>
      </c>
      <c r="DH28" s="368">
        <f>DH19+SUM(DH24:DH27)</f>
        <v>1948</v>
      </c>
      <c r="DI28" s="368">
        <f t="shared" ref="DI28" si="115">DI19+SUM(DI24:DI27)</f>
        <v>2071</v>
      </c>
      <c r="DJ28" s="366">
        <f>SUM(DF28:DI28)</f>
        <v>7705</v>
      </c>
      <c r="DK28" s="368">
        <f t="shared" ref="DK28:DL28" si="116">DK19+SUM(DK24:DK27)</f>
        <v>1991</v>
      </c>
      <c r="DL28" s="368">
        <f t="shared" si="116"/>
        <v>2118</v>
      </c>
      <c r="DM28" s="368">
        <f t="shared" ref="DM28:DN28" si="117">DM19+SUM(DM24:DM27)</f>
        <v>2311</v>
      </c>
      <c r="DN28" s="368">
        <f t="shared" si="117"/>
        <v>1970.8546878000002</v>
      </c>
      <c r="DO28" s="366">
        <f>SUM(DK28:DN28)</f>
        <v>8390.8546877999997</v>
      </c>
      <c r="DP28" s="368">
        <f t="shared" ref="DP28" si="118">DP19+SUM(DP24:DP27)</f>
        <v>1999.3086332500002</v>
      </c>
      <c r="DQ28" s="368">
        <f t="shared" ref="DQ28:DS28" si="119">DQ19+SUM(DQ24:DQ27)</f>
        <v>2162.0766792900004</v>
      </c>
      <c r="DR28" s="368">
        <f t="shared" si="119"/>
        <v>2371.6816214199998</v>
      </c>
      <c r="DS28" s="368">
        <f t="shared" si="119"/>
        <v>2391.5328049841596</v>
      </c>
      <c r="DT28" s="366">
        <f>SUM(DP28:DS28)</f>
        <v>8924.59973894416</v>
      </c>
      <c r="DU28" s="366">
        <f t="shared" ref="DU28:DV28" si="120">DU19+SUM(DU24:DU27)</f>
        <v>9651.3842804827327</v>
      </c>
      <c r="DV28" s="366">
        <f t="shared" si="120"/>
        <v>10456.864482873709</v>
      </c>
    </row>
    <row r="29" spans="1:126" s="45" customFormat="1" collapsed="1">
      <c r="A29" s="32"/>
      <c r="B29" s="47" t="s">
        <v>397</v>
      </c>
      <c r="C29" s="83"/>
      <c r="D29" s="83"/>
      <c r="E29" s="83"/>
      <c r="F29" s="83"/>
      <c r="G29" s="83"/>
      <c r="H29" s="83"/>
      <c r="I29" s="83"/>
      <c r="J29" s="84"/>
      <c r="K29" s="84"/>
      <c r="L29" s="84"/>
      <c r="M29" s="84"/>
      <c r="N29" s="83"/>
      <c r="O29" s="84"/>
      <c r="P29" s="84"/>
      <c r="Q29" s="84"/>
      <c r="R29" s="84"/>
      <c r="S29" s="83"/>
      <c r="T29" s="84"/>
      <c r="U29" s="84"/>
      <c r="V29" s="84"/>
      <c r="W29" s="84"/>
      <c r="X29" s="83"/>
      <c r="Y29" s="84"/>
      <c r="Z29" s="84"/>
      <c r="AA29" s="84"/>
      <c r="AB29" s="84"/>
      <c r="AC29" s="83"/>
      <c r="AD29" s="84"/>
      <c r="AE29" s="84"/>
      <c r="AF29" s="84"/>
      <c r="AG29" s="84"/>
      <c r="AH29" s="83"/>
      <c r="AI29" s="84"/>
      <c r="AJ29" s="84"/>
      <c r="AK29" s="84"/>
      <c r="AL29" s="84"/>
      <c r="AM29" s="83"/>
      <c r="AN29" s="84"/>
      <c r="AO29" s="84"/>
      <c r="AP29" s="84"/>
      <c r="AQ29" s="84"/>
      <c r="AR29" s="83"/>
      <c r="AS29" s="84"/>
      <c r="AT29" s="84"/>
      <c r="AU29" s="84"/>
      <c r="AV29" s="84"/>
      <c r="AW29" s="83"/>
      <c r="AX29" s="84"/>
      <c r="AY29" s="84"/>
      <c r="AZ29" s="84"/>
      <c r="BA29" s="84"/>
      <c r="BB29" s="83"/>
      <c r="BC29" s="84"/>
      <c r="BD29" s="84"/>
      <c r="BE29" s="84"/>
      <c r="BF29" s="84"/>
      <c r="BG29" s="83"/>
      <c r="BH29" s="84"/>
      <c r="BI29" s="84"/>
      <c r="BJ29" s="84"/>
      <c r="BK29" s="84"/>
      <c r="BL29" s="83"/>
      <c r="BM29" s="84"/>
      <c r="BN29" s="84"/>
      <c r="BO29" s="84"/>
      <c r="BP29" s="84"/>
      <c r="BQ29" s="83"/>
      <c r="BR29" s="84"/>
      <c r="BS29" s="84"/>
      <c r="BT29" s="84"/>
      <c r="BU29" s="84"/>
      <c r="BV29" s="83"/>
      <c r="BW29" s="84"/>
      <c r="BX29" s="84"/>
      <c r="BY29" s="84"/>
      <c r="BZ29" s="84"/>
      <c r="CA29" s="83"/>
      <c r="CB29" s="84"/>
      <c r="CC29" s="84"/>
      <c r="CD29" s="84"/>
      <c r="CE29" s="84"/>
      <c r="CF29" s="83">
        <f t="shared" ref="CF29" si="121">CF28/CF33</f>
        <v>5.7784483100648227</v>
      </c>
      <c r="CG29" s="84">
        <f t="shared" ref="CG29:CK29" si="122">CG28/CG33</f>
        <v>1.510211570247934</v>
      </c>
      <c r="CH29" s="84">
        <f t="shared" si="122"/>
        <v>1.6313884297520664</v>
      </c>
      <c r="CI29" s="84">
        <f t="shared" si="122"/>
        <v>1.6299387795405176</v>
      </c>
      <c r="CJ29" s="84">
        <f t="shared" si="122"/>
        <v>1.4395859390428545</v>
      </c>
      <c r="CK29" s="83">
        <f t="shared" si="122"/>
        <v>6.2109678057791262</v>
      </c>
      <c r="CL29" s="84">
        <f t="shared" ref="CL29:CP29" si="123">CL28/CL33</f>
        <v>1.5490896596906543</v>
      </c>
      <c r="CM29" s="84">
        <f t="shared" si="123"/>
        <v>0.4317470861603202</v>
      </c>
      <c r="CN29" s="84">
        <f t="shared" si="123"/>
        <v>0.564654603090741</v>
      </c>
      <c r="CO29" s="84">
        <f t="shared" si="123"/>
        <v>0.74039857463376002</v>
      </c>
      <c r="CP29" s="83">
        <f t="shared" si="123"/>
        <v>3.2920189818726815</v>
      </c>
      <c r="CQ29" s="84">
        <f t="shared" ref="CQ29:CV29" si="124">CQ28/CQ33</f>
        <v>0.90482795059771481</v>
      </c>
      <c r="CR29" s="84">
        <f t="shared" si="124"/>
        <v>1.0340270895275852</v>
      </c>
      <c r="CS29" s="84">
        <f t="shared" si="124"/>
        <v>1.2590477455342319</v>
      </c>
      <c r="CT29" s="84">
        <f t="shared" si="124"/>
        <v>1.0758565524596719</v>
      </c>
      <c r="CU29" s="83">
        <f t="shared" si="124"/>
        <v>4.2726685118583951</v>
      </c>
      <c r="CV29" s="84">
        <f t="shared" si="124"/>
        <v>1.1502770545430268</v>
      </c>
      <c r="CW29" s="84">
        <f t="shared" ref="CW29:CZ29" si="125">CW28/CW33</f>
        <v>1.1560150375939851</v>
      </c>
      <c r="CX29" s="84">
        <f t="shared" si="125"/>
        <v>1.2066517947677957</v>
      </c>
      <c r="CY29" s="84">
        <f t="shared" si="125"/>
        <v>1.2653254758517918</v>
      </c>
      <c r="CZ29" s="83">
        <f t="shared" si="125"/>
        <v>4.7773047736030012</v>
      </c>
      <c r="DA29" s="84">
        <f t="shared" ref="DA29:DE29" si="126">DA28/DA33</f>
        <v>1.2162528829195496</v>
      </c>
      <c r="DB29" s="84">
        <f t="shared" si="126"/>
        <v>1.2902566895894327</v>
      </c>
      <c r="DC29" s="84">
        <f t="shared" si="126"/>
        <v>1.2516315174829977</v>
      </c>
      <c r="DD29" s="84">
        <f t="shared" si="126"/>
        <v>1.2873613865021665</v>
      </c>
      <c r="DE29" s="83">
        <f t="shared" si="126"/>
        <v>5.0434873183688351</v>
      </c>
      <c r="DF29" s="84">
        <f t="shared" ref="DF29:DI29" si="127">DF28/DF33</f>
        <v>1.3392656845883497</v>
      </c>
      <c r="DG29" s="84">
        <f t="shared" si="127"/>
        <v>1.4119663214365548</v>
      </c>
      <c r="DH29" s="84">
        <f t="shared" si="127"/>
        <v>1.4470361016193729</v>
      </c>
      <c r="DI29" s="84">
        <f t="shared" si="127"/>
        <v>1.5353250796945659</v>
      </c>
      <c r="DJ29" s="83">
        <f t="shared" ref="DJ29:DL29" si="128">DJ28/DJ33</f>
        <v>5.7344869290166525</v>
      </c>
      <c r="DK29" s="84">
        <f t="shared" si="128"/>
        <v>1.4728510134635302</v>
      </c>
      <c r="DL29" s="84">
        <f t="shared" si="128"/>
        <v>1.5642540620384047</v>
      </c>
      <c r="DM29" s="84">
        <f t="shared" ref="DM29:DP29" si="129">DM28/DM33</f>
        <v>1.7012661955241459</v>
      </c>
      <c r="DN29" s="84">
        <f t="shared" si="129"/>
        <v>1.4497974752096514</v>
      </c>
      <c r="DO29" s="83">
        <f t="shared" si="129"/>
        <v>6.1884023068072862</v>
      </c>
      <c r="DP29" s="84">
        <f t="shared" si="129"/>
        <v>1.4728957074185944</v>
      </c>
      <c r="DQ29" s="84">
        <f t="shared" ref="DQ29:DS29" si="130">DQ28/DQ33</f>
        <v>1.5963354099896634</v>
      </c>
      <c r="DR29" s="84">
        <f t="shared" si="130"/>
        <v>1.7575823487624127</v>
      </c>
      <c r="DS29" s="84">
        <f t="shared" si="130"/>
        <v>1.7788848594050577</v>
      </c>
      <c r="DT29" s="83">
        <f t="shared" ref="DT29" si="131">DT28/DT33</f>
        <v>6.6039660640403728</v>
      </c>
      <c r="DU29" s="83">
        <f t="shared" ref="DU29:DV29" si="132">DU28/DU33</f>
        <v>7.1950084094846671</v>
      </c>
      <c r="DV29" s="83">
        <f t="shared" si="132"/>
        <v>7.8540367153926001</v>
      </c>
    </row>
    <row r="30" spans="1:126" s="45" customFormat="1">
      <c r="A30" s="32"/>
      <c r="B30" s="32"/>
      <c r="C30" s="34"/>
      <c r="D30" s="34"/>
      <c r="E30" s="34"/>
      <c r="F30" s="34"/>
      <c r="G30" s="34"/>
      <c r="H30" s="34"/>
      <c r="I30" s="34"/>
      <c r="J30" s="82"/>
      <c r="K30" s="82"/>
      <c r="L30" s="80"/>
      <c r="M30" s="82"/>
      <c r="N30" s="34"/>
      <c r="O30" s="82"/>
      <c r="P30" s="82"/>
      <c r="Q30" s="80"/>
      <c r="R30" s="82"/>
      <c r="S30" s="34"/>
      <c r="T30" s="82"/>
      <c r="U30" s="82"/>
      <c r="V30" s="80"/>
      <c r="W30" s="82"/>
      <c r="X30" s="34"/>
      <c r="Y30" s="82"/>
      <c r="Z30" s="82"/>
      <c r="AA30" s="80"/>
      <c r="AB30" s="82"/>
      <c r="AC30" s="34"/>
      <c r="AD30" s="82"/>
      <c r="AE30" s="82"/>
      <c r="AF30" s="80"/>
      <c r="AG30" s="82"/>
      <c r="AH30" s="34"/>
      <c r="AI30" s="82"/>
      <c r="AJ30" s="82"/>
      <c r="AK30" s="80"/>
      <c r="AL30" s="82"/>
      <c r="AM30" s="34"/>
      <c r="AN30" s="82"/>
      <c r="AO30" s="82"/>
      <c r="AP30" s="80"/>
      <c r="AQ30" s="82"/>
      <c r="AR30" s="34"/>
      <c r="AS30" s="82"/>
      <c r="AT30" s="82"/>
      <c r="AU30" s="80"/>
      <c r="AV30" s="82"/>
      <c r="AW30" s="34"/>
      <c r="AX30" s="80"/>
      <c r="AY30" s="80"/>
      <c r="AZ30" s="82"/>
      <c r="BA30" s="82"/>
      <c r="BB30" s="34"/>
      <c r="BC30" s="80"/>
      <c r="BD30" s="80"/>
      <c r="BE30" s="80"/>
      <c r="BF30" s="80"/>
      <c r="BG30" s="34"/>
      <c r="BH30" s="82"/>
      <c r="BI30" s="82"/>
      <c r="BJ30" s="82"/>
      <c r="BK30" s="82"/>
      <c r="BL30" s="81"/>
      <c r="BM30" s="80"/>
      <c r="BN30" s="82"/>
      <c r="BO30" s="82"/>
      <c r="BP30" s="82"/>
      <c r="BQ30" s="81"/>
      <c r="BR30" s="82"/>
      <c r="BS30" s="82"/>
      <c r="BT30" s="82"/>
      <c r="BU30" s="82"/>
      <c r="BV30" s="81"/>
      <c r="BW30" s="82"/>
      <c r="BX30" s="82"/>
      <c r="BY30" s="82"/>
      <c r="BZ30" s="82"/>
      <c r="CA30" s="81"/>
      <c r="CB30" s="82"/>
      <c r="CC30" s="82"/>
      <c r="CD30" s="604"/>
      <c r="CE30" s="604"/>
      <c r="CF30" s="605"/>
      <c r="CG30" s="604"/>
      <c r="CH30" s="604"/>
      <c r="CI30" s="604"/>
      <c r="CJ30" s="604"/>
      <c r="CK30" s="605"/>
      <c r="CL30" s="604"/>
      <c r="CM30" s="604"/>
      <c r="CN30" s="604"/>
      <c r="CO30" s="604"/>
      <c r="CP30" s="605"/>
      <c r="CQ30" s="604"/>
      <c r="CR30" s="604"/>
      <c r="CS30" s="604"/>
      <c r="CT30" s="604"/>
      <c r="CU30" s="605"/>
      <c r="CV30" s="604"/>
      <c r="CW30" s="604"/>
      <c r="CX30" s="604"/>
      <c r="CY30" s="604"/>
      <c r="CZ30" s="605"/>
      <c r="DA30" s="604"/>
      <c r="DB30" s="604"/>
      <c r="DC30" s="604"/>
      <c r="DD30" s="604"/>
      <c r="DE30" s="605"/>
      <c r="DF30" s="604"/>
      <c r="DG30" s="604"/>
      <c r="DH30" s="604"/>
      <c r="DI30" s="604"/>
      <c r="DJ30" s="605"/>
      <c r="DK30" s="604"/>
      <c r="DL30" s="604"/>
      <c r="DM30" s="604"/>
      <c r="DN30" s="604"/>
      <c r="DO30" s="605"/>
      <c r="DP30" s="604"/>
      <c r="DQ30" s="604"/>
      <c r="DR30" s="604"/>
      <c r="DS30" s="604"/>
      <c r="DT30" s="605"/>
      <c r="DU30" s="605"/>
      <c r="DV30" s="605"/>
    </row>
    <row r="31" spans="1:126" s="45" customFormat="1">
      <c r="A31" s="32"/>
      <c r="B31" s="37" t="s">
        <v>140</v>
      </c>
      <c r="C31" s="34"/>
      <c r="D31" s="34"/>
      <c r="E31" s="34"/>
      <c r="F31" s="34"/>
      <c r="G31" s="34"/>
      <c r="H31" s="34"/>
      <c r="I31" s="34"/>
      <c r="J31" s="32"/>
      <c r="K31" s="32"/>
      <c r="L31" s="3"/>
      <c r="M31" s="32"/>
      <c r="N31" s="34"/>
      <c r="O31" s="32"/>
      <c r="P31" s="32"/>
      <c r="Q31" s="3"/>
      <c r="R31" s="32"/>
      <c r="S31" s="34"/>
      <c r="T31" s="32"/>
      <c r="U31" s="32"/>
      <c r="V31" s="3"/>
      <c r="W31" s="32"/>
      <c r="X31" s="34"/>
      <c r="Y31" s="32"/>
      <c r="Z31" s="32"/>
      <c r="AA31" s="3"/>
      <c r="AB31" s="32"/>
      <c r="AC31" s="34"/>
      <c r="AD31" s="32"/>
      <c r="AE31" s="32"/>
      <c r="AF31" s="3"/>
      <c r="AG31" s="32"/>
      <c r="AH31" s="34"/>
      <c r="AI31" s="32"/>
      <c r="AJ31" s="32"/>
      <c r="AK31" s="3"/>
      <c r="AL31" s="32"/>
      <c r="AM31" s="34"/>
      <c r="AN31" s="32"/>
      <c r="AO31" s="32"/>
      <c r="AP31" s="3"/>
      <c r="AQ31" s="32"/>
      <c r="AR31" s="34"/>
      <c r="AS31" s="32"/>
      <c r="AT31" s="32"/>
      <c r="AU31" s="3"/>
      <c r="AV31" s="32"/>
      <c r="AW31" s="34"/>
      <c r="AX31" s="3"/>
      <c r="AY31" s="3"/>
      <c r="AZ31" s="32"/>
      <c r="BA31" s="32"/>
      <c r="BB31" s="34"/>
      <c r="BC31" s="3"/>
      <c r="BD31" s="3"/>
      <c r="BE31" s="3"/>
      <c r="BF31" s="3"/>
      <c r="BG31" s="34"/>
      <c r="BH31" s="32"/>
      <c r="BI31" s="32"/>
      <c r="BJ31" s="32"/>
      <c r="BK31" s="32"/>
      <c r="BL31" s="34"/>
      <c r="BM31" s="3"/>
      <c r="BN31" s="32"/>
      <c r="BO31" s="32"/>
      <c r="BP31" s="32"/>
      <c r="BQ31" s="34"/>
      <c r="BR31" s="32"/>
      <c r="BS31" s="3"/>
      <c r="BT31" s="32"/>
      <c r="BU31" s="32"/>
      <c r="BV31" s="34"/>
      <c r="BW31" s="32"/>
      <c r="BX31" s="3"/>
      <c r="BY31" s="32"/>
      <c r="BZ31" s="32"/>
      <c r="CA31" s="34"/>
      <c r="CB31" s="32"/>
      <c r="CC31" s="3"/>
      <c r="CD31" s="32"/>
      <c r="CE31" s="32"/>
      <c r="CF31" s="34"/>
      <c r="CG31" s="3"/>
      <c r="CH31" s="3"/>
      <c r="CI31" s="3"/>
      <c r="CJ31" s="3"/>
      <c r="CK31" s="34"/>
      <c r="CL31" s="3"/>
      <c r="CM31" s="3"/>
      <c r="CN31" s="3"/>
      <c r="CO31" s="3"/>
      <c r="CP31" s="34"/>
      <c r="CQ31" s="3"/>
      <c r="CR31" s="3"/>
      <c r="CS31" s="3"/>
      <c r="CT31" s="3"/>
      <c r="CU31" s="34"/>
      <c r="CV31" s="3"/>
      <c r="CW31" s="3"/>
      <c r="CX31" s="3"/>
      <c r="CY31" s="3"/>
      <c r="CZ31" s="34"/>
      <c r="DA31" s="3"/>
      <c r="DB31" s="3"/>
      <c r="DC31" s="3"/>
      <c r="DD31" s="3"/>
      <c r="DE31" s="34"/>
      <c r="DF31" s="3"/>
      <c r="DG31" s="3"/>
      <c r="DH31" s="3"/>
      <c r="DI31" s="3"/>
      <c r="DJ31" s="34"/>
      <c r="DK31" s="3"/>
      <c r="DL31" s="3"/>
      <c r="DM31" s="3"/>
      <c r="DN31" s="3"/>
      <c r="DO31" s="34"/>
      <c r="DP31" s="3"/>
      <c r="DQ31" s="3"/>
      <c r="DR31" s="3"/>
      <c r="DS31" s="3"/>
      <c r="DT31" s="34"/>
      <c r="DU31" s="34"/>
      <c r="DV31" s="34"/>
    </row>
    <row r="32" spans="1:126" s="45" customFormat="1">
      <c r="A32" s="32"/>
      <c r="B32" s="32" t="s">
        <v>31</v>
      </c>
      <c r="C32" s="35"/>
      <c r="D32" s="35"/>
      <c r="E32" s="35"/>
      <c r="F32" s="35"/>
      <c r="G32" s="35"/>
      <c r="H32" s="35"/>
      <c r="I32" s="35"/>
      <c r="J32" s="36"/>
      <c r="K32" s="36"/>
      <c r="L32" s="211"/>
      <c r="M32" s="36"/>
      <c r="N32" s="35"/>
      <c r="O32" s="36"/>
      <c r="P32" s="36"/>
      <c r="Q32" s="211"/>
      <c r="R32" s="36"/>
      <c r="S32" s="35"/>
      <c r="T32" s="36"/>
      <c r="U32" s="36"/>
      <c r="V32" s="211"/>
      <c r="W32" s="36"/>
      <c r="X32" s="35"/>
      <c r="Y32" s="36"/>
      <c r="Z32" s="36"/>
      <c r="AA32" s="211"/>
      <c r="AB32" s="36"/>
      <c r="AC32" s="35"/>
      <c r="AD32" s="36"/>
      <c r="AE32" s="36"/>
      <c r="AF32" s="211"/>
      <c r="AG32" s="36"/>
      <c r="AH32" s="35"/>
      <c r="AI32" s="36"/>
      <c r="AJ32" s="36"/>
      <c r="AK32" s="211"/>
      <c r="AL32" s="36"/>
      <c r="AM32" s="35"/>
      <c r="AN32" s="36"/>
      <c r="AO32" s="36"/>
      <c r="AP32" s="211"/>
      <c r="AQ32" s="36"/>
      <c r="AR32" s="35"/>
      <c r="AS32" s="36"/>
      <c r="AT32" s="36"/>
      <c r="AU32" s="211"/>
      <c r="AV32" s="36"/>
      <c r="AW32" s="35"/>
      <c r="AX32" s="228"/>
      <c r="AY32" s="228"/>
      <c r="AZ32" s="228"/>
      <c r="BA32" s="228"/>
      <c r="BB32" s="35"/>
      <c r="BC32" s="458"/>
      <c r="BD32" s="458"/>
      <c r="BE32" s="458"/>
      <c r="BF32" s="458"/>
      <c r="BG32" s="35"/>
      <c r="BH32" s="458"/>
      <c r="BI32" s="458"/>
      <c r="BJ32" s="458"/>
      <c r="BK32" s="458"/>
      <c r="BL32" s="35"/>
      <c r="BM32" s="228"/>
      <c r="BN32" s="228"/>
      <c r="BO32" s="228"/>
      <c r="BP32" s="228"/>
      <c r="BQ32" s="35"/>
      <c r="BR32" s="228"/>
      <c r="BS32" s="228"/>
      <c r="BT32" s="228"/>
      <c r="BU32" s="228"/>
      <c r="BV32" s="35"/>
      <c r="BW32" s="228"/>
      <c r="BX32" s="228"/>
      <c r="BY32" s="228"/>
      <c r="BZ32" s="228"/>
      <c r="CA32" s="35"/>
      <c r="CB32" s="228"/>
      <c r="CC32" s="228"/>
      <c r="CD32" s="228"/>
      <c r="CE32" s="228"/>
      <c r="CF32" s="35">
        <f>+Data!CF41</f>
        <v>1448.3</v>
      </c>
      <c r="CG32" s="666">
        <f>+Data!CG41</f>
        <v>1501.7</v>
      </c>
      <c r="CH32" s="666">
        <f>+Data!CH41</f>
        <v>1501.7</v>
      </c>
      <c r="CI32" s="666">
        <f>+Data!CI41</f>
        <v>1505.4999999999998</v>
      </c>
      <c r="CJ32" s="666">
        <f>+Data!CJ41</f>
        <v>1505.4999999999998</v>
      </c>
      <c r="CK32" s="35">
        <f>Data!CK41</f>
        <v>1503.6</v>
      </c>
      <c r="CL32" s="773">
        <f>Data!CL41</f>
        <v>1506.7</v>
      </c>
      <c r="CM32" s="773">
        <f>Data!CM41</f>
        <v>1501.3</v>
      </c>
      <c r="CN32" s="773">
        <f>Data!CN41</f>
        <v>1511.5</v>
      </c>
      <c r="CO32" s="773">
        <f>Data!CO41</f>
        <v>1512.3</v>
      </c>
      <c r="CP32" s="369">
        <f>Data!CP41</f>
        <v>1511.7</v>
      </c>
      <c r="CQ32" s="773">
        <f>Data!CQ41</f>
        <v>1511.1</v>
      </c>
      <c r="CR32" s="773">
        <f>Data!CR41</f>
        <v>1506.4</v>
      </c>
      <c r="CS32" s="773">
        <f>Data!CS41</f>
        <v>1497.9</v>
      </c>
      <c r="CT32" s="773">
        <f>Data!CT41</f>
        <v>1490.5</v>
      </c>
      <c r="CU32" s="369">
        <f>AVERAGE(CQ32:CT32)</f>
        <v>1501.4749999999999</v>
      </c>
      <c r="CV32" s="773">
        <f>Data!CV41</f>
        <v>1486.8</v>
      </c>
      <c r="CW32" s="773">
        <f>Data!CW41</f>
        <v>1479.2</v>
      </c>
      <c r="CX32" s="773">
        <f>Data!CX41</f>
        <v>1470.1</v>
      </c>
      <c r="CY32" s="773">
        <f>Data!CY41</f>
        <v>1465.5</v>
      </c>
      <c r="CZ32" s="369">
        <f>AVERAGE(CV32:CY32)</f>
        <v>1475.4</v>
      </c>
      <c r="DA32" s="773">
        <f>Data!DA41</f>
        <v>1462.2</v>
      </c>
      <c r="DB32" s="773">
        <f>Data!DB41</f>
        <v>1457.5</v>
      </c>
      <c r="DC32" s="773">
        <f>Data!DC41</f>
        <v>1448.1</v>
      </c>
      <c r="DD32" s="773">
        <f>Data!DD41</f>
        <v>1354.9</v>
      </c>
      <c r="DE32" s="369">
        <f>AVERAGE(DA32:DD32)</f>
        <v>1430.6749999999997</v>
      </c>
      <c r="DF32" s="773">
        <f>Data!DF41</f>
        <v>1329.4</v>
      </c>
      <c r="DG32" s="773">
        <f>Data!DG41</f>
        <v>1331.8</v>
      </c>
      <c r="DH32" s="773">
        <f>Data!DH41</f>
        <v>1333.2</v>
      </c>
      <c r="DI32" s="773">
        <f>Data!DI41</f>
        <v>1334.4</v>
      </c>
      <c r="DJ32" s="369">
        <f>AVERAGE(DF32:DI32)</f>
        <v>1332.1999999999998</v>
      </c>
      <c r="DK32" s="773">
        <f>Data!DK41</f>
        <v>1337.1</v>
      </c>
      <c r="DL32" s="773">
        <f>Data!DL41</f>
        <v>1340.6</v>
      </c>
      <c r="DM32" s="773">
        <f>Data!DM41</f>
        <v>1343.1</v>
      </c>
      <c r="DN32" s="666">
        <f t="shared" ref="DN32" si="133">DM32+(DN33-DM33)</f>
        <v>1344.1</v>
      </c>
      <c r="DO32" s="369">
        <f>AVERAGE(DK32:DN32)</f>
        <v>1341.2249999999999</v>
      </c>
      <c r="DP32" s="666">
        <f>DN32+(DP33-DN33)</f>
        <v>1342.1</v>
      </c>
      <c r="DQ32" s="666">
        <f t="shared" ref="DQ32" si="134">DP32+(DQ33-DP33)</f>
        <v>1339.1</v>
      </c>
      <c r="DR32" s="666">
        <f t="shared" ref="DR32" si="135">DQ32+(DR33-DQ33)</f>
        <v>1334.1</v>
      </c>
      <c r="DS32" s="666">
        <f t="shared" ref="DS32" si="136">DR32+(DS33-DR33)</f>
        <v>1329.1</v>
      </c>
      <c r="DT32" s="369">
        <f>AVERAGE(DP32:DS32)</f>
        <v>1336.1</v>
      </c>
      <c r="DU32" s="90">
        <f t="shared" ref="DU32:DV32" si="137">DT32+(DU33-DT33)</f>
        <v>1326.1</v>
      </c>
      <c r="DV32" s="90">
        <f t="shared" si="137"/>
        <v>1316.1</v>
      </c>
    </row>
    <row r="33" spans="1:126" s="45" customFormat="1">
      <c r="A33" s="32"/>
      <c r="B33" s="32" t="s">
        <v>32</v>
      </c>
      <c r="C33" s="35"/>
      <c r="D33" s="35"/>
      <c r="E33" s="35"/>
      <c r="F33" s="35"/>
      <c r="G33" s="35"/>
      <c r="H33" s="35"/>
      <c r="I33" s="35"/>
      <c r="J33" s="36"/>
      <c r="K33" s="36"/>
      <c r="L33" s="211"/>
      <c r="M33" s="36"/>
      <c r="N33" s="35"/>
      <c r="O33" s="36"/>
      <c r="P33" s="36"/>
      <c r="Q33" s="211"/>
      <c r="R33" s="36"/>
      <c r="S33" s="35"/>
      <c r="T33" s="36"/>
      <c r="U33" s="36"/>
      <c r="V33" s="211"/>
      <c r="W33" s="36"/>
      <c r="X33" s="35"/>
      <c r="Y33" s="36"/>
      <c r="Z33" s="36"/>
      <c r="AA33" s="211"/>
      <c r="AB33" s="36"/>
      <c r="AC33" s="35"/>
      <c r="AD33" s="36"/>
      <c r="AE33" s="36"/>
      <c r="AF33" s="211"/>
      <c r="AG33" s="36"/>
      <c r="AH33" s="35"/>
      <c r="AI33" s="36"/>
      <c r="AJ33" s="36"/>
      <c r="AK33" s="211"/>
      <c r="AL33" s="36"/>
      <c r="AM33" s="35"/>
      <c r="AN33" s="36"/>
      <c r="AO33" s="36"/>
      <c r="AP33" s="211"/>
      <c r="AQ33" s="36"/>
      <c r="AR33" s="35"/>
      <c r="AS33" s="36"/>
      <c r="AT33" s="36"/>
      <c r="AU33" s="211"/>
      <c r="AV33" s="36"/>
      <c r="AW33" s="35"/>
      <c r="AX33" s="228"/>
      <c r="AY33" s="228"/>
      <c r="AZ33" s="228"/>
      <c r="BA33" s="211"/>
      <c r="BB33" s="35"/>
      <c r="BC33" s="458"/>
      <c r="BD33" s="458"/>
      <c r="BE33" s="458"/>
      <c r="BF33" s="458"/>
      <c r="BG33" s="35"/>
      <c r="BH33" s="458"/>
      <c r="BI33" s="458"/>
      <c r="BJ33" s="458"/>
      <c r="BK33" s="458"/>
      <c r="BL33" s="35"/>
      <c r="BM33" s="211"/>
      <c r="BN33" s="211"/>
      <c r="BO33" s="211"/>
      <c r="BP33" s="211"/>
      <c r="BQ33" s="35"/>
      <c r="BR33" s="211"/>
      <c r="BS33" s="211"/>
      <c r="BT33" s="211"/>
      <c r="BU33" s="211"/>
      <c r="BV33" s="35"/>
      <c r="BW33" s="211"/>
      <c r="BX33" s="211"/>
      <c r="BY33" s="211"/>
      <c r="BZ33" s="211"/>
      <c r="CA33" s="494"/>
      <c r="CB33" s="211"/>
      <c r="CC33" s="211"/>
      <c r="CD33" s="211"/>
      <c r="CE33" s="211"/>
      <c r="CF33" s="494">
        <f>+Data!CF42</f>
        <v>1459.2</v>
      </c>
      <c r="CG33" s="666">
        <f>+Data!CG42</f>
        <v>1512.5</v>
      </c>
      <c r="CH33" s="666">
        <f>+Data!CH42</f>
        <v>1512.5</v>
      </c>
      <c r="CI33" s="666">
        <f>+Data!CI42</f>
        <v>1519.1</v>
      </c>
      <c r="CJ33" s="666">
        <f>+Data!CJ42</f>
        <v>1519.1</v>
      </c>
      <c r="CK33" s="494">
        <f>Data!CK42</f>
        <v>1515.8</v>
      </c>
      <c r="CL33" s="773">
        <f>Data!CL42</f>
        <v>1517.9</v>
      </c>
      <c r="CM33" s="773">
        <f>Data!CM42</f>
        <v>1501.3</v>
      </c>
      <c r="CN33" s="773">
        <f>Data!CN42</f>
        <v>1514.2</v>
      </c>
      <c r="CO33" s="773">
        <f>Data!CO42</f>
        <v>1515.4</v>
      </c>
      <c r="CP33" s="494">
        <f>Data!CP42</f>
        <v>1511.7</v>
      </c>
      <c r="CQ33" s="773">
        <f>Data!CQ42</f>
        <v>1514.1</v>
      </c>
      <c r="CR33" s="773">
        <f>Data!CR42</f>
        <v>1513.5</v>
      </c>
      <c r="CS33" s="773">
        <f>Data!CS42</f>
        <v>1505.9</v>
      </c>
      <c r="CT33" s="773">
        <f>Data!CT42</f>
        <v>1500.2</v>
      </c>
      <c r="CU33" s="494">
        <f>AVERAGE(CQ33:CT33)</f>
        <v>1508.425</v>
      </c>
      <c r="CV33" s="773">
        <f>Data!CV42</f>
        <v>1497.9</v>
      </c>
      <c r="CW33" s="773">
        <f>Data!CW42</f>
        <v>1489.6</v>
      </c>
      <c r="CX33" s="773">
        <f>Data!CX42</f>
        <v>1479.3</v>
      </c>
      <c r="CY33" s="773">
        <f>Data!CY42</f>
        <v>1476.3</v>
      </c>
      <c r="CZ33" s="494">
        <f>AVERAGE(CV33:CY33)</f>
        <v>1485.7750000000001</v>
      </c>
      <c r="DA33" s="773">
        <f>Data!DA42</f>
        <v>1474.2</v>
      </c>
      <c r="DB33" s="773">
        <f>Data!DB42</f>
        <v>1468.7</v>
      </c>
      <c r="DC33" s="773">
        <f>Data!DC42</f>
        <v>1455.7</v>
      </c>
      <c r="DD33" s="773">
        <f>Data!DD42</f>
        <v>1361.7</v>
      </c>
      <c r="DE33" s="494">
        <f>AVERAGE(DA33:DD33)</f>
        <v>1440.075</v>
      </c>
      <c r="DF33" s="773">
        <f>Data!DF42</f>
        <v>1337.3</v>
      </c>
      <c r="DG33" s="773">
        <f>Data!DG42</f>
        <v>1342.1</v>
      </c>
      <c r="DH33" s="773">
        <f>Data!DH42</f>
        <v>1346.2</v>
      </c>
      <c r="DI33" s="773">
        <f>Data!DI42</f>
        <v>1348.9</v>
      </c>
      <c r="DJ33" s="494">
        <f>AVERAGE(DF33:DI33)</f>
        <v>1343.625</v>
      </c>
      <c r="DK33" s="773">
        <f>Data!DK42</f>
        <v>1351.8</v>
      </c>
      <c r="DL33" s="773">
        <f>Data!DL42</f>
        <v>1354</v>
      </c>
      <c r="DM33" s="773">
        <f>Data!DM42</f>
        <v>1358.4</v>
      </c>
      <c r="DN33" s="89">
        <f>+DM33+1</f>
        <v>1359.4</v>
      </c>
      <c r="DO33" s="494">
        <f>AVERAGE(DK33:DN33)</f>
        <v>1355.9</v>
      </c>
      <c r="DP33" s="89">
        <f>+DN33-2</f>
        <v>1357.4</v>
      </c>
      <c r="DQ33" s="89">
        <f>+DP33-3</f>
        <v>1354.4</v>
      </c>
      <c r="DR33" s="89">
        <f>+DQ33-5</f>
        <v>1349.4</v>
      </c>
      <c r="DS33" s="89">
        <f>+DR33-5</f>
        <v>1344.4</v>
      </c>
      <c r="DT33" s="494">
        <f>AVERAGE(DP33:DS33)</f>
        <v>1351.4</v>
      </c>
      <c r="DU33" s="90">
        <f>DT33-10</f>
        <v>1341.4</v>
      </c>
      <c r="DV33" s="90">
        <f>DU33-10</f>
        <v>1331.4</v>
      </c>
    </row>
    <row r="34" spans="1:126" s="45" customFormat="1">
      <c r="A34" s="32"/>
      <c r="B34" s="32"/>
      <c r="C34" s="34"/>
      <c r="D34" s="34"/>
      <c r="E34" s="34"/>
      <c r="F34" s="34"/>
      <c r="G34" s="34"/>
      <c r="H34" s="34"/>
      <c r="I34" s="34"/>
      <c r="J34" s="32"/>
      <c r="K34" s="32"/>
      <c r="L34" s="3"/>
      <c r="M34" s="32"/>
      <c r="N34" s="34"/>
      <c r="O34" s="32"/>
      <c r="P34" s="32"/>
      <c r="Q34" s="3"/>
      <c r="R34" s="32"/>
      <c r="S34" s="34"/>
      <c r="T34" s="32"/>
      <c r="U34" s="32"/>
      <c r="V34" s="3"/>
      <c r="W34" s="32"/>
      <c r="X34" s="34"/>
      <c r="Y34" s="32"/>
      <c r="Z34" s="32"/>
      <c r="AA34" s="3"/>
      <c r="AB34" s="32"/>
      <c r="AC34" s="34"/>
      <c r="AD34" s="32"/>
      <c r="AE34" s="32"/>
      <c r="AF34" s="3"/>
      <c r="AG34" s="32"/>
      <c r="AH34" s="34"/>
      <c r="AI34" s="32"/>
      <c r="AJ34" s="32"/>
      <c r="AK34" s="3"/>
      <c r="AL34" s="32"/>
      <c r="AM34" s="34"/>
      <c r="AN34" s="32"/>
      <c r="AO34" s="32"/>
      <c r="AP34" s="3"/>
      <c r="AQ34" s="32"/>
      <c r="AR34" s="34"/>
      <c r="AS34" s="32"/>
      <c r="AT34" s="32"/>
      <c r="AU34" s="3"/>
      <c r="AV34" s="32"/>
      <c r="AW34" s="27"/>
      <c r="AX34" s="32"/>
      <c r="AY34" s="3"/>
      <c r="AZ34" s="3"/>
      <c r="BA34" s="3"/>
      <c r="BB34" s="27"/>
      <c r="BC34" s="3"/>
      <c r="BD34" s="32"/>
      <c r="BE34" s="32"/>
      <c r="BF34" s="68"/>
      <c r="BG34" s="27"/>
      <c r="BH34" s="390"/>
      <c r="BI34" s="32"/>
      <c r="BJ34" s="32"/>
      <c r="BK34" s="68"/>
      <c r="BL34" s="27"/>
      <c r="BM34" s="390"/>
      <c r="BN34" s="68"/>
      <c r="BO34" s="32"/>
      <c r="BP34" s="68"/>
      <c r="BQ34" s="27"/>
      <c r="BR34" s="32"/>
      <c r="BS34" s="68"/>
      <c r="BT34" s="68"/>
      <c r="BU34" s="68"/>
      <c r="BV34" s="493"/>
      <c r="BW34" s="32"/>
      <c r="BX34" s="68"/>
      <c r="BY34" s="68"/>
      <c r="BZ34" s="68"/>
      <c r="CA34" s="493"/>
      <c r="CB34" s="32"/>
      <c r="CC34" s="68"/>
      <c r="CD34" s="68"/>
      <c r="CE34" s="68"/>
      <c r="CF34" s="493"/>
      <c r="CG34" s="68"/>
      <c r="CH34" s="68"/>
      <c r="CI34" s="68"/>
      <c r="CJ34" s="68"/>
      <c r="CK34" s="493"/>
      <c r="CL34" s="373"/>
      <c r="CM34" s="373"/>
      <c r="CN34" s="373"/>
      <c r="CO34" s="373"/>
      <c r="CP34" s="667"/>
      <c r="CQ34" s="373"/>
      <c r="CR34" s="373"/>
      <c r="CS34" s="373"/>
      <c r="CT34" s="373"/>
      <c r="CU34" s="667"/>
      <c r="CV34" s="373"/>
      <c r="CW34" s="373"/>
      <c r="CX34" s="373"/>
      <c r="CY34" s="373"/>
      <c r="CZ34" s="667"/>
      <c r="DA34" s="373"/>
      <c r="DB34" s="373"/>
      <c r="DC34" s="373"/>
      <c r="DD34" s="373"/>
      <c r="DE34" s="667"/>
      <c r="DF34" s="373"/>
      <c r="DG34" s="373"/>
      <c r="DH34" s="373"/>
      <c r="DI34" s="373"/>
      <c r="DJ34" s="667"/>
      <c r="DK34" s="373"/>
      <c r="DL34" s="373"/>
      <c r="DM34" s="373"/>
      <c r="DN34" s="373"/>
      <c r="DO34" s="667"/>
      <c r="DP34" s="373"/>
      <c r="DQ34" s="373"/>
      <c r="DR34" s="373"/>
      <c r="DS34" s="373"/>
      <c r="DT34" s="667"/>
      <c r="DU34" s="668"/>
      <c r="DV34" s="668"/>
    </row>
    <row r="35" spans="1:126" s="45" customFormat="1">
      <c r="A35" s="32"/>
      <c r="B35" s="32" t="s">
        <v>160</v>
      </c>
      <c r="C35" s="81"/>
      <c r="D35" s="81"/>
      <c r="E35" s="81"/>
      <c r="F35" s="81"/>
      <c r="G35" s="81"/>
      <c r="H35" s="81"/>
      <c r="I35" s="81"/>
      <c r="J35" s="82"/>
      <c r="K35" s="82"/>
      <c r="L35" s="80"/>
      <c r="M35" s="82"/>
      <c r="N35" s="81"/>
      <c r="O35" s="82"/>
      <c r="P35" s="82"/>
      <c r="Q35" s="80"/>
      <c r="R35" s="82"/>
      <c r="S35" s="81"/>
      <c r="T35" s="82"/>
      <c r="U35" s="82"/>
      <c r="V35" s="80"/>
      <c r="W35" s="82"/>
      <c r="X35" s="81"/>
      <c r="Y35" s="82"/>
      <c r="Z35" s="82"/>
      <c r="AA35" s="80"/>
      <c r="AB35" s="82"/>
      <c r="AC35" s="81"/>
      <c r="AD35" s="82"/>
      <c r="AE35" s="82"/>
      <c r="AF35" s="80"/>
      <c r="AG35" s="82"/>
      <c r="AH35" s="81"/>
      <c r="AI35" s="82"/>
      <c r="AJ35" s="82"/>
      <c r="AK35" s="80"/>
      <c r="AL35" s="82"/>
      <c r="AM35" s="81"/>
      <c r="AN35" s="82"/>
      <c r="AO35" s="82"/>
      <c r="AP35" s="80"/>
      <c r="AQ35" s="82"/>
      <c r="AR35" s="81"/>
      <c r="AS35" s="82"/>
      <c r="AT35" s="82"/>
      <c r="AU35" s="80"/>
      <c r="AV35" s="82"/>
      <c r="AW35" s="81"/>
      <c r="AX35" s="82"/>
      <c r="AY35" s="80"/>
      <c r="AZ35" s="80"/>
      <c r="BA35" s="80"/>
      <c r="BB35" s="81"/>
      <c r="BC35" s="80"/>
      <c r="BD35" s="80"/>
      <c r="BE35" s="80"/>
      <c r="BF35" s="80"/>
      <c r="BG35" s="81"/>
      <c r="BH35" s="80"/>
      <c r="BI35" s="80"/>
      <c r="BJ35" s="80"/>
      <c r="BK35" s="80"/>
      <c r="BL35" s="81"/>
      <c r="BM35" s="80"/>
      <c r="BN35" s="80"/>
      <c r="BO35" s="80"/>
      <c r="BP35" s="80"/>
      <c r="BQ35" s="81"/>
      <c r="BR35" s="80"/>
      <c r="BS35" s="80"/>
      <c r="BT35" s="80"/>
      <c r="BU35" s="80"/>
      <c r="BV35" s="81"/>
      <c r="BW35" s="80"/>
      <c r="BX35" s="80"/>
      <c r="BY35" s="80"/>
      <c r="BZ35" s="80"/>
      <c r="CA35" s="81"/>
      <c r="CB35" s="80"/>
      <c r="CC35" s="80"/>
      <c r="CD35" s="80"/>
      <c r="CE35" s="80"/>
      <c r="CF35" s="695">
        <f>CK35*0.9</f>
        <v>1.71</v>
      </c>
      <c r="CG35" s="693">
        <v>0.47499999999999998</v>
      </c>
      <c r="CH35" s="693">
        <v>0.47499999999999998</v>
      </c>
      <c r="CI35" s="693">
        <v>0.47499999999999998</v>
      </c>
      <c r="CJ35" s="693">
        <v>0.47499999999999998</v>
      </c>
      <c r="CK35" s="79">
        <f>SUM(CG35:CJ35)</f>
        <v>1.9</v>
      </c>
      <c r="CL35" s="813">
        <v>0.47499999999999998</v>
      </c>
      <c r="CM35" s="813">
        <v>0.47499999999999998</v>
      </c>
      <c r="CN35" s="813">
        <v>0.47499999999999998</v>
      </c>
      <c r="CO35" s="813">
        <v>0.47499999999999998</v>
      </c>
      <c r="CP35" s="814">
        <f>SUM(CL35:CO35)</f>
        <v>1.9</v>
      </c>
      <c r="CQ35" s="813">
        <v>0.47499999999999998</v>
      </c>
      <c r="CR35" s="813">
        <v>0.51</v>
      </c>
      <c r="CS35" s="813">
        <f>CR35</f>
        <v>0.51</v>
      </c>
      <c r="CT35" s="813">
        <f>CS35</f>
        <v>0.51</v>
      </c>
      <c r="CU35" s="694">
        <f>SUM(CQ35:CT35)</f>
        <v>2.0049999999999999</v>
      </c>
      <c r="CV35" s="813">
        <f>Data!CV236</f>
        <v>0.51</v>
      </c>
      <c r="CW35" s="813">
        <f>Data!CW236</f>
        <v>0.55000000000000004</v>
      </c>
      <c r="CX35" s="813">
        <f>Data!CX236</f>
        <v>0.55000000000000004</v>
      </c>
      <c r="CY35" s="813">
        <f>Data!CY236</f>
        <v>0.55000000000000004</v>
      </c>
      <c r="CZ35" s="694">
        <f>SUM(CV35:CY35)</f>
        <v>2.16</v>
      </c>
      <c r="DA35" s="813">
        <f>Data!DA236</f>
        <v>0.55000000000000004</v>
      </c>
      <c r="DB35" s="813">
        <f>Data!DB236</f>
        <v>0.59</v>
      </c>
      <c r="DC35" s="813">
        <f>Data!DC236</f>
        <v>0.59</v>
      </c>
      <c r="DD35" s="813">
        <f>Data!DD236</f>
        <v>0.59</v>
      </c>
      <c r="DE35" s="694">
        <f>SUM(DA35:DD35)</f>
        <v>2.3199999999999998</v>
      </c>
      <c r="DF35" s="813">
        <f>Data!DF236</f>
        <v>0.59</v>
      </c>
      <c r="DG35" s="813">
        <f>Data!DG236</f>
        <v>0.63</v>
      </c>
      <c r="DH35" s="813">
        <f>Data!DH236</f>
        <v>0.63</v>
      </c>
      <c r="DI35" s="813">
        <f>Data!DI236</f>
        <v>0.63</v>
      </c>
      <c r="DJ35" s="694">
        <f>SUM(DF35:DI35)</f>
        <v>2.48</v>
      </c>
      <c r="DK35" s="813">
        <f>Data!DK236</f>
        <v>0.63</v>
      </c>
      <c r="DL35" s="813">
        <f>Data!DL236</f>
        <v>0.68</v>
      </c>
      <c r="DM35" s="813">
        <f>Data!DM236</f>
        <v>0.68</v>
      </c>
      <c r="DN35" s="693">
        <f>+DM35</f>
        <v>0.68</v>
      </c>
      <c r="DO35" s="694">
        <f>SUM(DK35:DN35)</f>
        <v>2.6700000000000004</v>
      </c>
      <c r="DP35" s="693">
        <v>0.68</v>
      </c>
      <c r="DQ35" s="693">
        <f>+DP35*1.1</f>
        <v>0.74800000000000011</v>
      </c>
      <c r="DR35" s="693">
        <f>+DQ35</f>
        <v>0.74800000000000011</v>
      </c>
      <c r="DS35" s="693">
        <f>+DR35</f>
        <v>0.74800000000000011</v>
      </c>
      <c r="DT35" s="694">
        <f>SUM(DP35:DS35)</f>
        <v>2.9240000000000004</v>
      </c>
      <c r="DU35" s="695">
        <f>DT35*1.1</f>
        <v>3.2164000000000006</v>
      </c>
      <c r="DV35" s="695">
        <f>DU35*1.1</f>
        <v>3.538040000000001</v>
      </c>
    </row>
    <row r="36" spans="1:126" s="45" customFormat="1">
      <c r="A36" s="32"/>
      <c r="B36" s="32" t="s">
        <v>161</v>
      </c>
      <c r="C36" s="27"/>
      <c r="D36" s="27"/>
      <c r="E36" s="27"/>
      <c r="F36" s="27"/>
      <c r="G36" s="27"/>
      <c r="H36" s="27"/>
      <c r="I36" s="27"/>
      <c r="J36" s="68"/>
      <c r="K36" s="68"/>
      <c r="L36" s="194"/>
      <c r="M36" s="68"/>
      <c r="N36" s="27"/>
      <c r="O36" s="68"/>
      <c r="P36" s="68"/>
      <c r="Q36" s="194"/>
      <c r="R36" s="68"/>
      <c r="S36" s="27"/>
      <c r="T36" s="68"/>
      <c r="U36" s="68"/>
      <c r="V36" s="194"/>
      <c r="W36" s="68"/>
      <c r="X36" s="27"/>
      <c r="Y36" s="68"/>
      <c r="Z36" s="68"/>
      <c r="AA36" s="194"/>
      <c r="AB36" s="68"/>
      <c r="AC36" s="27"/>
      <c r="AD36" s="68"/>
      <c r="AE36" s="68"/>
      <c r="AF36" s="194"/>
      <c r="AG36" s="68"/>
      <c r="AH36" s="27"/>
      <c r="AI36" s="68"/>
      <c r="AJ36" s="68"/>
      <c r="AK36" s="194"/>
      <c r="AL36" s="68"/>
      <c r="AM36" s="27"/>
      <c r="AN36" s="68"/>
      <c r="AO36" s="68"/>
      <c r="AP36" s="194"/>
      <c r="AQ36" s="68"/>
      <c r="AR36" s="27"/>
      <c r="AS36" s="68"/>
      <c r="AT36" s="68"/>
      <c r="AU36" s="194"/>
      <c r="AV36" s="68"/>
      <c r="AW36" s="27"/>
      <c r="AX36" s="68"/>
      <c r="AY36" s="194"/>
      <c r="AZ36" s="68"/>
      <c r="BA36" s="68"/>
      <c r="BB36" s="27"/>
      <c r="BC36" s="194"/>
      <c r="BD36" s="68"/>
      <c r="BE36" s="68"/>
      <c r="BF36" s="68"/>
      <c r="BG36" s="27"/>
      <c r="BH36" s="68"/>
      <c r="BI36" s="68"/>
      <c r="BJ36" s="68"/>
      <c r="BK36" s="68"/>
      <c r="BL36" s="27"/>
      <c r="BM36" s="68"/>
      <c r="BN36" s="68"/>
      <c r="BO36" s="68"/>
      <c r="BP36" s="68"/>
      <c r="BQ36" s="27"/>
      <c r="BR36" s="68"/>
      <c r="BS36" s="68"/>
      <c r="BT36" s="68"/>
      <c r="BU36" s="68"/>
      <c r="BV36" s="27"/>
      <c r="BW36" s="68"/>
      <c r="BX36" s="68"/>
      <c r="BY36" s="68"/>
      <c r="BZ36" s="68"/>
      <c r="CA36" s="27"/>
      <c r="CB36" s="68"/>
      <c r="CC36" s="68"/>
      <c r="CD36" s="68"/>
      <c r="CE36" s="68"/>
      <c r="CF36" s="27">
        <f t="shared" ref="CF36:CP36" si="138">CF35/CF22</f>
        <v>0.33856343137756695</v>
      </c>
      <c r="CG36" s="68">
        <f t="shared" si="138"/>
        <v>0.44153120486740616</v>
      </c>
      <c r="CH36" s="68">
        <f t="shared" si="138"/>
        <v>0.36342539899334797</v>
      </c>
      <c r="CI36" s="68">
        <f t="shared" si="138"/>
        <v>0.3630060318849766</v>
      </c>
      <c r="CJ36" s="68">
        <f t="shared" si="138"/>
        <v>0.46218206157965186</v>
      </c>
      <c r="CK36" s="27">
        <f t="shared" si="138"/>
        <v>0.40263106388927722</v>
      </c>
      <c r="CL36" s="68">
        <f t="shared" si="138"/>
        <v>0.41717170905443973</v>
      </c>
      <c r="CM36" s="68">
        <f t="shared" si="138"/>
        <v>-0.19243186817158489</v>
      </c>
      <c r="CN36" s="68">
        <f t="shared" si="138"/>
        <v>4.7632119205298018</v>
      </c>
      <c r="CO36" s="68">
        <f t="shared" si="138"/>
        <v>4.9302397260273976</v>
      </c>
      <c r="CP36" s="27">
        <f t="shared" si="138"/>
        <v>-1.7091449305262447</v>
      </c>
      <c r="CQ36" s="68">
        <f t="shared" ref="CQ36:CV36" si="139">CQ35/CQ22</f>
        <v>0.93160297927461133</v>
      </c>
      <c r="CR36" s="68">
        <f t="shared" si="139"/>
        <v>0.74219711538461541</v>
      </c>
      <c r="CS36" s="68">
        <f t="shared" si="139"/>
        <v>0.54857785714285712</v>
      </c>
      <c r="CT36" s="68">
        <f t="shared" si="139"/>
        <v>1.1169372262773722</v>
      </c>
      <c r="CU36" s="27">
        <f t="shared" si="139"/>
        <v>0.77608214652296625</v>
      </c>
      <c r="CV36" s="68">
        <f t="shared" si="139"/>
        <v>0.6925920217588396</v>
      </c>
      <c r="CW36" s="68">
        <f t="shared" ref="CW36:CZ36" si="140">CW35/CW22</f>
        <v>0.62828220858895711</v>
      </c>
      <c r="CX36" s="68">
        <f t="shared" si="140"/>
        <v>0.5866005767844269</v>
      </c>
      <c r="CY36" s="68">
        <f t="shared" si="140"/>
        <v>0.57100210970464138</v>
      </c>
      <c r="CZ36" s="27">
        <f t="shared" si="140"/>
        <v>0.61527492331288358</v>
      </c>
      <c r="DA36" s="68">
        <f t="shared" ref="DA36:DE36" si="141">DA35/DA22</f>
        <v>0.56859046283309966</v>
      </c>
      <c r="DB36" s="68">
        <f t="shared" si="141"/>
        <v>0.65300150715900518</v>
      </c>
      <c r="DC36" s="68">
        <f t="shared" si="141"/>
        <v>-0.87282825203252024</v>
      </c>
      <c r="DD36" s="68">
        <f t="shared" si="141"/>
        <v>0.56339621318373079</v>
      </c>
      <c r="DE36" s="27">
        <f t="shared" si="141"/>
        <v>1.045688262910798</v>
      </c>
      <c r="DF36" s="68">
        <f t="shared" ref="DF36:DH36" si="142">DF35/DF22</f>
        <v>0.46167758923346985</v>
      </c>
      <c r="DG36" s="68">
        <f t="shared" si="142"/>
        <v>7.6173243243243247</v>
      </c>
      <c r="DH36" s="68">
        <f t="shared" si="142"/>
        <v>0.57615896739130434</v>
      </c>
      <c r="DI36" s="68">
        <f t="shared" ref="DI36:DK36" si="143">DI35/DI22</f>
        <v>0.57341902834008107</v>
      </c>
      <c r="DJ36" s="27">
        <f t="shared" si="143"/>
        <v>0.69798701298701293</v>
      </c>
      <c r="DK36" s="68">
        <f t="shared" si="143"/>
        <v>0.55481042345276865</v>
      </c>
      <c r="DL36" s="68">
        <f t="shared" ref="DL36:DP36" si="144">DL35/DL22</f>
        <v>0.55565479782739891</v>
      </c>
      <c r="DM36" s="68">
        <f t="shared" ref="DM36" si="145">DM35/DM22</f>
        <v>0.48160166840458823</v>
      </c>
      <c r="DN36" s="68">
        <f t="shared" si="144"/>
        <v>0.57761695394585144</v>
      </c>
      <c r="DO36" s="27">
        <f t="shared" si="144"/>
        <v>0.53950248063368855</v>
      </c>
      <c r="DP36" s="68">
        <f t="shared" si="144"/>
        <v>0.56861152654132852</v>
      </c>
      <c r="DQ36" s="68">
        <f t="shared" ref="DQ36:DS36" si="146">DQ35/DQ22</f>
        <v>0.56721596096463422</v>
      </c>
      <c r="DR36" s="68">
        <f t="shared" si="146"/>
        <v>0.50576764808898245</v>
      </c>
      <c r="DS36" s="68">
        <f t="shared" si="146"/>
        <v>0.4989307033421882</v>
      </c>
      <c r="DT36" s="27">
        <f t="shared" ref="DT36" si="147">DT35/DT22</f>
        <v>0.53250326644922097</v>
      </c>
      <c r="DU36" s="27">
        <f t="shared" ref="DU36:DV36" si="148">DU35/DU22</f>
        <v>0.52799853879165737</v>
      </c>
      <c r="DV36" s="27">
        <f t="shared" si="148"/>
        <v>0.52474296175317148</v>
      </c>
    </row>
    <row r="37" spans="1:126" s="45" customFormat="1">
      <c r="A37" s="32"/>
      <c r="B37" s="32"/>
      <c r="C37" s="81"/>
      <c r="D37" s="81"/>
      <c r="E37" s="81"/>
      <c r="F37" s="81"/>
      <c r="G37" s="81"/>
      <c r="H37" s="81"/>
      <c r="I37" s="81"/>
      <c r="J37" s="82"/>
      <c r="K37" s="82"/>
      <c r="L37" s="82"/>
      <c r="M37" s="82"/>
      <c r="N37" s="81"/>
      <c r="O37" s="82"/>
      <c r="P37" s="82"/>
      <c r="Q37" s="82"/>
      <c r="R37" s="82"/>
      <c r="S37" s="81"/>
      <c r="T37" s="82"/>
      <c r="U37" s="82"/>
      <c r="V37" s="82"/>
      <c r="W37" s="82"/>
      <c r="X37" s="81"/>
      <c r="Y37" s="82"/>
      <c r="Z37" s="82"/>
      <c r="AA37" s="82"/>
      <c r="AB37" s="82"/>
      <c r="AC37" s="81"/>
      <c r="AD37" s="82"/>
      <c r="AE37" s="82"/>
      <c r="AF37" s="82"/>
      <c r="AG37" s="82"/>
      <c r="AH37" s="81"/>
      <c r="AI37" s="82"/>
      <c r="AJ37" s="82"/>
      <c r="AK37" s="82"/>
      <c r="AL37" s="82"/>
      <c r="AM37" s="81"/>
      <c r="AN37" s="82"/>
      <c r="AO37" s="82"/>
      <c r="AP37" s="82"/>
      <c r="AQ37" s="82"/>
      <c r="AR37" s="81"/>
      <c r="AS37" s="82"/>
      <c r="AT37" s="82"/>
      <c r="AU37" s="80"/>
      <c r="AV37" s="82"/>
      <c r="AW37" s="81"/>
      <c r="AX37" s="82"/>
      <c r="AY37" s="82"/>
      <c r="AZ37" s="82"/>
      <c r="BA37" s="82"/>
      <c r="BB37" s="81"/>
      <c r="BC37" s="82"/>
      <c r="BD37" s="82"/>
      <c r="BE37" s="82"/>
      <c r="BF37" s="82"/>
      <c r="BG37" s="81"/>
      <c r="BH37" s="82"/>
      <c r="BI37" s="82"/>
      <c r="BJ37" s="82"/>
      <c r="BK37" s="82"/>
      <c r="BL37" s="81"/>
      <c r="BM37" s="82"/>
      <c r="BN37" s="82"/>
      <c r="BO37" s="82"/>
      <c r="BP37" s="82"/>
      <c r="BQ37" s="81"/>
      <c r="BR37" s="82"/>
      <c r="BS37" s="82"/>
      <c r="BT37" s="82"/>
      <c r="BU37" s="82"/>
      <c r="BV37" s="81"/>
      <c r="BW37" s="82"/>
      <c r="BX37" s="82"/>
      <c r="BY37" s="82"/>
      <c r="BZ37" s="82"/>
      <c r="CA37" s="81"/>
      <c r="CB37" s="82"/>
      <c r="CC37" s="82"/>
      <c r="CD37" s="82"/>
      <c r="CE37" s="82"/>
      <c r="CF37" s="81"/>
      <c r="CG37" s="82"/>
      <c r="CH37" s="82"/>
      <c r="CI37" s="82"/>
      <c r="CJ37" s="82"/>
      <c r="CK37" s="81"/>
      <c r="CL37" s="82"/>
      <c r="CM37" s="82"/>
      <c r="CN37" s="82"/>
      <c r="CO37" s="82"/>
      <c r="CP37" s="81"/>
      <c r="CQ37" s="82"/>
      <c r="CR37" s="82"/>
      <c r="CS37" s="82"/>
      <c r="CT37" s="82"/>
      <c r="CU37" s="81"/>
      <c r="CV37" s="82"/>
      <c r="CW37" s="82"/>
      <c r="CX37" s="82"/>
      <c r="CY37" s="82"/>
      <c r="CZ37" s="81"/>
      <c r="DA37" s="82"/>
      <c r="DB37" s="82"/>
      <c r="DC37" s="82"/>
      <c r="DD37" s="82"/>
      <c r="DE37" s="81"/>
      <c r="DF37" s="82"/>
      <c r="DG37" s="82"/>
      <c r="DH37" s="82"/>
      <c r="DI37" s="82"/>
      <c r="DJ37" s="81"/>
      <c r="DK37" s="82"/>
      <c r="DL37" s="82"/>
      <c r="DM37" s="82"/>
      <c r="DN37" s="82"/>
      <c r="DO37" s="81"/>
      <c r="DP37" s="82"/>
      <c r="DQ37" s="82"/>
      <c r="DR37" s="82"/>
      <c r="DS37" s="82"/>
      <c r="DT37" s="81"/>
      <c r="DU37" s="81"/>
      <c r="DV37" s="81"/>
    </row>
    <row r="38" spans="1:126" s="45" customFormat="1">
      <c r="A38" s="32"/>
      <c r="B38" s="3" t="s">
        <v>561</v>
      </c>
      <c r="C38" s="81"/>
      <c r="D38" s="81"/>
      <c r="E38" s="81"/>
      <c r="F38" s="81"/>
      <c r="G38" s="81"/>
      <c r="H38" s="81"/>
      <c r="I38" s="81"/>
      <c r="J38" s="82"/>
      <c r="K38" s="82"/>
      <c r="L38" s="82"/>
      <c r="M38" s="82"/>
      <c r="N38" s="81"/>
      <c r="O38" s="82"/>
      <c r="P38" s="82"/>
      <c r="Q38" s="82"/>
      <c r="R38" s="82"/>
      <c r="S38" s="81"/>
      <c r="T38" s="82"/>
      <c r="U38" s="82"/>
      <c r="V38" s="82"/>
      <c r="W38" s="82"/>
      <c r="X38" s="81"/>
      <c r="Y38" s="82"/>
      <c r="Z38" s="82"/>
      <c r="AA38" s="82"/>
      <c r="AB38" s="82"/>
      <c r="AC38" s="81"/>
      <c r="AD38" s="82"/>
      <c r="AE38" s="82"/>
      <c r="AF38" s="82"/>
      <c r="AG38" s="82"/>
      <c r="AH38" s="81"/>
      <c r="AI38" s="82"/>
      <c r="AJ38" s="82"/>
      <c r="AK38" s="82"/>
      <c r="AL38" s="82"/>
      <c r="AM38" s="81"/>
      <c r="AN38" s="82"/>
      <c r="AO38" s="82"/>
      <c r="AP38" s="82"/>
      <c r="AQ38" s="82"/>
      <c r="AR38" s="81"/>
      <c r="AS38" s="82"/>
      <c r="AT38" s="82"/>
      <c r="AU38" s="80"/>
      <c r="AV38" s="82"/>
      <c r="AW38" s="81"/>
      <c r="AX38" s="82"/>
      <c r="AY38" s="82"/>
      <c r="AZ38" s="82"/>
      <c r="BA38" s="82"/>
      <c r="BB38" s="81"/>
      <c r="BC38" s="82"/>
      <c r="BD38" s="82"/>
      <c r="BE38" s="82"/>
      <c r="BF38" s="82"/>
      <c r="BG38" s="81"/>
      <c r="BH38" s="82"/>
      <c r="BI38" s="82"/>
      <c r="BJ38" s="82"/>
      <c r="BK38" s="82"/>
      <c r="BL38" s="81"/>
      <c r="BM38" s="82"/>
      <c r="BN38" s="82"/>
      <c r="BO38" s="82"/>
      <c r="BP38" s="82"/>
      <c r="BQ38" s="81"/>
      <c r="BR38" s="82"/>
      <c r="BS38" s="82"/>
      <c r="BT38" s="82"/>
      <c r="BU38" s="82"/>
      <c r="BV38" s="81"/>
      <c r="BW38" s="82"/>
      <c r="BX38" s="82"/>
      <c r="BY38" s="82"/>
      <c r="BZ38" s="82"/>
      <c r="CA38" s="81"/>
      <c r="CB38" s="82"/>
      <c r="CC38" s="82"/>
      <c r="CD38" s="82"/>
      <c r="CE38" s="82"/>
      <c r="CF38" s="171">
        <f>SEG!CF176+CF14</f>
        <v>2733</v>
      </c>
      <c r="CG38" s="82"/>
      <c r="CH38" s="82"/>
      <c r="CI38" s="82"/>
      <c r="CJ38" s="82"/>
      <c r="CK38" s="171">
        <f>SEG!CK176+CK14</f>
        <v>2627</v>
      </c>
      <c r="CL38" s="82"/>
      <c r="CM38" s="82"/>
      <c r="CN38" s="82"/>
      <c r="CO38" s="82"/>
      <c r="CP38" s="171">
        <f>SEG!CP176+CP14</f>
        <v>2390</v>
      </c>
      <c r="CQ38" s="82"/>
      <c r="CR38" s="82"/>
      <c r="CS38" s="82"/>
      <c r="CT38" s="82"/>
      <c r="CU38" s="171">
        <f>SEG!CU176+CU14</f>
        <v>3598</v>
      </c>
      <c r="CV38" s="82"/>
      <c r="CW38" s="82"/>
      <c r="CX38" s="82"/>
      <c r="CY38" s="82"/>
      <c r="CZ38" s="171">
        <f>SEG!CZ176+CZ14</f>
        <v>3288</v>
      </c>
      <c r="DA38" s="82"/>
      <c r="DB38" s="82"/>
      <c r="DC38" s="82"/>
      <c r="DD38" s="82"/>
      <c r="DE38" s="171">
        <f>SEG!DE176+DE14</f>
        <v>2907</v>
      </c>
      <c r="DF38" s="82"/>
      <c r="DG38" s="82"/>
      <c r="DH38" s="82"/>
      <c r="DI38" s="82"/>
      <c r="DJ38" s="171">
        <f>SEG!DJ176+DJ14</f>
        <v>2351</v>
      </c>
      <c r="DK38" s="82"/>
      <c r="DL38" s="82"/>
      <c r="DM38" s="82"/>
      <c r="DN38" s="82"/>
      <c r="DO38" s="171">
        <f>SEG!DO176+DO14</f>
        <v>2176</v>
      </c>
      <c r="DP38" s="82"/>
      <c r="DQ38" s="82"/>
      <c r="DR38" s="82"/>
      <c r="DS38" s="82"/>
      <c r="DT38" s="171">
        <f>SEG!DT176+DT14</f>
        <v>1900</v>
      </c>
      <c r="DU38" s="171">
        <f>SEG!DU176+DU14</f>
        <v>1700</v>
      </c>
      <c r="DV38" s="171">
        <f>SEG!DV176+DV14</f>
        <v>1650</v>
      </c>
    </row>
    <row r="39" spans="1:126" s="45" customFormat="1">
      <c r="A39" s="32"/>
      <c r="B39" s="3" t="s">
        <v>562</v>
      </c>
      <c r="C39" s="81"/>
      <c r="D39" s="81"/>
      <c r="E39" s="81"/>
      <c r="F39" s="81"/>
      <c r="G39" s="81"/>
      <c r="H39" s="81"/>
      <c r="I39" s="81"/>
      <c r="J39" s="82"/>
      <c r="K39" s="82"/>
      <c r="L39" s="82"/>
      <c r="M39" s="82"/>
      <c r="N39" s="81"/>
      <c r="O39" s="82"/>
      <c r="P39" s="82"/>
      <c r="Q39" s="82"/>
      <c r="R39" s="82"/>
      <c r="S39" s="81"/>
      <c r="T39" s="82"/>
      <c r="U39" s="82"/>
      <c r="V39" s="82"/>
      <c r="W39" s="82"/>
      <c r="X39" s="81"/>
      <c r="Y39" s="82"/>
      <c r="Z39" s="82"/>
      <c r="AA39" s="82"/>
      <c r="AB39" s="82"/>
      <c r="AC39" s="81"/>
      <c r="AD39" s="82"/>
      <c r="AE39" s="82"/>
      <c r="AF39" s="82"/>
      <c r="AG39" s="82"/>
      <c r="AH39" s="81"/>
      <c r="AI39" s="82"/>
      <c r="AJ39" s="82"/>
      <c r="AK39" s="82"/>
      <c r="AL39" s="82"/>
      <c r="AM39" s="81"/>
      <c r="AN39" s="82"/>
      <c r="AO39" s="82"/>
      <c r="AP39" s="82"/>
      <c r="AQ39" s="82"/>
      <c r="AR39" s="81"/>
      <c r="AS39" s="82"/>
      <c r="AT39" s="82"/>
      <c r="AU39" s="80"/>
      <c r="AV39" s="82"/>
      <c r="AW39" s="81"/>
      <c r="AX39" s="82"/>
      <c r="AY39" s="82"/>
      <c r="AZ39" s="82"/>
      <c r="BA39" s="82"/>
      <c r="BB39" s="81"/>
      <c r="BC39" s="82"/>
      <c r="BD39" s="82"/>
      <c r="BE39" s="82"/>
      <c r="BF39" s="82"/>
      <c r="BG39" s="81"/>
      <c r="BH39" s="82"/>
      <c r="BI39" s="82"/>
      <c r="BJ39" s="82"/>
      <c r="BK39" s="82"/>
      <c r="BL39" s="81"/>
      <c r="BM39" s="82"/>
      <c r="BN39" s="82"/>
      <c r="BO39" s="82"/>
      <c r="BP39" s="82"/>
      <c r="BQ39" s="81"/>
      <c r="BR39" s="82"/>
      <c r="BS39" s="82"/>
      <c r="BT39" s="82"/>
      <c r="BU39" s="82"/>
      <c r="BV39" s="81"/>
      <c r="BW39" s="82"/>
      <c r="BX39" s="82"/>
      <c r="BY39" s="82"/>
      <c r="BZ39" s="82"/>
      <c r="CA39" s="81"/>
      <c r="CB39" s="82"/>
      <c r="CC39" s="82"/>
      <c r="CD39" s="82"/>
      <c r="CE39" s="82"/>
      <c r="CF39" s="81">
        <f>CF38*(1-CF54)/CF33</f>
        <v>1.5104280738462434</v>
      </c>
      <c r="CG39" s="82"/>
      <c r="CH39" s="82"/>
      <c r="CI39" s="82"/>
      <c r="CJ39" s="82"/>
      <c r="CK39" s="81">
        <f>CK38*(1-CK54)/CK33</f>
        <v>1.4869964869304999</v>
      </c>
      <c r="CL39" s="82"/>
      <c r="CM39" s="82"/>
      <c r="CN39" s="82"/>
      <c r="CO39" s="82"/>
      <c r="CP39" s="81">
        <f>CP38*(1-0.22)/CP33</f>
        <v>1.2331811867434015</v>
      </c>
      <c r="CQ39" s="82"/>
      <c r="CR39" s="82"/>
      <c r="CS39" s="82"/>
      <c r="CT39" s="82"/>
      <c r="CU39" s="81">
        <f>CU38*(1-0.22)/CU33</f>
        <v>1.8605101347431925</v>
      </c>
      <c r="CV39" s="82"/>
      <c r="CW39" s="82"/>
      <c r="CX39" s="82"/>
      <c r="CY39" s="82"/>
      <c r="CZ39" s="81">
        <f>CZ38*(1-0.22)/CZ33</f>
        <v>1.7261294610556779</v>
      </c>
      <c r="DA39" s="82"/>
      <c r="DB39" s="82"/>
      <c r="DC39" s="82"/>
      <c r="DD39" s="82"/>
      <c r="DE39" s="81">
        <f>DE38*(1-0.22)/DE33</f>
        <v>1.5745429925524712</v>
      </c>
      <c r="DF39" s="82"/>
      <c r="DG39" s="82"/>
      <c r="DH39" s="82"/>
      <c r="DI39" s="82"/>
      <c r="DJ39" s="81">
        <f>DJ38*(1-0.22)/DJ33</f>
        <v>1.3648004465531678</v>
      </c>
      <c r="DK39" s="82"/>
      <c r="DL39" s="82"/>
      <c r="DM39" s="82"/>
      <c r="DN39" s="82"/>
      <c r="DO39" s="81">
        <f>DO38*(1-0.22)/DO33</f>
        <v>1.2517737296260785</v>
      </c>
      <c r="DP39" s="82"/>
      <c r="DQ39" s="82"/>
      <c r="DR39" s="82"/>
      <c r="DS39" s="82"/>
      <c r="DT39" s="81">
        <f>DT38*(1-0.22)/DT33</f>
        <v>1.096640520941246</v>
      </c>
      <c r="DU39" s="81">
        <f t="shared" ref="DU39:DV39" si="149">DU38*(1-DU54)/DU33</f>
        <v>1.0265394364097211</v>
      </c>
      <c r="DV39" s="81">
        <f t="shared" si="149"/>
        <v>1.0038305543037405</v>
      </c>
    </row>
    <row r="40" spans="1:126" s="45" customFormat="1">
      <c r="A40" s="32"/>
      <c r="B40" s="32"/>
      <c r="C40" s="81"/>
      <c r="D40" s="81"/>
      <c r="E40" s="81"/>
      <c r="F40" s="81"/>
      <c r="G40" s="81"/>
      <c r="H40" s="81"/>
      <c r="I40" s="81"/>
      <c r="J40" s="82"/>
      <c r="K40" s="82"/>
      <c r="L40" s="82"/>
      <c r="M40" s="82"/>
      <c r="N40" s="81"/>
      <c r="O40" s="82"/>
      <c r="P40" s="82"/>
      <c r="Q40" s="82"/>
      <c r="R40" s="82"/>
      <c r="S40" s="81"/>
      <c r="T40" s="82"/>
      <c r="U40" s="82"/>
      <c r="V40" s="82"/>
      <c r="W40" s="82"/>
      <c r="X40" s="81"/>
      <c r="Y40" s="82"/>
      <c r="Z40" s="82"/>
      <c r="AA40" s="82"/>
      <c r="AB40" s="82"/>
      <c r="AC40" s="81"/>
      <c r="AD40" s="82"/>
      <c r="AE40" s="82"/>
      <c r="AF40" s="82"/>
      <c r="AG40" s="82"/>
      <c r="AH40" s="81"/>
      <c r="AI40" s="82"/>
      <c r="AJ40" s="82"/>
      <c r="AK40" s="82"/>
      <c r="AL40" s="82"/>
      <c r="AM40" s="81"/>
      <c r="AN40" s="82"/>
      <c r="AO40" s="82"/>
      <c r="AP40" s="82"/>
      <c r="AQ40" s="82"/>
      <c r="AR40" s="81"/>
      <c r="AS40" s="82"/>
      <c r="AT40" s="82"/>
      <c r="AU40" s="80"/>
      <c r="AV40" s="82"/>
      <c r="AW40" s="81"/>
      <c r="AX40" s="82"/>
      <c r="AY40" s="82"/>
      <c r="AZ40" s="82"/>
      <c r="BA40" s="82"/>
      <c r="BB40" s="81"/>
      <c r="BC40" s="82"/>
      <c r="BD40" s="82"/>
      <c r="BE40" s="82"/>
      <c r="BF40" s="82"/>
      <c r="BG40" s="81"/>
      <c r="BH40" s="82"/>
      <c r="BI40" s="82"/>
      <c r="BJ40" s="82"/>
      <c r="BK40" s="82"/>
      <c r="BL40" s="81"/>
      <c r="BM40" s="82"/>
      <c r="BN40" s="82"/>
      <c r="BO40" s="82"/>
      <c r="BP40" s="82"/>
      <c r="BQ40" s="81"/>
      <c r="BR40" s="82"/>
      <c r="BS40" s="82"/>
      <c r="BT40" s="82"/>
      <c r="BU40" s="82"/>
      <c r="BV40" s="81"/>
      <c r="BW40" s="82"/>
      <c r="BX40" s="82"/>
      <c r="BY40" s="82"/>
      <c r="BZ40" s="82"/>
      <c r="CA40" s="81"/>
      <c r="CB40" s="82"/>
      <c r="CC40" s="82"/>
      <c r="CD40" s="82"/>
      <c r="CE40" s="82"/>
      <c r="CF40" s="81"/>
      <c r="CG40" s="82"/>
      <c r="CH40" s="82"/>
      <c r="CI40" s="82"/>
      <c r="CJ40" s="82"/>
      <c r="CK40" s="81"/>
      <c r="CL40" s="82"/>
      <c r="CM40" s="82"/>
      <c r="CN40" s="82"/>
      <c r="CO40" s="82"/>
      <c r="CP40" s="81"/>
      <c r="CQ40" s="82"/>
      <c r="CR40" s="82"/>
      <c r="CS40" s="82"/>
      <c r="CT40" s="82"/>
      <c r="CU40" s="81"/>
      <c r="CV40" s="82"/>
      <c r="CW40" s="82"/>
      <c r="CX40" s="82"/>
      <c r="CY40" s="82"/>
      <c r="CZ40" s="81"/>
      <c r="DB40" s="82"/>
      <c r="DC40" s="82"/>
      <c r="DD40" s="82"/>
      <c r="DE40" s="81"/>
      <c r="DG40" s="82"/>
      <c r="DH40" s="82"/>
      <c r="DI40" s="82"/>
      <c r="DJ40" s="81"/>
      <c r="DL40" s="82"/>
      <c r="DM40" s="82"/>
      <c r="DN40" s="82"/>
      <c r="DO40" s="81"/>
      <c r="DP40" s="82"/>
      <c r="DQ40" s="82"/>
      <c r="DR40" s="82"/>
      <c r="DS40" s="82"/>
      <c r="DT40" s="81"/>
      <c r="DU40" s="81"/>
      <c r="DV40" s="81"/>
    </row>
    <row r="41" spans="1:126" s="45" customFormat="1" ht="5.25" customHeight="1">
      <c r="A41" s="38"/>
      <c r="B41" s="38"/>
      <c r="C41" s="28"/>
      <c r="D41" s="28"/>
      <c r="E41" s="28"/>
      <c r="F41" s="28"/>
      <c r="G41" s="28"/>
      <c r="H41" s="28"/>
      <c r="I41" s="28"/>
      <c r="J41" s="38"/>
      <c r="K41" s="38"/>
      <c r="L41" s="38"/>
      <c r="M41" s="38"/>
      <c r="N41" s="28"/>
      <c r="O41" s="38"/>
      <c r="P41" s="38"/>
      <c r="Q41" s="38"/>
      <c r="R41" s="38"/>
      <c r="S41" s="28"/>
      <c r="T41" s="38"/>
      <c r="U41" s="38"/>
      <c r="V41" s="38"/>
      <c r="W41" s="38"/>
      <c r="X41" s="28"/>
      <c r="Y41" s="38"/>
      <c r="Z41" s="38"/>
      <c r="AA41" s="38"/>
      <c r="AB41" s="38"/>
      <c r="AC41" s="28"/>
      <c r="AD41" s="38"/>
      <c r="AE41" s="38"/>
      <c r="AF41" s="38"/>
      <c r="AG41" s="38"/>
      <c r="AH41" s="28"/>
      <c r="AI41" s="38"/>
      <c r="AJ41" s="38"/>
      <c r="AK41" s="38"/>
      <c r="AL41" s="38"/>
      <c r="AM41" s="28"/>
      <c r="AN41" s="38"/>
      <c r="AO41" s="38"/>
      <c r="AP41" s="38"/>
      <c r="AQ41" s="38"/>
      <c r="AR41" s="28"/>
      <c r="AS41" s="38"/>
      <c r="AT41" s="38"/>
      <c r="AU41" s="212"/>
      <c r="AV41" s="38"/>
      <c r="AW41" s="28"/>
      <c r="AX41" s="38"/>
      <c r="AY41" s="38"/>
      <c r="AZ41" s="38"/>
      <c r="BA41" s="38"/>
      <c r="BB41" s="28"/>
      <c r="BC41" s="38"/>
      <c r="BD41" s="38"/>
      <c r="BE41" s="38"/>
      <c r="BF41" s="38"/>
      <c r="BG41" s="28"/>
      <c r="BH41" s="38"/>
      <c r="BI41" s="38"/>
      <c r="BJ41" s="38"/>
      <c r="BK41" s="38"/>
      <c r="BL41" s="28"/>
      <c r="BM41" s="38"/>
      <c r="BN41" s="38"/>
      <c r="BO41" s="38"/>
      <c r="BP41" s="38"/>
      <c r="BQ41" s="28"/>
      <c r="BR41" s="38"/>
      <c r="BS41" s="38"/>
      <c r="BT41" s="38"/>
      <c r="BU41" s="38"/>
      <c r="BV41" s="28"/>
      <c r="BW41" s="38"/>
      <c r="BX41" s="38"/>
      <c r="BY41" s="38"/>
      <c r="BZ41" s="38"/>
      <c r="CA41" s="28"/>
      <c r="CB41" s="38"/>
      <c r="CC41" s="38"/>
      <c r="CD41" s="38"/>
      <c r="CE41" s="38"/>
      <c r="CF41" s="28"/>
      <c r="CG41" s="38"/>
      <c r="CH41" s="38"/>
      <c r="CI41" s="38"/>
      <c r="CJ41" s="38"/>
      <c r="CK41" s="28"/>
      <c r="CL41" s="38"/>
      <c r="CM41" s="38"/>
      <c r="CN41" s="38"/>
      <c r="CO41" s="38"/>
      <c r="CP41" s="28"/>
      <c r="CQ41" s="38"/>
      <c r="CR41" s="38"/>
      <c r="CS41" s="38"/>
      <c r="CT41" s="38"/>
      <c r="CU41" s="28"/>
      <c r="CV41" s="38"/>
      <c r="CW41" s="38"/>
      <c r="CX41" s="38"/>
      <c r="CY41" s="38"/>
      <c r="CZ41" s="28"/>
      <c r="DA41" s="38"/>
      <c r="DB41" s="38"/>
      <c r="DC41" s="38"/>
      <c r="DD41" s="38"/>
      <c r="DE41" s="28"/>
      <c r="DF41" s="38"/>
      <c r="DG41" s="38"/>
      <c r="DH41" s="38"/>
      <c r="DI41" s="38"/>
      <c r="DJ41" s="28"/>
      <c r="DK41" s="38"/>
      <c r="DL41" s="38"/>
      <c r="DM41" s="38"/>
      <c r="DN41" s="38"/>
      <c r="DO41" s="28"/>
      <c r="DP41" s="38"/>
      <c r="DQ41" s="38"/>
      <c r="DR41" s="38"/>
      <c r="DS41" s="38"/>
      <c r="DT41" s="28"/>
      <c r="DU41" s="28"/>
      <c r="DV41" s="28"/>
    </row>
    <row r="42" spans="1:126" s="45" customFormat="1">
      <c r="A42" s="32"/>
      <c r="B42" s="51" t="s">
        <v>540</v>
      </c>
      <c r="C42" s="34"/>
      <c r="D42" s="34"/>
      <c r="E42" s="34"/>
      <c r="F42" s="34"/>
      <c r="G42" s="34"/>
      <c r="H42" s="34"/>
      <c r="I42" s="34"/>
      <c r="J42" s="32"/>
      <c r="K42" s="32"/>
      <c r="L42" s="32"/>
      <c r="M42" s="32"/>
      <c r="N42" s="34"/>
      <c r="O42" s="32"/>
      <c r="P42" s="32"/>
      <c r="Q42" s="32"/>
      <c r="R42" s="32"/>
      <c r="S42" s="34"/>
      <c r="T42" s="32"/>
      <c r="U42" s="32"/>
      <c r="V42" s="32"/>
      <c r="W42" s="32"/>
      <c r="X42" s="34"/>
      <c r="Y42" s="32"/>
      <c r="Z42" s="32"/>
      <c r="AA42" s="32"/>
      <c r="AB42" s="32"/>
      <c r="AC42" s="34"/>
      <c r="AD42" s="32"/>
      <c r="AE42" s="32"/>
      <c r="AF42" s="32"/>
      <c r="AG42" s="32"/>
      <c r="AH42" s="34"/>
      <c r="AI42" s="32"/>
      <c r="AJ42" s="32"/>
      <c r="AK42" s="32"/>
      <c r="AL42" s="32"/>
      <c r="AM42" s="34"/>
      <c r="AN42" s="32"/>
      <c r="AO42" s="32"/>
      <c r="AP42" s="32"/>
      <c r="AQ42" s="32"/>
      <c r="AR42" s="34"/>
      <c r="AS42" s="32"/>
      <c r="AT42" s="32"/>
      <c r="AU42" s="3"/>
      <c r="AV42" s="32"/>
      <c r="AW42" s="34"/>
      <c r="AX42" s="32"/>
      <c r="AY42" s="32"/>
      <c r="AZ42" s="32"/>
      <c r="BA42" s="32"/>
      <c r="BB42" s="34"/>
      <c r="BC42" s="32"/>
      <c r="BD42" s="32"/>
      <c r="BE42" s="32"/>
      <c r="BF42" s="32"/>
      <c r="BG42" s="34"/>
      <c r="BH42" s="32"/>
      <c r="BI42" s="32"/>
      <c r="BJ42" s="32"/>
      <c r="BK42" s="32"/>
      <c r="BL42" s="34"/>
      <c r="BM42" s="32"/>
      <c r="BN42" s="32"/>
      <c r="BO42" s="32"/>
      <c r="BP42" s="32"/>
      <c r="BQ42" s="34"/>
      <c r="BR42" s="32"/>
      <c r="BS42" s="32"/>
      <c r="BT42" s="32"/>
      <c r="BU42" s="32"/>
      <c r="BV42" s="34"/>
      <c r="BW42" s="32"/>
      <c r="BX42" s="32"/>
      <c r="BY42" s="32"/>
      <c r="BZ42" s="32"/>
      <c r="CA42" s="34"/>
      <c r="CB42" s="32"/>
      <c r="CC42" s="32"/>
      <c r="CD42" s="32"/>
      <c r="CE42" s="32"/>
      <c r="CF42" s="34"/>
      <c r="CG42" s="32"/>
      <c r="CH42" s="32"/>
      <c r="CI42" s="32"/>
      <c r="CJ42" s="32"/>
      <c r="CK42" s="793"/>
      <c r="CL42" s="32"/>
      <c r="CM42" s="32"/>
      <c r="CN42" s="32"/>
      <c r="CO42" s="32"/>
      <c r="CP42" s="34"/>
      <c r="CQ42" s="32"/>
      <c r="CR42" s="32"/>
      <c r="CS42" s="32"/>
      <c r="CT42" s="32"/>
      <c r="CU42" s="34"/>
      <c r="CV42" s="32"/>
      <c r="CW42" s="32"/>
      <c r="CX42" s="32"/>
      <c r="CY42" s="32"/>
      <c r="CZ42" s="34"/>
      <c r="DA42" s="32"/>
      <c r="DB42" s="32"/>
      <c r="DC42" s="32"/>
      <c r="DD42" s="32"/>
      <c r="DE42" s="34"/>
      <c r="DF42" s="32"/>
      <c r="DG42" s="32"/>
      <c r="DH42" s="32"/>
      <c r="DI42" s="32"/>
      <c r="DJ42" s="34"/>
      <c r="DK42" s="32"/>
      <c r="DL42" s="32"/>
      <c r="DM42" s="32"/>
      <c r="DN42" s="32"/>
      <c r="DO42" s="34"/>
      <c r="DP42" s="32"/>
      <c r="DQ42" s="32"/>
      <c r="DR42" s="32"/>
      <c r="DS42" s="32"/>
      <c r="DT42" s="34"/>
      <c r="DU42" s="34"/>
      <c r="DV42" s="34"/>
    </row>
    <row r="43" spans="1:126" s="45" customFormat="1">
      <c r="A43" s="32"/>
      <c r="B43" s="52" t="s">
        <v>596</v>
      </c>
      <c r="C43" s="34"/>
      <c r="D43" s="34"/>
      <c r="E43" s="34"/>
      <c r="F43" s="34"/>
      <c r="G43" s="34"/>
      <c r="H43" s="34"/>
      <c r="I43" s="34"/>
      <c r="J43" s="32"/>
      <c r="K43" s="32"/>
      <c r="L43" s="32"/>
      <c r="M43" s="32"/>
      <c r="N43" s="34"/>
      <c r="O43" s="32"/>
      <c r="P43" s="32"/>
      <c r="Q43" s="32"/>
      <c r="R43" s="32"/>
      <c r="S43" s="34"/>
      <c r="T43" s="32"/>
      <c r="U43" s="32"/>
      <c r="V43" s="32"/>
      <c r="W43" s="32"/>
      <c r="X43" s="34"/>
      <c r="Y43" s="32"/>
      <c r="Z43" s="32"/>
      <c r="AA43" s="32"/>
      <c r="AB43" s="32"/>
      <c r="AC43" s="34"/>
      <c r="AD43" s="32"/>
      <c r="AE43" s="32"/>
      <c r="AF43" s="32"/>
      <c r="AG43" s="32"/>
      <c r="AH43" s="34"/>
      <c r="AI43" s="32"/>
      <c r="AJ43" s="32"/>
      <c r="AK43" s="32"/>
      <c r="AL43" s="32"/>
      <c r="AM43" s="34"/>
      <c r="AN43" s="32"/>
      <c r="AO43" s="32"/>
      <c r="AP43" s="32"/>
      <c r="AQ43" s="32"/>
      <c r="AR43" s="34"/>
      <c r="AS43" s="32"/>
      <c r="AT43" s="32"/>
      <c r="AU43" s="3"/>
      <c r="AV43" s="32"/>
      <c r="AW43" s="34"/>
      <c r="AX43" s="32"/>
      <c r="AY43" s="32"/>
      <c r="AZ43" s="32"/>
      <c r="BA43" s="32"/>
      <c r="BB43" s="34"/>
      <c r="BC43" s="32"/>
      <c r="BD43" s="32"/>
      <c r="BE43" s="32"/>
      <c r="BF43" s="32"/>
      <c r="BG43" s="34"/>
      <c r="BH43" s="32"/>
      <c r="BI43" s="32"/>
      <c r="BJ43" s="32"/>
      <c r="BK43" s="32"/>
      <c r="BL43" s="721">
        <f>SEG!BL178+SEG!BL141</f>
        <v>7279.7924528301883</v>
      </c>
      <c r="BM43" s="492">
        <f>SEG!BM178+SEG!BM141</f>
        <v>1840.5604883462822</v>
      </c>
      <c r="BN43" s="492">
        <f>SEG!BN178+SEG!BN141</f>
        <v>1606.7391786903443</v>
      </c>
      <c r="BO43" s="492">
        <f>SEG!BO178+SEG!BO141</f>
        <v>1640.2641509433963</v>
      </c>
      <c r="BP43" s="492">
        <f>SEG!BP178+SEG!BP141</f>
        <v>1811.7591564927857</v>
      </c>
      <c r="BQ43" s="721">
        <f>SEG!BQ178+SEG!BQ141</f>
        <v>6899.3229744728078</v>
      </c>
      <c r="BR43" s="492">
        <f>SEG!BR178+SEG!BR141</f>
        <v>1516.6792452830189</v>
      </c>
      <c r="BS43" s="492">
        <f>SEG!BS178+SEG!BS141</f>
        <v>1929.6281908990015</v>
      </c>
      <c r="BT43" s="492">
        <f>SEG!BT178+SEG!BT141</f>
        <v>1773.8401775804662</v>
      </c>
      <c r="BU43" s="492">
        <f>SEG!BU178+SEG!BU141</f>
        <v>1863.4716981132074</v>
      </c>
      <c r="BV43" s="721">
        <f>SEG!BV178+SEG!BV141</f>
        <v>7083.6193118756937</v>
      </c>
      <c r="BW43" s="492">
        <f>SEG!BW178+SEG!BW141</f>
        <v>1756.433962264151</v>
      </c>
      <c r="BX43" s="492">
        <f>SEG!BX178+SEG!BX141</f>
        <v>1885.4250832408434</v>
      </c>
      <c r="BY43" s="492">
        <f>SEG!BY178+SEG!BY141</f>
        <v>1944.7214206437293</v>
      </c>
      <c r="BZ43" s="492">
        <f>SEG!BZ178+SEG!BZ141</f>
        <v>1912.3840177580464</v>
      </c>
      <c r="CA43" s="721">
        <f>SEG!CA178+SEG!CA141</f>
        <v>7498.9644839067696</v>
      </c>
      <c r="CB43" s="32">
        <f>SEG!CB178+SEG!CB141</f>
        <v>2391.645372604055</v>
      </c>
      <c r="CC43" s="32">
        <f>SEG!CC178+SEG!CC141</f>
        <v>2359.9172926928454</v>
      </c>
      <c r="CD43" s="32">
        <f>SEG!CD178+SEG!CD141</f>
        <v>2463.9849952455643</v>
      </c>
      <c r="CE43" s="32">
        <f>SEG!CE178+SEG!CE141</f>
        <v>2562.5099674986168</v>
      </c>
      <c r="CF43" s="34">
        <f>SEG!CF178+SEG!CF141</f>
        <v>9778.0576280410805</v>
      </c>
      <c r="CG43" s="32">
        <f>SEG!CG178+SEG!CG141</f>
        <v>2153</v>
      </c>
      <c r="CH43" s="32">
        <f>SEG!CH178+SEG!CH141</f>
        <v>2319</v>
      </c>
      <c r="CI43" s="32">
        <f>SEG!CI178+SEG!CI141</f>
        <v>2385</v>
      </c>
      <c r="CJ43" s="32">
        <f>SEG!CJ178+SEG!CJ141</f>
        <v>2135</v>
      </c>
      <c r="CK43" s="34">
        <f>SEG!CK178+SEG!CK141</f>
        <v>8992</v>
      </c>
      <c r="CL43" s="32">
        <f>SEG!CL178+SEG!CL141</f>
        <v>2266.6821457165734</v>
      </c>
      <c r="CM43" s="32">
        <f>SEG!CM178+SEG!CM141</f>
        <v>439.63811048839068</v>
      </c>
      <c r="CN43" s="32">
        <f>SEG!CN178+SEG!CN141</f>
        <v>775.34947958366683</v>
      </c>
      <c r="CO43" s="32">
        <f>SEG!CO178+SEG!CO141</f>
        <v>696.33026421136901</v>
      </c>
      <c r="CP43" s="34">
        <f>SEG!CP178+SEG!CP141</f>
        <v>4178</v>
      </c>
      <c r="CQ43" s="32">
        <f>SEG!CQ178+SEG!CQ141</f>
        <v>1153.7002952258792</v>
      </c>
      <c r="CR43" s="32">
        <f>SEG!CR178+SEG!CR141</f>
        <v>1365.4912319958114</v>
      </c>
      <c r="CS43" s="32">
        <f>SEG!CS178+SEG!CS141</f>
        <v>1309.981343994235</v>
      </c>
      <c r="CT43" s="32">
        <f>SEG!CT178+SEG!CT141</f>
        <v>1408.8271287840744</v>
      </c>
      <c r="CU43" s="34">
        <f>SEG!CU178+SEG!CU141</f>
        <v>5238</v>
      </c>
      <c r="CV43" s="32">
        <f>SEG!CV178+SEG!CV141</f>
        <v>1436</v>
      </c>
      <c r="CW43" s="32">
        <f>SEG!CW178+SEG!CW141</f>
        <v>1472</v>
      </c>
      <c r="CX43" s="32">
        <f>SEG!CX178+SEG!CX141</f>
        <v>1544</v>
      </c>
      <c r="CY43" s="32">
        <f>SEG!CY178+SEG!CY141</f>
        <v>1568</v>
      </c>
      <c r="CZ43" s="34">
        <f>SEG!CZ178+SEG!CZ141</f>
        <v>6020</v>
      </c>
      <c r="DA43" s="32">
        <f>SEG!DA178+SEG!DA141</f>
        <v>1660</v>
      </c>
      <c r="DB43" s="32">
        <f>SEG!DB178+SEG!DB141</f>
        <v>1754</v>
      </c>
      <c r="DC43" s="32">
        <f>SEG!DC178+SEG!DC141</f>
        <v>1711</v>
      </c>
      <c r="DD43" s="32">
        <f>SEG!DD178+SEG!DD141</f>
        <v>1772</v>
      </c>
      <c r="DE43" s="34">
        <f>SEG!DE178+SEG!DE141</f>
        <v>6897</v>
      </c>
      <c r="DF43" s="32">
        <f>SEG!DF178+SEG!DF141</f>
        <v>1792</v>
      </c>
      <c r="DG43" s="32">
        <f>SEG!DG178+SEG!DG141</f>
        <v>2560</v>
      </c>
      <c r="DH43" s="32">
        <f>SEG!DH178+SEG!DH141</f>
        <v>2479</v>
      </c>
      <c r="DI43" s="32">
        <f>SEG!DI178+SEG!DI141</f>
        <v>2852</v>
      </c>
      <c r="DJ43" s="34">
        <f>SEG!DJ178+SEG!DJ141</f>
        <v>9683</v>
      </c>
      <c r="DK43" s="32">
        <f>SEG!DK178+SEG!DK141</f>
        <v>2193</v>
      </c>
      <c r="DL43" s="32">
        <f>SEG!DL178+SEG!DL141</f>
        <v>2306</v>
      </c>
      <c r="DM43" s="32">
        <f>SEG!DM178+SEG!DM141</f>
        <v>2459</v>
      </c>
      <c r="DN43" s="32">
        <f>SEG!DN178+SEG!DN141</f>
        <v>2323.6336250000004</v>
      </c>
      <c r="DO43" s="34">
        <f>SEG!DO178+SEG!DO141</f>
        <v>9347.6336250000004</v>
      </c>
      <c r="DP43" s="32">
        <f>SEG!DP178+SEG!DP141</f>
        <v>2208.9430400000001</v>
      </c>
      <c r="DQ43" s="32">
        <f>SEG!DQ178+SEG!DQ141</f>
        <v>2423.3360160000002</v>
      </c>
      <c r="DR43" s="32">
        <f>SEG!DR178+SEG!DR141</f>
        <v>2687.3779559999998</v>
      </c>
      <c r="DS43" s="32">
        <f>SEG!DS178+SEG!DS141</f>
        <v>2711.2694715359999</v>
      </c>
      <c r="DT43" s="34">
        <f>SEG!DT178+SEG!DT141</f>
        <v>10030.926483536001</v>
      </c>
      <c r="DU43" s="34">
        <f>SEG!DU178+SEG!DU141</f>
        <v>11036.621194674979</v>
      </c>
      <c r="DV43" s="34">
        <f>SEG!DV178+SEG!DV141</f>
        <v>12046.965752491491</v>
      </c>
    </row>
    <row r="44" spans="1:126" s="45" customFormat="1">
      <c r="A44" s="32"/>
      <c r="B44" s="53" t="s">
        <v>88</v>
      </c>
      <c r="C44" s="91"/>
      <c r="D44" s="91"/>
      <c r="E44" s="91"/>
      <c r="F44" s="91"/>
      <c r="G44" s="91"/>
      <c r="H44" s="91"/>
      <c r="I44" s="91"/>
      <c r="J44" s="92"/>
      <c r="K44" s="92"/>
      <c r="L44" s="92"/>
      <c r="M44" s="92"/>
      <c r="N44" s="34"/>
      <c r="O44" s="92"/>
      <c r="P44" s="92"/>
      <c r="Q44" s="92"/>
      <c r="R44" s="92"/>
      <c r="S44" s="34"/>
      <c r="T44" s="92"/>
      <c r="U44" s="92"/>
      <c r="V44" s="92"/>
      <c r="W44" s="92"/>
      <c r="X44" s="34"/>
      <c r="Y44" s="92"/>
      <c r="Z44" s="92"/>
      <c r="AA44" s="92"/>
      <c r="AB44" s="92"/>
      <c r="AC44" s="34"/>
      <c r="AD44" s="92"/>
      <c r="AE44" s="92"/>
      <c r="AF44" s="92"/>
      <c r="AG44" s="92"/>
      <c r="AH44" s="34"/>
      <c r="AI44" s="92"/>
      <c r="AJ44" s="92"/>
      <c r="AK44" s="92"/>
      <c r="AL44" s="92"/>
      <c r="AM44" s="34"/>
      <c r="AN44" s="92"/>
      <c r="AO44" s="92"/>
      <c r="AP44" s="92"/>
      <c r="AQ44" s="92"/>
      <c r="AR44" s="34"/>
      <c r="AS44" s="92"/>
      <c r="AT44" s="92"/>
      <c r="AU44" s="3"/>
      <c r="AV44" s="92"/>
      <c r="AW44" s="34"/>
      <c r="AX44" s="92"/>
      <c r="AY44" s="92"/>
      <c r="AZ44" s="92"/>
      <c r="BA44" s="92"/>
      <c r="BB44" s="34"/>
      <c r="BC44" s="92"/>
      <c r="BD44" s="92"/>
      <c r="BE44" s="92"/>
      <c r="BF44" s="92"/>
      <c r="BG44" s="34"/>
      <c r="BH44" s="92"/>
      <c r="BI44" s="92"/>
      <c r="BJ44" s="92"/>
      <c r="BK44" s="92"/>
      <c r="BL44" s="721">
        <v>2346</v>
      </c>
      <c r="BM44" s="492"/>
      <c r="BN44" s="492"/>
      <c r="BO44" s="492"/>
      <c r="BP44" s="492"/>
      <c r="BQ44" s="721">
        <v>2352</v>
      </c>
      <c r="BR44" s="492"/>
      <c r="BS44" s="492"/>
      <c r="BT44" s="492"/>
      <c r="BU44" s="492"/>
      <c r="BV44" s="721">
        <v>2477</v>
      </c>
      <c r="BW44" s="492"/>
      <c r="BX44" s="492"/>
      <c r="BY44" s="492"/>
      <c r="BZ44" s="492"/>
      <c r="CA44" s="721">
        <v>2690</v>
      </c>
      <c r="CB44" s="92"/>
      <c r="CC44" s="92"/>
      <c r="CD44" s="92"/>
      <c r="CE44" s="92"/>
      <c r="CF44" s="34">
        <f>CFLO!CF8+CFLO!CF9-(CFLO!CF9+SEG!CF141)</f>
        <v>2879.6804407713498</v>
      </c>
      <c r="CG44" s="92">
        <f>CFLO!CG8+CFLO!CG9</f>
        <v>1095.5</v>
      </c>
      <c r="CH44" s="92">
        <f>CFLO!CH8+CFLO!CH9</f>
        <v>1078.5</v>
      </c>
      <c r="CI44" s="92">
        <f>CFLO!CI8+CFLO!CI9</f>
        <v>1088.5</v>
      </c>
      <c r="CJ44" s="92">
        <f>CFLO!CJ8+CFLO!CJ9</f>
        <v>1101.5</v>
      </c>
      <c r="CK44" s="34">
        <f>CFLO!CK8+CFLO!CK9</f>
        <v>4364</v>
      </c>
      <c r="CL44" s="92">
        <f>CFLO!CL8+CFLO!CL9</f>
        <v>728</v>
      </c>
      <c r="CM44" s="92">
        <f>CFLO!CM8+CFLO!CM9</f>
        <v>1111</v>
      </c>
      <c r="CN44" s="92">
        <f>CFLO!CN8+CFLO!CN9</f>
        <v>1164</v>
      </c>
      <c r="CO44" s="92">
        <f>CFLO!CO8+CFLO!CO9</f>
        <v>1153</v>
      </c>
      <c r="CP44" s="34">
        <f>CFLO!CP8+CFLO!CP9</f>
        <v>4156</v>
      </c>
      <c r="CQ44" s="92">
        <f>CFLO!CQ8+CFLO!CQ9</f>
        <v>1123</v>
      </c>
      <c r="CR44" s="92">
        <f>CFLO!CR8+CFLO!CR9</f>
        <v>1132</v>
      </c>
      <c r="CS44" s="92">
        <f>CFLO!CS8+CFLO!CS9</f>
        <v>1158</v>
      </c>
      <c r="CT44" s="92">
        <f>CFLO!CT8+CFLO!CT9</f>
        <v>1144</v>
      </c>
      <c r="CU44" s="34">
        <f>CFLO!CU8+CFLO!CU9</f>
        <v>4557</v>
      </c>
      <c r="CV44" s="92">
        <f>CFLO!CV8+CFLO!CV9</f>
        <v>1014</v>
      </c>
      <c r="CW44" s="92">
        <f>CFLO!CW8+CFLO!CW9</f>
        <v>999</v>
      </c>
      <c r="CX44" s="92">
        <f>CFLO!CX8+CFLO!CX9</f>
        <v>1047</v>
      </c>
      <c r="CY44" s="92">
        <f>CFLO!CY8+CFLO!CY9</f>
        <v>1048</v>
      </c>
      <c r="CZ44" s="34">
        <f>CFLO!CZ8+CFLO!CZ9</f>
        <v>4108</v>
      </c>
      <c r="DA44" s="92">
        <f>CFLO!DA8+CFLO!DA9</f>
        <v>1034</v>
      </c>
      <c r="DB44" s="92">
        <f>CFLO!DB8+CFLO!DB9</f>
        <v>1044</v>
      </c>
      <c r="DC44" s="92">
        <f>CFLO!DC8+CFLO!DC9</f>
        <v>1074</v>
      </c>
      <c r="DD44" s="92">
        <f>CFLO!DD8+CFLO!DD9</f>
        <v>1059</v>
      </c>
      <c r="DE44" s="34">
        <f>CFLO!DE8+CFLO!DE9</f>
        <v>4211</v>
      </c>
      <c r="DF44" s="92">
        <f>CFLO!DF8+CFLO!DF9</f>
        <v>1059</v>
      </c>
      <c r="DG44" s="92">
        <f>CFLO!DG8+CFLO!DG9</f>
        <v>1072</v>
      </c>
      <c r="DH44" s="92">
        <f>CFLO!DH8+CFLO!DH9</f>
        <v>1094</v>
      </c>
      <c r="DI44" s="92">
        <f>CFLO!DI8+CFLO!DI9</f>
        <v>1139</v>
      </c>
      <c r="DJ44" s="34">
        <f>CFLO!DJ8+CFLO!DJ9</f>
        <v>4364</v>
      </c>
      <c r="DK44" s="92">
        <f>CFLO!DK8+CFLO!DK9</f>
        <v>1052</v>
      </c>
      <c r="DL44" s="92">
        <f>CFLO!DL8+CFLO!DL9</f>
        <v>1076</v>
      </c>
      <c r="DM44" s="848">
        <f>CFLO!DM8+CFLO!DM9</f>
        <v>1091</v>
      </c>
      <c r="DN44" s="92">
        <f>CFLO!DN8+CFLO!DN9</f>
        <v>1065</v>
      </c>
      <c r="DO44" s="34">
        <f>CFLO!DO8+CFLO!DO9</f>
        <v>4284</v>
      </c>
      <c r="DP44" s="92">
        <f>CFLO!DP8+CFLO!DP9</f>
        <v>1070</v>
      </c>
      <c r="DQ44" s="92">
        <f>CFLO!DQ8+CFLO!DQ9</f>
        <v>1070</v>
      </c>
      <c r="DR44" s="92">
        <f>CFLO!DR8+CFLO!DR9</f>
        <v>1070</v>
      </c>
      <c r="DS44" s="92">
        <f>CFLO!DS8+CFLO!DS9</f>
        <v>1070</v>
      </c>
      <c r="DT44" s="34">
        <f>CFLO!DT8+CFLO!DT9</f>
        <v>4280</v>
      </c>
      <c r="DU44" s="91">
        <f>CFLO!DU8+CFLO!DU9</f>
        <v>4300</v>
      </c>
      <c r="DV44" s="91">
        <f>CFLO!DV8+CFLO!DV9</f>
        <v>4350</v>
      </c>
    </row>
    <row r="45" spans="1:126" s="66" customFormat="1">
      <c r="A45" s="54"/>
      <c r="B45" s="156" t="s">
        <v>89</v>
      </c>
      <c r="C45" s="157"/>
      <c r="D45" s="157"/>
      <c r="E45" s="157"/>
      <c r="F45" s="157"/>
      <c r="G45" s="157"/>
      <c r="H45" s="157"/>
      <c r="I45" s="157"/>
      <c r="J45" s="158"/>
      <c r="K45" s="158"/>
      <c r="L45" s="158"/>
      <c r="M45" s="158"/>
      <c r="N45" s="157"/>
      <c r="O45" s="158"/>
      <c r="P45" s="158"/>
      <c r="Q45" s="158"/>
      <c r="R45" s="158"/>
      <c r="S45" s="157"/>
      <c r="T45" s="158"/>
      <c r="U45" s="158"/>
      <c r="V45" s="158"/>
      <c r="W45" s="158"/>
      <c r="X45" s="157"/>
      <c r="Y45" s="158"/>
      <c r="Z45" s="158"/>
      <c r="AA45" s="158"/>
      <c r="AB45" s="158"/>
      <c r="AC45" s="157"/>
      <c r="AD45" s="158"/>
      <c r="AE45" s="158"/>
      <c r="AF45" s="158"/>
      <c r="AG45" s="158"/>
      <c r="AH45" s="157"/>
      <c r="AI45" s="158"/>
      <c r="AJ45" s="158"/>
      <c r="AK45" s="158"/>
      <c r="AL45" s="158"/>
      <c r="AM45" s="157"/>
      <c r="AN45" s="158"/>
      <c r="AO45" s="158"/>
      <c r="AP45" s="158"/>
      <c r="AQ45" s="158"/>
      <c r="AR45" s="157"/>
      <c r="AS45" s="158"/>
      <c r="AT45" s="158"/>
      <c r="AU45" s="47"/>
      <c r="AV45" s="158"/>
      <c r="AW45" s="157"/>
      <c r="AX45" s="158"/>
      <c r="AY45" s="158"/>
      <c r="AZ45" s="158"/>
      <c r="BA45" s="158"/>
      <c r="BB45" s="157"/>
      <c r="BC45" s="158"/>
      <c r="BD45" s="158"/>
      <c r="BE45" s="158"/>
      <c r="BF45" s="158"/>
      <c r="BG45" s="157"/>
      <c r="BH45" s="158"/>
      <c r="BI45" s="158"/>
      <c r="BJ45" s="158"/>
      <c r="BK45" s="158"/>
      <c r="BL45" s="722">
        <f>BL43+BL44</f>
        <v>9625.7924528301883</v>
      </c>
      <c r="BM45" s="723"/>
      <c r="BN45" s="723"/>
      <c r="BO45" s="723"/>
      <c r="BP45" s="723"/>
      <c r="BQ45" s="722">
        <f>BQ43+BQ44</f>
        <v>9251.3229744728087</v>
      </c>
      <c r="BR45" s="723"/>
      <c r="BS45" s="723"/>
      <c r="BT45" s="723"/>
      <c r="BU45" s="723"/>
      <c r="BV45" s="722">
        <f>BV43+BV44</f>
        <v>9560.6193118756928</v>
      </c>
      <c r="BW45" s="723"/>
      <c r="BX45" s="723"/>
      <c r="BY45" s="723"/>
      <c r="BZ45" s="723"/>
      <c r="CA45" s="722">
        <f>CA43+CA44</f>
        <v>10188.96448390677</v>
      </c>
      <c r="CB45" s="158"/>
      <c r="CC45" s="158"/>
      <c r="CD45" s="158"/>
      <c r="CE45" s="158"/>
      <c r="CF45" s="157">
        <f t="shared" ref="CF45:CP45" si="150">CF43+CF44</f>
        <v>12657.73806881243</v>
      </c>
      <c r="CG45" s="158">
        <f t="shared" si="150"/>
        <v>3248.5</v>
      </c>
      <c r="CH45" s="158">
        <f t="shared" si="150"/>
        <v>3397.5</v>
      </c>
      <c r="CI45" s="158">
        <f t="shared" si="150"/>
        <v>3473.5</v>
      </c>
      <c r="CJ45" s="158">
        <f t="shared" si="150"/>
        <v>3236.5</v>
      </c>
      <c r="CK45" s="157">
        <f t="shared" si="150"/>
        <v>13356</v>
      </c>
      <c r="CL45" s="158">
        <f t="shared" si="150"/>
        <v>2994.6821457165734</v>
      </c>
      <c r="CM45" s="158">
        <f t="shared" si="150"/>
        <v>1550.6381104883908</v>
      </c>
      <c r="CN45" s="158">
        <f t="shared" si="150"/>
        <v>1939.3494795836668</v>
      </c>
      <c r="CO45" s="158">
        <f t="shared" si="150"/>
        <v>1849.330264211369</v>
      </c>
      <c r="CP45" s="157">
        <f t="shared" si="150"/>
        <v>8334</v>
      </c>
      <c r="CQ45" s="158">
        <f t="shared" ref="CQ45:CV45" si="151">CQ43+CQ44</f>
        <v>2276.700295225879</v>
      </c>
      <c r="CR45" s="158">
        <f t="shared" si="151"/>
        <v>2497.4912319958112</v>
      </c>
      <c r="CS45" s="158">
        <f t="shared" si="151"/>
        <v>2467.981343994235</v>
      </c>
      <c r="CT45" s="158">
        <f t="shared" si="151"/>
        <v>2552.8271287840744</v>
      </c>
      <c r="CU45" s="157">
        <f t="shared" si="151"/>
        <v>9795</v>
      </c>
      <c r="CV45" s="158">
        <f t="shared" si="151"/>
        <v>2450</v>
      </c>
      <c r="CW45" s="158">
        <f t="shared" ref="CW45:CZ45" si="152">CW43+CW44</f>
        <v>2471</v>
      </c>
      <c r="CX45" s="158">
        <f t="shared" si="152"/>
        <v>2591</v>
      </c>
      <c r="CY45" s="158">
        <f t="shared" si="152"/>
        <v>2616</v>
      </c>
      <c r="CZ45" s="157">
        <f t="shared" si="152"/>
        <v>10128</v>
      </c>
      <c r="DA45" s="158">
        <f t="shared" ref="DA45:DE45" si="153">DA43+DA44</f>
        <v>2694</v>
      </c>
      <c r="DB45" s="158">
        <f t="shared" si="153"/>
        <v>2798</v>
      </c>
      <c r="DC45" s="158">
        <f t="shared" si="153"/>
        <v>2785</v>
      </c>
      <c r="DD45" s="158">
        <f t="shared" si="153"/>
        <v>2831</v>
      </c>
      <c r="DE45" s="157">
        <f t="shared" si="153"/>
        <v>11108</v>
      </c>
      <c r="DF45" s="158">
        <f t="shared" ref="DF45:DH45" si="154">DF43+DF44</f>
        <v>2851</v>
      </c>
      <c r="DG45" s="158">
        <f t="shared" si="154"/>
        <v>3632</v>
      </c>
      <c r="DH45" s="158">
        <f t="shared" si="154"/>
        <v>3573</v>
      </c>
      <c r="DI45" s="158">
        <f t="shared" ref="DI45:DK45" si="155">DI43+DI44</f>
        <v>3991</v>
      </c>
      <c r="DJ45" s="157">
        <f t="shared" si="155"/>
        <v>14047</v>
      </c>
      <c r="DK45" s="158">
        <f t="shared" si="155"/>
        <v>3245</v>
      </c>
      <c r="DL45" s="158">
        <f t="shared" ref="DL45:DP45" si="156">DL43+DL44</f>
        <v>3382</v>
      </c>
      <c r="DM45" s="158">
        <f t="shared" si="156"/>
        <v>3550</v>
      </c>
      <c r="DN45" s="158">
        <f t="shared" si="156"/>
        <v>3388.6336250000004</v>
      </c>
      <c r="DO45" s="157">
        <f t="shared" si="156"/>
        <v>13631.633625</v>
      </c>
      <c r="DP45" s="158">
        <f t="shared" si="156"/>
        <v>3278.9430400000001</v>
      </c>
      <c r="DQ45" s="158">
        <f t="shared" ref="DQ45:DT45" si="157">DQ43+DQ44</f>
        <v>3493.3360160000002</v>
      </c>
      <c r="DR45" s="158">
        <f t="shared" si="157"/>
        <v>3757.3779559999998</v>
      </c>
      <c r="DS45" s="158">
        <f t="shared" si="157"/>
        <v>3781.2694715359999</v>
      </c>
      <c r="DT45" s="157">
        <f t="shared" si="157"/>
        <v>14310.926483536001</v>
      </c>
      <c r="DU45" s="157">
        <f t="shared" ref="DU45:DV45" si="158">DU43+DU44</f>
        <v>15336.621194674979</v>
      </c>
      <c r="DV45" s="157">
        <f t="shared" si="158"/>
        <v>16396.965752491491</v>
      </c>
    </row>
    <row r="46" spans="1:126" s="45" customFormat="1">
      <c r="A46" s="32"/>
      <c r="B46" s="55"/>
      <c r="C46" s="34"/>
      <c r="D46" s="34"/>
      <c r="E46" s="34"/>
      <c r="F46" s="34"/>
      <c r="G46" s="34"/>
      <c r="H46" s="34"/>
      <c r="I46" s="34"/>
      <c r="J46" s="32"/>
      <c r="K46" s="32"/>
      <c r="L46" s="32"/>
      <c r="M46" s="32"/>
      <c r="N46" s="34"/>
      <c r="O46" s="32"/>
      <c r="P46" s="32"/>
      <c r="Q46" s="32"/>
      <c r="R46" s="32"/>
      <c r="S46" s="34"/>
      <c r="T46" s="32"/>
      <c r="U46" s="32"/>
      <c r="V46" s="32"/>
      <c r="W46" s="32"/>
      <c r="X46" s="34"/>
      <c r="Y46" s="32"/>
      <c r="Z46" s="32"/>
      <c r="AA46" s="32"/>
      <c r="AB46" s="32"/>
      <c r="AC46" s="34"/>
      <c r="AD46" s="32"/>
      <c r="AE46" s="32"/>
      <c r="AF46" s="32"/>
      <c r="AG46" s="32"/>
      <c r="AH46" s="34"/>
      <c r="AI46" s="32"/>
      <c r="AJ46" s="32"/>
      <c r="AK46" s="32"/>
      <c r="AL46" s="32"/>
      <c r="AM46" s="34"/>
      <c r="AN46" s="32"/>
      <c r="AO46" s="32"/>
      <c r="AP46" s="32"/>
      <c r="AQ46" s="32"/>
      <c r="AR46" s="34"/>
      <c r="AS46" s="32"/>
      <c r="AT46" s="32"/>
      <c r="AU46" s="32"/>
      <c r="AV46" s="32"/>
      <c r="AW46" s="34"/>
      <c r="AX46" s="32"/>
      <c r="AY46" s="32"/>
      <c r="AZ46" s="32"/>
      <c r="BA46" s="32"/>
      <c r="BB46" s="34"/>
      <c r="BC46" s="32"/>
      <c r="BD46" s="32"/>
      <c r="BE46" s="32"/>
      <c r="BF46" s="32"/>
      <c r="BG46" s="34"/>
      <c r="BH46" s="32"/>
      <c r="BI46" s="32"/>
      <c r="BJ46" s="32"/>
      <c r="BK46" s="32"/>
      <c r="BL46" s="34"/>
      <c r="BM46" s="32"/>
      <c r="BN46" s="32"/>
      <c r="BO46" s="32"/>
      <c r="BP46" s="32"/>
      <c r="BQ46" s="34"/>
      <c r="BR46" s="32"/>
      <c r="BS46" s="32"/>
      <c r="BT46" s="32"/>
      <c r="BU46" s="32"/>
      <c r="BV46" s="34"/>
      <c r="BW46" s="32"/>
      <c r="BX46" s="32"/>
      <c r="BY46" s="32"/>
      <c r="BZ46" s="32"/>
      <c r="CA46" s="34"/>
      <c r="CB46" s="32"/>
      <c r="CC46" s="32"/>
      <c r="CD46" s="32"/>
      <c r="CE46" s="32"/>
      <c r="CF46" s="34"/>
      <c r="CG46" s="32"/>
      <c r="CH46" s="32"/>
      <c r="CI46" s="32"/>
      <c r="CJ46" s="32"/>
      <c r="CK46" s="34"/>
      <c r="CL46" s="32"/>
      <c r="CM46" s="32"/>
      <c r="CN46" s="32"/>
      <c r="CO46" s="32"/>
      <c r="CP46" s="34"/>
      <c r="CQ46" s="32"/>
      <c r="CR46" s="32"/>
      <c r="CS46" s="32"/>
      <c r="CT46" s="32"/>
      <c r="CU46" s="34"/>
      <c r="CV46" s="32"/>
      <c r="CW46" s="32"/>
      <c r="CX46" s="32"/>
      <c r="CY46" s="32"/>
      <c r="CZ46" s="34"/>
      <c r="DA46" s="32"/>
      <c r="DB46" s="32"/>
      <c r="DC46" s="32"/>
      <c r="DD46" s="32"/>
      <c r="DE46" s="34"/>
      <c r="DF46" s="32"/>
      <c r="DG46" s="32"/>
      <c r="DH46" s="32"/>
      <c r="DI46" s="32"/>
      <c r="DJ46" s="34"/>
      <c r="DK46" s="32"/>
      <c r="DL46" s="32"/>
      <c r="DM46" s="32"/>
      <c r="DN46" s="32"/>
      <c r="DO46" s="34"/>
      <c r="DP46" s="32"/>
      <c r="DQ46" s="32"/>
      <c r="DR46" s="32"/>
      <c r="DS46" s="32"/>
      <c r="DT46" s="34"/>
      <c r="DU46" s="34"/>
      <c r="DV46" s="34"/>
    </row>
    <row r="47" spans="1:126" s="45" customFormat="1">
      <c r="A47" s="32"/>
      <c r="B47" s="55"/>
      <c r="C47" s="34"/>
      <c r="D47" s="34"/>
      <c r="E47" s="34"/>
      <c r="F47" s="34"/>
      <c r="G47" s="34"/>
      <c r="H47" s="34"/>
      <c r="I47" s="34"/>
      <c r="J47" s="32"/>
      <c r="K47" s="32"/>
      <c r="L47" s="32"/>
      <c r="M47" s="32"/>
      <c r="N47" s="34"/>
      <c r="O47" s="32"/>
      <c r="P47" s="32"/>
      <c r="Q47" s="32"/>
      <c r="R47" s="32"/>
      <c r="S47" s="34"/>
      <c r="T47" s="32"/>
      <c r="U47" s="32"/>
      <c r="V47" s="32"/>
      <c r="W47" s="32"/>
      <c r="X47" s="34"/>
      <c r="Y47" s="32"/>
      <c r="Z47" s="32"/>
      <c r="AA47" s="32"/>
      <c r="AB47" s="32"/>
      <c r="AC47" s="34"/>
      <c r="AD47" s="32"/>
      <c r="AE47" s="32"/>
      <c r="AF47" s="32"/>
      <c r="AG47" s="32"/>
      <c r="AH47" s="34"/>
      <c r="AI47" s="32"/>
      <c r="AJ47" s="32"/>
      <c r="AK47" s="32"/>
      <c r="AL47" s="32"/>
      <c r="AM47" s="34"/>
      <c r="AN47" s="32"/>
      <c r="AO47" s="32"/>
      <c r="AP47" s="32"/>
      <c r="AQ47" s="32"/>
      <c r="AR47" s="34"/>
      <c r="AS47" s="32"/>
      <c r="AT47" s="32"/>
      <c r="AU47" s="32"/>
      <c r="AV47" s="32"/>
      <c r="AW47" s="34"/>
      <c r="AX47" s="32"/>
      <c r="AY47" s="32"/>
      <c r="AZ47" s="32"/>
      <c r="BA47" s="32"/>
      <c r="BB47" s="34"/>
      <c r="BC47" s="32"/>
      <c r="BD47" s="32"/>
      <c r="BE47" s="32"/>
      <c r="BF47" s="32"/>
      <c r="BG47" s="34"/>
      <c r="BH47" s="32"/>
      <c r="BI47" s="32"/>
      <c r="BJ47" s="32"/>
      <c r="BK47" s="32"/>
      <c r="BL47" s="34"/>
      <c r="BM47" s="32"/>
      <c r="BN47" s="32"/>
      <c r="BO47" s="32"/>
      <c r="BP47" s="32"/>
      <c r="BQ47" s="34"/>
      <c r="BR47" s="32"/>
      <c r="BS47" s="32"/>
      <c r="BT47" s="32"/>
      <c r="BU47" s="32"/>
      <c r="BV47" s="34"/>
      <c r="BW47" s="32"/>
      <c r="BX47" s="32"/>
      <c r="BY47" s="32"/>
      <c r="BZ47" s="32"/>
      <c r="CA47" s="34"/>
      <c r="CB47" s="32"/>
      <c r="CC47" s="32"/>
      <c r="CD47" s="32"/>
      <c r="CE47" s="32"/>
      <c r="CF47" s="34"/>
      <c r="CG47" s="32"/>
      <c r="CH47" s="32"/>
      <c r="CI47" s="32"/>
      <c r="CJ47" s="32"/>
      <c r="CK47" s="34"/>
      <c r="CL47" s="32"/>
      <c r="CM47" s="32"/>
      <c r="CN47" s="32"/>
      <c r="CO47" s="32"/>
      <c r="CP47" s="34"/>
      <c r="CQ47" s="32"/>
      <c r="CR47" s="32"/>
      <c r="CS47" s="32"/>
      <c r="CT47" s="32"/>
      <c r="CU47" s="34"/>
      <c r="CV47" s="32"/>
      <c r="CW47" s="32"/>
      <c r="CX47" s="32"/>
      <c r="CY47" s="32"/>
      <c r="CZ47" s="34"/>
      <c r="DA47" s="32"/>
      <c r="DB47" s="32"/>
      <c r="DC47" s="32"/>
      <c r="DD47" s="32"/>
      <c r="DE47" s="34"/>
      <c r="DF47" s="32"/>
      <c r="DG47" s="32"/>
      <c r="DH47" s="32"/>
      <c r="DI47" s="32"/>
      <c r="DJ47" s="34"/>
      <c r="DK47" s="32"/>
      <c r="DL47" s="32"/>
      <c r="DM47" s="32"/>
      <c r="DN47" s="32"/>
      <c r="DO47" s="34"/>
      <c r="DP47" s="32"/>
      <c r="DQ47" s="32"/>
      <c r="DR47" s="32"/>
      <c r="DS47" s="32"/>
      <c r="DT47" s="34"/>
      <c r="DU47" s="34"/>
      <c r="DV47" s="34"/>
    </row>
    <row r="48" spans="1:126" s="45" customFormat="1">
      <c r="A48" s="32"/>
      <c r="B48" s="56" t="s">
        <v>90</v>
      </c>
      <c r="C48" s="34"/>
      <c r="D48" s="34"/>
      <c r="E48" s="34"/>
      <c r="F48" s="34"/>
      <c r="G48" s="34"/>
      <c r="H48" s="34"/>
      <c r="I48" s="34"/>
      <c r="J48" s="32"/>
      <c r="K48" s="32"/>
      <c r="L48" s="32"/>
      <c r="M48" s="32"/>
      <c r="N48" s="34"/>
      <c r="O48" s="32"/>
      <c r="P48" s="32"/>
      <c r="Q48" s="32"/>
      <c r="R48" s="32"/>
      <c r="S48" s="34"/>
      <c r="T48" s="32"/>
      <c r="U48" s="32"/>
      <c r="V48" s="32"/>
      <c r="W48" s="32"/>
      <c r="X48" s="34"/>
      <c r="Y48" s="32"/>
      <c r="Z48" s="32"/>
      <c r="AA48" s="32"/>
      <c r="AB48" s="32"/>
      <c r="AC48" s="34"/>
      <c r="AD48" s="32"/>
      <c r="AE48" s="32"/>
      <c r="AF48" s="32"/>
      <c r="AG48" s="32"/>
      <c r="AH48" s="34"/>
      <c r="AI48" s="32"/>
      <c r="AJ48" s="32"/>
      <c r="AK48" s="32"/>
      <c r="AL48" s="32"/>
      <c r="AM48" s="34"/>
      <c r="AN48" s="32"/>
      <c r="AO48" s="32"/>
      <c r="AP48" s="32"/>
      <c r="AQ48" s="32"/>
      <c r="AR48" s="34"/>
      <c r="AS48" s="32"/>
      <c r="AT48" s="32"/>
      <c r="AU48" s="32"/>
      <c r="AV48" s="32"/>
      <c r="AW48" s="34"/>
      <c r="AX48" s="32"/>
      <c r="AY48" s="32"/>
      <c r="AZ48" s="32"/>
      <c r="BA48" s="32"/>
      <c r="BB48" s="34"/>
      <c r="BC48" s="32"/>
      <c r="BD48" s="32"/>
      <c r="BE48" s="32"/>
      <c r="BF48" s="32"/>
      <c r="BG48" s="34"/>
      <c r="BH48" s="32"/>
      <c r="BI48" s="32"/>
      <c r="BJ48" s="32"/>
      <c r="BK48" s="32"/>
      <c r="BL48" s="34"/>
      <c r="BM48" s="32"/>
      <c r="BN48" s="32"/>
      <c r="BO48" s="32"/>
      <c r="BP48" s="32"/>
      <c r="BQ48" s="34"/>
      <c r="BR48" s="32"/>
      <c r="BS48" s="32"/>
      <c r="BT48" s="32"/>
      <c r="BU48" s="32"/>
      <c r="BV48" s="34"/>
      <c r="BW48" s="32"/>
      <c r="BX48" s="32"/>
      <c r="BY48" s="32"/>
      <c r="BZ48" s="32"/>
      <c r="CA48" s="34"/>
      <c r="CB48" s="32"/>
      <c r="CC48" s="32"/>
      <c r="CD48" s="32"/>
      <c r="CE48" s="32"/>
      <c r="CF48" s="34"/>
      <c r="CG48" s="32"/>
      <c r="CH48" s="32"/>
      <c r="CI48" s="32"/>
      <c r="CJ48" s="32"/>
      <c r="CK48" s="34"/>
      <c r="CL48" s="32"/>
      <c r="CM48" s="32"/>
      <c r="CN48" s="32"/>
      <c r="CO48" s="32"/>
      <c r="CP48" s="34"/>
      <c r="CQ48" s="32"/>
      <c r="CR48" s="32"/>
      <c r="CS48" s="32"/>
      <c r="CT48" s="32"/>
      <c r="CU48" s="34"/>
      <c r="CV48" s="32"/>
      <c r="CW48" s="32"/>
      <c r="CX48" s="32"/>
      <c r="CY48" s="32"/>
      <c r="CZ48" s="34"/>
      <c r="DA48" s="32"/>
      <c r="DB48" s="32"/>
      <c r="DC48" s="32"/>
      <c r="DD48" s="32"/>
      <c r="DE48" s="34"/>
      <c r="DF48" s="32"/>
      <c r="DG48" s="32"/>
      <c r="DH48" s="32"/>
      <c r="DI48" s="32"/>
      <c r="DJ48" s="34"/>
      <c r="DK48" s="32"/>
      <c r="DL48" s="32"/>
      <c r="DM48" s="32"/>
      <c r="DN48" s="32"/>
      <c r="DO48" s="34"/>
      <c r="DP48" s="32"/>
      <c r="DQ48" s="32"/>
      <c r="DR48" s="32"/>
      <c r="DS48" s="32"/>
      <c r="DT48" s="34"/>
      <c r="DU48" s="34"/>
      <c r="DV48" s="34"/>
    </row>
    <row r="49" spans="1:126" s="45" customFormat="1">
      <c r="A49" s="32"/>
      <c r="B49" s="55" t="s">
        <v>91</v>
      </c>
      <c r="C49" s="49"/>
      <c r="D49" s="49"/>
      <c r="E49" s="49"/>
      <c r="F49" s="49"/>
      <c r="G49" s="49"/>
      <c r="H49" s="49"/>
      <c r="I49" s="49"/>
      <c r="J49" s="50"/>
      <c r="K49" s="50"/>
      <c r="L49" s="50"/>
      <c r="M49" s="50"/>
      <c r="N49" s="49"/>
      <c r="O49" s="50"/>
      <c r="P49" s="50"/>
      <c r="Q49" s="50"/>
      <c r="R49" s="50"/>
      <c r="S49" s="49"/>
      <c r="T49" s="50"/>
      <c r="U49" s="50"/>
      <c r="V49" s="50"/>
      <c r="W49" s="50"/>
      <c r="X49" s="49"/>
      <c r="Y49" s="50"/>
      <c r="Z49" s="50"/>
      <c r="AA49" s="50"/>
      <c r="AB49" s="50"/>
      <c r="AC49" s="49"/>
      <c r="AD49" s="50"/>
      <c r="AE49" s="50"/>
      <c r="AF49" s="50"/>
      <c r="AG49" s="50"/>
      <c r="AH49" s="49"/>
      <c r="AI49" s="50"/>
      <c r="AJ49" s="50"/>
      <c r="AK49" s="50"/>
      <c r="AL49" s="50"/>
      <c r="AM49" s="49"/>
      <c r="AN49" s="50"/>
      <c r="AO49" s="50"/>
      <c r="AP49" s="50"/>
      <c r="AQ49" s="50"/>
      <c r="AR49" s="49"/>
      <c r="AS49" s="50"/>
      <c r="AT49" s="50"/>
      <c r="AU49" s="199"/>
      <c r="AV49" s="50"/>
      <c r="AW49" s="49"/>
      <c r="AX49" s="50"/>
      <c r="AY49" s="50"/>
      <c r="AZ49" s="50"/>
      <c r="BA49" s="199"/>
      <c r="BB49" s="49"/>
      <c r="BC49" s="199"/>
      <c r="BD49" s="199"/>
      <c r="BE49" s="199"/>
      <c r="BF49" s="199"/>
      <c r="BG49" s="49"/>
      <c r="BH49" s="199"/>
      <c r="BI49" s="50"/>
      <c r="BJ49" s="50"/>
      <c r="BK49" s="50"/>
      <c r="BL49" s="49"/>
      <c r="BM49" s="50"/>
      <c r="BN49" s="50"/>
      <c r="BO49" s="50"/>
      <c r="BP49" s="50"/>
      <c r="BQ49" s="49"/>
      <c r="BR49" s="50"/>
      <c r="BS49" s="50"/>
      <c r="BT49" s="50"/>
      <c r="BU49" s="50"/>
      <c r="BV49" s="49"/>
      <c r="BW49" s="50"/>
      <c r="BX49" s="50"/>
      <c r="BY49" s="50"/>
      <c r="BZ49" s="50"/>
      <c r="CA49" s="49"/>
      <c r="CB49" s="50"/>
      <c r="CC49" s="50"/>
      <c r="CD49" s="50"/>
      <c r="CE49" s="50"/>
      <c r="CF49" s="49">
        <f t="shared" ref="CF49:CP49" si="159">IF(ISERROR(CF8/CF6),"",(CF8/CF6))</f>
        <v>0.2530656570294495</v>
      </c>
      <c r="CG49" s="50">
        <f t="shared" si="159"/>
        <v>0.22384783039429362</v>
      </c>
      <c r="CH49" s="50">
        <f t="shared" si="159"/>
        <v>0.23925593538386228</v>
      </c>
      <c r="CI49" s="50">
        <f t="shared" si="159"/>
        <v>0.24054451696618634</v>
      </c>
      <c r="CJ49" s="50">
        <f t="shared" si="159"/>
        <v>0.21447705486468288</v>
      </c>
      <c r="CK49" s="49">
        <f t="shared" si="159"/>
        <v>0.2294139041178927</v>
      </c>
      <c r="CL49" s="50">
        <f t="shared" si="159"/>
        <v>0.22904862127316195</v>
      </c>
      <c r="CM49" s="50">
        <f t="shared" si="159"/>
        <v>-8.0775266036455518E-2</v>
      </c>
      <c r="CN49" s="50">
        <f t="shared" si="159"/>
        <v>0.11819353088763816</v>
      </c>
      <c r="CO49" s="50">
        <f t="shared" si="159"/>
        <v>0.1311285705584993</v>
      </c>
      <c r="CP49" s="49">
        <f t="shared" si="159"/>
        <v>0.10849872847166507</v>
      </c>
      <c r="CQ49" s="50">
        <f t="shared" ref="CQ49:CV49" si="160">IF(ISERROR(CQ8/CQ6),"",(CQ8/CQ6))</f>
        <v>0.17795554389876073</v>
      </c>
      <c r="CR49" s="50">
        <f t="shared" si="160"/>
        <v>0.20308564231738035</v>
      </c>
      <c r="CS49" s="50">
        <f t="shared" si="160"/>
        <v>0.19268488250169616</v>
      </c>
      <c r="CT49" s="50">
        <f t="shared" si="160"/>
        <v>0.20112649612766956</v>
      </c>
      <c r="CU49" s="49">
        <f t="shared" si="160"/>
        <v>0.19399577561036219</v>
      </c>
      <c r="CV49" s="50">
        <f t="shared" si="160"/>
        <v>0.20081445660473402</v>
      </c>
      <c r="CW49" s="50">
        <f t="shared" ref="CW49:CZ49" si="161">IF(ISERROR(CW8/CW6),"",(CW8/CW6))</f>
        <v>0.21196518327816599</v>
      </c>
      <c r="CX49" s="50">
        <f t="shared" si="161"/>
        <v>0.20571057754704739</v>
      </c>
      <c r="CY49" s="50">
        <f t="shared" si="161"/>
        <v>0.19714806831371248</v>
      </c>
      <c r="CZ49" s="49">
        <f t="shared" si="161"/>
        <v>0.20377493514625639</v>
      </c>
      <c r="DA49" s="50">
        <f t="shared" ref="DA49:DE49" si="162">IF(ISERROR(DA8/DA6),"",(DA8/DA6))</f>
        <v>0.20733124201231556</v>
      </c>
      <c r="DB49" s="50">
        <f t="shared" si="162"/>
        <v>0.20731640731640733</v>
      </c>
      <c r="DC49" s="50">
        <f t="shared" si="162"/>
        <v>5.3030303030303032E-2</v>
      </c>
      <c r="DD49" s="50">
        <f t="shared" si="162"/>
        <v>0.20118432277814022</v>
      </c>
      <c r="DE49" s="49">
        <f t="shared" si="162"/>
        <v>0.17540626813697041</v>
      </c>
      <c r="DF49" s="50">
        <f t="shared" ref="DF49:DI49" si="163">IF(ISERROR(DF8/DF6),"",(DF8/DF6))</f>
        <v>0.18445998445998446</v>
      </c>
      <c r="DG49" s="50">
        <f t="shared" si="163"/>
        <v>0.18153237665432786</v>
      </c>
      <c r="DH49" s="50">
        <f t="shared" si="163"/>
        <v>0.20080641146896311</v>
      </c>
      <c r="DI49" s="50">
        <f t="shared" si="163"/>
        <v>0.1958562641631596</v>
      </c>
      <c r="DJ49" s="49">
        <f t="shared" ref="DJ49:DM49" si="164">IF(ISERROR(DJ8/DJ6),"",(DJ8/DJ6))</f>
        <v>0.19086427704426664</v>
      </c>
      <c r="DK49" s="50">
        <f t="shared" si="164"/>
        <v>0.20269870974096327</v>
      </c>
      <c r="DL49" s="50">
        <f t="shared" si="164"/>
        <v>0.20277095593345998</v>
      </c>
      <c r="DM49" s="50">
        <f t="shared" si="164"/>
        <v>0.20375478245395498</v>
      </c>
      <c r="DN49" s="50">
        <f t="shared" ref="DN49:DP49" si="165">IF(ISERROR(DN8/DN6),"",(DN8/DN6))</f>
        <v>0.21060151724808659</v>
      </c>
      <c r="DO49" s="49">
        <f t="shared" si="165"/>
        <v>0.20504336759665692</v>
      </c>
      <c r="DP49" s="50">
        <f t="shared" si="165"/>
        <v>0.2108282255492108</v>
      </c>
      <c r="DQ49" s="50">
        <f t="shared" ref="DQ49:DS49" si="166">IF(ISERROR(DQ8/DQ6),"",(DQ8/DQ6))</f>
        <v>0.214736177046775</v>
      </c>
      <c r="DR49" s="50">
        <f t="shared" si="166"/>
        <v>0.2204219328747607</v>
      </c>
      <c r="DS49" s="50">
        <f t="shared" si="166"/>
        <v>0.21982919913065621</v>
      </c>
      <c r="DT49" s="49">
        <f t="shared" ref="DT49" si="167">IF(ISERROR(DT8/DT6),"",(DT8/DT6))</f>
        <v>0.21664026102142267</v>
      </c>
      <c r="DU49" s="49">
        <f t="shared" ref="DU49:DV49" si="168">IF(ISERROR(DU8/DU6),"",(DU8/DU6))</f>
        <v>0.22020357203353538</v>
      </c>
      <c r="DV49" s="49">
        <f t="shared" si="168"/>
        <v>0.22366631315073399</v>
      </c>
    </row>
    <row r="50" spans="1:126" s="45" customFormat="1">
      <c r="A50" s="32"/>
      <c r="B50" s="55" t="s">
        <v>92</v>
      </c>
      <c r="C50" s="49"/>
      <c r="D50" s="49"/>
      <c r="E50" s="49"/>
      <c r="F50" s="49"/>
      <c r="G50" s="49"/>
      <c r="H50" s="49"/>
      <c r="I50" s="49"/>
      <c r="J50" s="50"/>
      <c r="K50" s="50"/>
      <c r="L50" s="50"/>
      <c r="M50" s="50"/>
      <c r="N50" s="49"/>
      <c r="O50" s="50"/>
      <c r="P50" s="50"/>
      <c r="Q50" s="50"/>
      <c r="R50" s="50"/>
      <c r="S50" s="49"/>
      <c r="T50" s="50"/>
      <c r="U50" s="50"/>
      <c r="V50" s="50"/>
      <c r="W50" s="50"/>
      <c r="X50" s="49"/>
      <c r="Y50" s="50"/>
      <c r="Z50" s="50"/>
      <c r="AA50" s="50"/>
      <c r="AB50" s="50"/>
      <c r="AC50" s="49"/>
      <c r="AD50" s="50"/>
      <c r="AE50" s="50"/>
      <c r="AF50" s="50"/>
      <c r="AG50" s="50"/>
      <c r="AH50" s="49"/>
      <c r="AI50" s="50"/>
      <c r="AJ50" s="50"/>
      <c r="AK50" s="50"/>
      <c r="AL50" s="50"/>
      <c r="AM50" s="49"/>
      <c r="AN50" s="50"/>
      <c r="AO50" s="50"/>
      <c r="AP50" s="50"/>
      <c r="AQ50" s="50"/>
      <c r="AR50" s="49"/>
      <c r="AS50" s="50"/>
      <c r="AT50" s="50"/>
      <c r="AU50" s="199"/>
      <c r="AV50" s="50"/>
      <c r="AW50" s="49"/>
      <c r="AX50" s="50"/>
      <c r="AY50" s="50"/>
      <c r="AZ50" s="50"/>
      <c r="BA50" s="199"/>
      <c r="BB50" s="49"/>
      <c r="BC50" s="199"/>
      <c r="BD50" s="199"/>
      <c r="BE50" s="199"/>
      <c r="BF50" s="199"/>
      <c r="BG50" s="49"/>
      <c r="BH50" s="199"/>
      <c r="BI50" s="199"/>
      <c r="BJ50" s="199"/>
      <c r="BK50" s="199"/>
      <c r="BL50" s="236"/>
      <c r="BM50" s="199"/>
      <c r="BN50" s="199"/>
      <c r="BO50" s="199"/>
      <c r="BP50" s="199"/>
      <c r="BQ50" s="236"/>
      <c r="BR50" s="199"/>
      <c r="BS50" s="199"/>
      <c r="BT50" s="199"/>
      <c r="BU50" s="199"/>
      <c r="BV50" s="236"/>
      <c r="BW50" s="199"/>
      <c r="BX50" s="199"/>
      <c r="BY50" s="199"/>
      <c r="BZ50" s="199"/>
      <c r="CA50" s="236"/>
      <c r="CB50" s="199"/>
      <c r="CC50" s="199"/>
      <c r="CD50" s="199"/>
      <c r="CE50" s="199"/>
      <c r="CF50" s="236">
        <f t="shared" ref="CF50:CK50" si="169">IF(ISERROR(-CF10/CF6),"",(-CF10/CF6))</f>
        <v>8.0278147227201752E-2</v>
      </c>
      <c r="CG50" s="199">
        <f t="shared" si="169"/>
        <v>7.7447988904299575E-2</v>
      </c>
      <c r="CH50" s="199">
        <f t="shared" si="169"/>
        <v>7.7447988904299589E-2</v>
      </c>
      <c r="CI50" s="199">
        <f t="shared" si="169"/>
        <v>7.7539476785293424E-2</v>
      </c>
      <c r="CJ50" s="199">
        <f t="shared" si="169"/>
        <v>7.7539476785293424E-2</v>
      </c>
      <c r="CK50" s="236">
        <f t="shared" si="169"/>
        <v>7.7495049638320518E-2</v>
      </c>
      <c r="CL50" s="669">
        <v>0.08</v>
      </c>
      <c r="CM50" s="199">
        <f t="shared" ref="CM50:CR50" si="170">IF(ISERROR(-CM10/CM6),"",(-CM10/CM6))</f>
        <v>0.12515549412577748</v>
      </c>
      <c r="CN50" s="199">
        <f t="shared" si="170"/>
        <v>9.500237336407405E-2</v>
      </c>
      <c r="CO50" s="199">
        <f t="shared" si="170"/>
        <v>8.2282721237590603E-2</v>
      </c>
      <c r="CP50" s="670">
        <f t="shared" si="170"/>
        <v>9.4232527657715295E-2</v>
      </c>
      <c r="CQ50" s="199">
        <f t="shared" si="170"/>
        <v>7.9994754442331645E-2</v>
      </c>
      <c r="CR50" s="199">
        <f t="shared" si="170"/>
        <v>8.6146095717884133E-2</v>
      </c>
      <c r="CS50" s="199">
        <f t="shared" ref="CS50:CT50" si="171">IF(ISERROR(-CS10/CS6),"",(-CS10/CS6))</f>
        <v>7.5803367667920799E-2</v>
      </c>
      <c r="CT50" s="199">
        <f t="shared" si="171"/>
        <v>8.255104435578503E-2</v>
      </c>
      <c r="CU50" s="670">
        <f>IF(ISERROR(-CU10/CU6),"",(-CU10/CU6))</f>
        <v>8.1133130396968373E-2</v>
      </c>
      <c r="CV50" s="199">
        <f t="shared" ref="CV50:CW50" si="172">IF(ISERROR(-CV10/CV6),"",(-CV10/CV6))</f>
        <v>9.3471621277678801E-2</v>
      </c>
      <c r="CW50" s="199">
        <f t="shared" si="172"/>
        <v>8.7286992766948637E-2</v>
      </c>
      <c r="CX50" s="199">
        <f t="shared" ref="CX50:CY50" si="173">IF(ISERROR(-CX10/CX6),"",(-CX10/CX6))</f>
        <v>8.2060055453955519E-2</v>
      </c>
      <c r="CY50" s="199">
        <f t="shared" si="173"/>
        <v>7.6217321616094624E-2</v>
      </c>
      <c r="CZ50" s="670">
        <f>IF(ISERROR(-CZ10/CZ6),"",(-CZ10/CZ6))</f>
        <v>8.4429137967021492E-2</v>
      </c>
      <c r="DA50" s="199">
        <f t="shared" ref="DA50:DB50" si="174">IF(ISERROR(-DA10/DA6),"",(-DA10/DA6))</f>
        <v>8.121296619031021E-2</v>
      </c>
      <c r="DB50" s="199">
        <f t="shared" si="174"/>
        <v>8.9271089271089274E-2</v>
      </c>
      <c r="DC50" s="199">
        <f t="shared" ref="DC50:DD50" si="175">IF(ISERROR(-DC10/DC6),"",(-DC10/DC6))</f>
        <v>0.10405525846702317</v>
      </c>
      <c r="DD50" s="199">
        <f t="shared" si="175"/>
        <v>7.2514678576805339E-2</v>
      </c>
      <c r="DE50" s="670">
        <f>IF(ISERROR(-DE10/DE6),"",(-DE10/DE6))</f>
        <v>8.5301799187463723E-2</v>
      </c>
      <c r="DF50" s="199">
        <f t="shared" ref="DF50:DI50" si="176">IF(ISERROR(-DF10/DF6),"",(-DF10/DF6))</f>
        <v>7.2209272209272216E-2</v>
      </c>
      <c r="DG50" s="199">
        <f t="shared" si="176"/>
        <v>7.3474975914000304E-2</v>
      </c>
      <c r="DH50" s="199">
        <f t="shared" si="176"/>
        <v>6.9142316690726263E-2</v>
      </c>
      <c r="DI50" s="199">
        <f t="shared" si="176"/>
        <v>7.2792859455209732E-2</v>
      </c>
      <c r="DJ50" s="670">
        <f>IF(ISERROR(-DJ10/DJ6),"",(-DJ10/DJ6))</f>
        <v>7.1911615348410909E-2</v>
      </c>
      <c r="DK50" s="199">
        <f t="shared" ref="DK50:DM50" si="177">IF(ISERROR(-DK10/DK6),"",(-DK10/DK6))</f>
        <v>7.1308972717423424E-2</v>
      </c>
      <c r="DL50" s="199">
        <f t="shared" si="177"/>
        <v>7.2888188684490984E-2</v>
      </c>
      <c r="DM50" s="199">
        <f t="shared" si="177"/>
        <v>6.3884687249755323E-2</v>
      </c>
      <c r="DN50" s="669">
        <v>7.4999999999999997E-2</v>
      </c>
      <c r="DO50" s="670">
        <f>IF(ISERROR(-DO10/DO6),"",(-DO10/DO6))</f>
        <v>7.0741121890661077E-2</v>
      </c>
      <c r="DP50" s="669">
        <v>7.4999999999999997E-2</v>
      </c>
      <c r="DQ50" s="669">
        <v>7.4999999999999997E-2</v>
      </c>
      <c r="DR50" s="669">
        <v>7.4999999999999997E-2</v>
      </c>
      <c r="DS50" s="669">
        <v>7.4999999999999997E-2</v>
      </c>
      <c r="DT50" s="670">
        <f>IF(ISERROR(-DT10/DT6),"",(-DT10/DT6))</f>
        <v>7.4999999999999997E-2</v>
      </c>
      <c r="DU50" s="607">
        <v>7.4999999999999997E-2</v>
      </c>
      <c r="DV50" s="607">
        <v>7.4999999999999997E-2</v>
      </c>
    </row>
    <row r="51" spans="1:126" s="45" customFormat="1">
      <c r="A51" s="32"/>
      <c r="B51" s="55" t="s">
        <v>240</v>
      </c>
      <c r="C51" s="49"/>
      <c r="D51" s="49"/>
      <c r="E51" s="49"/>
      <c r="F51" s="49"/>
      <c r="G51" s="49"/>
      <c r="H51" s="49"/>
      <c r="I51" s="49"/>
      <c r="J51" s="50"/>
      <c r="K51" s="50"/>
      <c r="L51" s="50"/>
      <c r="M51" s="50"/>
      <c r="N51" s="49"/>
      <c r="O51" s="50"/>
      <c r="P51" s="50"/>
      <c r="Q51" s="50"/>
      <c r="R51" s="50"/>
      <c r="S51" s="49"/>
      <c r="T51" s="50"/>
      <c r="U51" s="50"/>
      <c r="V51" s="50"/>
      <c r="W51" s="50"/>
      <c r="X51" s="49"/>
      <c r="Y51" s="50"/>
      <c r="Z51" s="50"/>
      <c r="AA51" s="50"/>
      <c r="AB51" s="50"/>
      <c r="AC51" s="49"/>
      <c r="AD51" s="50"/>
      <c r="AE51" s="50"/>
      <c r="AF51" s="50"/>
      <c r="AG51" s="50"/>
      <c r="AH51" s="49"/>
      <c r="AI51" s="50"/>
      <c r="AJ51" s="50"/>
      <c r="AK51" s="50"/>
      <c r="AL51" s="50"/>
      <c r="AM51" s="49"/>
      <c r="AN51" s="50"/>
      <c r="AO51" s="50"/>
      <c r="AP51" s="50"/>
      <c r="AQ51" s="50"/>
      <c r="AR51" s="49"/>
      <c r="AS51" s="50"/>
      <c r="AT51" s="50"/>
      <c r="AU51" s="50"/>
      <c r="AV51" s="50"/>
      <c r="AW51" s="49"/>
      <c r="AX51" s="50"/>
      <c r="AY51" s="50"/>
      <c r="AZ51" s="50"/>
      <c r="BA51" s="199"/>
      <c r="BB51" s="49"/>
      <c r="BC51" s="199"/>
      <c r="BD51" s="199"/>
      <c r="BE51" s="199"/>
      <c r="BF51" s="199"/>
      <c r="BG51" s="49"/>
      <c r="BH51" s="199"/>
      <c r="BI51" s="199"/>
      <c r="BJ51" s="199"/>
      <c r="BK51" s="199"/>
      <c r="BL51" s="49"/>
      <c r="BM51" s="199"/>
      <c r="BN51" s="199"/>
      <c r="BO51" s="199"/>
      <c r="BP51" s="199"/>
      <c r="BQ51" s="49"/>
      <c r="BR51" s="199"/>
      <c r="BS51" s="199"/>
      <c r="BT51" s="199"/>
      <c r="BU51" s="199"/>
      <c r="BV51" s="49"/>
      <c r="BW51" s="199"/>
      <c r="BX51" s="199"/>
      <c r="BY51" s="199"/>
      <c r="BZ51" s="199"/>
      <c r="CA51" s="49"/>
      <c r="CB51" s="199"/>
      <c r="CC51" s="199"/>
      <c r="CD51" s="199"/>
      <c r="CE51" s="199"/>
      <c r="CF51" s="49">
        <f t="shared" ref="CF51:CK51" si="178">IF(ISERROR(-CF9/CF6),"",(-CF9/CF6))</f>
        <v>4.7013242352396921E-2</v>
      </c>
      <c r="CG51" s="199">
        <f t="shared" si="178"/>
        <v>4.4105409153952842E-2</v>
      </c>
      <c r="CH51" s="199">
        <f t="shared" si="178"/>
        <v>4.4105409153952842E-2</v>
      </c>
      <c r="CI51" s="199">
        <f t="shared" si="178"/>
        <v>4.1794327912640435E-2</v>
      </c>
      <c r="CJ51" s="199">
        <f t="shared" si="178"/>
        <v>4.1794327912640421E-2</v>
      </c>
      <c r="CK51" s="49">
        <f t="shared" si="178"/>
        <v>4.2916604927462049E-2</v>
      </c>
      <c r="CL51" s="669">
        <v>3.5000000000000003E-2</v>
      </c>
      <c r="CM51" s="199">
        <f t="shared" ref="CM51:CR51" si="179">IF(ISERROR(-CM9/CM6),"",(-CM9/CM6))</f>
        <v>4.8030407740152041E-2</v>
      </c>
      <c r="CN51" s="199">
        <f t="shared" si="179"/>
        <v>4.3534278158269477E-2</v>
      </c>
      <c r="CO51" s="199">
        <f t="shared" si="179"/>
        <v>4.3242584810280774E-2</v>
      </c>
      <c r="CP51" s="380">
        <f t="shared" si="179"/>
        <v>4.2017647884906452E-2</v>
      </c>
      <c r="CQ51" s="199">
        <f t="shared" si="179"/>
        <v>3.8620418333224049E-2</v>
      </c>
      <c r="CR51" s="199">
        <f t="shared" si="179"/>
        <v>4.13727959697733E-2</v>
      </c>
      <c r="CS51" s="199">
        <f t="shared" ref="CS51:CT51" si="180">IF(ISERROR(-CS9/CS6),"",(-CS9/CS6))</f>
        <v>4.1694936162338866E-2</v>
      </c>
      <c r="CT51" s="199">
        <f t="shared" si="180"/>
        <v>4.752405538605961E-2</v>
      </c>
      <c r="CU51" s="380">
        <f>IF(ISERROR(-CU9/CU6),"",(-CU9/CU6))</f>
        <v>4.2430266509287447E-2</v>
      </c>
      <c r="CV51" s="199">
        <f t="shared" ref="CV51:CW51" si="181">IF(ISERROR(-CV9/CV6),"",(-CV9/CV6))</f>
        <v>4.0404683125477223E-2</v>
      </c>
      <c r="CW51" s="199">
        <f t="shared" si="181"/>
        <v>4.2785337746720609E-2</v>
      </c>
      <c r="CX51" s="199">
        <f t="shared" ref="CX51:CY51" si="182">IF(ISERROR(-CX9/CX6),"",(-CX9/CX6))</f>
        <v>3.905374314199752E-2</v>
      </c>
      <c r="CY51" s="199">
        <f t="shared" si="182"/>
        <v>3.9573315646935281E-2</v>
      </c>
      <c r="CZ51" s="380">
        <f>IF(ISERROR(-CZ9/CZ6),"",(-CZ9/CZ6))</f>
        <v>4.0418045740525391E-2</v>
      </c>
      <c r="DA51" s="199">
        <f t="shared" ref="DA51:DB51" si="183">IF(ISERROR(-DA9/DA6),"",(-DA9/DA6))</f>
        <v>3.5261996049726969E-2</v>
      </c>
      <c r="DB51" s="199">
        <f t="shared" si="183"/>
        <v>3.9803439803439804E-2</v>
      </c>
      <c r="DC51" s="199">
        <f t="shared" ref="DC51:DD51" si="184">IF(ISERROR(-DC9/DC6),"",(-DC9/DC6))</f>
        <v>5.2881758764111705E-2</v>
      </c>
      <c r="DD51" s="199">
        <f t="shared" si="184"/>
        <v>3.7988658603904248E-2</v>
      </c>
      <c r="DE51" s="380">
        <f>IF(ISERROR(-DE9/DE6),"",(-DE9/DE6))</f>
        <v>4.0699361578641902E-2</v>
      </c>
      <c r="DF51" s="199">
        <f t="shared" ref="DF51:DI51" si="185">IF(ISERROR(-DF9/DF6),"",(-DF9/DF6))</f>
        <v>3.4654234654234652E-2</v>
      </c>
      <c r="DG51" s="199">
        <f t="shared" si="185"/>
        <v>3.5799401653060191E-2</v>
      </c>
      <c r="DH51" s="199">
        <f t="shared" si="185"/>
        <v>3.7383642789586342E-2</v>
      </c>
      <c r="DI51" s="199">
        <f t="shared" si="185"/>
        <v>3.7367617814364332E-2</v>
      </c>
      <c r="DJ51" s="380">
        <f>IF(ISERROR(-DJ9/DJ6),"",(-DJ9/DJ6))</f>
        <v>3.6339765661770169E-2</v>
      </c>
      <c r="DK51" s="199">
        <f t="shared" ref="DK51:DM51" si="186">IF(ISERROR(-DK9/DK6),"",(-DK9/DK6))</f>
        <v>3.1370038412291933E-2</v>
      </c>
      <c r="DL51" s="199">
        <f t="shared" si="186"/>
        <v>3.2296927853204205E-2</v>
      </c>
      <c r="DM51" s="199">
        <f t="shared" si="186"/>
        <v>3.0429753536791528E-2</v>
      </c>
      <c r="DN51" s="669">
        <v>3.5000000000000003E-2</v>
      </c>
      <c r="DO51" s="380">
        <f>IF(ISERROR(-DO9/DO6),"",(-DO9/DO6))</f>
        <v>3.230036285354021E-2</v>
      </c>
      <c r="DP51" s="669">
        <v>3.5000000000000003E-2</v>
      </c>
      <c r="DQ51" s="669">
        <v>3.5000000000000003E-2</v>
      </c>
      <c r="DR51" s="669">
        <v>3.5000000000000003E-2</v>
      </c>
      <c r="DS51" s="669">
        <v>3.5000000000000003E-2</v>
      </c>
      <c r="DT51" s="380">
        <f>IF(ISERROR(-DT9/DT6),"",(-DT9/DT6))</f>
        <v>3.5000000000000003E-2</v>
      </c>
      <c r="DU51" s="607">
        <v>3.5000000000000003E-2</v>
      </c>
      <c r="DV51" s="607">
        <v>3.5000000000000003E-2</v>
      </c>
    </row>
    <row r="52" spans="1:126" s="45" customFormat="1">
      <c r="A52" s="32"/>
      <c r="B52" s="55" t="s">
        <v>559</v>
      </c>
      <c r="C52" s="49"/>
      <c r="D52" s="49"/>
      <c r="E52" s="49"/>
      <c r="F52" s="49"/>
      <c r="G52" s="49"/>
      <c r="H52" s="49"/>
      <c r="I52" s="49"/>
      <c r="J52" s="50"/>
      <c r="K52" s="50"/>
      <c r="L52" s="50"/>
      <c r="M52" s="50"/>
      <c r="N52" s="49"/>
      <c r="O52" s="50"/>
      <c r="P52" s="50"/>
      <c r="Q52" s="50"/>
      <c r="R52" s="50"/>
      <c r="S52" s="49"/>
      <c r="T52" s="50"/>
      <c r="U52" s="50"/>
      <c r="V52" s="50"/>
      <c r="W52" s="50"/>
      <c r="X52" s="49"/>
      <c r="Y52" s="50"/>
      <c r="Z52" s="50"/>
      <c r="AA52" s="50"/>
      <c r="AB52" s="50"/>
      <c r="AC52" s="49"/>
      <c r="AD52" s="50"/>
      <c r="AE52" s="50"/>
      <c r="AF52" s="50"/>
      <c r="AG52" s="50"/>
      <c r="AH52" s="49"/>
      <c r="AI52" s="50"/>
      <c r="AJ52" s="50"/>
      <c r="AK52" s="50"/>
      <c r="AL52" s="50"/>
      <c r="AM52" s="49"/>
      <c r="AN52" s="50"/>
      <c r="AO52" s="50"/>
      <c r="AP52" s="50"/>
      <c r="AQ52" s="50"/>
      <c r="AR52" s="49"/>
      <c r="AS52" s="50"/>
      <c r="AT52" s="50"/>
      <c r="AU52" s="199"/>
      <c r="AV52" s="50"/>
      <c r="AW52" s="49"/>
      <c r="AX52" s="50"/>
      <c r="AY52" s="50"/>
      <c r="AZ52" s="50"/>
      <c r="BA52" s="199"/>
      <c r="BB52" s="49"/>
      <c r="BC52" s="199"/>
      <c r="BD52" s="199"/>
      <c r="BE52" s="199"/>
      <c r="BF52" s="199"/>
      <c r="BG52" s="49"/>
      <c r="BH52" s="199"/>
      <c r="BI52" s="50"/>
      <c r="BJ52" s="50"/>
      <c r="BK52" s="50"/>
      <c r="BL52" s="724">
        <f>IF(ISERROR(BL45/SEG!BL62),"",(BL45/SEG!BL62))</f>
        <v>0.19008278935288681</v>
      </c>
      <c r="BM52" s="50"/>
      <c r="BN52" s="50"/>
      <c r="BO52" s="50"/>
      <c r="BP52" s="50"/>
      <c r="BQ52" s="724">
        <f>IF(ISERROR(BQ45/SEG!BQ62),"",(BQ45/SEG!BQ62))</f>
        <v>0.182962640900103</v>
      </c>
      <c r="BR52" s="50"/>
      <c r="BS52" s="50"/>
      <c r="BT52" s="50"/>
      <c r="BU52" s="50"/>
      <c r="BV52" s="724">
        <f>IF(ISERROR(BV45/SEG!BV62),"",(BV45/SEG!BV62))</f>
        <v>0.18186800798713487</v>
      </c>
      <c r="BW52" s="50"/>
      <c r="BX52" s="50"/>
      <c r="BY52" s="50"/>
      <c r="BZ52" s="50"/>
      <c r="CA52" s="724">
        <f>IF(ISERROR(CA45/SEG!CA62),"",(CA45/SEG!CA62))</f>
        <v>0.18385990731917587</v>
      </c>
      <c r="CB52" s="50"/>
      <c r="CC52" s="50"/>
      <c r="CD52" s="50"/>
      <c r="CE52" s="50"/>
      <c r="CF52" s="49">
        <f t="shared" ref="CF52:CP52" si="187">IF(ISERROR(CF45/CF6),"",(CF45/CF6))</f>
        <v>0.18298933193795799</v>
      </c>
      <c r="CG52" s="50">
        <f t="shared" si="187"/>
        <v>0.18389991225338956</v>
      </c>
      <c r="CH52" s="50">
        <f t="shared" si="187"/>
        <v>0.1847923635473607</v>
      </c>
      <c r="CI52" s="50">
        <f t="shared" si="187"/>
        <v>0.18563321314070449</v>
      </c>
      <c r="CJ52" s="50">
        <f t="shared" si="187"/>
        <v>0.1661842624812776</v>
      </c>
      <c r="CK52" s="49">
        <f t="shared" si="187"/>
        <v>0.17991028732303299</v>
      </c>
      <c r="CL52" s="50">
        <f t="shared" si="187"/>
        <v>0.16230459843458747</v>
      </c>
      <c r="CM52" s="50">
        <f t="shared" si="187"/>
        <v>0.10716227439449832</v>
      </c>
      <c r="CN52" s="50">
        <f t="shared" si="187"/>
        <v>0.131508068053412</v>
      </c>
      <c r="CO52" s="50">
        <f t="shared" si="187"/>
        <v>0.11263355041180151</v>
      </c>
      <c r="CP52" s="49">
        <f t="shared" si="187"/>
        <v>0.13004197419133365</v>
      </c>
      <c r="CQ52" s="50">
        <f t="shared" ref="CQ52:CV52" si="188">IF(ISERROR(CQ45/CQ6),"",(CQ45/CQ6))</f>
        <v>0.14928203365194931</v>
      </c>
      <c r="CR52" s="50">
        <f t="shared" si="188"/>
        <v>0.15727274760678911</v>
      </c>
      <c r="CS52" s="50">
        <f t="shared" si="188"/>
        <v>0.15222237365041849</v>
      </c>
      <c r="CT52" s="50">
        <f t="shared" si="188"/>
        <v>0.14977863933255542</v>
      </c>
      <c r="CU52" s="49">
        <f t="shared" si="188"/>
        <v>0.15212461949431572</v>
      </c>
      <c r="CV52" s="50">
        <f t="shared" si="188"/>
        <v>0.15589208449987274</v>
      </c>
      <c r="CW52" s="50">
        <f t="shared" ref="CW52:CZ52" si="189">IF(ISERROR(CW45/CW6),"",(CW45/CW6))</f>
        <v>0.15146499938702954</v>
      </c>
      <c r="CX52" s="50">
        <f t="shared" si="189"/>
        <v>0.15285233909503865</v>
      </c>
      <c r="CY52" s="50">
        <f t="shared" si="189"/>
        <v>0.14458630409550655</v>
      </c>
      <c r="CZ52" s="49">
        <f t="shared" si="189"/>
        <v>0.15099740585025495</v>
      </c>
      <c r="DA52" s="50">
        <f t="shared" ref="DA52:DE52" si="190">IF(ISERROR(DA45/DA6),"",(DA45/DA6))</f>
        <v>0.15650052283025445</v>
      </c>
      <c r="DB52" s="50">
        <f t="shared" si="190"/>
        <v>0.15277095277095276</v>
      </c>
      <c r="DC52" s="50">
        <f t="shared" ref="DC52:DD52" si="191">IF(ISERROR(DC45/DC6),"",(DC45/DC6))</f>
        <v>0.20684789067142009</v>
      </c>
      <c r="DD52" s="50">
        <f t="shared" si="191"/>
        <v>0.14206855020826015</v>
      </c>
      <c r="DE52" s="49">
        <f t="shared" si="190"/>
        <v>0.161172373766686</v>
      </c>
      <c r="DF52" s="50">
        <f t="shared" ref="DF52:DI52" si="192">IF(ISERROR(DF45/DF6),"",(DF45/DF6))</f>
        <v>0.14768194768194767</v>
      </c>
      <c r="DG52" s="50">
        <f t="shared" si="192"/>
        <v>0.18416915977891588</v>
      </c>
      <c r="DH52" s="50">
        <f t="shared" si="192"/>
        <v>0.17785852954353129</v>
      </c>
      <c r="DI52" s="50">
        <f t="shared" si="192"/>
        <v>0.18457198353604959</v>
      </c>
      <c r="DJ52" s="49">
        <f t="shared" ref="DJ52:DM52" si="193">IF(ISERROR(DJ45/DJ6),"",(DJ45/DJ6))</f>
        <v>0.1739825113329535</v>
      </c>
      <c r="DK52" s="50">
        <f t="shared" si="193"/>
        <v>0.15980498374864571</v>
      </c>
      <c r="DL52" s="50">
        <f t="shared" si="193"/>
        <v>0.1567119225244428</v>
      </c>
      <c r="DM52" s="50">
        <f t="shared" si="193"/>
        <v>0.15793220037369873</v>
      </c>
      <c r="DN52" s="50">
        <f t="shared" ref="DN52:DP52" si="194">IF(ISERROR(DN45/DN6),"",(DN45/DN6))</f>
        <v>0.14993694688733483</v>
      </c>
      <c r="DO52" s="49">
        <f t="shared" si="194"/>
        <v>0.15674779896062332</v>
      </c>
      <c r="DP52" s="50">
        <f t="shared" si="194"/>
        <v>0.1531351231944196</v>
      </c>
      <c r="DQ52" s="50">
        <f t="shared" ref="DQ52:DS52" si="195">IF(ISERROR(DQ45/DQ6),"",(DQ45/DQ6))</f>
        <v>0.15416218225698203</v>
      </c>
      <c r="DR52" s="50">
        <f t="shared" si="195"/>
        <v>0.1573141746705862</v>
      </c>
      <c r="DS52" s="50">
        <f t="shared" si="195"/>
        <v>0.15605101332196328</v>
      </c>
      <c r="DT52" s="49">
        <f t="shared" ref="DT52" si="196">IF(ISERROR(DT45/DT6),"",(DT45/DT6))</f>
        <v>0.15523673564424342</v>
      </c>
      <c r="DU52" s="49">
        <f t="shared" ref="DU52:DV52" si="197">IF(ISERROR(DU45/DU6),"",(DU45/DU6))</f>
        <v>0.15596655158611014</v>
      </c>
      <c r="DV52" s="49">
        <f t="shared" si="197"/>
        <v>0.15732151868106761</v>
      </c>
    </row>
    <row r="53" spans="1:126" s="45" customFormat="1">
      <c r="A53" s="32"/>
      <c r="B53" s="55" t="s">
        <v>93</v>
      </c>
      <c r="C53" s="49"/>
      <c r="D53" s="49"/>
      <c r="E53" s="49"/>
      <c r="F53" s="49"/>
      <c r="G53" s="49"/>
      <c r="H53" s="49"/>
      <c r="I53" s="49"/>
      <c r="J53" s="50"/>
      <c r="K53" s="50"/>
      <c r="L53" s="50"/>
      <c r="M53" s="50"/>
      <c r="N53" s="49"/>
      <c r="O53" s="50"/>
      <c r="P53" s="50"/>
      <c r="Q53" s="50"/>
      <c r="R53" s="50"/>
      <c r="S53" s="49"/>
      <c r="T53" s="50"/>
      <c r="U53" s="50"/>
      <c r="V53" s="50"/>
      <c r="W53" s="50"/>
      <c r="X53" s="49"/>
      <c r="Y53" s="50"/>
      <c r="Z53" s="50"/>
      <c r="AA53" s="50"/>
      <c r="AB53" s="50"/>
      <c r="AC53" s="49"/>
      <c r="AD53" s="50"/>
      <c r="AE53" s="50"/>
      <c r="AF53" s="50"/>
      <c r="AG53" s="50"/>
      <c r="AH53" s="49"/>
      <c r="AI53" s="50"/>
      <c r="AJ53" s="50"/>
      <c r="AK53" s="50"/>
      <c r="AL53" s="50"/>
      <c r="AM53" s="49"/>
      <c r="AN53" s="50"/>
      <c r="AO53" s="50"/>
      <c r="AP53" s="50"/>
      <c r="AQ53" s="50"/>
      <c r="AR53" s="49"/>
      <c r="AS53" s="50"/>
      <c r="AT53" s="50"/>
      <c r="AU53" s="199"/>
      <c r="AV53" s="50"/>
      <c r="AW53" s="49"/>
      <c r="AX53" s="50"/>
      <c r="AY53" s="50"/>
      <c r="AZ53" s="50"/>
      <c r="BA53" s="199"/>
      <c r="BB53" s="49"/>
      <c r="BC53" s="199"/>
      <c r="BD53" s="199"/>
      <c r="BE53" s="199"/>
      <c r="BF53" s="199"/>
      <c r="BG53" s="49"/>
      <c r="BH53" s="199"/>
      <c r="BI53" s="50"/>
      <c r="BJ53" s="50"/>
      <c r="BK53" s="50"/>
      <c r="BL53" s="49"/>
      <c r="BM53" s="50"/>
      <c r="BN53" s="50"/>
      <c r="BO53" s="50"/>
      <c r="BP53" s="50"/>
      <c r="BQ53" s="49"/>
      <c r="BR53" s="50"/>
      <c r="BS53" s="50"/>
      <c r="BT53" s="50"/>
      <c r="BU53" s="50"/>
      <c r="BV53" s="49"/>
      <c r="BW53" s="50"/>
      <c r="BX53" s="50"/>
      <c r="BY53" s="50"/>
      <c r="BZ53" s="50"/>
      <c r="CA53" s="49"/>
      <c r="CB53" s="50"/>
      <c r="CC53" s="50"/>
      <c r="CD53" s="50"/>
      <c r="CE53" s="50"/>
      <c r="CF53" s="49">
        <f t="shared" ref="CF53:CP53" si="198">IF(ISERROR(CF13/CF6),"",(CF13/CF6))</f>
        <v>0.13064618094085872</v>
      </c>
      <c r="CG53" s="50">
        <f t="shared" si="198"/>
        <v>0.10778680404200515</v>
      </c>
      <c r="CH53" s="50">
        <f t="shared" si="198"/>
        <v>0.12319490903157379</v>
      </c>
      <c r="CI53" s="50">
        <f t="shared" si="198"/>
        <v>0.12526968521716175</v>
      </c>
      <c r="CJ53" s="50">
        <f t="shared" si="198"/>
        <v>9.9202223115658378E-2</v>
      </c>
      <c r="CK53" s="49">
        <f t="shared" si="198"/>
        <v>0.11375729083880005</v>
      </c>
      <c r="CL53" s="50">
        <f t="shared" si="198"/>
        <v>0.11811344160810315</v>
      </c>
      <c r="CM53" s="50">
        <f t="shared" si="198"/>
        <v>-0.24829427087405054</v>
      </c>
      <c r="CN53" s="50">
        <f t="shared" si="198"/>
        <v>2.9429714518207094E-2</v>
      </c>
      <c r="CO53" s="50">
        <f t="shared" si="198"/>
        <v>8.6485169620561537E-3</v>
      </c>
      <c r="CP53" s="49">
        <f t="shared" si="198"/>
        <v>-1.3068281998477073E-2</v>
      </c>
      <c r="CQ53" s="50">
        <f t="shared" ref="CQ53:CV53" si="199">IF(ISERROR(CQ13/CQ6),"",(CQ13/CQ6))</f>
        <v>6.6421873975477011E-2</v>
      </c>
      <c r="CR53" s="50">
        <f t="shared" si="199"/>
        <v>8.0730478589420659E-2</v>
      </c>
      <c r="CS53" s="50">
        <f t="shared" si="199"/>
        <v>8.2834762227841849E-2</v>
      </c>
      <c r="CT53" s="50">
        <f t="shared" si="199"/>
        <v>4.1246186341234455E-2</v>
      </c>
      <c r="CU53" s="49">
        <f t="shared" si="199"/>
        <v>6.7419394918307757E-2</v>
      </c>
      <c r="CV53" s="50">
        <f t="shared" si="199"/>
        <v>6.8719776024433701E-2</v>
      </c>
      <c r="CW53" s="50">
        <f t="shared" ref="CW53:CZ53" si="200">IF(ISERROR(CW13/CW6),"",(CW13/CW6))</f>
        <v>8.2934902537697683E-2</v>
      </c>
      <c r="CX53" s="50">
        <f t="shared" si="200"/>
        <v>8.7310483157335847E-2</v>
      </c>
      <c r="CY53" s="50">
        <f t="shared" si="200"/>
        <v>8.2960260874371305E-2</v>
      </c>
      <c r="CZ53" s="49">
        <f t="shared" si="200"/>
        <v>8.0716820228404443E-2</v>
      </c>
      <c r="DA53" s="50">
        <f t="shared" ref="DA53:DE53" si="201">IF(ISERROR(DA13/DA6),"",(DA13/DA6))</f>
        <v>9.5968397815731382E-2</v>
      </c>
      <c r="DB53" s="50">
        <f t="shared" si="201"/>
        <v>7.9606879606879608E-2</v>
      </c>
      <c r="DC53" s="50">
        <f t="shared" ref="DC53:DD53" si="202">IF(ISERROR(DC13/DC6),"",(DC13/DC6))</f>
        <v>-0.10368389780154486</v>
      </c>
      <c r="DD53" s="50">
        <f t="shared" si="202"/>
        <v>8.9175490540472732E-2</v>
      </c>
      <c r="DE53" s="49">
        <f t="shared" si="201"/>
        <v>5.0652930934416716E-2</v>
      </c>
      <c r="DF53" s="50">
        <f t="shared" ref="DF53:DI53" si="203">IF(ISERROR(DF13/DF6),"",(DF13/DF6))</f>
        <v>9.686609686609686E-2</v>
      </c>
      <c r="DG53" s="50">
        <f t="shared" si="203"/>
        <v>2.6824197555904872E-2</v>
      </c>
      <c r="DH53" s="50">
        <f t="shared" si="203"/>
        <v>0.10095076907760465</v>
      </c>
      <c r="DI53" s="50">
        <f t="shared" si="203"/>
        <v>9.7627526245201865E-2</v>
      </c>
      <c r="DJ53" s="49">
        <f t="shared" ref="DJ53:DM53" si="204">IF(ISERROR(DJ13/DJ6),"",(DJ13/DJ6))</f>
        <v>8.097797815155193E-2</v>
      </c>
      <c r="DK53" s="50">
        <f t="shared" si="204"/>
        <v>0.10021668472372698</v>
      </c>
      <c r="DL53" s="50">
        <f t="shared" si="204"/>
        <v>9.943932162550391E-2</v>
      </c>
      <c r="DM53" s="50">
        <f t="shared" si="204"/>
        <v>0.1122430821247442</v>
      </c>
      <c r="DN53" s="50">
        <f t="shared" ref="DN53:DP53" si="205">IF(ISERROR(DN13/DN6),"",(DN13/DN6))</f>
        <v>0.10281386835298559</v>
      </c>
      <c r="DO53" s="49">
        <f t="shared" si="205"/>
        <v>0.10380719871655611</v>
      </c>
      <c r="DP53" s="50">
        <f t="shared" si="205"/>
        <v>0.10316335490837186</v>
      </c>
      <c r="DQ53" s="50">
        <f t="shared" ref="DQ53:DS53" si="206">IF(ISERROR(DQ13/DQ6),"",(DQ13/DQ6))</f>
        <v>0.10694269513651639</v>
      </c>
      <c r="DR53" s="50">
        <f t="shared" si="206"/>
        <v>0.11251533652636005</v>
      </c>
      <c r="DS53" s="50">
        <f t="shared" si="206"/>
        <v>0.11189267297848242</v>
      </c>
      <c r="DT53" s="49">
        <f t="shared" ref="DT53" si="207">IF(ISERROR(DT13/DT6),"",(DT13/DT6))</f>
        <v>0.10880974649565574</v>
      </c>
      <c r="DU53" s="49">
        <f t="shared" ref="DU53:DV53" si="208">IF(ISERROR(DU13/DU6),"",(DU13/DU6))</f>
        <v>0.11223748223587204</v>
      </c>
      <c r="DV53" s="49">
        <f t="shared" si="208"/>
        <v>0.11558522328393546</v>
      </c>
    </row>
    <row r="54" spans="1:126" s="45" customFormat="1">
      <c r="A54" s="32"/>
      <c r="B54" s="55" t="s">
        <v>94</v>
      </c>
      <c r="C54" s="49"/>
      <c r="D54" s="49"/>
      <c r="E54" s="49"/>
      <c r="F54" s="49"/>
      <c r="G54" s="49"/>
      <c r="H54" s="49"/>
      <c r="I54" s="49"/>
      <c r="J54" s="50"/>
      <c r="K54" s="50"/>
      <c r="L54" s="50"/>
      <c r="M54" s="50"/>
      <c r="N54" s="49"/>
      <c r="O54" s="50"/>
      <c r="P54" s="50"/>
      <c r="Q54" s="50"/>
      <c r="R54" s="50"/>
      <c r="S54" s="49"/>
      <c r="T54" s="50"/>
      <c r="U54" s="50"/>
      <c r="V54" s="50"/>
      <c r="W54" s="50"/>
      <c r="X54" s="49"/>
      <c r="Y54" s="50"/>
      <c r="Z54" s="50"/>
      <c r="AA54" s="50"/>
      <c r="AB54" s="50"/>
      <c r="AC54" s="49"/>
      <c r="AD54" s="50"/>
      <c r="AE54" s="50"/>
      <c r="AF54" s="50"/>
      <c r="AG54" s="50"/>
      <c r="AH54" s="49"/>
      <c r="AI54" s="50"/>
      <c r="AJ54" s="50"/>
      <c r="AK54" s="50"/>
      <c r="AL54" s="50"/>
      <c r="AM54" s="49"/>
      <c r="AN54" s="50"/>
      <c r="AO54" s="50"/>
      <c r="AP54" s="50"/>
      <c r="AQ54" s="50"/>
      <c r="AR54" s="49"/>
      <c r="AS54" s="199"/>
      <c r="AT54" s="199"/>
      <c r="AU54" s="199"/>
      <c r="AV54" s="50"/>
      <c r="AW54" s="49"/>
      <c r="AX54" s="199"/>
      <c r="AY54" s="199"/>
      <c r="AZ54" s="199"/>
      <c r="BA54" s="199"/>
      <c r="BB54" s="49"/>
      <c r="BC54" s="199"/>
      <c r="BD54" s="199"/>
      <c r="BE54" s="199"/>
      <c r="BF54" s="199"/>
      <c r="BG54" s="49"/>
      <c r="BH54" s="199"/>
      <c r="BI54" s="199"/>
      <c r="BJ54" s="199"/>
      <c r="BK54" s="199"/>
      <c r="BL54" s="236"/>
      <c r="BM54" s="199"/>
      <c r="BN54" s="199"/>
      <c r="BO54" s="199"/>
      <c r="BP54" s="199"/>
      <c r="BQ54" s="236"/>
      <c r="BR54" s="199"/>
      <c r="BS54" s="199"/>
      <c r="BT54" s="199"/>
      <c r="BU54" s="199"/>
      <c r="BV54" s="236"/>
      <c r="BW54" s="199"/>
      <c r="BX54" s="199"/>
      <c r="BY54" s="199"/>
      <c r="BZ54" s="199"/>
      <c r="CA54" s="236"/>
      <c r="CB54" s="199"/>
      <c r="CC54" s="199"/>
      <c r="CD54" s="199"/>
      <c r="CE54" s="199"/>
      <c r="CF54" s="236">
        <f t="shared" ref="CF54:CK54" si="209">IF(ISERROR(-CF17/CF16),"",(-CF17/CF16))</f>
        <v>0.19355409975981028</v>
      </c>
      <c r="CG54" s="199">
        <f t="shared" si="209"/>
        <v>0.15109528049866428</v>
      </c>
      <c r="CH54" s="199">
        <f t="shared" si="209"/>
        <v>0.13271497584541062</v>
      </c>
      <c r="CI54" s="199">
        <f t="shared" si="209"/>
        <v>0.12772155780435449</v>
      </c>
      <c r="CJ54" s="199">
        <f t="shared" si="209"/>
        <v>0.16121234659724806</v>
      </c>
      <c r="CK54" s="236">
        <f t="shared" si="209"/>
        <v>0.14199114012590347</v>
      </c>
      <c r="CL54" s="199">
        <f t="shared" ref="CL54:DA54" si="210">IF(ISERROR(-CL17/CL16),"",(-CL17/CL16))</f>
        <v>0.19016833250965717</v>
      </c>
      <c r="CM54" s="199">
        <f t="shared" si="210"/>
        <v>6.2081320545289689E-3</v>
      </c>
      <c r="CN54" s="199">
        <f t="shared" si="210"/>
        <v>0.45103857566765576</v>
      </c>
      <c r="CO54" s="199">
        <f t="shared" si="210"/>
        <v>-4.8108108108108105</v>
      </c>
      <c r="CP54" s="670">
        <f t="shared" si="210"/>
        <v>-0.3281576112562346</v>
      </c>
      <c r="CQ54" s="199">
        <f t="shared" si="210"/>
        <v>0.29792746113989638</v>
      </c>
      <c r="CR54" s="199">
        <f t="shared" si="210"/>
        <v>0.23916083916083916</v>
      </c>
      <c r="CS54" s="199">
        <f t="shared" si="210"/>
        <v>2.0325203252032522E-3</v>
      </c>
      <c r="CT54" s="199">
        <f t="shared" si="210"/>
        <v>0.11072664359861592</v>
      </c>
      <c r="CU54" s="670">
        <f>IF(ISERROR(-CU17/CU16),"",(-CU17/CU16))</f>
        <v>0.15939971608193065</v>
      </c>
      <c r="CV54" s="199">
        <f t="shared" si="210"/>
        <v>9.3397745571658614E-2</v>
      </c>
      <c r="CW54" s="199">
        <f t="shared" si="210"/>
        <v>0.1068090787716956</v>
      </c>
      <c r="CX54" s="199">
        <f t="shared" si="210"/>
        <v>0.14783139890042762</v>
      </c>
      <c r="CY54" s="199">
        <f t="shared" si="210"/>
        <v>0.11030303030303031</v>
      </c>
      <c r="CZ54" s="670">
        <f>IF(ISERROR(-CZ17/CZ16),"",(-CZ17/CZ16))</f>
        <v>0.11614401858304298</v>
      </c>
      <c r="DA54" s="199">
        <f t="shared" si="210"/>
        <v>0.16844469399213924</v>
      </c>
      <c r="DB54" s="199">
        <f t="shared" ref="DB54:DD54" si="211">IF(ISERROR(-DB17/DB16),"",(-DB17/DB16))</f>
        <v>0.13549618320610687</v>
      </c>
      <c r="DC54" s="199">
        <f t="shared" si="211"/>
        <v>0.29425113464447805</v>
      </c>
      <c r="DD54" s="199">
        <f t="shared" si="211"/>
        <v>0.15100864553314122</v>
      </c>
      <c r="DE54" s="670">
        <f>IF(ISERROR(-DE17/DE16),"",(-DE17/DE16))</f>
        <v>0.10249601699415826</v>
      </c>
      <c r="DF54" s="199">
        <f t="shared" ref="DF54:DI54" si="212">IF(ISERROR(-DF17/DF16),"",(-DF17/DF16))</f>
        <v>5.834683954619125E-2</v>
      </c>
      <c r="DG54" s="199">
        <f t="shared" si="212"/>
        <v>0.59112149532710279</v>
      </c>
      <c r="DH54" s="199">
        <f t="shared" si="212"/>
        <v>0.19464847848898217</v>
      </c>
      <c r="DI54" s="199">
        <f t="shared" si="212"/>
        <v>0.22349427575908412</v>
      </c>
      <c r="DJ54" s="670">
        <f>IF(ISERROR(-DJ17/DJ16),"",(-DJ17/DJ16))</f>
        <v>0.19066838876331935</v>
      </c>
      <c r="DK54" s="199">
        <f t="shared" ref="DK54:DM54" si="213">IF(ISERROR(-DK17/DK16),"",(-DK17/DK16))</f>
        <v>0.17007150153217568</v>
      </c>
      <c r="DL54" s="199">
        <f t="shared" si="213"/>
        <v>0.15441176470588236</v>
      </c>
      <c r="DM54" s="199">
        <f t="shared" si="213"/>
        <v>0.17719442165709598</v>
      </c>
      <c r="DN54" s="669">
        <v>0.24</v>
      </c>
      <c r="DO54" s="670">
        <f>IF(ISERROR(-DO17/DO16),"",(-DO17/DO16))</f>
        <v>0.18634735524853999</v>
      </c>
      <c r="DP54" s="669">
        <v>0.19</v>
      </c>
      <c r="DQ54" s="669">
        <v>0.19</v>
      </c>
      <c r="DR54" s="669">
        <v>0.19</v>
      </c>
      <c r="DS54" s="669">
        <v>0.19</v>
      </c>
      <c r="DT54" s="670">
        <f>IF(ISERROR(-DT17/DT16),"",(-DT17/DT16))</f>
        <v>0.19000000000000003</v>
      </c>
      <c r="DU54" s="607">
        <v>0.19</v>
      </c>
      <c r="DV54" s="607">
        <v>0.19</v>
      </c>
    </row>
    <row r="55" spans="1:126" s="45" customFormat="1">
      <c r="A55" s="32"/>
      <c r="B55" s="55" t="s">
        <v>595</v>
      </c>
      <c r="C55" s="49"/>
      <c r="D55" s="49"/>
      <c r="E55" s="49"/>
      <c r="F55" s="49"/>
      <c r="G55" s="49"/>
      <c r="H55" s="49"/>
      <c r="I55" s="49"/>
      <c r="J55" s="50"/>
      <c r="K55" s="50"/>
      <c r="L55" s="50"/>
      <c r="M55" s="50"/>
      <c r="N55" s="49"/>
      <c r="O55" s="50"/>
      <c r="P55" s="50"/>
      <c r="Q55" s="50"/>
      <c r="R55" s="50"/>
      <c r="S55" s="49"/>
      <c r="T55" s="50"/>
      <c r="U55" s="50"/>
      <c r="V55" s="50"/>
      <c r="W55" s="50"/>
      <c r="X55" s="49"/>
      <c r="Y55" s="50"/>
      <c r="Z55" s="50"/>
      <c r="AA55" s="50"/>
      <c r="AB55" s="50"/>
      <c r="AC55" s="49"/>
      <c r="AD55" s="50"/>
      <c r="AE55" s="50"/>
      <c r="AF55" s="50"/>
      <c r="AG55" s="50"/>
      <c r="AH55" s="49"/>
      <c r="AI55" s="50"/>
      <c r="AJ55" s="50"/>
      <c r="AK55" s="50"/>
      <c r="AL55" s="50"/>
      <c r="AM55" s="49"/>
      <c r="AN55" s="50"/>
      <c r="AO55" s="50"/>
      <c r="AP55" s="50"/>
      <c r="AQ55" s="50"/>
      <c r="AR55" s="49"/>
      <c r="AS55" s="199"/>
      <c r="AT55" s="199"/>
      <c r="AU55" s="199"/>
      <c r="AV55" s="50"/>
      <c r="AW55" s="49"/>
      <c r="AX55" s="199"/>
      <c r="AY55" s="199"/>
      <c r="AZ55" s="199"/>
      <c r="BA55" s="199"/>
      <c r="BB55" s="49"/>
      <c r="BC55" s="199"/>
      <c r="BD55" s="199"/>
      <c r="BE55" s="199"/>
      <c r="BF55" s="199"/>
      <c r="BG55" s="49"/>
      <c r="BH55" s="199"/>
      <c r="BI55" s="199"/>
      <c r="BJ55" s="199"/>
      <c r="BK55" s="199"/>
      <c r="BL55" s="236"/>
      <c r="BM55" s="199"/>
      <c r="BN55" s="199"/>
      <c r="BO55" s="199"/>
      <c r="BP55" s="199"/>
      <c r="BQ55" s="236"/>
      <c r="BR55" s="199"/>
      <c r="BS55" s="199"/>
      <c r="BT55" s="199"/>
      <c r="BU55" s="199"/>
      <c r="BV55" s="236"/>
      <c r="BW55" s="199"/>
      <c r="BX55" s="199"/>
      <c r="BY55" s="199"/>
      <c r="BZ55" s="199"/>
      <c r="CA55" s="236"/>
      <c r="CB55" s="199"/>
      <c r="CC55" s="199"/>
      <c r="CD55" s="199"/>
      <c r="CE55" s="199"/>
      <c r="CF55" s="236"/>
      <c r="CG55" s="199"/>
      <c r="CH55" s="199"/>
      <c r="CI55" s="199"/>
      <c r="CJ55" s="199"/>
      <c r="CK55" s="236"/>
      <c r="CL55" s="199">
        <f t="shared" ref="CL55:CP55" si="214">-(CL27+CL17)/(CL28-CL27-CL17-CL18)</f>
        <v>0.19207866750194838</v>
      </c>
      <c r="CM55" s="199">
        <f t="shared" si="214"/>
        <v>0.2301925863280497</v>
      </c>
      <c r="CN55" s="199">
        <f t="shared" si="214"/>
        <v>0.1707089552238806</v>
      </c>
      <c r="CO55" s="199">
        <f t="shared" si="214"/>
        <v>-0.72608695652173916</v>
      </c>
      <c r="CP55" s="670">
        <f t="shared" si="214"/>
        <v>8.1094636294818806E-2</v>
      </c>
      <c r="CQ55" s="199">
        <f t="shared" ref="CQ55:CV55" si="215">-(CQ27+CQ17)/(CQ28-CQ27-CQ17-CQ18)</f>
        <v>0.19001148105625718</v>
      </c>
      <c r="CR55" s="199">
        <f t="shared" si="215"/>
        <v>0.19551122194513715</v>
      </c>
      <c r="CS55" s="199">
        <f t="shared" si="215"/>
        <v>6.814955040227165E-2</v>
      </c>
      <c r="CT55" s="199">
        <f t="shared" si="215"/>
        <v>0.16748285994123407</v>
      </c>
      <c r="CU55" s="670">
        <f t="shared" si="215"/>
        <v>0.15299924069855733</v>
      </c>
      <c r="CV55" s="199">
        <f t="shared" si="215"/>
        <v>0.14579256360078277</v>
      </c>
      <c r="CW55" s="199">
        <f t="shared" ref="CW55:CZ55" si="216">-(CW27+CW17)/(CW28-CW27-CW17-CW18)</f>
        <v>0.13369511593487912</v>
      </c>
      <c r="CX55" s="199">
        <f t="shared" si="216"/>
        <v>0.16332244517032199</v>
      </c>
      <c r="CY55" s="199">
        <f t="shared" si="216"/>
        <v>0.1351107094441934</v>
      </c>
      <c r="CZ55" s="670">
        <f t="shared" si="216"/>
        <v>0.14453542185831256</v>
      </c>
      <c r="DA55" s="199">
        <f t="shared" ref="DA55:DE55" si="217">-(DA27+DA17)/(DA28-DA27-DA17-DA18)</f>
        <v>0.17830146731880836</v>
      </c>
      <c r="DB55" s="199">
        <f t="shared" si="217"/>
        <v>0.16399132321041215</v>
      </c>
      <c r="DC55" s="199">
        <f t="shared" si="217"/>
        <v>0.18917748917748917</v>
      </c>
      <c r="DD55" s="199">
        <f t="shared" si="217"/>
        <v>0.16705229060620083</v>
      </c>
      <c r="DE55" s="670">
        <f t="shared" si="217"/>
        <v>0.17473684210526316</v>
      </c>
      <c r="DF55" s="199">
        <f t="shared" ref="DF55:DI55" si="218">-(DF27+DF17)/(DF28-DF27-DF17-DF18)</f>
        <v>3.5412262156448202E-2</v>
      </c>
      <c r="DG55" s="199">
        <f t="shared" si="218"/>
        <v>0.20656136087484811</v>
      </c>
      <c r="DH55" s="199">
        <f t="shared" si="218"/>
        <v>0.14896318239526027</v>
      </c>
      <c r="DI55" s="199">
        <f t="shared" si="218"/>
        <v>0.21854545454545454</v>
      </c>
      <c r="DJ55" s="670">
        <f t="shared" ref="DJ55:DM55" si="219">-(DJ27+DJ17)/(DJ28-DJ27-DJ17-DJ18)</f>
        <v>0.16149461684610514</v>
      </c>
      <c r="DK55" s="199">
        <f t="shared" si="219"/>
        <v>0.18456112852664577</v>
      </c>
      <c r="DL55" s="199">
        <f t="shared" si="219"/>
        <v>0.17290957245554295</v>
      </c>
      <c r="DM55" s="199">
        <f t="shared" si="219"/>
        <v>0.16730301978479695</v>
      </c>
      <c r="DN55" s="199">
        <f t="shared" ref="DN55:DP55" si="220">-(DN27+DN17)/(DN28-DN27-DN17-DN18)</f>
        <v>0.236480374630999</v>
      </c>
      <c r="DO55" s="670">
        <f t="shared" si="220"/>
        <v>0.19009443443149626</v>
      </c>
      <c r="DP55" s="199">
        <f t="shared" si="220"/>
        <v>0.19183116122709348</v>
      </c>
      <c r="DQ55" s="199">
        <f t="shared" ref="DQ55:DS55" si="221">-(DQ27+DQ17)/(DQ28-DQ27-DQ17-DQ18)</f>
        <v>0.1916906649913438</v>
      </c>
      <c r="DR55" s="199">
        <f t="shared" si="221"/>
        <v>0.19154355675007348</v>
      </c>
      <c r="DS55" s="199">
        <f t="shared" si="221"/>
        <v>0.19152815906742371</v>
      </c>
      <c r="DT55" s="670">
        <f t="shared" ref="DT55" si="222">-(DT27+DT17)/(DT28-DT27-DT17-DT18)</f>
        <v>0.19163946432410234</v>
      </c>
      <c r="DU55" s="670">
        <f t="shared" ref="DU55:DV55" si="223">-(DU27+DU17)/(DU28-DU27-DU17-DU18)</f>
        <v>0.19149478034665937</v>
      </c>
      <c r="DV55" s="670">
        <f t="shared" si="223"/>
        <v>0.19138105959699811</v>
      </c>
    </row>
    <row r="56" spans="1:126" s="45" customFormat="1">
      <c r="A56" s="32"/>
      <c r="B56" s="55" t="s">
        <v>95</v>
      </c>
      <c r="C56" s="49"/>
      <c r="D56" s="49"/>
      <c r="E56" s="49"/>
      <c r="F56" s="49"/>
      <c r="G56" s="49"/>
      <c r="H56" s="49"/>
      <c r="I56" s="49"/>
      <c r="J56" s="50"/>
      <c r="K56" s="50"/>
      <c r="L56" s="50"/>
      <c r="M56" s="50"/>
      <c r="N56" s="49"/>
      <c r="O56" s="50"/>
      <c r="P56" s="50"/>
      <c r="Q56" s="50"/>
      <c r="R56" s="50"/>
      <c r="S56" s="49"/>
      <c r="T56" s="50"/>
      <c r="U56" s="50"/>
      <c r="V56" s="50"/>
      <c r="W56" s="50"/>
      <c r="X56" s="49"/>
      <c r="Y56" s="50"/>
      <c r="Z56" s="50"/>
      <c r="AA56" s="50"/>
      <c r="AB56" s="50"/>
      <c r="AC56" s="49"/>
      <c r="AD56" s="50"/>
      <c r="AE56" s="50"/>
      <c r="AF56" s="50"/>
      <c r="AG56" s="50"/>
      <c r="AH56" s="49"/>
      <c r="AI56" s="50"/>
      <c r="AJ56" s="50"/>
      <c r="AK56" s="50"/>
      <c r="AL56" s="50"/>
      <c r="AM56" s="49"/>
      <c r="AN56" s="50"/>
      <c r="AO56" s="50"/>
      <c r="AP56" s="50"/>
      <c r="AQ56" s="50"/>
      <c r="AR56" s="49"/>
      <c r="AS56" s="50"/>
      <c r="AT56" s="50"/>
      <c r="AU56" s="199"/>
      <c r="AV56" s="50"/>
      <c r="AW56" s="49"/>
      <c r="AX56" s="50"/>
      <c r="AY56" s="50"/>
      <c r="AZ56" s="50"/>
      <c r="BA56" s="199"/>
      <c r="BB56" s="49"/>
      <c r="BC56" s="199"/>
      <c r="BD56" s="199"/>
      <c r="BE56" s="199"/>
      <c r="BF56" s="199"/>
      <c r="BG56" s="49"/>
      <c r="BH56" s="199"/>
      <c r="BI56" s="50"/>
      <c r="BJ56" s="50"/>
      <c r="BK56" s="50"/>
      <c r="BL56" s="49"/>
      <c r="BM56" s="50"/>
      <c r="BN56" s="50"/>
      <c r="BO56" s="50"/>
      <c r="BP56" s="50"/>
      <c r="BQ56" s="49"/>
      <c r="BR56" s="50"/>
      <c r="BS56" s="50"/>
      <c r="BT56" s="50"/>
      <c r="BU56" s="50"/>
      <c r="BV56" s="49"/>
      <c r="BW56" s="50"/>
      <c r="BX56" s="50"/>
      <c r="BY56" s="50"/>
      <c r="BZ56" s="50"/>
      <c r="CA56" s="49"/>
      <c r="CB56" s="50"/>
      <c r="CC56" s="50"/>
      <c r="CD56" s="50"/>
      <c r="CE56" s="50"/>
      <c r="CF56" s="49">
        <f t="shared" ref="CF56:CP56" si="224">IF(ISERROR(CF19/CF6),"",(CF19/CF6))</f>
        <v>0.10654683438444863</v>
      </c>
      <c r="CG56" s="50">
        <f t="shared" si="224"/>
        <v>9.2114127204279778E-2</v>
      </c>
      <c r="CH56" s="50">
        <f t="shared" si="224"/>
        <v>0.10752223219384842</v>
      </c>
      <c r="CI56" s="50">
        <f t="shared" si="224"/>
        <v>0.10623179274066451</v>
      </c>
      <c r="CJ56" s="50">
        <f t="shared" si="224"/>
        <v>8.0164330639161147E-2</v>
      </c>
      <c r="CK56" s="49">
        <f t="shared" si="224"/>
        <v>9.6353570322076587E-2</v>
      </c>
      <c r="CL56" s="50">
        <f t="shared" si="224"/>
        <v>9.3670321993990086E-2</v>
      </c>
      <c r="CM56" s="50">
        <f t="shared" si="224"/>
        <v>-0.25610353141309683</v>
      </c>
      <c r="CN56" s="50">
        <f t="shared" si="224"/>
        <v>1.0239370719468366E-2</v>
      </c>
      <c r="CO56" s="50">
        <f t="shared" si="224"/>
        <v>8.8921371581704121E-3</v>
      </c>
      <c r="CP56" s="49">
        <f t="shared" si="224"/>
        <v>-2.622227578816921E-2</v>
      </c>
      <c r="CQ56" s="50">
        <f t="shared" ref="CQ56:CV56" si="225">IF(ISERROR(CQ19/CQ6),"",(CQ19/CQ6))</f>
        <v>5.0619631499573797E-2</v>
      </c>
      <c r="CR56" s="50">
        <f t="shared" si="225"/>
        <v>6.5491183879093195E-2</v>
      </c>
      <c r="CS56" s="50">
        <f t="shared" si="225"/>
        <v>8.6350459507802374E-2</v>
      </c>
      <c r="CT56" s="50">
        <f t="shared" si="225"/>
        <v>4.0190096221544236E-2</v>
      </c>
      <c r="CU56" s="49">
        <f t="shared" si="225"/>
        <v>6.0523700068335712E-2</v>
      </c>
      <c r="CV56" s="50">
        <f t="shared" si="225"/>
        <v>7.0183252736065155E-2</v>
      </c>
      <c r="CW56" s="50">
        <f t="shared" ref="CW56:CZ56" si="226">IF(ISERROR(CW19/CW6),"",(CW19/CW6))</f>
        <v>7.9931347309059708E-2</v>
      </c>
      <c r="CX56" s="50">
        <f t="shared" si="226"/>
        <v>8.1824081175151914E-2</v>
      </c>
      <c r="CY56" s="50">
        <f t="shared" si="226"/>
        <v>7.8593931354667551E-2</v>
      </c>
      <c r="CZ56" s="49">
        <f t="shared" si="226"/>
        <v>7.7764856725407755E-2</v>
      </c>
      <c r="DA56" s="50">
        <f t="shared" ref="DA56:DE56" si="227">IF(ISERROR(DA19/DA6),"",(DA19/DA6))</f>
        <v>8.2839549204136165E-2</v>
      </c>
      <c r="DB56" s="50">
        <f t="shared" si="227"/>
        <v>7.2454272454272453E-2</v>
      </c>
      <c r="DC56" s="50">
        <f t="shared" si="227"/>
        <v>-7.3083778966131913E-2</v>
      </c>
      <c r="DD56" s="50">
        <f t="shared" si="227"/>
        <v>7.1561198374065341E-2</v>
      </c>
      <c r="DE56" s="49">
        <f t="shared" si="227"/>
        <v>4.6358096343586765E-2</v>
      </c>
      <c r="DF56" s="50">
        <f t="shared" ref="DF56:DI56" si="228">IF(ISERROR(DF19/DF6),"",(DF19/DF6))</f>
        <v>8.8526288526288521E-2</v>
      </c>
      <c r="DG56" s="50">
        <f t="shared" si="228"/>
        <v>5.6285178236397749E-3</v>
      </c>
      <c r="DH56" s="50">
        <f t="shared" si="228"/>
        <v>7.3273931007018761E-2</v>
      </c>
      <c r="DI56" s="50">
        <f t="shared" si="228"/>
        <v>6.8538130694168253E-2</v>
      </c>
      <c r="DJ56" s="49">
        <f t="shared" ref="DJ56:DM56" si="229">IF(ISERROR(DJ19/DJ6),"",(DJ19/DJ6))</f>
        <v>5.9129530084966186E-2</v>
      </c>
      <c r="DK56" s="50">
        <f t="shared" si="229"/>
        <v>7.5593420663843197E-2</v>
      </c>
      <c r="DL56" s="50">
        <f t="shared" si="229"/>
        <v>7.6780501366943144E-2</v>
      </c>
      <c r="DM56" s="50">
        <f t="shared" si="229"/>
        <v>8.5327876145564557E-2</v>
      </c>
      <c r="DN56" s="50">
        <f t="shared" ref="DN56:DP56" si="230">IF(ISERROR(DN19/DN6),"",(DN19/DN6))</f>
        <v>7.0810929235693321E-2</v>
      </c>
      <c r="DO56" s="49">
        <f t="shared" si="230"/>
        <v>7.71612087364731E-2</v>
      </c>
      <c r="DP56" s="50">
        <f t="shared" si="230"/>
        <v>7.581271296963539E-2</v>
      </c>
      <c r="DQ56" s="50">
        <f t="shared" ref="DQ56:DS56" si="231">IF(ISERROR(DQ19/DQ6),"",(DQ19/DQ6))</f>
        <v>7.8820210050372166E-2</v>
      </c>
      <c r="DR56" s="50">
        <f t="shared" si="231"/>
        <v>8.3555343874206864E-2</v>
      </c>
      <c r="DS56" s="50">
        <f t="shared" si="231"/>
        <v>8.3179984650412306E-2</v>
      </c>
      <c r="DT56" s="49">
        <f t="shared" ref="DT56" si="232">IF(ISERROR(DT19/DT6),"",(DT19/DT6))</f>
        <v>8.0494416718685277E-2</v>
      </c>
      <c r="DU56" s="49">
        <f t="shared" ref="DU56:DV56" si="233">IF(ISERROR(DU19/DU6),"",(DU19/DU6))</f>
        <v>8.3099309276436009E-2</v>
      </c>
      <c r="DV56" s="49">
        <f t="shared" si="233"/>
        <v>8.6128981102814028E-2</v>
      </c>
    </row>
    <row r="57" spans="1:126" s="45" customFormat="1">
      <c r="A57" s="32"/>
      <c r="B57" s="55"/>
      <c r="C57" s="34"/>
      <c r="D57" s="34"/>
      <c r="E57" s="34"/>
      <c r="F57" s="34"/>
      <c r="G57" s="34"/>
      <c r="H57" s="34"/>
      <c r="I57" s="34"/>
      <c r="J57" s="32"/>
      <c r="K57" s="32"/>
      <c r="L57" s="32"/>
      <c r="M57" s="32"/>
      <c r="N57" s="34"/>
      <c r="O57" s="32"/>
      <c r="P57" s="32"/>
      <c r="Q57" s="32"/>
      <c r="R57" s="32"/>
      <c r="S57" s="34"/>
      <c r="T57" s="32"/>
      <c r="U57" s="32"/>
      <c r="V57" s="32"/>
      <c r="W57" s="32"/>
      <c r="X57" s="34"/>
      <c r="Y57" s="32"/>
      <c r="Z57" s="32"/>
      <c r="AA57" s="32"/>
      <c r="AB57" s="32"/>
      <c r="AC57" s="34"/>
      <c r="AD57" s="32"/>
      <c r="AE57" s="32"/>
      <c r="AF57" s="32"/>
      <c r="AG57" s="32"/>
      <c r="AH57" s="34"/>
      <c r="AI57" s="32"/>
      <c r="AJ57" s="32"/>
      <c r="AK57" s="32"/>
      <c r="AL57" s="32"/>
      <c r="AM57" s="34"/>
      <c r="AN57" s="32"/>
      <c r="AO57" s="32"/>
      <c r="AP57" s="32"/>
      <c r="AQ57" s="32"/>
      <c r="AR57" s="34"/>
      <c r="AS57" s="32"/>
      <c r="AT57" s="32"/>
      <c r="AU57" s="3"/>
      <c r="AV57" s="32"/>
      <c r="AW57" s="34"/>
      <c r="AX57" s="32"/>
      <c r="AY57" s="32"/>
      <c r="AZ57" s="32"/>
      <c r="BA57" s="32"/>
      <c r="BB57" s="34"/>
      <c r="BC57" s="32"/>
      <c r="BD57" s="32"/>
      <c r="BE57" s="32"/>
      <c r="BF57" s="32"/>
      <c r="BG57" s="34"/>
      <c r="BH57" s="32"/>
      <c r="BI57" s="32"/>
      <c r="BJ57" s="32"/>
      <c r="BK57" s="32"/>
      <c r="BL57" s="34"/>
      <c r="BM57" s="32"/>
      <c r="BN57" s="32"/>
      <c r="BO57" s="32"/>
      <c r="BP57" s="32"/>
      <c r="BQ57" s="34"/>
      <c r="BR57" s="32"/>
      <c r="BS57" s="32"/>
      <c r="BT57" s="32"/>
      <c r="BU57" s="32"/>
      <c r="BV57" s="34"/>
      <c r="BW57" s="32"/>
      <c r="BX57" s="32"/>
      <c r="BY57" s="32"/>
      <c r="BZ57" s="32"/>
      <c r="CA57" s="34"/>
      <c r="CB57" s="32"/>
      <c r="CC57" s="32"/>
      <c r="CD57" s="32"/>
      <c r="CE57" s="32"/>
      <c r="CF57" s="34"/>
      <c r="CG57" s="32"/>
      <c r="CH57" s="32"/>
      <c r="CI57" s="32"/>
      <c r="CJ57" s="32"/>
      <c r="CK57" s="34"/>
      <c r="CL57" s="32"/>
      <c r="CM57" s="32"/>
      <c r="CN57" s="32"/>
      <c r="CO57" s="32"/>
      <c r="CP57" s="34"/>
      <c r="CQ57" s="32"/>
      <c r="CR57" s="32"/>
      <c r="CS57" s="32"/>
      <c r="CT57" s="32"/>
      <c r="CU57" s="34"/>
      <c r="CV57" s="32"/>
      <c r="CW57" s="32"/>
      <c r="CX57" s="32"/>
      <c r="CY57" s="32"/>
      <c r="CZ57" s="34"/>
      <c r="DA57" s="32"/>
      <c r="DB57" s="32"/>
      <c r="DC57" s="32"/>
      <c r="DD57" s="32"/>
      <c r="DE57" s="34"/>
      <c r="DF57" s="32"/>
      <c r="DG57" s="32"/>
      <c r="DH57" s="32"/>
      <c r="DI57" s="32"/>
      <c r="DJ57" s="34"/>
      <c r="DK57" s="32"/>
      <c r="DL57" s="32"/>
      <c r="DM57" s="32"/>
      <c r="DN57" s="32"/>
      <c r="DO57" s="34"/>
      <c r="DP57" s="32"/>
      <c r="DQ57" s="32"/>
      <c r="DR57" s="32"/>
      <c r="DS57" s="32"/>
      <c r="DT57" s="34"/>
      <c r="DU57" s="34"/>
      <c r="DV57" s="34"/>
    </row>
    <row r="58" spans="1:126" s="45" customFormat="1">
      <c r="A58" s="32"/>
      <c r="B58" s="56" t="s">
        <v>96</v>
      </c>
      <c r="C58" s="34"/>
      <c r="D58" s="34"/>
      <c r="E58" s="34"/>
      <c r="F58" s="34"/>
      <c r="G58" s="34"/>
      <c r="H58" s="34"/>
      <c r="I58" s="34"/>
      <c r="J58" s="32"/>
      <c r="K58" s="32"/>
      <c r="L58" s="32"/>
      <c r="M58" s="32"/>
      <c r="N58" s="34"/>
      <c r="O58" s="32"/>
      <c r="P58" s="32"/>
      <c r="Q58" s="32"/>
      <c r="R58" s="32"/>
      <c r="S58" s="34"/>
      <c r="T58" s="32"/>
      <c r="U58" s="32"/>
      <c r="V58" s="32"/>
      <c r="W58" s="32"/>
      <c r="X58" s="34"/>
      <c r="Y58" s="32"/>
      <c r="Z58" s="32"/>
      <c r="AA58" s="32"/>
      <c r="AB58" s="32"/>
      <c r="AC58" s="34"/>
      <c r="AD58" s="32"/>
      <c r="AE58" s="32"/>
      <c r="AF58" s="32"/>
      <c r="AG58" s="32"/>
      <c r="AH58" s="34"/>
      <c r="AI58" s="32"/>
      <c r="AJ58" s="32"/>
      <c r="AK58" s="32"/>
      <c r="AL58" s="32"/>
      <c r="AM58" s="34"/>
      <c r="AN58" s="32"/>
      <c r="AO58" s="32"/>
      <c r="AP58" s="32"/>
      <c r="AQ58" s="32"/>
      <c r="AR58" s="34"/>
      <c r="AS58" s="32"/>
      <c r="AT58" s="32"/>
      <c r="AU58" s="3"/>
      <c r="AV58" s="32"/>
      <c r="AW58" s="34"/>
      <c r="AX58" s="32"/>
      <c r="AY58" s="32"/>
      <c r="AZ58" s="32"/>
      <c r="BA58" s="32"/>
      <c r="BB58" s="34"/>
      <c r="BC58" s="32"/>
      <c r="BD58" s="32"/>
      <c r="BE58" s="32"/>
      <c r="BF58" s="32"/>
      <c r="BG58" s="34"/>
      <c r="BH58" s="32"/>
      <c r="BI58" s="32"/>
      <c r="BJ58" s="32"/>
      <c r="BK58" s="32"/>
      <c r="BL58" s="34"/>
      <c r="BM58" s="32"/>
      <c r="BN58" s="32"/>
      <c r="BO58" s="32"/>
      <c r="BP58" s="32"/>
      <c r="BQ58" s="34"/>
      <c r="BR58" s="32"/>
      <c r="BS58" s="32"/>
      <c r="BT58" s="32"/>
      <c r="BU58" s="32"/>
      <c r="BV58" s="34"/>
      <c r="BW58" s="32"/>
      <c r="BX58" s="32"/>
      <c r="BY58" s="32"/>
      <c r="BZ58" s="32"/>
      <c r="CA58" s="34"/>
      <c r="CB58" s="32"/>
      <c r="CC58" s="32"/>
      <c r="CD58" s="32"/>
      <c r="CE58" s="32"/>
      <c r="CF58" s="34"/>
      <c r="CG58" s="32"/>
      <c r="CH58" s="32"/>
      <c r="CI58" s="32"/>
      <c r="CJ58" s="32"/>
      <c r="CK58" s="34"/>
      <c r="CL58" s="32"/>
      <c r="CM58" s="32"/>
      <c r="CN58" s="32"/>
      <c r="CO58" s="32"/>
      <c r="CP58" s="34"/>
      <c r="CQ58" s="32"/>
      <c r="CR58" s="32"/>
      <c r="CS58" s="32"/>
      <c r="CT58" s="32"/>
      <c r="CU58" s="34"/>
      <c r="CV58" s="32"/>
      <c r="CW58" s="32"/>
      <c r="CX58" s="32"/>
      <c r="CY58" s="32"/>
      <c r="CZ58" s="34"/>
      <c r="DA58" s="32"/>
      <c r="DB58" s="32"/>
      <c r="DC58" s="32"/>
      <c r="DD58" s="32"/>
      <c r="DE58" s="34"/>
      <c r="DF58" s="32"/>
      <c r="DG58" s="32"/>
      <c r="DH58" s="32"/>
      <c r="DI58" s="32"/>
      <c r="DJ58" s="34"/>
      <c r="DK58" s="32"/>
      <c r="DL58" s="32"/>
      <c r="DM58" s="32"/>
      <c r="DN58" s="32"/>
      <c r="DO58" s="34"/>
      <c r="DP58" s="32"/>
      <c r="DQ58" s="32"/>
      <c r="DR58" s="32"/>
      <c r="DS58" s="32"/>
      <c r="DT58" s="34"/>
      <c r="DU58" s="34"/>
      <c r="DV58" s="34"/>
    </row>
    <row r="59" spans="1:126" s="45" customFormat="1">
      <c r="A59" s="32"/>
      <c r="B59" s="55" t="s">
        <v>76</v>
      </c>
      <c r="C59" s="93"/>
      <c r="D59" s="93"/>
      <c r="E59" s="93"/>
      <c r="F59" s="93"/>
      <c r="G59" s="93"/>
      <c r="H59" s="93"/>
      <c r="I59" s="93"/>
      <c r="J59" s="94"/>
      <c r="K59" s="94"/>
      <c r="L59" s="94"/>
      <c r="M59" s="94"/>
      <c r="N59" s="93"/>
      <c r="O59" s="94"/>
      <c r="P59" s="94"/>
      <c r="Q59" s="94"/>
      <c r="R59" s="94"/>
      <c r="S59" s="93"/>
      <c r="T59" s="94"/>
      <c r="U59" s="94"/>
      <c r="V59" s="94"/>
      <c r="W59" s="94"/>
      <c r="X59" s="93"/>
      <c r="Y59" s="94"/>
      <c r="Z59" s="94"/>
      <c r="AA59" s="94"/>
      <c r="AB59" s="94"/>
      <c r="AC59" s="93"/>
      <c r="AD59" s="94"/>
      <c r="AE59" s="94"/>
      <c r="AF59" s="94"/>
      <c r="AG59" s="94"/>
      <c r="AH59" s="93"/>
      <c r="AI59" s="94"/>
      <c r="AJ59" s="94"/>
      <c r="AK59" s="94"/>
      <c r="AL59" s="94"/>
      <c r="AM59" s="93"/>
      <c r="AN59" s="94"/>
      <c r="AO59" s="94"/>
      <c r="AP59" s="94"/>
      <c r="AQ59" s="94"/>
      <c r="AR59" s="93"/>
      <c r="AS59" s="94"/>
      <c r="AT59" s="94"/>
      <c r="AU59" s="207"/>
      <c r="AV59" s="94"/>
      <c r="AW59" s="93"/>
      <c r="AX59" s="94"/>
      <c r="AY59" s="94"/>
      <c r="AZ59" s="94"/>
      <c r="BA59" s="94"/>
      <c r="BB59" s="93"/>
      <c r="BC59" s="94"/>
      <c r="BD59" s="94"/>
      <c r="BE59" s="94"/>
      <c r="BF59" s="94"/>
      <c r="BG59" s="93"/>
      <c r="BH59" s="94"/>
      <c r="BI59" s="94"/>
      <c r="BJ59" s="94"/>
      <c r="BK59" s="94"/>
      <c r="BL59" s="93"/>
      <c r="BM59" s="94"/>
      <c r="BN59" s="94"/>
      <c r="BO59" s="94"/>
      <c r="BP59" s="94"/>
      <c r="BQ59" s="93"/>
      <c r="BR59" s="94"/>
      <c r="BS59" s="94"/>
      <c r="BT59" s="94"/>
      <c r="BU59" s="94"/>
      <c r="BV59" s="93"/>
      <c r="BW59" s="94"/>
      <c r="BX59" s="94"/>
      <c r="BY59" s="94"/>
      <c r="BZ59" s="94"/>
      <c r="CA59" s="93"/>
      <c r="CB59" s="94"/>
      <c r="CC59" s="94"/>
      <c r="CD59" s="94"/>
      <c r="CE59" s="94"/>
      <c r="CF59" s="93">
        <f t="shared" ref="CF59:CP59" si="234">IF(ISERROR(CF6/CA6-1),"",(CF6/CA6-1))</f>
        <v>0.24820903332912292</v>
      </c>
      <c r="CG59" s="94" t="str">
        <f t="shared" si="234"/>
        <v/>
      </c>
      <c r="CH59" s="94" t="str">
        <f t="shared" si="234"/>
        <v/>
      </c>
      <c r="CI59" s="94" t="str">
        <f t="shared" si="234"/>
        <v/>
      </c>
      <c r="CJ59" s="94" t="str">
        <f t="shared" si="234"/>
        <v/>
      </c>
      <c r="CK59" s="93">
        <f t="shared" si="234"/>
        <v>7.3223269531024204E-2</v>
      </c>
      <c r="CL59" s="94">
        <f t="shared" si="234"/>
        <v>4.4524328455376683E-2</v>
      </c>
      <c r="CM59" s="94">
        <f t="shared" si="234"/>
        <v>-0.21296674009409589</v>
      </c>
      <c r="CN59" s="94">
        <f t="shared" si="234"/>
        <v>-0.21188052564100501</v>
      </c>
      <c r="CO59" s="94">
        <f t="shared" si="234"/>
        <v>-0.1569351442360275</v>
      </c>
      <c r="CP59" s="93">
        <f t="shared" si="234"/>
        <v>-0.13672427495723161</v>
      </c>
      <c r="CQ59" s="94">
        <f t="shared" ref="CQ59" si="235">IF(ISERROR(CQ6/CL6-1),"",(CQ6/CL6-1))</f>
        <v>-0.17343233429082439</v>
      </c>
      <c r="CR59" s="94">
        <f t="shared" ref="CR59" si="236">IF(ISERROR(CR6/CM6-1),"",(CR6/CM6-1))</f>
        <v>9.7442985487214973E-2</v>
      </c>
      <c r="CS59" s="94">
        <f t="shared" ref="CS59" si="237">IF(ISERROR(CS6/CN6-1),"",(CS6/CN6-1))</f>
        <v>9.9410049501593489E-2</v>
      </c>
      <c r="CT59" s="94">
        <f t="shared" ref="CT59:CU59" si="238">IF(ISERROR(CT6/CO6-1),"",(CT6/CO6-1))</f>
        <v>3.8065655642852692E-2</v>
      </c>
      <c r="CU59" s="93">
        <f t="shared" si="238"/>
        <v>4.6967403685613807E-3</v>
      </c>
      <c r="CV59" s="94">
        <f t="shared" ref="CV59" si="239">IF(ISERROR(CV6/CQ6-1),"",(CV6/CQ6-1))</f>
        <v>3.0489803947282068E-2</v>
      </c>
      <c r="CW59" s="94">
        <f t="shared" ref="CW59" si="240">IF(ISERROR(CW6/CR6-1),"",(CW6/CR6-1))</f>
        <v>2.7329974811083124E-2</v>
      </c>
      <c r="CX59" s="94">
        <f t="shared" ref="CX59" si="241">IF(ISERROR(CX6/CS6-1),"",(CX6/CS6-1))</f>
        <v>4.5519027940541523E-2</v>
      </c>
      <c r="CY59" s="94">
        <f t="shared" ref="CY59" si="242">IF(ISERROR(CY6/CT6-1),"",(CY6/CT6-1))</f>
        <v>6.1546585308613011E-2</v>
      </c>
      <c r="CZ59" s="93">
        <f t="shared" ref="CZ59" si="243">IF(ISERROR(CZ6/CU6-1),"",(CZ6/CU6-1))</f>
        <v>4.1715847673479578E-2</v>
      </c>
      <c r="DA59" s="94">
        <f t="shared" ref="DA59" si="244">IF(ISERROR(DA6/CV6-1),"",(DA6/CV6-1))</f>
        <v>9.531687452277926E-2</v>
      </c>
      <c r="DB59" s="94">
        <f t="shared" ref="DB59" si="245">IF(ISERROR(DB6/CW6-1),"",(DB6/CW6-1))</f>
        <v>0.12265538801029785</v>
      </c>
      <c r="DC59" s="94">
        <f t="shared" ref="DC59" si="246">IF(ISERROR(DC6/CX6-1),"",(DC6/CX6-1))</f>
        <v>-0.20571057754704736</v>
      </c>
      <c r="DD59" s="94">
        <f t="shared" ref="DD59" si="247">IF(ISERROR(DD6/CY6-1),"",(DD6/CY6-1))</f>
        <v>0.10136516884983138</v>
      </c>
      <c r="DE59" s="93">
        <f t="shared" ref="DE59:DH59" si="248">IF(ISERROR(DE6/CZ6-1),"",(DE6/CZ6-1))</f>
        <v>2.7521841548140857E-2</v>
      </c>
      <c r="DF59" s="94">
        <f t="shared" si="248"/>
        <v>0.12147089578250259</v>
      </c>
      <c r="DG59" s="94">
        <f t="shared" si="248"/>
        <v>7.6767676767676818E-2</v>
      </c>
      <c r="DH59" s="94">
        <f t="shared" si="248"/>
        <v>0.49205288175876416</v>
      </c>
      <c r="DI59" s="94">
        <f t="shared" ref="DI59:DK59" si="249">IF(ISERROR(DI6/DD6-1),"",(DI6/DD6-1))</f>
        <v>8.5110653886686372E-2</v>
      </c>
      <c r="DJ59" s="93">
        <f t="shared" si="249"/>
        <v>0.17147417295414979</v>
      </c>
      <c r="DK59" s="94">
        <f t="shared" si="249"/>
        <v>5.1851851851851816E-2</v>
      </c>
      <c r="DL59" s="94">
        <f t="shared" ref="DL59:DM59" si="250">IF(ISERROR(DL6/DG6-1),"",(DL6/DG6-1))</f>
        <v>9.4315704071801676E-2</v>
      </c>
      <c r="DM59" s="94">
        <f t="shared" si="250"/>
        <v>0.11892080242919012</v>
      </c>
      <c r="DN59" s="94">
        <f t="shared" ref="DN59" si="251">IF(ISERROR(DN6/DI6-1),"",(DN6/DI6-1))</f>
        <v>4.5201452157424882E-2</v>
      </c>
      <c r="DO59" s="93">
        <f t="shared" ref="DO59" si="252">IF(ISERROR(DO6/DJ6-1),"",(DO6/DJ6-1))</f>
        <v>7.7130855359310413E-2</v>
      </c>
      <c r="DP59" s="94">
        <f t="shared" ref="DP59:DQ59" si="253">IF(ISERROR(DP6/DK6-1),"",(DP6/DK6-1))</f>
        <v>5.4471092287993628E-2</v>
      </c>
      <c r="DQ59" s="94">
        <f t="shared" si="253"/>
        <v>5.0003984986794148E-2</v>
      </c>
      <c r="DR59" s="94">
        <f t="shared" ref="DR59" si="254">IF(ISERROR(DR6/DM6-1),"",(DR6/DM6-1))</f>
        <v>6.2574428329922549E-2</v>
      </c>
      <c r="DS59" s="94">
        <f t="shared" ref="DS59" si="255">IF(ISERROR(DS6/DN6-1),"",(DS6/DN6-1))</f>
        <v>7.2148846097397135E-2</v>
      </c>
      <c r="DT59" s="93">
        <f t="shared" ref="DT59" si="256">IF(ISERROR(DT6/DO6-1),"",(DT6/DO6-1))</f>
        <v>6.005108551745586E-2</v>
      </c>
      <c r="DU59" s="93">
        <f t="shared" ref="DU59:DV59" si="257">IF(ISERROR(DU6/DT6-1),"",(DU6/DT6-1))</f>
        <v>6.6657452104157633E-2</v>
      </c>
      <c r="DV59" s="93">
        <f t="shared" si="257"/>
        <v>5.9929887880321608E-2</v>
      </c>
    </row>
    <row r="60" spans="1:126" s="45" customFormat="1">
      <c r="A60" s="32"/>
      <c r="B60" s="53" t="s">
        <v>89</v>
      </c>
      <c r="C60" s="93"/>
      <c r="D60" s="93"/>
      <c r="E60" s="93"/>
      <c r="F60" s="93"/>
      <c r="G60" s="93"/>
      <c r="H60" s="93"/>
      <c r="I60" s="93"/>
      <c r="J60" s="94"/>
      <c r="K60" s="94"/>
      <c r="L60" s="94"/>
      <c r="M60" s="94"/>
      <c r="N60" s="93"/>
      <c r="O60" s="94"/>
      <c r="P60" s="94"/>
      <c r="Q60" s="94"/>
      <c r="R60" s="94"/>
      <c r="S60" s="93"/>
      <c r="T60" s="94"/>
      <c r="U60" s="94"/>
      <c r="V60" s="94"/>
      <c r="W60" s="94"/>
      <c r="X60" s="93"/>
      <c r="Y60" s="94"/>
      <c r="Z60" s="94"/>
      <c r="AA60" s="94"/>
      <c r="AB60" s="94"/>
      <c r="AC60" s="93"/>
      <c r="AD60" s="94"/>
      <c r="AE60" s="94"/>
      <c r="AF60" s="94"/>
      <c r="AG60" s="94"/>
      <c r="AH60" s="93"/>
      <c r="AI60" s="94"/>
      <c r="AJ60" s="94"/>
      <c r="AK60" s="94"/>
      <c r="AL60" s="94"/>
      <c r="AM60" s="93"/>
      <c r="AN60" s="94"/>
      <c r="AO60" s="94"/>
      <c r="AP60" s="94"/>
      <c r="AQ60" s="94"/>
      <c r="AR60" s="93"/>
      <c r="AS60" s="94"/>
      <c r="AT60" s="94"/>
      <c r="AU60" s="207"/>
      <c r="AV60" s="94"/>
      <c r="AW60" s="93"/>
      <c r="AX60" s="94"/>
      <c r="AY60" s="94"/>
      <c r="AZ60" s="94"/>
      <c r="BA60" s="94"/>
      <c r="BB60" s="93"/>
      <c r="BC60" s="94"/>
      <c r="BD60" s="94"/>
      <c r="BE60" s="94"/>
      <c r="BF60" s="94"/>
      <c r="BG60" s="93"/>
      <c r="BH60" s="94"/>
      <c r="BI60" s="94"/>
      <c r="BJ60" s="94"/>
      <c r="BK60" s="94"/>
      <c r="BL60" s="93"/>
      <c r="BM60" s="94"/>
      <c r="BN60" s="94"/>
      <c r="BO60" s="94"/>
      <c r="BP60" s="94"/>
      <c r="BQ60" s="93"/>
      <c r="BR60" s="94"/>
      <c r="BS60" s="94"/>
      <c r="BT60" s="94"/>
      <c r="BU60" s="94"/>
      <c r="BV60" s="93"/>
      <c r="BW60" s="94"/>
      <c r="BX60" s="94"/>
      <c r="BY60" s="94"/>
      <c r="BZ60" s="94"/>
      <c r="CA60" s="93"/>
      <c r="CB60" s="94"/>
      <c r="CC60" s="94"/>
      <c r="CD60" s="94"/>
      <c r="CE60" s="94"/>
      <c r="CF60" s="93">
        <f>IF(ISERROR(CF45/CA45-1),"",(CF45/CA45-1))</f>
        <v>0.24229877224570084</v>
      </c>
      <c r="CG60" s="94" t="str">
        <f t="shared" ref="CG60" si="258">IF(ISERROR(CG45/CB45-1),"",(CG45/CB45-1))</f>
        <v/>
      </c>
      <c r="CH60" s="94" t="str">
        <f t="shared" ref="CH60" si="259">IF(ISERROR(CH45/CC45-1),"",(CH45/CC45-1))</f>
        <v/>
      </c>
      <c r="CI60" s="94" t="str">
        <f t="shared" ref="CI60" si="260">IF(ISERROR(CI45/CD45-1),"",(CI45/CD45-1))</f>
        <v/>
      </c>
      <c r="CJ60" s="94" t="str">
        <f t="shared" ref="CJ60" si="261">IF(ISERROR(CJ45/CE45-1),"",(CJ45/CE45-1))</f>
        <v/>
      </c>
      <c r="CK60" s="93">
        <f>IF(ISERROR(CK45/CF45-1),"",(CK45/CF45-1))</f>
        <v>5.5164827032408548E-2</v>
      </c>
      <c r="CL60" s="94">
        <f t="shared" ref="CL60" si="262">IF(ISERROR(CL45/CG45-1),"",(CL45/CG45-1))</f>
        <v>-7.8133863100947054E-2</v>
      </c>
      <c r="CM60" s="94">
        <f t="shared" ref="CM60" si="263">IF(ISERROR(CM45/CH45-1),"",(CM45/CH45-1))</f>
        <v>-0.54359437513218811</v>
      </c>
      <c r="CN60" s="94">
        <f t="shared" ref="CN60" si="264">IF(ISERROR(CN45/CI45-1),"",(CN45/CI45-1))</f>
        <v>-0.44167281428424732</v>
      </c>
      <c r="CO60" s="94">
        <f t="shared" ref="CO60" si="265">IF(ISERROR(CO45/CJ45-1),"",(CO45/CJ45-1))</f>
        <v>-0.42860180311714224</v>
      </c>
      <c r="CP60" s="93">
        <f>IF(ISERROR(CP45/CK45-1),"",(CP45/CK45-1))</f>
        <v>-0.37601078167115898</v>
      </c>
      <c r="CQ60" s="94">
        <f t="shared" ref="CQ60" si="266">IF(ISERROR(CQ45/CL45-1),"",(CQ45/CL45-1))</f>
        <v>-0.23975227271370203</v>
      </c>
      <c r="CR60" s="94">
        <f t="shared" ref="CR60" si="267">IF(ISERROR(CR45/CM45-1),"",(CR45/CM45-1))</f>
        <v>0.61062159836197916</v>
      </c>
      <c r="CS60" s="94">
        <f t="shared" ref="CS60" si="268">IF(ISERROR(CS45/CN45-1),"",(CS45/CN45-1))</f>
        <v>0.27258205391843715</v>
      </c>
      <c r="CT60" s="94">
        <f t="shared" ref="CT60" si="269">IF(ISERROR(CT45/CO45-1),"",(CT45/CO45-1))</f>
        <v>0.38040628988068037</v>
      </c>
      <c r="CU60" s="93">
        <f>IF(ISERROR(CU45/CP45-1),"",(CU45/CP45-1))</f>
        <v>0.17530597552195815</v>
      </c>
      <c r="CV60" s="94">
        <f t="shared" ref="CV60" si="270">IF(ISERROR(CV45/CQ45-1),"",(CV45/CQ45-1))</f>
        <v>7.6118804542486984E-2</v>
      </c>
      <c r="CW60" s="94">
        <f t="shared" ref="CW60" si="271">IF(ISERROR(CW45/CR45-1),"",(CW45/CR45-1))</f>
        <v>-1.060713713683048E-2</v>
      </c>
      <c r="CX60" s="94">
        <f t="shared" ref="CX60" si="272">IF(ISERROR(CX45/CS45-1),"",(CX45/CS45-1))</f>
        <v>4.9845861398072344E-2</v>
      </c>
      <c r="CY60" s="94">
        <f t="shared" ref="CY60" si="273">IF(ISERROR(CY45/CT45-1),"",(CY45/CT45-1))</f>
        <v>2.4746239376582935E-2</v>
      </c>
      <c r="CZ60" s="93">
        <f>IF(ISERROR(CZ45/CU45-1),"",(CZ45/CU45-1))</f>
        <v>3.3996937212863676E-2</v>
      </c>
      <c r="DA60" s="94">
        <f t="shared" ref="DA60" si="274">IF(ISERROR(DA45/CV45-1),"",(DA45/CV45-1))</f>
        <v>9.9591836734693961E-2</v>
      </c>
      <c r="DB60" s="94">
        <f t="shared" ref="DB60" si="275">IF(ISERROR(DB45/CW45-1),"",(DB45/CW45-1))</f>
        <v>0.13233508700930807</v>
      </c>
      <c r="DC60" s="94">
        <f t="shared" ref="DC60" si="276">IF(ISERROR(DC45/CX45-1),"",(DC45/CX45-1))</f>
        <v>7.4874565804708526E-2</v>
      </c>
      <c r="DD60" s="94">
        <f t="shared" ref="DD60" si="277">IF(ISERROR(DD45/CY45-1),"",(DD45/CY45-1))</f>
        <v>8.2186544342507606E-2</v>
      </c>
      <c r="DE60" s="93">
        <f>IF(ISERROR(DE45/CZ45-1),"",(DE45/CZ45-1))</f>
        <v>9.6761453396524422E-2</v>
      </c>
      <c r="DF60" s="94">
        <f t="shared" ref="DF60:DH60" si="278">IF(ISERROR(DF45/DA45-1),"",(DF45/DA45-1))</f>
        <v>5.8277654046028138E-2</v>
      </c>
      <c r="DG60" s="94">
        <f t="shared" si="278"/>
        <v>0.29807005003573983</v>
      </c>
      <c r="DH60" s="94">
        <f t="shared" si="278"/>
        <v>0.28294434470377028</v>
      </c>
      <c r="DI60" s="94">
        <f t="shared" ref="DI60" si="279">IF(ISERROR(DI45/DD45-1),"",(DI45/DD45-1))</f>
        <v>0.40974920522783465</v>
      </c>
      <c r="DJ60" s="93">
        <f>IF(ISERROR(DJ45/DE45-1),"",(DJ45/DE45-1))</f>
        <v>0.26458408354339213</v>
      </c>
      <c r="DK60" s="94">
        <f t="shared" ref="DK60" si="280">IF(ISERROR(DK45/DF45-1),"",(DK45/DF45-1))</f>
        <v>0.13819712381620475</v>
      </c>
      <c r="DL60" s="94">
        <f t="shared" ref="DL60:DM60" si="281">IF(ISERROR(DL45/DG45-1),"",(DL45/DG45-1))</f>
        <v>-6.8832599118942683E-2</v>
      </c>
      <c r="DM60" s="94">
        <f t="shared" si="281"/>
        <v>-6.4371676462356975E-3</v>
      </c>
      <c r="DN60" s="94">
        <f t="shared" ref="DN60" si="282">IF(ISERROR(DN45/DI45-1),"",(DN45/DI45-1))</f>
        <v>-0.15093118892508128</v>
      </c>
      <c r="DO60" s="93">
        <f>IF(ISERROR(DO45/DJ45-1),"",(DO45/DJ45-1))</f>
        <v>-2.9569756887591669E-2</v>
      </c>
      <c r="DP60" s="94">
        <f t="shared" ref="DP60:DQ60" si="283">IF(ISERROR(DP45/DK45-1),"",(DP45/DK45-1))</f>
        <v>1.0460104776579326E-2</v>
      </c>
      <c r="DQ60" s="94">
        <f t="shared" si="283"/>
        <v>3.2920170313424091E-2</v>
      </c>
      <c r="DR60" s="94">
        <f t="shared" ref="DR60" si="284">IF(ISERROR(DR45/DM45-1),"",(DR45/DM45-1))</f>
        <v>5.8416325633802835E-2</v>
      </c>
      <c r="DS60" s="94">
        <f t="shared" ref="DS60" si="285">IF(ISERROR(DS45/DN45-1),"",(DS45/DN45-1))</f>
        <v>0.11586848564544927</v>
      </c>
      <c r="DT60" s="93">
        <f>IF(ISERROR(DT45/DO45-1),"",(DT45/DO45-1))</f>
        <v>4.983209476010253E-2</v>
      </c>
      <c r="DU60" s="93">
        <f t="shared" ref="DU60:DV60" si="286">IF(ISERROR(DU45/DT45-1),"",(DU45/DT45-1))</f>
        <v>7.1672138929578688E-2</v>
      </c>
      <c r="DV60" s="93">
        <f t="shared" si="286"/>
        <v>6.9138080960405635E-2</v>
      </c>
    </row>
    <row r="61" spans="1:126" s="45" customFormat="1">
      <c r="A61" s="32"/>
      <c r="B61" s="53" t="s">
        <v>34</v>
      </c>
      <c r="C61" s="93"/>
      <c r="D61" s="93"/>
      <c r="E61" s="93"/>
      <c r="F61" s="93"/>
      <c r="G61" s="93"/>
      <c r="H61" s="93"/>
      <c r="I61" s="93"/>
      <c r="J61" s="94"/>
      <c r="K61" s="94"/>
      <c r="L61" s="94"/>
      <c r="M61" s="94"/>
      <c r="N61" s="93"/>
      <c r="O61" s="94"/>
      <c r="P61" s="94"/>
      <c r="Q61" s="94"/>
      <c r="R61" s="94"/>
      <c r="S61" s="93"/>
      <c r="T61" s="94"/>
      <c r="U61" s="94"/>
      <c r="V61" s="94"/>
      <c r="W61" s="94"/>
      <c r="X61" s="93"/>
      <c r="Y61" s="94"/>
      <c r="Z61" s="94"/>
      <c r="AA61" s="94"/>
      <c r="AB61" s="94"/>
      <c r="AC61" s="93"/>
      <c r="AD61" s="94"/>
      <c r="AE61" s="94"/>
      <c r="AF61" s="94"/>
      <c r="AG61" s="94"/>
      <c r="AH61" s="93"/>
      <c r="AI61" s="94"/>
      <c r="AJ61" s="94"/>
      <c r="AK61" s="94"/>
      <c r="AL61" s="94"/>
      <c r="AM61" s="93"/>
      <c r="AN61" s="94"/>
      <c r="AO61" s="94"/>
      <c r="AP61" s="94"/>
      <c r="AQ61" s="94"/>
      <c r="AR61" s="93"/>
      <c r="AS61" s="94"/>
      <c r="AT61" s="94"/>
      <c r="AU61" s="207"/>
      <c r="AV61" s="94"/>
      <c r="AW61" s="93"/>
      <c r="AX61" s="94"/>
      <c r="AY61" s="94"/>
      <c r="AZ61" s="94"/>
      <c r="BA61" s="94"/>
      <c r="BB61" s="93"/>
      <c r="BC61" s="94"/>
      <c r="BD61" s="94"/>
      <c r="BE61" s="94"/>
      <c r="BF61" s="94"/>
      <c r="BG61" s="93"/>
      <c r="BH61" s="94"/>
      <c r="BI61" s="94"/>
      <c r="BJ61" s="94"/>
      <c r="BK61" s="94"/>
      <c r="BL61" s="93"/>
      <c r="BM61" s="94"/>
      <c r="BN61" s="94"/>
      <c r="BO61" s="94"/>
      <c r="BP61" s="94"/>
      <c r="BQ61" s="93"/>
      <c r="BR61" s="94"/>
      <c r="BS61" s="94"/>
      <c r="BT61" s="94"/>
      <c r="BU61" s="94"/>
      <c r="BV61" s="93"/>
      <c r="BW61" s="94"/>
      <c r="BX61" s="94"/>
      <c r="BY61" s="94"/>
      <c r="BZ61" s="94"/>
      <c r="CA61" s="93"/>
      <c r="CB61" s="94"/>
      <c r="CC61" s="94"/>
      <c r="CD61" s="94"/>
      <c r="CE61" s="94"/>
      <c r="CF61" s="93">
        <f t="shared" ref="CF61:CP61" si="287">IF(ISERROR(CF43/CA43-1),"",(CF43/CA43-1))</f>
        <v>0.30392104790273144</v>
      </c>
      <c r="CG61" s="94">
        <f t="shared" si="287"/>
        <v>-9.9782925737110784E-2</v>
      </c>
      <c r="CH61" s="94">
        <f t="shared" si="287"/>
        <v>-1.7338443520686142E-2</v>
      </c>
      <c r="CI61" s="94">
        <f t="shared" si="287"/>
        <v>-3.2055793926493714E-2</v>
      </c>
      <c r="CJ61" s="94">
        <f t="shared" si="287"/>
        <v>-0.16683250911056113</v>
      </c>
      <c r="CK61" s="93">
        <f t="shared" si="287"/>
        <v>-8.0389956568353571E-2</v>
      </c>
      <c r="CL61" s="94">
        <f t="shared" si="287"/>
        <v>5.2801739766174416E-2</v>
      </c>
      <c r="CM61" s="94">
        <f t="shared" si="287"/>
        <v>-0.81041909853885696</v>
      </c>
      <c r="CN61" s="94">
        <f t="shared" si="287"/>
        <v>-0.67490587858127182</v>
      </c>
      <c r="CO61" s="94">
        <f t="shared" si="287"/>
        <v>-0.67384999334362106</v>
      </c>
      <c r="CP61" s="93">
        <f t="shared" si="287"/>
        <v>-0.53536476868327409</v>
      </c>
      <c r="CQ61" s="94">
        <f t="shared" ref="CQ61" si="288">IF(ISERROR(CQ43/CL43-1),"",(CQ43/CL43-1))</f>
        <v>-0.49101805146960453</v>
      </c>
      <c r="CR61" s="94">
        <f t="shared" ref="CR61" si="289">IF(ISERROR(CR43/CM43-1),"",(CR43/CM43-1))</f>
        <v>2.1059437283062139</v>
      </c>
      <c r="CS61" s="94">
        <f t="shared" ref="CS61" si="290">IF(ISERROR(CS43/CN43-1),"",(CS43/CN43-1))</f>
        <v>0.6895366263709175</v>
      </c>
      <c r="CT61" s="94">
        <f t="shared" ref="CT61:CU61" si="291">IF(ISERROR(CT43/CO43-1),"",(CT43/CO43-1))</f>
        <v>1.0232168572762608</v>
      </c>
      <c r="CU61" s="93">
        <f t="shared" si="291"/>
        <v>0.2537099090473911</v>
      </c>
      <c r="CV61" s="94">
        <f t="shared" ref="CV61" si="292">IF(ISERROR(CV43/CQ43-1),"",(CV43/CQ43-1))</f>
        <v>0.24469067568267389</v>
      </c>
      <c r="CW61" s="94">
        <f t="shared" ref="CW61" si="293">IF(ISERROR(CW43/CR43-1),"",(CW43/CR43-1))</f>
        <v>7.8000330949408392E-2</v>
      </c>
      <c r="CX61" s="94">
        <f t="shared" ref="CX61" si="294">IF(ISERROR(CX43/CS43-1),"",(CX43/CS43-1))</f>
        <v>0.17864273951583454</v>
      </c>
      <c r="CY61" s="94">
        <f t="shared" ref="CY61" si="295">IF(ISERROR(CY43/CT43-1),"",(CY43/CT43-1))</f>
        <v>0.11298254268662755</v>
      </c>
      <c r="CZ61" s="93">
        <f t="shared" ref="CZ61" si="296">IF(ISERROR(CZ43/CU43-1),"",(CZ43/CU43-1))</f>
        <v>0.14929362352042763</v>
      </c>
      <c r="DA61" s="94">
        <f t="shared" ref="DA61" si="297">IF(ISERROR(DA43/CV43-1),"",(DA43/CV43-1))</f>
        <v>0.15598885793871875</v>
      </c>
      <c r="DB61" s="94">
        <f t="shared" ref="DB61" si="298">IF(ISERROR(DB43/CW43-1),"",(DB43/CW43-1))</f>
        <v>0.19157608695652173</v>
      </c>
      <c r="DC61" s="94">
        <f t="shared" ref="DC61" si="299">IF(ISERROR(DC43/CX43-1),"",(DC43/CX43-1))</f>
        <v>0.10816062176165797</v>
      </c>
      <c r="DD61" s="94">
        <f t="shared" ref="DD61" si="300">IF(ISERROR(DD43/CY43-1),"",(DD43/CY43-1))</f>
        <v>0.13010204081632648</v>
      </c>
      <c r="DE61" s="93">
        <f t="shared" ref="DE61:DH61" si="301">IF(ISERROR(DE43/CZ43-1),"",(DE43/CZ43-1))</f>
        <v>0.1456810631229235</v>
      </c>
      <c r="DF61" s="94">
        <f t="shared" si="301"/>
        <v>7.9518072289156638E-2</v>
      </c>
      <c r="DG61" s="94">
        <f t="shared" si="301"/>
        <v>0.45952109464082103</v>
      </c>
      <c r="DH61" s="94">
        <f t="shared" si="301"/>
        <v>0.44886031560490935</v>
      </c>
      <c r="DI61" s="94">
        <f t="shared" ref="DI61:DK61" si="302">IF(ISERROR(DI43/DD43-1),"",(DI43/DD43-1))</f>
        <v>0.60948081264108356</v>
      </c>
      <c r="DJ61" s="93">
        <f t="shared" si="302"/>
        <v>0.40394374365666241</v>
      </c>
      <c r="DK61" s="94">
        <f t="shared" si="302"/>
        <v>0.2237723214285714</v>
      </c>
      <c r="DL61" s="94">
        <f t="shared" ref="DL61:DM61" si="303">IF(ISERROR(DL43/DG43-1),"",(DL43/DG43-1))</f>
        <v>-9.9218750000000022E-2</v>
      </c>
      <c r="DM61" s="94">
        <f t="shared" si="303"/>
        <v>-8.0677692617990848E-3</v>
      </c>
      <c r="DN61" s="94">
        <f t="shared" ref="DN61" si="304">IF(ISERROR(DN43/DI43-1),"",(DN43/DI43-1))</f>
        <v>-0.18526170231416539</v>
      </c>
      <c r="DO61" s="93">
        <f t="shared" ref="DO61" si="305">IF(ISERROR(DO43/DJ43-1),"",(DO43/DJ43-1))</f>
        <v>-3.4634552824537757E-2</v>
      </c>
      <c r="DP61" s="94">
        <f t="shared" ref="DP61:DQ61" si="306">IF(ISERROR(DP43/DK43-1),"",(DP43/DK43-1))</f>
        <v>7.2699680802554845E-3</v>
      </c>
      <c r="DQ61" s="94">
        <f t="shared" si="306"/>
        <v>5.0882921075455334E-2</v>
      </c>
      <c r="DR61" s="94">
        <f t="shared" ref="DR61" si="307">IF(ISERROR(DR43/DM43-1),"",(DR43/DM43-1))</f>
        <v>9.2874321268808346E-2</v>
      </c>
      <c r="DS61" s="94">
        <f t="shared" ref="DS61" si="308">IF(ISERROR(DS43/DN43-1),"",(DS43/DN43-1))</f>
        <v>0.16682313526772075</v>
      </c>
      <c r="DT61" s="93">
        <f t="shared" ref="DT61" si="309">IF(ISERROR(DT43/DO43-1),"",(DT43/DO43-1))</f>
        <v>7.3097950342057905E-2</v>
      </c>
      <c r="DU61" s="93">
        <f t="shared" ref="DU61:DV61" si="310">IF(ISERROR(DU43/DT43-1),"",(DU43/DT43-1))</f>
        <v>0.10025940403308198</v>
      </c>
      <c r="DV61" s="93">
        <f t="shared" si="310"/>
        <v>9.1544734570032205E-2</v>
      </c>
    </row>
    <row r="62" spans="1:126" s="45" customFormat="1">
      <c r="A62" s="32"/>
      <c r="B62" s="53" t="s">
        <v>30</v>
      </c>
      <c r="C62" s="93"/>
      <c r="D62" s="93"/>
      <c r="E62" s="93"/>
      <c r="F62" s="93"/>
      <c r="G62" s="93"/>
      <c r="H62" s="93"/>
      <c r="I62" s="93"/>
      <c r="J62" s="94"/>
      <c r="K62" s="94"/>
      <c r="L62" s="94"/>
      <c r="M62" s="94"/>
      <c r="N62" s="93"/>
      <c r="O62" s="94"/>
      <c r="P62" s="94"/>
      <c r="Q62" s="94"/>
      <c r="R62" s="94"/>
      <c r="S62" s="93"/>
      <c r="T62" s="94"/>
      <c r="U62" s="94"/>
      <c r="V62" s="94"/>
      <c r="W62" s="94"/>
      <c r="X62" s="93"/>
      <c r="Y62" s="94"/>
      <c r="Z62" s="94"/>
      <c r="AA62" s="94"/>
      <c r="AB62" s="94"/>
      <c r="AC62" s="93"/>
      <c r="AD62" s="94"/>
      <c r="AE62" s="94"/>
      <c r="AF62" s="94"/>
      <c r="AG62" s="94"/>
      <c r="AH62" s="93"/>
      <c r="AI62" s="94"/>
      <c r="AJ62" s="94"/>
      <c r="AK62" s="94"/>
      <c r="AL62" s="94"/>
      <c r="AM62" s="93"/>
      <c r="AN62" s="94"/>
      <c r="AO62" s="94"/>
      <c r="AP62" s="94"/>
      <c r="AQ62" s="94"/>
      <c r="AR62" s="93"/>
      <c r="AS62" s="94"/>
      <c r="AT62" s="94"/>
      <c r="AU62" s="207"/>
      <c r="AV62" s="94"/>
      <c r="AW62" s="93"/>
      <c r="AX62" s="94"/>
      <c r="AY62" s="94"/>
      <c r="AZ62" s="94"/>
      <c r="BA62" s="94"/>
      <c r="BB62" s="93"/>
      <c r="BC62" s="94"/>
      <c r="BD62" s="94"/>
      <c r="BE62" s="94"/>
      <c r="BF62" s="94"/>
      <c r="BG62" s="93"/>
      <c r="BH62" s="94"/>
      <c r="BI62" s="94"/>
      <c r="BJ62" s="94"/>
      <c r="BK62" s="94"/>
      <c r="BL62" s="93"/>
      <c r="BM62" s="94"/>
      <c r="BN62" s="94"/>
      <c r="BO62" s="94"/>
      <c r="BP62" s="94"/>
      <c r="BQ62" s="93"/>
      <c r="BR62" s="94"/>
      <c r="BS62" s="94"/>
      <c r="BT62" s="94"/>
      <c r="BU62" s="94"/>
      <c r="BV62" s="93"/>
      <c r="BW62" s="94"/>
      <c r="BX62" s="94"/>
      <c r="BY62" s="94"/>
      <c r="BZ62" s="94"/>
      <c r="CA62" s="93"/>
      <c r="CB62" s="94"/>
      <c r="CC62" s="94"/>
      <c r="CD62" s="94"/>
      <c r="CE62" s="94"/>
      <c r="CF62" s="93" t="str">
        <f t="shared" ref="CF62:CP62" si="311">IF(ISERROR(CF19/CA19-1),"",(CF19/CA19-1))</f>
        <v/>
      </c>
      <c r="CG62" s="94" t="str">
        <f t="shared" si="311"/>
        <v/>
      </c>
      <c r="CH62" s="94" t="str">
        <f t="shared" si="311"/>
        <v/>
      </c>
      <c r="CI62" s="94" t="str">
        <f t="shared" si="311"/>
        <v/>
      </c>
      <c r="CJ62" s="94" t="str">
        <f t="shared" si="311"/>
        <v/>
      </c>
      <c r="CK62" s="93">
        <f t="shared" si="311"/>
        <v>-2.9451279623002535E-2</v>
      </c>
      <c r="CL62" s="94">
        <f t="shared" si="311"/>
        <v>6.2170734788502102E-2</v>
      </c>
      <c r="CM62" s="94">
        <f t="shared" si="311"/>
        <v>-2.8746076331272032</v>
      </c>
      <c r="CN62" s="94">
        <f t="shared" si="311"/>
        <v>-0.92403547694149724</v>
      </c>
      <c r="CO62" s="94">
        <f t="shared" si="311"/>
        <v>-0.90648399018722414</v>
      </c>
      <c r="CP62" s="93">
        <f t="shared" si="311"/>
        <v>-1.2349373673195023</v>
      </c>
      <c r="CQ62" s="94">
        <f t="shared" ref="CQ62" si="312">IF(ISERROR(CQ19/CL19-1),"",(CQ19/CL19-1))</f>
        <v>-0.55332116131354958</v>
      </c>
      <c r="CR62" s="94">
        <f t="shared" ref="CR62" si="313">IF(ISERROR(CR19/CM19-1),"",(CR19/CM19-1))</f>
        <v>-1.2806397864285315</v>
      </c>
      <c r="CS62" s="94">
        <f t="shared" ref="CS62" si="314">IF(ISERROR(CS19/CN19-1),"",(CS19/CN19-1))</f>
        <v>8.2715231788079464</v>
      </c>
      <c r="CT62" s="94">
        <f t="shared" ref="CT62:CU62" si="315">IF(ISERROR(CT19/CO19-1),"",(CT19/CO19-1))</f>
        <v>3.6917808219178081</v>
      </c>
      <c r="CU62" s="93">
        <f t="shared" si="315"/>
        <v>-3.3189430492198659</v>
      </c>
      <c r="CV62" s="94">
        <f t="shared" ref="CV62" si="316">IF(ISERROR(CV19/CQ19-1),"",(CV19/CQ19-1))</f>
        <v>0.42875647668393779</v>
      </c>
      <c r="CW62" s="94">
        <f t="shared" ref="CW62" si="317">IF(ISERROR(CW19/CR19-1),"",(CW19/CR19-1))</f>
        <v>0.25384615384615383</v>
      </c>
      <c r="CX62" s="94">
        <f t="shared" ref="CX62" si="318">IF(ISERROR(CX19/CS19-1),"",(CX19/CS19-1))</f>
        <v>-9.2857142857142305E-3</v>
      </c>
      <c r="CY62" s="94">
        <f t="shared" ref="CY62" si="319">IF(ISERROR(CY19/CT19-1),"",(CY19/CT19-1))</f>
        <v>1.0759124087591241</v>
      </c>
      <c r="CZ62" s="93">
        <f t="shared" ref="CZ62" si="320">IF(ISERROR(CZ19/CU19-1),"",(CZ19/CU19-1))</f>
        <v>0.33846548627149087</v>
      </c>
      <c r="DA62" s="94">
        <f t="shared" ref="DA62" si="321">IF(ISERROR(DA19/CV19-1),"",(DA19/CV19-1))</f>
        <v>0.29283771532184955</v>
      </c>
      <c r="DB62" s="94">
        <f t="shared" ref="DB62" si="322">IF(ISERROR(DB19/CW19-1),"",(DB19/CW19-1))</f>
        <v>1.7638036809815905E-2</v>
      </c>
      <c r="DC62" s="94">
        <f t="shared" ref="DC62" si="323">IF(ISERROR(DC19/CX19-1),"",(DC19/CX19-1))</f>
        <v>-1.7094448449891853</v>
      </c>
      <c r="DD62" s="94">
        <f t="shared" ref="DD62" si="324">IF(ISERROR(DD19/CY19-1),"",(DD19/CY19-1))</f>
        <v>2.8129395218001729E-3</v>
      </c>
      <c r="DE62" s="93">
        <f t="shared" ref="DE62:DH62" si="325">IF(ISERROR(DE19/CZ19-1),"",(DE19/CZ19-1))</f>
        <v>-0.38746165644171782</v>
      </c>
      <c r="DF62" s="94">
        <f t="shared" si="325"/>
        <v>0.19845722300140256</v>
      </c>
      <c r="DG62" s="94">
        <f t="shared" si="325"/>
        <v>-0.9163526752072344</v>
      </c>
      <c r="DH62" s="94">
        <f t="shared" si="325"/>
        <v>-2.4959349593495936</v>
      </c>
      <c r="DI62" s="94">
        <f t="shared" ref="DI62:DK62" si="326">IF(ISERROR(DI19/DD19-1),"",(DI19/DD19-1))</f>
        <v>3.9270687237026758E-2</v>
      </c>
      <c r="DJ62" s="93">
        <f t="shared" si="326"/>
        <v>0.49420970266040687</v>
      </c>
      <c r="DK62" s="94">
        <f t="shared" si="326"/>
        <v>-0.10181392627267405</v>
      </c>
      <c r="DL62" s="94">
        <f t="shared" ref="DL62:DM62" si="327">IF(ISERROR(DL19/DG19-1),"",(DL19/DG19-1))</f>
        <v>13.927927927927929</v>
      </c>
      <c r="DM62" s="94">
        <f t="shared" si="327"/>
        <v>0.30298913043478271</v>
      </c>
      <c r="DN62" s="94">
        <f t="shared" ref="DN62" si="328">IF(ISERROR(DN19/DI19-1),"",(DN19/DI19-1))</f>
        <v>7.9861462753036516E-2</v>
      </c>
      <c r="DO62" s="93">
        <f t="shared" ref="DO62" si="329">IF(ISERROR(DO19/DJ19-1),"",(DO19/DJ19-1))</f>
        <v>0.40560424964390451</v>
      </c>
      <c r="DP62" s="94">
        <f t="shared" ref="DP62:DQ62" si="330">IF(ISERROR(DP19/DK19-1),"",(DP19/DK19-1))</f>
        <v>5.7530054234527839E-2</v>
      </c>
      <c r="DQ62" s="94">
        <f t="shared" si="330"/>
        <v>7.7897814900422579E-2</v>
      </c>
      <c r="DR62" s="94">
        <f t="shared" ref="DR62" si="331">IF(ISERROR(DR19/DM19-1),"",(DR19/DM19-1))</f>
        <v>4.0501366746610978E-2</v>
      </c>
      <c r="DS62" s="94">
        <f t="shared" ref="DS62" si="332">IF(ISERROR(DS19/DN19-1),"",(DS19/DN19-1))</f>
        <v>0.25942881309324162</v>
      </c>
      <c r="DT62" s="93">
        <f t="shared" ref="DT62" si="333">IF(ISERROR(DT19/DO19-1),"",(DT19/DO19-1))</f>
        <v>0.10584314603152722</v>
      </c>
      <c r="DU62" s="93">
        <f t="shared" ref="DU62:DV62" si="334">IF(ISERROR(DU19/DT19-1),"",(DU19/DT19-1))</f>
        <v>0.10117572271124797</v>
      </c>
      <c r="DV62" s="93">
        <f t="shared" si="334"/>
        <v>9.8573286329815213E-2</v>
      </c>
    </row>
    <row r="63" spans="1:126" s="45" customFormat="1">
      <c r="A63" s="32"/>
      <c r="B63" s="53" t="s">
        <v>97</v>
      </c>
      <c r="C63" s="93"/>
      <c r="D63" s="93"/>
      <c r="E63" s="93"/>
      <c r="F63" s="93"/>
      <c r="G63" s="93"/>
      <c r="H63" s="93"/>
      <c r="I63" s="93"/>
      <c r="J63" s="94"/>
      <c r="K63" s="94"/>
      <c r="L63" s="94"/>
      <c r="M63" s="94"/>
      <c r="N63" s="93"/>
      <c r="O63" s="94"/>
      <c r="P63" s="94"/>
      <c r="Q63" s="94"/>
      <c r="R63" s="94"/>
      <c r="S63" s="93"/>
      <c r="T63" s="94"/>
      <c r="U63" s="94"/>
      <c r="V63" s="94"/>
      <c r="W63" s="94"/>
      <c r="X63" s="93"/>
      <c r="Y63" s="94"/>
      <c r="Z63" s="94"/>
      <c r="AA63" s="94"/>
      <c r="AB63" s="94"/>
      <c r="AC63" s="93"/>
      <c r="AD63" s="94"/>
      <c r="AE63" s="94"/>
      <c r="AF63" s="94"/>
      <c r="AG63" s="94"/>
      <c r="AH63" s="93"/>
      <c r="AI63" s="94"/>
      <c r="AJ63" s="94"/>
      <c r="AK63" s="94"/>
      <c r="AL63" s="94"/>
      <c r="AM63" s="93"/>
      <c r="AN63" s="94"/>
      <c r="AO63" s="94"/>
      <c r="AP63" s="94"/>
      <c r="AQ63" s="94"/>
      <c r="AR63" s="93"/>
      <c r="AS63" s="94"/>
      <c r="AT63" s="94"/>
      <c r="AU63" s="207"/>
      <c r="AV63" s="94"/>
      <c r="AW63" s="93"/>
      <c r="AX63" s="94"/>
      <c r="AY63" s="94"/>
      <c r="AZ63" s="94"/>
      <c r="BA63" s="94"/>
      <c r="BB63" s="93"/>
      <c r="BC63" s="94"/>
      <c r="BD63" s="94"/>
      <c r="BE63" s="94"/>
      <c r="BF63" s="94"/>
      <c r="BG63" s="93"/>
      <c r="BH63" s="94"/>
      <c r="BI63" s="94"/>
      <c r="BJ63" s="94"/>
      <c r="BK63" s="94"/>
      <c r="BL63" s="93"/>
      <c r="BM63" s="94"/>
      <c r="BN63" s="94"/>
      <c r="BO63" s="94"/>
      <c r="BP63" s="94"/>
      <c r="BQ63" s="93"/>
      <c r="BR63" s="94"/>
      <c r="BS63" s="94"/>
      <c r="BT63" s="94"/>
      <c r="BU63" s="94"/>
      <c r="BV63" s="93"/>
      <c r="BW63" s="94"/>
      <c r="BX63" s="94"/>
      <c r="BY63" s="94"/>
      <c r="BZ63" s="94"/>
      <c r="CA63" s="93"/>
      <c r="CB63" s="94"/>
      <c r="CC63" s="94"/>
      <c r="CD63" s="94"/>
      <c r="CE63" s="94"/>
      <c r="CF63" s="93" t="str">
        <f t="shared" ref="CF63:CP63" si="335">IF(ISERROR(CF22/CA22-1),"",(CF22/CA22-1))</f>
        <v/>
      </c>
      <c r="CG63" s="94" t="str">
        <f t="shared" si="335"/>
        <v/>
      </c>
      <c r="CH63" s="94" t="str">
        <f t="shared" si="335"/>
        <v/>
      </c>
      <c r="CI63" s="94" t="str">
        <f t="shared" si="335"/>
        <v/>
      </c>
      <c r="CJ63" s="94" t="str">
        <f t="shared" si="335"/>
        <v/>
      </c>
      <c r="CK63" s="93">
        <f t="shared" si="335"/>
        <v>-6.5691586769946686E-2</v>
      </c>
      <c r="CL63" s="94">
        <f t="shared" si="335"/>
        <v>5.839201289123741E-2</v>
      </c>
      <c r="CM63" s="94">
        <f t="shared" si="335"/>
        <v>-2.8885925831645203</v>
      </c>
      <c r="CN63" s="94">
        <f t="shared" si="335"/>
        <v>-0.92378965329667717</v>
      </c>
      <c r="CO63" s="94">
        <f t="shared" si="335"/>
        <v>-0.90625566153715997</v>
      </c>
      <c r="CP63" s="93">
        <f t="shared" si="335"/>
        <v>-1.2355745593589347</v>
      </c>
      <c r="CQ63" s="94">
        <f t="shared" ref="CQ63" si="336">IF(ISERROR(CQ22/CL22-1),"",(CQ22/CL22-1))</f>
        <v>-0.5522001127784405</v>
      </c>
      <c r="CR63" s="94">
        <f t="shared" ref="CR63" si="337">IF(ISERROR(CR22/CM22-1),"",(CR22/CM22-1))</f>
        <v>-1.2783776090949153</v>
      </c>
      <c r="CS63" s="94">
        <f t="shared" ref="CS63" si="338">IF(ISERROR(CS22/CN22-1),"",(CS22/CN22-1))</f>
        <v>8.322624608108768</v>
      </c>
      <c r="CT63" s="94">
        <f t="shared" ref="CT63:CU63" si="339">IF(ISERROR(CT22/CO22-1),"",(CT22/CO22-1))</f>
        <v>3.7393178626411459</v>
      </c>
      <c r="CU63" s="93">
        <f t="shared" si="339"/>
        <v>-3.3239777963807757</v>
      </c>
      <c r="CV63" s="94">
        <f t="shared" ref="CV63" si="340">IF(ISERROR(CV22/CQ22-1),"",(CV22/CQ22-1))</f>
        <v>0.44420867971636957</v>
      </c>
      <c r="CW63" s="94">
        <f t="shared" ref="CW63" si="341">IF(ISERROR(CW22/CR22-1),"",(CW22/CR22-1))</f>
        <v>0.27396358340907212</v>
      </c>
      <c r="CX63" s="94">
        <f t="shared" ref="CX63" si="342">IF(ISERROR(CX22/CS22-1),"",(CX22/CS22-1))</f>
        <v>8.5287925756389882E-3</v>
      </c>
      <c r="CY63" s="94">
        <f t="shared" ref="CY63" si="343">IF(ISERROR(CY22/CT22-1),"",(CY22/CT22-1))</f>
        <v>1.1095196068688193</v>
      </c>
      <c r="CZ63" s="93">
        <f t="shared" ref="CZ63" si="344">IF(ISERROR(CZ22/CU22-1),"",(CZ22/CU22-1))</f>
        <v>0.35886981617611902</v>
      </c>
      <c r="DA63" s="94">
        <f t="shared" ref="DA63" si="345">IF(ISERROR(DA22/CV22-1),"",(DA22/CV22-1))</f>
        <v>0.31362204163654761</v>
      </c>
      <c r="DB63" s="94">
        <f t="shared" ref="DB63" si="346">IF(ISERROR(DB22/CW22-1),"",(DB22/CW22-1))</f>
        <v>3.2119302534147076E-2</v>
      </c>
      <c r="DC63" s="94">
        <f t="shared" ref="DC63" si="347">IF(ISERROR(DC22/CX22-1),"",(DC22/CX22-1))</f>
        <v>-1.7209464581936538</v>
      </c>
      <c r="DD63" s="94">
        <f t="shared" ref="DD63" si="348">IF(ISERROR(DD22/CY22-1),"",(DD22/CY22-1))</f>
        <v>8.7209181622995846E-2</v>
      </c>
      <c r="DE63" s="93">
        <f t="shared" ref="DE63:DH63" si="349">IF(ISERROR(DE22/CZ22-1),"",(DE22/CZ22-1))</f>
        <v>-0.3680230839363875</v>
      </c>
      <c r="DF63" s="94">
        <f t="shared" si="349"/>
        <v>0.32114382572995415</v>
      </c>
      <c r="DG63" s="94">
        <f t="shared" si="349"/>
        <v>-0.90846224132096354</v>
      </c>
      <c r="DH63" s="94">
        <f t="shared" si="349"/>
        <v>-2.6176144111760538</v>
      </c>
      <c r="DI63" s="94">
        <f t="shared" ref="DI63:DK63" si="350">IF(ISERROR(DI22/DD22-1),"",(DI22/DD22-1))</f>
        <v>4.9132548603053827E-2</v>
      </c>
      <c r="DJ63" s="93">
        <f t="shared" si="350"/>
        <v>0.60146918787510328</v>
      </c>
      <c r="DK63" s="94">
        <f t="shared" si="350"/>
        <v>-0.1114482642435618</v>
      </c>
      <c r="DL63" s="94">
        <f t="shared" ref="DL63:DM63" si="351">IF(ISERROR(DL22/DG22-1),"",(DL22/DG22-1))</f>
        <v>13.79672974303698</v>
      </c>
      <c r="DM63" s="94">
        <f t="shared" si="351"/>
        <v>0.29128678400419927</v>
      </c>
      <c r="DN63" s="94">
        <f t="shared" ref="DN63" si="352">IF(ISERROR(DN22/DI22-1),"",(DN22/DI22-1))</f>
        <v>7.1520617263183039E-2</v>
      </c>
      <c r="DO63" s="93">
        <f t="shared" ref="DO63" si="353">IF(ISERROR(DO22/DJ22-1),"",(DO22/DJ22-1))</f>
        <v>0.39287927570454362</v>
      </c>
      <c r="DP63" s="94">
        <f t="shared" ref="DP63:DQ63" si="354">IF(ISERROR(DP22/DK22-1),"",(DP22/DK22-1))</f>
        <v>5.3167177924144937E-2</v>
      </c>
      <c r="DQ63" s="94">
        <f t="shared" si="354"/>
        <v>7.7579475321302382E-2</v>
      </c>
      <c r="DR63" s="94">
        <f t="shared" ref="DR63" si="355">IF(ISERROR(DR22/DM22-1),"",(DR22/DM22-1))</f>
        <v>4.7441126862751037E-2</v>
      </c>
      <c r="DS63" s="94">
        <f t="shared" ref="DS63" si="356">IF(ISERROR(DS22/DN22-1),"",(DS22/DN22-1))</f>
        <v>0.27348075611347289</v>
      </c>
      <c r="DT63" s="93">
        <f t="shared" ref="DT63" si="357">IF(ISERROR(DT22/DO22-1),"",(DT22/DO22-1))</f>
        <v>0.10952547114410827</v>
      </c>
      <c r="DU63" s="93">
        <f t="shared" ref="DU63:DV63" si="358">IF(ISERROR(DU22/DT22-1),"",(DU22/DT22-1))</f>
        <v>0.10938487525867058</v>
      </c>
      <c r="DV63" s="93">
        <f t="shared" si="358"/>
        <v>0.10682455031006022</v>
      </c>
    </row>
    <row r="64" spans="1:126" s="45" customFormat="1">
      <c r="A64" s="32"/>
      <c r="B64" s="55"/>
      <c r="C64" s="93"/>
      <c r="D64" s="93"/>
      <c r="E64" s="93"/>
      <c r="F64" s="93"/>
      <c r="G64" s="93"/>
      <c r="H64" s="93"/>
      <c r="I64" s="93"/>
      <c r="J64" s="94"/>
      <c r="K64" s="94"/>
      <c r="L64" s="94"/>
      <c r="M64" s="94"/>
      <c r="N64" s="93"/>
      <c r="O64" s="94"/>
      <c r="P64" s="94"/>
      <c r="Q64" s="94"/>
      <c r="R64" s="94"/>
      <c r="S64" s="93"/>
      <c r="T64" s="94"/>
      <c r="U64" s="94"/>
      <c r="V64" s="94"/>
      <c r="W64" s="94"/>
      <c r="X64" s="93"/>
      <c r="Y64" s="94"/>
      <c r="Z64" s="94"/>
      <c r="AA64" s="94"/>
      <c r="AB64" s="94"/>
      <c r="AC64" s="93"/>
      <c r="AD64" s="94"/>
      <c r="AE64" s="94"/>
      <c r="AF64" s="94"/>
      <c r="AG64" s="94"/>
      <c r="AH64" s="93"/>
      <c r="AI64" s="94"/>
      <c r="AJ64" s="94"/>
      <c r="AK64" s="94"/>
      <c r="AL64" s="94"/>
      <c r="AM64" s="93"/>
      <c r="AN64" s="94"/>
      <c r="AO64" s="94"/>
      <c r="AP64" s="94"/>
      <c r="AQ64" s="94"/>
      <c r="AR64" s="93"/>
      <c r="AS64" s="94"/>
      <c r="AT64" s="94"/>
      <c r="AU64" s="207"/>
      <c r="AV64" s="94"/>
      <c r="AW64" s="93"/>
      <c r="AX64" s="94"/>
      <c r="AY64" s="94"/>
      <c r="AZ64" s="94"/>
      <c r="BA64" s="94"/>
      <c r="BB64" s="93"/>
      <c r="BC64" s="94"/>
      <c r="BD64" s="94"/>
      <c r="BE64" s="94"/>
      <c r="BF64" s="94"/>
      <c r="BG64" s="93"/>
      <c r="BH64" s="94"/>
      <c r="BI64" s="94"/>
      <c r="BJ64" s="94"/>
      <c r="BK64" s="94"/>
      <c r="BL64" s="93"/>
      <c r="BM64" s="94"/>
      <c r="BN64" s="94"/>
      <c r="BO64" s="94"/>
      <c r="BP64" s="94"/>
      <c r="BQ64" s="93"/>
      <c r="BR64" s="94"/>
      <c r="BS64" s="94"/>
      <c r="BT64" s="94"/>
      <c r="BU64" s="94"/>
      <c r="BV64" s="93"/>
      <c r="BW64" s="94"/>
      <c r="BX64" s="94"/>
      <c r="BY64" s="94"/>
      <c r="BZ64" s="94"/>
      <c r="CA64" s="93"/>
      <c r="CB64" s="94"/>
      <c r="CC64" s="94"/>
      <c r="CD64" s="94"/>
      <c r="CE64" s="94"/>
      <c r="CF64" s="93"/>
      <c r="CG64" s="94"/>
      <c r="CH64" s="94"/>
      <c r="CI64" s="94"/>
      <c r="CJ64" s="94"/>
      <c r="CK64" s="93"/>
      <c r="CL64" s="94"/>
      <c r="CM64" s="94"/>
      <c r="CN64" s="94"/>
      <c r="CO64" s="94"/>
      <c r="CP64" s="93"/>
      <c r="CQ64" s="94"/>
      <c r="CR64" s="94"/>
      <c r="CS64" s="94"/>
      <c r="CT64" s="94"/>
      <c r="CU64" s="93"/>
      <c r="CV64" s="94"/>
      <c r="CW64" s="94"/>
      <c r="CX64" s="94"/>
      <c r="CY64" s="94"/>
      <c r="CZ64" s="93"/>
      <c r="DA64" s="94"/>
      <c r="DB64" s="94"/>
      <c r="DC64" s="94"/>
      <c r="DD64" s="94"/>
      <c r="DE64" s="93"/>
      <c r="DF64" s="94"/>
      <c r="DG64" s="94"/>
      <c r="DH64" s="94"/>
      <c r="DI64" s="94"/>
      <c r="DJ64" s="93"/>
      <c r="DK64" s="94"/>
      <c r="DL64" s="94"/>
      <c r="DM64" s="94"/>
      <c r="DN64" s="94"/>
      <c r="DO64" s="93"/>
      <c r="DP64" s="94"/>
      <c r="DQ64" s="94"/>
      <c r="DR64" s="94"/>
      <c r="DS64" s="94"/>
      <c r="DT64" s="93"/>
      <c r="DU64" s="93"/>
      <c r="DV64" s="93"/>
    </row>
    <row r="65" spans="1:126" s="45" customFormat="1">
      <c r="A65" s="32"/>
      <c r="B65" s="56" t="s">
        <v>98</v>
      </c>
      <c r="C65" s="93"/>
      <c r="D65" s="93"/>
      <c r="E65" s="93"/>
      <c r="F65" s="93"/>
      <c r="G65" s="93"/>
      <c r="H65" s="93"/>
      <c r="I65" s="93"/>
      <c r="J65" s="94"/>
      <c r="K65" s="94"/>
      <c r="L65" s="94"/>
      <c r="M65" s="94"/>
      <c r="N65" s="93"/>
      <c r="O65" s="94"/>
      <c r="P65" s="94"/>
      <c r="Q65" s="94"/>
      <c r="R65" s="94"/>
      <c r="S65" s="93"/>
      <c r="T65" s="94"/>
      <c r="U65" s="94"/>
      <c r="V65" s="94"/>
      <c r="W65" s="94"/>
      <c r="X65" s="93"/>
      <c r="Y65" s="94"/>
      <c r="Z65" s="94"/>
      <c r="AA65" s="94"/>
      <c r="AB65" s="94"/>
      <c r="AC65" s="93"/>
      <c r="AD65" s="94"/>
      <c r="AE65" s="94"/>
      <c r="AF65" s="94"/>
      <c r="AG65" s="94"/>
      <c r="AH65" s="93"/>
      <c r="AI65" s="94"/>
      <c r="AJ65" s="94"/>
      <c r="AK65" s="94"/>
      <c r="AL65" s="94"/>
      <c r="AM65" s="93"/>
      <c r="AN65" s="94"/>
      <c r="AO65" s="94"/>
      <c r="AP65" s="94"/>
      <c r="AQ65" s="94"/>
      <c r="AR65" s="93"/>
      <c r="AS65" s="94"/>
      <c r="AT65" s="94"/>
      <c r="AU65" s="207"/>
      <c r="AV65" s="94"/>
      <c r="AW65" s="93"/>
      <c r="AX65" s="94"/>
      <c r="AY65" s="94"/>
      <c r="AZ65" s="94"/>
      <c r="BA65" s="94"/>
      <c r="BB65" s="93"/>
      <c r="BC65" s="94"/>
      <c r="BD65" s="94"/>
      <c r="BE65" s="94"/>
      <c r="BF65" s="94"/>
      <c r="BG65" s="93"/>
      <c r="BH65" s="94"/>
      <c r="BI65" s="94"/>
      <c r="BJ65" s="94"/>
      <c r="BK65" s="94"/>
      <c r="BL65" s="93"/>
      <c r="BM65" s="94"/>
      <c r="BN65" s="94"/>
      <c r="BO65" s="94"/>
      <c r="BP65" s="94"/>
      <c r="BQ65" s="93"/>
      <c r="BR65" s="94"/>
      <c r="BS65" s="94"/>
      <c r="BT65" s="94"/>
      <c r="BU65" s="94"/>
      <c r="BV65" s="93"/>
      <c r="BW65" s="94"/>
      <c r="BX65" s="94"/>
      <c r="BY65" s="94"/>
      <c r="BZ65" s="94"/>
      <c r="CA65" s="93"/>
      <c r="CB65" s="94"/>
      <c r="CC65" s="94"/>
      <c r="CD65" s="94"/>
      <c r="CE65" s="94"/>
      <c r="CF65" s="93"/>
      <c r="CG65" s="94"/>
      <c r="CH65" s="94"/>
      <c r="CI65" s="94"/>
      <c r="CJ65" s="94"/>
      <c r="CK65" s="93"/>
      <c r="CL65" s="94"/>
      <c r="CM65" s="94"/>
      <c r="CN65" s="94"/>
      <c r="CO65" s="94"/>
      <c r="CP65" s="93"/>
      <c r="CQ65" s="94"/>
      <c r="CR65" s="94"/>
      <c r="CS65" s="94"/>
      <c r="CT65" s="94"/>
      <c r="CU65" s="93"/>
      <c r="CV65" s="94"/>
      <c r="CW65" s="94"/>
      <c r="CX65" s="94"/>
      <c r="CY65" s="94"/>
      <c r="CZ65" s="93"/>
      <c r="DA65" s="94"/>
      <c r="DB65" s="94"/>
      <c r="DC65" s="94"/>
      <c r="DD65" s="94"/>
      <c r="DE65" s="93"/>
      <c r="DF65" s="94"/>
      <c r="DG65" s="94"/>
      <c r="DH65" s="94"/>
      <c r="DI65" s="94"/>
      <c r="DJ65" s="93"/>
      <c r="DK65" s="94"/>
      <c r="DL65" s="94"/>
      <c r="DM65" s="94"/>
      <c r="DN65" s="94"/>
      <c r="DO65" s="93"/>
      <c r="DP65" s="94"/>
      <c r="DQ65" s="94"/>
      <c r="DR65" s="94"/>
      <c r="DS65" s="94"/>
      <c r="DT65" s="93"/>
      <c r="DU65" s="93"/>
      <c r="DV65" s="93"/>
    </row>
    <row r="66" spans="1:126" s="45" customFormat="1">
      <c r="A66" s="32"/>
      <c r="B66" s="55" t="s">
        <v>76</v>
      </c>
      <c r="C66" s="93"/>
      <c r="D66" s="93"/>
      <c r="E66" s="93"/>
      <c r="F66" s="93"/>
      <c r="G66" s="93"/>
      <c r="H66" s="93"/>
      <c r="I66" s="93"/>
      <c r="J66" s="94"/>
      <c r="K66" s="94"/>
      <c r="L66" s="94"/>
      <c r="M66" s="94"/>
      <c r="N66" s="93"/>
      <c r="O66" s="94"/>
      <c r="P66" s="94"/>
      <c r="Q66" s="94"/>
      <c r="R66" s="94"/>
      <c r="S66" s="93"/>
      <c r="T66" s="94"/>
      <c r="U66" s="94"/>
      <c r="V66" s="94"/>
      <c r="W66" s="94"/>
      <c r="X66" s="93"/>
      <c r="Y66" s="94"/>
      <c r="Z66" s="94"/>
      <c r="AA66" s="94"/>
      <c r="AB66" s="94"/>
      <c r="AC66" s="93"/>
      <c r="AD66" s="94"/>
      <c r="AE66" s="94"/>
      <c r="AF66" s="94"/>
      <c r="AG66" s="94"/>
      <c r="AH66" s="93"/>
      <c r="AI66" s="94"/>
      <c r="AJ66" s="94"/>
      <c r="AK66" s="94"/>
      <c r="AL66" s="94"/>
      <c r="AM66" s="93"/>
      <c r="AN66" s="94"/>
      <c r="AO66" s="94"/>
      <c r="AP66" s="94"/>
      <c r="AQ66" s="94"/>
      <c r="AR66" s="93"/>
      <c r="AS66" s="94"/>
      <c r="AT66" s="94"/>
      <c r="AU66" s="207"/>
      <c r="AV66" s="94"/>
      <c r="AW66" s="93"/>
      <c r="AX66" s="94"/>
      <c r="AY66" s="94"/>
      <c r="AZ66" s="94"/>
      <c r="BA66" s="94"/>
      <c r="BB66" s="93"/>
      <c r="BC66" s="94"/>
      <c r="BD66" s="94"/>
      <c r="BE66" s="94"/>
      <c r="BF66" s="94"/>
      <c r="BG66" s="93"/>
      <c r="BH66" s="94"/>
      <c r="BI66" s="94"/>
      <c r="BJ66" s="94"/>
      <c r="BK66" s="94"/>
      <c r="BL66" s="93"/>
      <c r="BM66" s="94"/>
      <c r="BN66" s="94"/>
      <c r="BO66" s="94"/>
      <c r="BP66" s="94"/>
      <c r="BQ66" s="93"/>
      <c r="BR66" s="94"/>
      <c r="BS66" s="94"/>
      <c r="BT66" s="94"/>
      <c r="BU66" s="94"/>
      <c r="BV66" s="93"/>
      <c r="BW66" s="94"/>
      <c r="BX66" s="94"/>
      <c r="BY66" s="94"/>
      <c r="BZ66" s="94"/>
      <c r="CA66" s="93"/>
      <c r="CB66" s="94"/>
      <c r="CC66" s="94"/>
      <c r="CD66" s="94"/>
      <c r="CE66" s="94"/>
      <c r="CF66" s="93"/>
      <c r="CG66" s="94" t="str">
        <f>IF(ISERROR(CG6/CE6-1),"",(CG6/CE6-1))</f>
        <v/>
      </c>
      <c r="CH66" s="94">
        <f>IF(ISERROR(CH6/CG6-1),"",(CH6/CG6-1))</f>
        <v>4.081632653061229E-2</v>
      </c>
      <c r="CI66" s="94">
        <f>IF(ISERROR(CI6/CH6-1),"",(CI6/CH6-1))</f>
        <v>1.7738435179897039E-2</v>
      </c>
      <c r="CJ66" s="94">
        <f>IF(ISERROR(CJ6/CI6-1),"",(CJ6/CI6-1))</f>
        <v>4.0816326530612512E-2</v>
      </c>
      <c r="CK66" s="93"/>
      <c r="CL66" s="94">
        <f>IF(ISERROR(CL6/CJ6-1),"",(CL6/CJ6-1))</f>
        <v>-5.2598230482912678E-2</v>
      </c>
      <c r="CM66" s="94">
        <f>IF(ISERROR(CM6/CL6-1),"",(CM6/CL6-1))</f>
        <v>-0.21576066337867861</v>
      </c>
      <c r="CN66" s="94">
        <f>IF(ISERROR(CN6/CM6-1),"",(CN6/CM6-1))</f>
        <v>1.9143054595715192E-2</v>
      </c>
      <c r="CO66" s="94">
        <f>IF(ISERROR(CO6/CN6-1),"",(CO6/CN6-1))</f>
        <v>0.11337899233742466</v>
      </c>
      <c r="CP66" s="93"/>
      <c r="CQ66" s="94">
        <f>IF(ISERROR(CQ6/CO6-1),"",(CQ6/CO6-1))</f>
        <v>-7.1137097265363325E-2</v>
      </c>
      <c r="CR66" s="94">
        <f>IF(ISERROR(CR6/CQ6-1),"",(CR6/CQ6-1))</f>
        <v>4.1243197167398771E-2</v>
      </c>
      <c r="CS66" s="94">
        <f>IF(ISERROR(CS6/CR6-1),"",(CS6/CR6-1))</f>
        <v>2.0969773299748029E-2</v>
      </c>
      <c r="CT66" s="94">
        <f>IF(ISERROR(CT6/CS6-1),"",(CT6/CS6-1))</f>
        <v>5.1255165607845488E-2</v>
      </c>
      <c r="CU66" s="93"/>
      <c r="CV66" s="94">
        <f>IF(ISERROR(CV6/CT6-1),"",(CV6/CT6-1))</f>
        <v>-7.7915982163811348E-2</v>
      </c>
      <c r="CW66" s="94">
        <f>IF(ISERROR(CW6/CV6-1),"",(CW6/CV6-1))</f>
        <v>3.8050394502417983E-2</v>
      </c>
      <c r="CX66" s="94">
        <f>IF(ISERROR(CX6/CW6-1),"",(CX6/CW6-1))</f>
        <v>3.9046217972293684E-2</v>
      </c>
      <c r="CY66" s="94">
        <f>IF(ISERROR(CY6/CX6-1),"",(CY6/CX6-1))</f>
        <v>6.7370656598430667E-2</v>
      </c>
      <c r="CZ66" s="93"/>
      <c r="DA66" s="94">
        <f>IF(ISERROR(DA6/CY6-1),"",(DA6/CY6-1))</f>
        <v>-4.8582324655944253E-2</v>
      </c>
      <c r="DB66" s="94">
        <f>IF(ISERROR(DB6/DA6-1),"",(DB6/DA6-1))</f>
        <v>6.3959567793656413E-2</v>
      </c>
      <c r="DC66" s="94">
        <f>IF(ISERROR(DC6/DB6-1),"",(DC6/DB6-1))</f>
        <v>-0.26486486486486482</v>
      </c>
      <c r="DD66" s="94">
        <f>IF(ISERROR(DD6/DC6-1),"",(DD6/DC6-1))</f>
        <v>0.48002079619726667</v>
      </c>
      <c r="DE66" s="93"/>
      <c r="DF66" s="94">
        <f>IF(ISERROR(DF6/DD6-1),"",(DF6/DD6-1))</f>
        <v>-3.1213930847593718E-2</v>
      </c>
      <c r="DG66" s="94">
        <f>IF(ISERROR(DG6/DE6-1),"",(DG6/DE6-1))</f>
        <v>-0.71385664538595472</v>
      </c>
      <c r="DH66" s="94">
        <f>IF(ISERROR(DH6/DG6-1),"",(DH6/DG6-1))</f>
        <v>1.8660311343238201E-2</v>
      </c>
      <c r="DI66" s="94">
        <f>IF(ISERROR(DI6/DH6-1),"",(DI6/DH6-1))</f>
        <v>7.6360197122803619E-2</v>
      </c>
      <c r="DJ66" s="93"/>
      <c r="DK66" s="94">
        <f>IF(ISERROR(DK6/DI6-1),"",(DK6/DI6-1))</f>
        <v>-6.0907367155343839E-2</v>
      </c>
      <c r="DL66" s="94">
        <f>IF(ISERROR(DL6/DK6-1),"",(DL6/DK6-1))</f>
        <v>6.2789323352703708E-2</v>
      </c>
      <c r="DM66" s="94">
        <f>IF(ISERROR(DM6/DL6-1),"",(DM6/DL6-1))</f>
        <v>4.1564339001899819E-2</v>
      </c>
      <c r="DN66" s="94">
        <f>IF(ISERROR(DN6/DM6-1),"",(DN6/DM6-1))</f>
        <v>5.4449239256162407E-3</v>
      </c>
      <c r="DO66" s="93"/>
      <c r="DP66" s="94">
        <f>IF(ISERROR(DP6/DO6-1),"",(DP6/DO6-1))</f>
        <v>-0.75378607795829955</v>
      </c>
      <c r="DQ66" s="94">
        <f>IF(ISERROR(DQ6/DP6-1),"",(DQ6/DP6-1))</f>
        <v>5.8286977123671813E-2</v>
      </c>
      <c r="DR66" s="94">
        <f>IF(ISERROR(DR6/DQ6-1),"",(DR6/DQ6-1))</f>
        <v>5.4033744545928464E-2</v>
      </c>
      <c r="DS66" s="94">
        <f>IF(ISERROR(DS6/DR6-1),"",(DS6/DR6-1))</f>
        <v>1.4504571407422118E-2</v>
      </c>
      <c r="DT66" s="93"/>
      <c r="DU66" s="93"/>
      <c r="DV66" s="93"/>
    </row>
    <row r="67" spans="1:126" s="45" customFormat="1">
      <c r="A67" s="32"/>
      <c r="B67" s="55" t="s">
        <v>89</v>
      </c>
      <c r="C67" s="93"/>
      <c r="D67" s="93"/>
      <c r="E67" s="93"/>
      <c r="F67" s="93"/>
      <c r="G67" s="93"/>
      <c r="H67" s="93"/>
      <c r="I67" s="93"/>
      <c r="J67" s="94"/>
      <c r="K67" s="94"/>
      <c r="L67" s="94"/>
      <c r="M67" s="94"/>
      <c r="N67" s="93"/>
      <c r="O67" s="94"/>
      <c r="P67" s="94"/>
      <c r="Q67" s="94"/>
      <c r="R67" s="94"/>
      <c r="S67" s="93"/>
      <c r="T67" s="94"/>
      <c r="U67" s="94"/>
      <c r="V67" s="94"/>
      <c r="W67" s="94"/>
      <c r="X67" s="93"/>
      <c r="Y67" s="94"/>
      <c r="Z67" s="94"/>
      <c r="AA67" s="94"/>
      <c r="AB67" s="94"/>
      <c r="AC67" s="93"/>
      <c r="AD67" s="94"/>
      <c r="AE67" s="94"/>
      <c r="AF67" s="94"/>
      <c r="AG67" s="94"/>
      <c r="AH67" s="93"/>
      <c r="AI67" s="94"/>
      <c r="AJ67" s="94"/>
      <c r="AK67" s="94"/>
      <c r="AL67" s="94"/>
      <c r="AM67" s="93"/>
      <c r="AN67" s="94"/>
      <c r="AO67" s="94"/>
      <c r="AP67" s="94"/>
      <c r="AQ67" s="94"/>
      <c r="AR67" s="93"/>
      <c r="AS67" s="94"/>
      <c r="AT67" s="94"/>
      <c r="AU67" s="207"/>
      <c r="AV67" s="94"/>
      <c r="AW67" s="93"/>
      <c r="AX67" s="94"/>
      <c r="AY67" s="94"/>
      <c r="AZ67" s="94"/>
      <c r="BA67" s="94"/>
      <c r="BB67" s="93"/>
      <c r="BC67" s="94"/>
      <c r="BD67" s="94"/>
      <c r="BE67" s="94"/>
      <c r="BF67" s="94"/>
      <c r="BG67" s="93"/>
      <c r="BH67" s="94"/>
      <c r="BI67" s="94"/>
      <c r="BJ67" s="94"/>
      <c r="BK67" s="94"/>
      <c r="BL67" s="93"/>
      <c r="BM67" s="94"/>
      <c r="BN67" s="94"/>
      <c r="BO67" s="94"/>
      <c r="BP67" s="94"/>
      <c r="BQ67" s="93"/>
      <c r="BR67" s="94"/>
      <c r="BS67" s="94"/>
      <c r="BT67" s="94"/>
      <c r="BU67" s="94"/>
      <c r="BV67" s="93"/>
      <c r="BW67" s="94"/>
      <c r="BX67" s="94"/>
      <c r="BY67" s="94"/>
      <c r="BZ67" s="94"/>
      <c r="CA67" s="93"/>
      <c r="CB67" s="94"/>
      <c r="CC67" s="94"/>
      <c r="CD67" s="94"/>
      <c r="CE67" s="94"/>
      <c r="CF67" s="93"/>
      <c r="CG67" s="94" t="str">
        <f>IF(ISERROR(CG45/CE45-1),"",(CG45/CE45-1))</f>
        <v/>
      </c>
      <c r="CH67" s="94">
        <f>IF(ISERROR(CH45/CG45-1),"",(CH45/CG45-1))</f>
        <v>4.586732338002153E-2</v>
      </c>
      <c r="CI67" s="94">
        <f t="shared" ref="CI67" si="359">IF(ISERROR(CI45/CH45-1),"",(CI45/CH45-1))</f>
        <v>2.2369389256806427E-2</v>
      </c>
      <c r="CJ67" s="94">
        <f t="shared" ref="CJ67" si="360">IF(ISERROR(CJ45/CI45-1),"",(CJ45/CI45-1))</f>
        <v>-6.8230891032100227E-2</v>
      </c>
      <c r="CK67" s="93"/>
      <c r="CL67" s="94">
        <f>IF(ISERROR(CL45/CJ45-1),"",(CL45/CJ45-1))</f>
        <v>-7.4715851779214137E-2</v>
      </c>
      <c r="CM67" s="94">
        <f>IF(ISERROR(CM45/CL45-1),"",(CM45/CL45-1))</f>
        <v>-0.4822027731035371</v>
      </c>
      <c r="CN67" s="94">
        <f t="shared" ref="CN67" si="361">IF(ISERROR(CN45/CM45-1),"",(CN45/CM45-1))</f>
        <v>0.25067832814508018</v>
      </c>
      <c r="CO67" s="94">
        <f t="shared" ref="CO67" si="362">IF(ISERROR(CO45/CN45-1),"",(CO45/CN45-1))</f>
        <v>-4.6417222022109628E-2</v>
      </c>
      <c r="CP67" s="93"/>
      <c r="CQ67" s="94">
        <f>IF(ISERROR(CQ45/CO45-1),"",(CQ45/CO45-1))</f>
        <v>0.23109448825072798</v>
      </c>
      <c r="CR67" s="94">
        <f>IF(ISERROR(CR45/CQ45-1),"",(CR45/CQ45-1))</f>
        <v>9.6978481196194011E-2</v>
      </c>
      <c r="CS67" s="94">
        <f t="shared" ref="CS67" si="363">IF(ISERROR(CS45/CR45-1),"",(CS45/CR45-1))</f>
        <v>-1.1815812453521257E-2</v>
      </c>
      <c r="CT67" s="94">
        <f t="shared" ref="CT67" si="364">IF(ISERROR(CT45/CS45-1),"",(CT45/CS45-1))</f>
        <v>3.4378616757500646E-2</v>
      </c>
      <c r="CU67" s="93"/>
      <c r="CV67" s="94">
        <f>IF(ISERROR(CV45/CT45-1),"",(CV45/CT45-1))</f>
        <v>-4.027970700587602E-2</v>
      </c>
      <c r="CW67" s="94">
        <f>IF(ISERROR(CW45/CV45-1),"",(CW45/CV45-1))</f>
        <v>8.5714285714286742E-3</v>
      </c>
      <c r="CX67" s="94">
        <f t="shared" ref="CX67" si="365">IF(ISERROR(CX45/CW45-1),"",(CX45/CW45-1))</f>
        <v>4.8563334682314885E-2</v>
      </c>
      <c r="CY67" s="94">
        <f t="shared" ref="CY67" si="366">IF(ISERROR(CY45/CX45-1),"",(CY45/CX45-1))</f>
        <v>9.6487842531840506E-3</v>
      </c>
      <c r="CZ67" s="93"/>
      <c r="DA67" s="94">
        <f>IF(ISERROR(DA45/CY45-1),"",(DA45/CY45-1))</f>
        <v>2.9816513761467878E-2</v>
      </c>
      <c r="DB67" s="94">
        <f>IF(ISERROR(DB45/DA45-1),"",(DB45/DA45-1))</f>
        <v>3.8604305864884836E-2</v>
      </c>
      <c r="DC67" s="94">
        <f t="shared" ref="DC67" si="367">IF(ISERROR(DC45/DB45-1),"",(DC45/DB45-1))</f>
        <v>-4.6461758398855801E-3</v>
      </c>
      <c r="DD67" s="94">
        <f t="shared" ref="DD67" si="368">IF(ISERROR(DD45/DC45-1),"",(DD45/DC45-1))</f>
        <v>1.6517055655296264E-2</v>
      </c>
      <c r="DE67" s="93"/>
      <c r="DF67" s="94">
        <f>IF(ISERROR(DF45/DD45-1),"",(DF45/DD45-1))</f>
        <v>7.0646414694455206E-3</v>
      </c>
      <c r="DG67" s="94">
        <f>IF(ISERROR(DG45/DE45-1),"",(DG45/DE45-1))</f>
        <v>-0.67302844796543027</v>
      </c>
      <c r="DH67" s="94">
        <f t="shared" ref="DH67" si="369">IF(ISERROR(DH45/DG45-1),"",(DH45/DG45-1))</f>
        <v>-1.6244493392070458E-2</v>
      </c>
      <c r="DI67" s="94">
        <f t="shared" ref="DI67" si="370">IF(ISERROR(DI45/DH45-1),"",(DI45/DH45-1))</f>
        <v>0.11698852504897839</v>
      </c>
      <c r="DJ67" s="93"/>
      <c r="DK67" s="94">
        <f>IF(ISERROR(DK45/DI45-1),"",(DK45/DI45-1))</f>
        <v>-0.18692057128539208</v>
      </c>
      <c r="DL67" s="94">
        <f>IF(ISERROR(DL45/DK45-1),"",(DL45/DK45-1))</f>
        <v>4.2218798151001602E-2</v>
      </c>
      <c r="DM67" s="94">
        <f t="shared" ref="DM67" si="371">IF(ISERROR(DM45/DL45-1),"",(DM45/DL45-1))</f>
        <v>4.967474866942645E-2</v>
      </c>
      <c r="DN67" s="94">
        <f t="shared" ref="DN67" si="372">IF(ISERROR(DN45/DM45-1),"",(DN45/DM45-1))</f>
        <v>-4.545531690140836E-2</v>
      </c>
      <c r="DO67" s="93"/>
      <c r="DP67" s="94">
        <f>IF(ISERROR(DP45/DO45-1),"",(DP45/DO45-1))</f>
        <v>-0.75946074181552836</v>
      </c>
      <c r="DQ67" s="94">
        <f>IF(ISERROR(DQ45/DP45-1),"",(DQ45/DP45-1))</f>
        <v>6.5384782042447354E-2</v>
      </c>
      <c r="DR67" s="94">
        <f t="shared" ref="DR67" si="373">IF(ISERROR(DR45/DQ45-1),"",(DR45/DQ45-1))</f>
        <v>7.5584466764905489E-2</v>
      </c>
      <c r="DS67" s="94">
        <f t="shared" ref="DS67" si="374">IF(ISERROR(DS45/DR45-1),"",(DS45/DR45-1))</f>
        <v>6.3585606281233442E-3</v>
      </c>
      <c r="DT67" s="93"/>
      <c r="DU67" s="93"/>
      <c r="DV67" s="93"/>
    </row>
    <row r="68" spans="1:126" s="45" customFormat="1">
      <c r="A68" s="32"/>
      <c r="B68" s="55" t="s">
        <v>34</v>
      </c>
      <c r="C68" s="93"/>
      <c r="D68" s="93"/>
      <c r="E68" s="93"/>
      <c r="F68" s="93"/>
      <c r="G68" s="93"/>
      <c r="H68" s="93"/>
      <c r="I68" s="93"/>
      <c r="J68" s="94"/>
      <c r="K68" s="94"/>
      <c r="L68" s="94"/>
      <c r="M68" s="94"/>
      <c r="N68" s="93"/>
      <c r="O68" s="94"/>
      <c r="P68" s="94"/>
      <c r="Q68" s="94"/>
      <c r="R68" s="94"/>
      <c r="S68" s="93"/>
      <c r="T68" s="94"/>
      <c r="U68" s="94"/>
      <c r="V68" s="94"/>
      <c r="W68" s="94"/>
      <c r="X68" s="93"/>
      <c r="Y68" s="94"/>
      <c r="Z68" s="94"/>
      <c r="AA68" s="94"/>
      <c r="AB68" s="94"/>
      <c r="AC68" s="93"/>
      <c r="AD68" s="94"/>
      <c r="AE68" s="94"/>
      <c r="AF68" s="94"/>
      <c r="AG68" s="94"/>
      <c r="AH68" s="93"/>
      <c r="AI68" s="94"/>
      <c r="AJ68" s="94"/>
      <c r="AK68" s="94"/>
      <c r="AL68" s="94"/>
      <c r="AM68" s="93"/>
      <c r="AN68" s="94"/>
      <c r="AO68" s="94"/>
      <c r="AP68" s="94"/>
      <c r="AQ68" s="94"/>
      <c r="AR68" s="93"/>
      <c r="AS68" s="94"/>
      <c r="AT68" s="94"/>
      <c r="AU68" s="207"/>
      <c r="AV68" s="94"/>
      <c r="AW68" s="93"/>
      <c r="AX68" s="94"/>
      <c r="AY68" s="94"/>
      <c r="AZ68" s="94"/>
      <c r="BA68" s="94"/>
      <c r="BB68" s="93"/>
      <c r="BC68" s="94"/>
      <c r="BD68" s="94"/>
      <c r="BE68" s="94"/>
      <c r="BF68" s="94"/>
      <c r="BG68" s="93"/>
      <c r="BH68" s="94"/>
      <c r="BI68" s="94"/>
      <c r="BJ68" s="94"/>
      <c r="BK68" s="94"/>
      <c r="BL68" s="93"/>
      <c r="BM68" s="94"/>
      <c r="BN68" s="94"/>
      <c r="BO68" s="94"/>
      <c r="BP68" s="94"/>
      <c r="BQ68" s="93"/>
      <c r="BR68" s="94"/>
      <c r="BS68" s="94"/>
      <c r="BT68" s="94"/>
      <c r="BU68" s="94"/>
      <c r="BV68" s="93"/>
      <c r="BW68" s="94"/>
      <c r="BX68" s="94"/>
      <c r="BY68" s="94"/>
      <c r="BZ68" s="94"/>
      <c r="CA68" s="93"/>
      <c r="CB68" s="94"/>
      <c r="CC68" s="94"/>
      <c r="CD68" s="94"/>
      <c r="CE68" s="94"/>
      <c r="CF68" s="93"/>
      <c r="CG68" s="94">
        <f>IF(ISERROR(CG43/CE43-1),"",(CG43/CE43-1))</f>
        <v>-0.1598081461897134</v>
      </c>
      <c r="CH68" s="94">
        <f>IF(ISERROR(CH43/CG43-1),"",(CH43/CG43-1))</f>
        <v>7.710171853228065E-2</v>
      </c>
      <c r="CI68" s="94">
        <f>IF(ISERROR(CI43/CH43-1),"",(CI43/CH43-1))</f>
        <v>2.8460543337645472E-2</v>
      </c>
      <c r="CJ68" s="94">
        <f>IF(ISERROR(CJ43/CI43-1),"",(CJ43/CI43-1))</f>
        <v>-0.10482180293501053</v>
      </c>
      <c r="CK68" s="93"/>
      <c r="CL68" s="94">
        <f>IF(ISERROR(CL43/CJ43-1),"",(CL43/CJ43-1))</f>
        <v>6.1677820007762785E-2</v>
      </c>
      <c r="CM68" s="94">
        <f>IF(ISERROR(CM43/CL43-1),"",(CM43/CL43-1))</f>
        <v>-0.80604333460728506</v>
      </c>
      <c r="CN68" s="94">
        <f>IF(ISERROR(CN43/CM43-1),"",(CN43/CM43-1))</f>
        <v>0.7636084340421192</v>
      </c>
      <c r="CO68" s="94">
        <f>IF(ISERROR(CO43/CN43-1),"",(CO43/CN43-1))</f>
        <v>-0.10191432051354199</v>
      </c>
      <c r="CP68" s="93"/>
      <c r="CQ68" s="94">
        <f>IF(ISERROR(CQ43/CO43-1),"",(CQ43/CO43-1))</f>
        <v>0.65682917219245973</v>
      </c>
      <c r="CR68" s="94">
        <f>IF(ISERROR(CR43/CQ43-1),"",(CR43/CQ43-1))</f>
        <v>0.18357535110837975</v>
      </c>
      <c r="CS68" s="94">
        <f>IF(ISERROR(CS43/CR43-1),"",(CS43/CR43-1))</f>
        <v>-4.0651954916211985E-2</v>
      </c>
      <c r="CT68" s="94">
        <f>IF(ISERROR(CT43/CS43-1),"",(CT43/CS43-1))</f>
        <v>7.5455872133606716E-2</v>
      </c>
      <c r="CU68" s="93"/>
      <c r="CV68" s="94">
        <f>IF(ISERROR(CV43/CT43-1),"",(CV43/CT43-1))</f>
        <v>1.9287583735967617E-2</v>
      </c>
      <c r="CW68" s="94">
        <f>IF(ISERROR(CW43/CV43-1),"",(CW43/CV43-1))</f>
        <v>2.5069637883008422E-2</v>
      </c>
      <c r="CX68" s="94">
        <f>IF(ISERROR(CX43/CW43-1),"",(CX43/CW43-1))</f>
        <v>4.8913043478260976E-2</v>
      </c>
      <c r="CY68" s="94">
        <f>IF(ISERROR(CY43/CX43-1),"",(CY43/CX43-1))</f>
        <v>1.5544041450777257E-2</v>
      </c>
      <c r="CZ68" s="93"/>
      <c r="DA68" s="94">
        <f>IF(ISERROR(DA43/CY43-1),"",(DA43/CY43-1))</f>
        <v>5.8673469387755084E-2</v>
      </c>
      <c r="DB68" s="94">
        <f>IF(ISERROR(DB43/DA43-1),"",(DB43/DA43-1))</f>
        <v>5.6626506024096468E-2</v>
      </c>
      <c r="DC68" s="94">
        <f>IF(ISERROR(DC43/DB43-1),"",(DC43/DB43-1))</f>
        <v>-2.451539338654507E-2</v>
      </c>
      <c r="DD68" s="94">
        <f>IF(ISERROR(DD43/DC43-1),"",(DD43/DC43-1))</f>
        <v>3.5651665692577383E-2</v>
      </c>
      <c r="DE68" s="93"/>
      <c r="DF68" s="94">
        <f>IF(ISERROR(DF43/DD43-1),"",(DF43/DD43-1))</f>
        <v>1.1286681715575675E-2</v>
      </c>
      <c r="DG68" s="94">
        <f>IF(ISERROR(DG43/DE43-1),"",(DG43/DE43-1))</f>
        <v>-0.62882412643178198</v>
      </c>
      <c r="DH68" s="94">
        <f>IF(ISERROR(DH43/DG43-1),"",(DH43/DG43-1))</f>
        <v>-3.1640624999999978E-2</v>
      </c>
      <c r="DI68" s="94">
        <f>IF(ISERROR(DI43/DH43-1),"",(DI43/DH43-1))</f>
        <v>0.15046389673255356</v>
      </c>
      <c r="DJ68" s="93"/>
      <c r="DK68" s="94">
        <f>IF(ISERROR(DK43/DI43-1),"",(DK43/DI43-1))</f>
        <v>-0.2310659186535764</v>
      </c>
      <c r="DL68" s="94">
        <f>IF(ISERROR(DL43/DK43-1),"",(DL43/DK43-1))</f>
        <v>5.1527587779297779E-2</v>
      </c>
      <c r="DM68" s="94">
        <f>IF(ISERROR(DM43/DL43-1),"",(DM43/DL43-1))</f>
        <v>6.6348655680832591E-2</v>
      </c>
      <c r="DN68" s="94">
        <f>IF(ISERROR(DN43/DM43-1),"",(DN43/DM43-1))</f>
        <v>-5.5049359495729866E-2</v>
      </c>
      <c r="DO68" s="93"/>
      <c r="DP68" s="94">
        <f>IF(ISERROR(DP43/DO43-1),"",(DP43/DO43-1))</f>
        <v>-0.76368960010453979</v>
      </c>
      <c r="DQ68" s="94">
        <f>IF(ISERROR(DQ43/DP43-1),"",(DQ43/DP43-1))</f>
        <v>9.7056815009589403E-2</v>
      </c>
      <c r="DR68" s="94">
        <f>IF(ISERROR(DR43/DQ43-1),"",(DR43/DQ43-1))</f>
        <v>0.10895803894163714</v>
      </c>
      <c r="DS68" s="94">
        <f>IF(ISERROR(DS43/DR43-1),"",(DS43/DR43-1))</f>
        <v>8.8902699684123565E-3</v>
      </c>
      <c r="DT68" s="93"/>
      <c r="DU68" s="93"/>
      <c r="DV68" s="93"/>
    </row>
    <row r="69" spans="1:126" s="45" customFormat="1">
      <c r="A69" s="32"/>
      <c r="B69" s="55" t="s">
        <v>30</v>
      </c>
      <c r="C69" s="93"/>
      <c r="D69" s="93"/>
      <c r="E69" s="93"/>
      <c r="F69" s="93"/>
      <c r="G69" s="93"/>
      <c r="H69" s="93"/>
      <c r="I69" s="93"/>
      <c r="J69" s="94"/>
      <c r="K69" s="94"/>
      <c r="L69" s="94"/>
      <c r="M69" s="94"/>
      <c r="N69" s="93"/>
      <c r="O69" s="94"/>
      <c r="P69" s="94"/>
      <c r="Q69" s="94"/>
      <c r="R69" s="94"/>
      <c r="S69" s="93"/>
      <c r="T69" s="94"/>
      <c r="U69" s="94"/>
      <c r="V69" s="94"/>
      <c r="W69" s="94"/>
      <c r="X69" s="93"/>
      <c r="Y69" s="94"/>
      <c r="Z69" s="94"/>
      <c r="AA69" s="94"/>
      <c r="AB69" s="94"/>
      <c r="AC69" s="93"/>
      <c r="AD69" s="94"/>
      <c r="AE69" s="94"/>
      <c r="AF69" s="94"/>
      <c r="AG69" s="94"/>
      <c r="AH69" s="93"/>
      <c r="AI69" s="94"/>
      <c r="AJ69" s="94"/>
      <c r="AK69" s="94"/>
      <c r="AL69" s="94"/>
      <c r="AM69" s="93"/>
      <c r="AN69" s="94"/>
      <c r="AO69" s="94"/>
      <c r="AP69" s="94"/>
      <c r="AQ69" s="94"/>
      <c r="AR69" s="93"/>
      <c r="AS69" s="94"/>
      <c r="AT69" s="94"/>
      <c r="AU69" s="207"/>
      <c r="AV69" s="94"/>
      <c r="AW69" s="93"/>
      <c r="AX69" s="94"/>
      <c r="AY69" s="94"/>
      <c r="AZ69" s="94"/>
      <c r="BA69" s="94"/>
      <c r="BB69" s="93"/>
      <c r="BC69" s="94"/>
      <c r="BD69" s="94"/>
      <c r="BE69" s="94"/>
      <c r="BF69" s="94"/>
      <c r="BG69" s="93"/>
      <c r="BH69" s="94"/>
      <c r="BI69" s="94"/>
      <c r="BJ69" s="94"/>
      <c r="BK69" s="94"/>
      <c r="BL69" s="93"/>
      <c r="BM69" s="94"/>
      <c r="BN69" s="94"/>
      <c r="BO69" s="94"/>
      <c r="BP69" s="94"/>
      <c r="BQ69" s="93"/>
      <c r="BR69" s="94"/>
      <c r="BS69" s="94"/>
      <c r="BT69" s="94"/>
      <c r="BU69" s="94"/>
      <c r="BV69" s="93"/>
      <c r="BW69" s="94"/>
      <c r="BX69" s="94"/>
      <c r="BY69" s="94"/>
      <c r="BZ69" s="94"/>
      <c r="CA69" s="93"/>
      <c r="CB69" s="94"/>
      <c r="CC69" s="94"/>
      <c r="CD69" s="94"/>
      <c r="CE69" s="94"/>
      <c r="CF69" s="93"/>
      <c r="CG69" s="94" t="str">
        <f>IF(ISERROR(CG19/CE19-1),"",(CG19/CE19-1))</f>
        <v/>
      </c>
      <c r="CH69" s="94">
        <f>IF(ISERROR(CH19/CG19-1),"",(CH19/CG19-1))</f>
        <v>0.21491565006299362</v>
      </c>
      <c r="CI69" s="94">
        <f>IF(ISERROR(CI19/CH19-1),"",(CI19/CH19-1))</f>
        <v>5.5239396008801567E-3</v>
      </c>
      <c r="CJ69" s="94">
        <f>IF(ISERROR(CJ19/CI19-1),"",(CJ19/CI19-1))</f>
        <v>-0.21458216996936263</v>
      </c>
      <c r="CK69" s="93"/>
      <c r="CL69" s="94">
        <f>IF(ISERROR(CL19/CJ19-1),"",(CL19/CJ19-1))</f>
        <v>0.10701889606983661</v>
      </c>
      <c r="CM69" s="94">
        <f>IF(ISERROR(CM19/CL19-1),"",(CM19/CL19-1))</f>
        <v>-3.1441846179910766</v>
      </c>
      <c r="CN69" s="94">
        <f>IF(ISERROR(CN19/CM19-1),"",(CN19/CM19-1))</f>
        <v>-1.0407467382218349</v>
      </c>
      <c r="CO69" s="94">
        <f>IF(ISERROR(CO19/CN19-1),"",(CO19/CN19-1))</f>
        <v>-3.3112582781456901E-2</v>
      </c>
      <c r="CP69" s="93"/>
      <c r="CQ69" s="94">
        <f>IF(ISERROR(CQ19/CO19-1),"",(CQ19/CO19-1))</f>
        <v>4.2876712328767121</v>
      </c>
      <c r="CR69" s="94">
        <f>IF(ISERROR(CR19/CQ19-1),"",(CR19/CQ19-1))</f>
        <v>0.34715025906735741</v>
      </c>
      <c r="CS69" s="94">
        <f>IF(ISERROR(CS19/CR19-1),"",(CS19/CR19-1))</f>
        <v>0.34615384615384626</v>
      </c>
      <c r="CT69" s="94">
        <f>IF(ISERROR(CT19/CS19-1),"",(CT19/CS19-1))</f>
        <v>-0.51071428571428568</v>
      </c>
      <c r="CU69" s="93"/>
      <c r="CV69" s="94">
        <f>IF(ISERROR(CV19/CT19-1),"",(CV19/CT19-1))</f>
        <v>0.61021897810218984</v>
      </c>
      <c r="CW69" s="94">
        <f>IF(ISERROR(CW19/CV19-1),"",(CW19/CV19-1))</f>
        <v>0.18223028105167716</v>
      </c>
      <c r="CX69" s="94">
        <f>IF(ISERROR(CX19/CW19-1),"",(CX19/CW19-1))</f>
        <v>6.3650306748466168E-2</v>
      </c>
      <c r="CY69" s="94">
        <f>IF(ISERROR(CY19/CX19-1),"",(CY19/CX19-1))</f>
        <v>2.5234318673395872E-2</v>
      </c>
      <c r="CZ69" s="93"/>
      <c r="DA69" s="94">
        <f>IF(ISERROR(DA19/CY19-1),"",(DA19/CY19-1))</f>
        <v>2.8129395218001729E-3</v>
      </c>
      <c r="DB69" s="94">
        <f>IF(ISERROR(DB19/DA19-1),"",(DB19/DA19-1))</f>
        <v>-6.9424964936886435E-2</v>
      </c>
      <c r="DC69" s="94">
        <f>IF(ISERROR(DC19/DB19-1),"",(DC19/DB19-1))</f>
        <v>-1.741522230595328</v>
      </c>
      <c r="DD69" s="94">
        <f>IF(ISERROR(DD19/DC19-1),"",(DD19/DC19-1))</f>
        <v>-2.4491869918699187</v>
      </c>
      <c r="DE69" s="93"/>
      <c r="DF69" s="94">
        <f>IF(ISERROR(DF19/DD19-1),"",(DF19/DD19-1))</f>
        <v>0.19845722300140256</v>
      </c>
      <c r="DG69" s="94">
        <f>IF(ISERROR(DG19/DE19-1),"",(DG19/DE19-1))</f>
        <v>-0.96525821596244132</v>
      </c>
      <c r="DH69" s="94">
        <f>IF(ISERROR(DH19/DG19-1),"",(DH19/DG19-1))</f>
        <v>12.261261261261261</v>
      </c>
      <c r="DI69" s="94">
        <f>IF(ISERROR(DI19/DH19-1),"",(DI19/DH19-1))</f>
        <v>6.7934782608696231E-3</v>
      </c>
      <c r="DJ69" s="93"/>
      <c r="DK69" s="94">
        <f>IF(ISERROR(DK19/DI19-1),"",(DK19/DI19-1))</f>
        <v>3.5762483130904243E-2</v>
      </c>
      <c r="DL69" s="94">
        <f>IF(ISERROR(DL19/DK19-1),"",(DL19/DK19-1))</f>
        <v>7.947882736156342E-2</v>
      </c>
      <c r="DM69" s="94">
        <f>IF(ISERROR(DM19/DL19-1),"",(DM19/DL19-1))</f>
        <v>0.1575135787567894</v>
      </c>
      <c r="DN69" s="94">
        <f>IF(ISERROR(DN19/DM19-1),"",(DN19/DM19-1))</f>
        <v>-0.16561278008342017</v>
      </c>
      <c r="DO69" s="93"/>
      <c r="DP69" s="94">
        <f>IF(ISERROR(DP19/DO19-1),"",(DP19/DO19-1))</f>
        <v>-0.75808899696445042</v>
      </c>
      <c r="DQ69" s="94">
        <f>IF(ISERROR(DQ19/DP19-1),"",(DQ19/DP19-1))</f>
        <v>0.10026931583190368</v>
      </c>
      <c r="DR69" s="94">
        <f>IF(ISERROR(DR19/DQ19-1),"",(DR19/DQ19-1))</f>
        <v>0.11735495153171227</v>
      </c>
      <c r="DS69" s="94">
        <f>IF(ISERROR(DS19/DR19-1),"",(DS19/DR19-1))</f>
        <v>9.9470693877687921E-3</v>
      </c>
      <c r="DT69" s="93"/>
      <c r="DU69" s="93"/>
      <c r="DV69" s="93"/>
    </row>
    <row r="70" spans="1:126" s="45" customFormat="1">
      <c r="A70" s="7"/>
      <c r="B70" s="71" t="s">
        <v>97</v>
      </c>
      <c r="C70" s="95"/>
      <c r="D70" s="95"/>
      <c r="E70" s="95"/>
      <c r="F70" s="95"/>
      <c r="G70" s="95"/>
      <c r="H70" s="95"/>
      <c r="I70" s="95"/>
      <c r="J70" s="96"/>
      <c r="K70" s="96"/>
      <c r="L70" s="96"/>
      <c r="M70" s="96"/>
      <c r="N70" s="95"/>
      <c r="O70" s="96"/>
      <c r="P70" s="96"/>
      <c r="Q70" s="96"/>
      <c r="R70" s="96"/>
      <c r="S70" s="95"/>
      <c r="T70" s="96"/>
      <c r="U70" s="96"/>
      <c r="V70" s="96"/>
      <c r="W70" s="96"/>
      <c r="X70" s="95"/>
      <c r="Y70" s="96"/>
      <c r="Z70" s="96"/>
      <c r="AA70" s="96"/>
      <c r="AB70" s="96"/>
      <c r="AC70" s="95"/>
      <c r="AD70" s="96"/>
      <c r="AE70" s="96"/>
      <c r="AF70" s="96"/>
      <c r="AG70" s="96"/>
      <c r="AH70" s="95"/>
      <c r="AI70" s="96"/>
      <c r="AJ70" s="96"/>
      <c r="AK70" s="96"/>
      <c r="AL70" s="96"/>
      <c r="AM70" s="95"/>
      <c r="AN70" s="96"/>
      <c r="AO70" s="96"/>
      <c r="AP70" s="96"/>
      <c r="AQ70" s="96"/>
      <c r="AR70" s="95"/>
      <c r="AS70" s="96"/>
      <c r="AT70" s="96"/>
      <c r="AU70" s="213"/>
      <c r="AV70" s="96"/>
      <c r="AW70" s="95"/>
      <c r="AX70" s="96"/>
      <c r="AY70" s="96"/>
      <c r="AZ70" s="96"/>
      <c r="BA70" s="96"/>
      <c r="BB70" s="95"/>
      <c r="BC70" s="96"/>
      <c r="BD70" s="96"/>
      <c r="BE70" s="96"/>
      <c r="BF70" s="96"/>
      <c r="BG70" s="95"/>
      <c r="BH70" s="96"/>
      <c r="BI70" s="96"/>
      <c r="BJ70" s="96"/>
      <c r="BK70" s="96"/>
      <c r="BL70" s="95"/>
      <c r="BM70" s="96"/>
      <c r="BN70" s="96"/>
      <c r="BO70" s="96"/>
      <c r="BP70" s="96"/>
      <c r="BQ70" s="95"/>
      <c r="BR70" s="96"/>
      <c r="BS70" s="96"/>
      <c r="BT70" s="96"/>
      <c r="BU70" s="96"/>
      <c r="BV70" s="95"/>
      <c r="BW70" s="96"/>
      <c r="BX70" s="96"/>
      <c r="BY70" s="96"/>
      <c r="BZ70" s="96"/>
      <c r="CA70" s="95"/>
      <c r="CB70" s="96"/>
      <c r="CC70" s="96"/>
      <c r="CD70" s="96"/>
      <c r="CE70" s="96"/>
      <c r="CF70" s="95"/>
      <c r="CG70" s="96" t="str">
        <f>IF(ISERROR(CG22/CE22-1),"",(CG22/CE22-1))</f>
        <v/>
      </c>
      <c r="CH70" s="96">
        <f>IF(ISERROR(CH22/CG22-1),"",(CH22/CG22-1))</f>
        <v>0.21491565006299362</v>
      </c>
      <c r="CI70" s="96">
        <f>IF(ISERROR(CI22/CH22-1),"",(CI22/CH22-1))</f>
        <v>1.1552620935626479E-3</v>
      </c>
      <c r="CJ70" s="96">
        <f>IF(ISERROR(CJ22/CI22-1),"",(CJ22/CI22-1))</f>
        <v>-0.21458216996936252</v>
      </c>
      <c r="CK70" s="95"/>
      <c r="CL70" s="96">
        <f>IF(ISERROR(CL22/CJ22-1),"",(CL22/CJ22-1))</f>
        <v>0.10789406747459562</v>
      </c>
      <c r="CM70" s="96">
        <f>IF(ISERROR(CM22/CL22-1),"",(CM22/CL22-1))</f>
        <v>-3.1678930471249287</v>
      </c>
      <c r="CN70" s="96">
        <f>IF(ISERROR(CN22/CM22-1),"",(CN22/CM22-1))</f>
        <v>-1.0403996024913755</v>
      </c>
      <c r="CO70" s="96">
        <f>IF(ISERROR(CO22/CN22-1),"",(CO22/CN22-1))</f>
        <v>-3.3878232049414092E-2</v>
      </c>
      <c r="CP70" s="95"/>
      <c r="CQ70" s="96">
        <f>IF(ISERROR(CQ22/CO22-1),"",(CQ22/CO22-1))</f>
        <v>4.2922112055355468</v>
      </c>
      <c r="CR70" s="96">
        <f>IF(ISERROR(CR22/CQ22-1),"",(CR22/CQ22-1))</f>
        <v>0.34768431268839506</v>
      </c>
      <c r="CS70" s="96">
        <f>IF(ISERROR(CS22/CR22-1),"",(CS22/CR22-1))</f>
        <v>0.35294763673142038</v>
      </c>
      <c r="CT70" s="96">
        <f>IF(ISERROR(CT22/CS22-1),"",(CT22/CS22-1))</f>
        <v>-0.50885524787171232</v>
      </c>
      <c r="CU70" s="95"/>
      <c r="CV70" s="96">
        <f>IF(ISERROR(CV22/CT22-1),"",(CV22/CT22-1))</f>
        <v>0.61269144198471537</v>
      </c>
      <c r="CW70" s="96">
        <f>IF(ISERROR(CW22/CV22-1),"",(CW22/CV22-1))</f>
        <v>0.18881762754249976</v>
      </c>
      <c r="CX70" s="96">
        <f>IF(ISERROR(CX22/CW22-1),"",(CX22/CW22-1))</f>
        <v>7.1056240743943233E-2</v>
      </c>
      <c r="CY70" s="96">
        <f>IF(ISERROR(CY22/CX22-1),"",(CY22/CX22-1))</f>
        <v>2.7317704811728349E-2</v>
      </c>
      <c r="CZ70" s="95"/>
      <c r="DA70" s="96">
        <f>IF(ISERROR(DA22/CY22-1),"",(DA22/CY22-1))</f>
        <v>4.2414479826575757E-3</v>
      </c>
      <c r="DB70" s="96">
        <f>IF(ISERROR(DB22/DA22-1),"",(DB22/DA22-1))</f>
        <v>-6.5940139790262031E-2</v>
      </c>
      <c r="DC70" s="96">
        <f>IF(ISERROR(DC22/DB22-1),"",(DC22/DB22-1))</f>
        <v>-1.7481443292404739</v>
      </c>
      <c r="DD70" s="96">
        <f>IF(ISERROR(DD22/DC22-1),"",(DD22/DC22-1))</f>
        <v>-2.5492263377139164</v>
      </c>
      <c r="DE70" s="95"/>
      <c r="DF70" s="96">
        <f>IF(ISERROR(DF22/DD22-1),"",(DF22/DD22-1))</f>
        <v>0.22032393670904815</v>
      </c>
      <c r="DG70" s="96">
        <f>IF(ISERROR(DG22/DE22-1),"",(DG22/DE22-1))</f>
        <v>-0.9627220217212672</v>
      </c>
      <c r="DH70" s="96">
        <f>IF(ISERROR(DH22/DG22-1),"",(DH22/DG22-1))</f>
        <v>12.220872633144213</v>
      </c>
      <c r="DI70" s="96">
        <f>IF(ISERROR(DI22/DH22-1),"",(DI22/DH22-1))</f>
        <v>4.7782492659074194E-3</v>
      </c>
      <c r="DJ70" s="95"/>
      <c r="DK70" s="96">
        <f>IF(ISERROR(DK22/DI22-1),"",(DK22/DI22-1))</f>
        <v>3.3540474548954702E-2</v>
      </c>
      <c r="DL70" s="96">
        <f>IF(ISERROR(DL22/DK22-1),"",(DL22/DK22-1))</f>
        <v>7.7724873580030662E-2</v>
      </c>
      <c r="DM70" s="96">
        <f>IF(ISERROR(DM22/DL22-1),"",(DM22/DL22-1))</f>
        <v>0.15376427093396106</v>
      </c>
      <c r="DN70" s="96">
        <f>IF(ISERROR(DN22/DM22-1),"",(DN22/DM22-1))</f>
        <v>-0.16622657088812554</v>
      </c>
      <c r="DO70" s="95"/>
      <c r="DP70" s="96">
        <f>IF(ISERROR(DP22/DO22-1),"",(DP22/DO22-1))</f>
        <v>-0.75835632163260525</v>
      </c>
      <c r="DQ70" s="96">
        <f>IF(ISERROR(DQ22/DP22-1),"",(DQ22/DP22-1))</f>
        <v>0.10270641561593763</v>
      </c>
      <c r="DR70" s="96">
        <f>IF(ISERROR(DR22/DQ22-1),"",(DR22/DQ22-1))</f>
        <v>0.12149514328927746</v>
      </c>
      <c r="DS70" s="96">
        <f>IF(ISERROR(DS22/DR22-1),"",(DS22/DR22-1))</f>
        <v>1.3703195054935557E-2</v>
      </c>
      <c r="DT70" s="95"/>
      <c r="DU70" s="95"/>
      <c r="DV70" s="95"/>
    </row>
    <row r="71" spans="1:126" s="45" customFormat="1" ht="6" customHeight="1" thickBot="1">
      <c r="A71" s="32"/>
      <c r="B71" s="32"/>
      <c r="C71" s="46"/>
      <c r="D71" s="46"/>
      <c r="E71" s="46"/>
      <c r="F71" s="46"/>
      <c r="G71" s="46"/>
      <c r="H71" s="46"/>
      <c r="I71" s="46"/>
      <c r="J71" s="32"/>
      <c r="K71" s="32"/>
      <c r="L71" s="32"/>
      <c r="M71" s="32"/>
      <c r="N71" s="46"/>
      <c r="O71" s="32"/>
      <c r="P71" s="32"/>
      <c r="Q71" s="32"/>
      <c r="R71" s="32"/>
      <c r="S71" s="46"/>
      <c r="T71" s="32"/>
      <c r="U71" s="32"/>
      <c r="V71" s="32"/>
      <c r="W71" s="32"/>
      <c r="X71" s="46"/>
      <c r="Y71" s="32"/>
      <c r="Z71" s="32"/>
      <c r="AA71" s="32"/>
      <c r="AB71" s="32"/>
      <c r="AC71" s="46"/>
      <c r="AD71" s="32"/>
      <c r="AE71" s="32"/>
      <c r="AF71" s="32"/>
      <c r="AG71" s="32"/>
      <c r="AH71" s="46"/>
      <c r="AI71" s="32"/>
      <c r="AJ71" s="32"/>
      <c r="AK71" s="32"/>
      <c r="AL71" s="32"/>
      <c r="AM71" s="46"/>
      <c r="AN71" s="32"/>
      <c r="AO71" s="32"/>
      <c r="AP71" s="32"/>
      <c r="AQ71" s="32"/>
      <c r="AR71" s="46"/>
      <c r="AS71" s="32"/>
      <c r="AT71" s="32"/>
      <c r="AU71" s="32"/>
      <c r="AV71" s="32"/>
      <c r="AW71" s="46"/>
      <c r="AX71" s="32"/>
      <c r="AY71" s="32"/>
      <c r="AZ71" s="32"/>
      <c r="BA71" s="32"/>
      <c r="BB71" s="46"/>
      <c r="BC71" s="32"/>
      <c r="BD71" s="32"/>
      <c r="BE71" s="32"/>
      <c r="BF71" s="32"/>
      <c r="BG71" s="46"/>
      <c r="BH71" s="32"/>
      <c r="BI71" s="32"/>
      <c r="BJ71" s="32"/>
      <c r="BK71" s="32"/>
      <c r="BL71" s="46"/>
      <c r="BM71" s="32"/>
      <c r="BN71" s="32"/>
      <c r="BO71" s="32"/>
      <c r="BP71" s="32"/>
      <c r="BQ71" s="46"/>
      <c r="BR71" s="32"/>
      <c r="BS71" s="32"/>
      <c r="BT71" s="32"/>
      <c r="BU71" s="32"/>
      <c r="BV71" s="46"/>
      <c r="BW71" s="32"/>
      <c r="BX71" s="32"/>
      <c r="BY71" s="32"/>
      <c r="BZ71" s="32"/>
      <c r="CA71" s="46"/>
      <c r="CB71" s="32"/>
      <c r="CC71" s="32"/>
      <c r="CD71" s="32"/>
      <c r="CE71" s="32"/>
      <c r="CF71" s="46"/>
      <c r="CG71" s="32"/>
      <c r="CH71" s="32"/>
      <c r="CI71" s="32"/>
      <c r="CJ71" s="32"/>
      <c r="CK71" s="46"/>
      <c r="CL71" s="32"/>
      <c r="CM71" s="32"/>
      <c r="CN71" s="32"/>
      <c r="CO71" s="32"/>
      <c r="CP71" s="46"/>
      <c r="CQ71" s="32"/>
      <c r="CR71" s="32"/>
      <c r="CS71" s="32"/>
      <c r="CT71" s="32"/>
      <c r="CU71" s="46"/>
      <c r="CV71" s="32"/>
      <c r="CW71" s="32"/>
      <c r="CX71" s="32"/>
      <c r="CY71" s="32"/>
      <c r="CZ71" s="46"/>
      <c r="DA71" s="32"/>
      <c r="DB71" s="32"/>
      <c r="DC71" s="32"/>
      <c r="DD71" s="32"/>
      <c r="DE71" s="46"/>
      <c r="DF71" s="32"/>
      <c r="DG71" s="32"/>
      <c r="DH71" s="32"/>
      <c r="DI71" s="32"/>
      <c r="DJ71" s="46"/>
      <c r="DK71" s="32"/>
      <c r="DL71" s="32"/>
      <c r="DM71" s="32"/>
      <c r="DN71" s="32"/>
      <c r="DO71" s="46"/>
      <c r="DP71" s="32"/>
      <c r="DQ71" s="32"/>
      <c r="DR71" s="32"/>
      <c r="DS71" s="32"/>
      <c r="DT71" s="46"/>
      <c r="DU71" s="46"/>
      <c r="DV71" s="46"/>
    </row>
  </sheetData>
  <phoneticPr fontId="6" type="noConversion"/>
  <pageMargins left="0.18" right="0.18" top="0.7" bottom="0.5" header="0.5" footer="0.5"/>
  <pageSetup scale="31" orientation="portrait" r:id="rId1"/>
  <headerFooter alignWithMargins="0"/>
  <customProperties>
    <customPr name="Qube.Worksheet.Visibility" r:id="rId2"/>
  </customProperties>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pageSetUpPr autoPageBreaks="0" fitToPage="1"/>
  </sheetPr>
  <dimension ref="A1:DV87"/>
  <sheetViews>
    <sheetView showGridLines="0" zoomScaleNormal="100" workbookViewId="0">
      <pane xSplit="2" ySplit="4" topLeftCell="C5" activePane="bottomRight" state="frozen"/>
      <selection activeCell="BA21" sqref="BA21"/>
      <selection pane="topRight" activeCell="BA21" sqref="BA21"/>
      <selection pane="bottomLeft" activeCell="BA21" sqref="BA21"/>
      <selection pane="bottomRight"/>
    </sheetView>
  </sheetViews>
  <sheetFormatPr defaultRowHeight="12" outlineLevelRow="1"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hidden="1" customWidth="1" outlineLevel="1"/>
    <col min="114" max="114" width="9.7109375" customWidth="1" collapsed="1"/>
    <col min="115" max="118" width="9.7109375" customWidth="1" outlineLevel="1"/>
    <col min="119" max="119" width="9.7109375" customWidth="1"/>
    <col min="120" max="123" width="9.7109375" hidden="1" customWidth="1" outlineLevel="1"/>
    <col min="124" max="124" width="9.7109375" customWidth="1" collapsed="1"/>
    <col min="125" max="125" width="9.7109375" customWidth="1"/>
  </cols>
  <sheetData>
    <row r="1" spans="2:126" ht="12.75" thickBot="1">
      <c r="AZ1" s="29"/>
      <c r="BA1" s="29"/>
      <c r="BB1" s="29"/>
      <c r="BC1" s="182"/>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row>
    <row r="2" spans="2:126" ht="6" customHeight="1">
      <c r="C2" s="19"/>
      <c r="D2" s="19"/>
      <c r="E2" s="19"/>
      <c r="F2" s="19"/>
      <c r="G2" s="19"/>
      <c r="H2" s="19"/>
      <c r="I2" s="19"/>
      <c r="N2" s="19"/>
      <c r="S2" s="19"/>
      <c r="X2" s="19"/>
      <c r="AC2" s="19"/>
      <c r="AH2" s="19"/>
      <c r="AM2" s="19"/>
      <c r="AR2" s="19"/>
      <c r="AW2" s="19"/>
      <c r="BB2" s="19"/>
      <c r="BG2" s="19"/>
      <c r="BL2" s="19"/>
      <c r="BQ2" s="19"/>
      <c r="BV2" s="19"/>
      <c r="CA2" s="19"/>
      <c r="CF2" s="19"/>
      <c r="CK2" s="19"/>
      <c r="CP2" s="19"/>
      <c r="CU2" s="19"/>
      <c r="CZ2" s="19"/>
      <c r="DE2" s="19"/>
      <c r="DJ2" s="19"/>
      <c r="DO2" s="19"/>
      <c r="DT2" s="19"/>
      <c r="DU2" s="19"/>
      <c r="DV2" s="19"/>
    </row>
    <row r="3" spans="2:126" ht="15.75">
      <c r="B3" s="23" t="s">
        <v>556</v>
      </c>
      <c r="C3" s="467">
        <v>1997</v>
      </c>
      <c r="D3" s="467">
        <v>1998</v>
      </c>
      <c r="E3" s="467">
        <v>1999</v>
      </c>
      <c r="F3" s="467">
        <v>2000</v>
      </c>
      <c r="G3" s="467">
        <v>2001</v>
      </c>
      <c r="H3" s="467">
        <v>2002</v>
      </c>
      <c r="I3" s="467">
        <v>2003</v>
      </c>
      <c r="J3" s="20" t="s">
        <v>0</v>
      </c>
      <c r="K3" s="20" t="s">
        <v>1</v>
      </c>
      <c r="L3" s="20" t="s">
        <v>2</v>
      </c>
      <c r="M3" s="20" t="s">
        <v>3</v>
      </c>
      <c r="N3" s="467">
        <v>2004</v>
      </c>
      <c r="O3" s="20" t="s">
        <v>4</v>
      </c>
      <c r="P3" s="20" t="s">
        <v>5</v>
      </c>
      <c r="Q3" s="20" t="s">
        <v>6</v>
      </c>
      <c r="R3" s="20" t="s">
        <v>7</v>
      </c>
      <c r="S3" s="467">
        <v>2005</v>
      </c>
      <c r="T3" s="20" t="s">
        <v>8</v>
      </c>
      <c r="U3" s="20" t="s">
        <v>9</v>
      </c>
      <c r="V3" s="20" t="s">
        <v>10</v>
      </c>
      <c r="W3" s="20" t="s">
        <v>11</v>
      </c>
      <c r="X3" s="467">
        <v>2006</v>
      </c>
      <c r="Y3" s="20" t="s">
        <v>12</v>
      </c>
      <c r="Z3" s="20" t="s">
        <v>13</v>
      </c>
      <c r="AA3" s="20" t="s">
        <v>14</v>
      </c>
      <c r="AB3" s="20" t="s">
        <v>15</v>
      </c>
      <c r="AC3" s="467">
        <v>2007</v>
      </c>
      <c r="AD3" s="20" t="s">
        <v>16</v>
      </c>
      <c r="AE3" s="20" t="s">
        <v>17</v>
      </c>
      <c r="AF3" s="20" t="s">
        <v>18</v>
      </c>
      <c r="AG3" s="20" t="s">
        <v>19</v>
      </c>
      <c r="AH3" s="467">
        <v>2008</v>
      </c>
      <c r="AI3" s="20" t="s">
        <v>20</v>
      </c>
      <c r="AJ3" s="20" t="s">
        <v>21</v>
      </c>
      <c r="AK3" s="20" t="s">
        <v>22</v>
      </c>
      <c r="AL3" s="20" t="s">
        <v>23</v>
      </c>
      <c r="AM3" s="467">
        <v>2009</v>
      </c>
      <c r="AN3" s="20" t="s">
        <v>24</v>
      </c>
      <c r="AO3" s="20" t="s">
        <v>25</v>
      </c>
      <c r="AP3" s="20" t="s">
        <v>174</v>
      </c>
      <c r="AQ3" s="20" t="s">
        <v>175</v>
      </c>
      <c r="AR3" s="467">
        <v>2010</v>
      </c>
      <c r="AS3" s="20" t="s">
        <v>176</v>
      </c>
      <c r="AT3" s="20" t="s">
        <v>177</v>
      </c>
      <c r="AU3" s="20" t="s">
        <v>178</v>
      </c>
      <c r="AV3" s="20" t="s">
        <v>179</v>
      </c>
      <c r="AW3" s="467">
        <v>2011</v>
      </c>
      <c r="AX3" s="20" t="s">
        <v>181</v>
      </c>
      <c r="AY3" s="20" t="s">
        <v>182</v>
      </c>
      <c r="AZ3" s="20" t="s">
        <v>242</v>
      </c>
      <c r="BA3" s="20" t="s">
        <v>183</v>
      </c>
      <c r="BB3" s="467">
        <v>2012</v>
      </c>
      <c r="BC3" s="20"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461</v>
      </c>
      <c r="CH3" s="20" t="s">
        <v>462</v>
      </c>
      <c r="CI3" s="20" t="s">
        <v>463</v>
      </c>
      <c r="CJ3" s="20" t="s">
        <v>464</v>
      </c>
      <c r="CK3" s="467">
        <v>2019</v>
      </c>
      <c r="CL3" s="20" t="s">
        <v>466</v>
      </c>
      <c r="CM3" s="20" t="s">
        <v>469</v>
      </c>
      <c r="CN3" s="20" t="s">
        <v>468</v>
      </c>
      <c r="CO3" s="20" t="s">
        <v>467</v>
      </c>
      <c r="CP3" s="467">
        <v>2020</v>
      </c>
      <c r="CQ3" s="20" t="s">
        <v>597</v>
      </c>
      <c r="CR3" s="20" t="s">
        <v>598</v>
      </c>
      <c r="CS3" s="20" t="s">
        <v>599</v>
      </c>
      <c r="CT3" s="20" t="s">
        <v>600</v>
      </c>
      <c r="CU3" s="467">
        <v>2021</v>
      </c>
      <c r="CV3" s="20" t="s">
        <v>611</v>
      </c>
      <c r="CW3" s="20" t="s">
        <v>612</v>
      </c>
      <c r="CX3" s="20" t="s">
        <v>613</v>
      </c>
      <c r="CY3" s="20" t="s">
        <v>614</v>
      </c>
      <c r="CZ3" s="467">
        <v>2022</v>
      </c>
      <c r="DA3" s="20" t="s">
        <v>617</v>
      </c>
      <c r="DB3" s="20" t="s">
        <v>618</v>
      </c>
      <c r="DC3" s="20" t="s">
        <v>619</v>
      </c>
      <c r="DD3" s="20" t="s">
        <v>620</v>
      </c>
      <c r="DE3" s="467">
        <v>2023</v>
      </c>
      <c r="DF3" s="20" t="s">
        <v>625</v>
      </c>
      <c r="DG3" s="20" t="s">
        <v>626</v>
      </c>
      <c r="DH3" s="20" t="s">
        <v>627</v>
      </c>
      <c r="DI3" s="20" t="s">
        <v>628</v>
      </c>
      <c r="DJ3" s="467">
        <v>2024</v>
      </c>
      <c r="DK3" s="20" t="s">
        <v>642</v>
      </c>
      <c r="DL3" s="20" t="s">
        <v>643</v>
      </c>
      <c r="DM3" s="20" t="s">
        <v>644</v>
      </c>
      <c r="DN3" s="20" t="s">
        <v>635</v>
      </c>
      <c r="DO3" s="467" t="s">
        <v>404</v>
      </c>
      <c r="DP3" s="20" t="s">
        <v>651</v>
      </c>
      <c r="DQ3" s="20" t="s">
        <v>652</v>
      </c>
      <c r="DR3" s="20" t="s">
        <v>653</v>
      </c>
      <c r="DS3" s="20" t="s">
        <v>654</v>
      </c>
      <c r="DT3" s="467" t="s">
        <v>632</v>
      </c>
      <c r="DU3" s="467" t="s">
        <v>633</v>
      </c>
      <c r="DV3" s="467" t="s">
        <v>650</v>
      </c>
    </row>
    <row r="4" spans="2:126" ht="12.75">
      <c r="B4" s="24" t="s">
        <v>100</v>
      </c>
      <c r="C4" s="21">
        <v>35795</v>
      </c>
      <c r="D4" s="21">
        <v>36160</v>
      </c>
      <c r="E4" s="21">
        <v>36525</v>
      </c>
      <c r="F4" s="21">
        <v>36891</v>
      </c>
      <c r="G4" s="21">
        <v>37256</v>
      </c>
      <c r="H4" s="21">
        <v>37621</v>
      </c>
      <c r="I4" s="21">
        <v>37986</v>
      </c>
      <c r="J4" s="217">
        <v>38076</v>
      </c>
      <c r="K4" s="217">
        <v>38168</v>
      </c>
      <c r="L4" s="217">
        <v>38260</v>
      </c>
      <c r="M4" s="22">
        <v>38352</v>
      </c>
      <c r="N4" s="21">
        <v>38352</v>
      </c>
      <c r="O4" s="217">
        <v>38441</v>
      </c>
      <c r="P4" s="217">
        <v>38533</v>
      </c>
      <c r="Q4" s="217">
        <v>38625</v>
      </c>
      <c r="R4" s="22">
        <v>38717</v>
      </c>
      <c r="S4" s="21">
        <v>38717</v>
      </c>
      <c r="T4" s="217">
        <v>38806</v>
      </c>
      <c r="U4" s="217">
        <v>38898</v>
      </c>
      <c r="V4" s="217">
        <v>38990</v>
      </c>
      <c r="W4" s="22">
        <v>39082</v>
      </c>
      <c r="X4" s="21">
        <v>39082</v>
      </c>
      <c r="Y4" s="217">
        <v>39171</v>
      </c>
      <c r="Z4" s="217">
        <v>39263</v>
      </c>
      <c r="AA4" s="217">
        <v>39355</v>
      </c>
      <c r="AB4" s="22">
        <v>39447</v>
      </c>
      <c r="AC4" s="21">
        <v>39447</v>
      </c>
      <c r="AD4" s="217">
        <v>39537</v>
      </c>
      <c r="AE4" s="217">
        <v>39629</v>
      </c>
      <c r="AF4" s="217">
        <v>39721</v>
      </c>
      <c r="AG4" s="22">
        <v>39813</v>
      </c>
      <c r="AH4" s="21">
        <v>39813</v>
      </c>
      <c r="AI4" s="217">
        <v>39902</v>
      </c>
      <c r="AJ4" s="217">
        <v>39994</v>
      </c>
      <c r="AK4" s="217">
        <v>40086</v>
      </c>
      <c r="AL4" s="22">
        <v>40178</v>
      </c>
      <c r="AM4" s="21">
        <v>40178</v>
      </c>
      <c r="AN4" s="217">
        <v>40267</v>
      </c>
      <c r="AO4" s="217">
        <v>40359</v>
      </c>
      <c r="AP4" s="217">
        <v>40451</v>
      </c>
      <c r="AQ4" s="22">
        <v>40543</v>
      </c>
      <c r="AR4" s="21">
        <v>40543</v>
      </c>
      <c r="AS4" s="217">
        <v>40632</v>
      </c>
      <c r="AT4" s="217">
        <v>40724</v>
      </c>
      <c r="AU4" s="217">
        <v>40816</v>
      </c>
      <c r="AV4" s="22">
        <v>40908</v>
      </c>
      <c r="AW4" s="21">
        <v>40908</v>
      </c>
      <c r="AX4" s="217">
        <v>40998</v>
      </c>
      <c r="AY4" s="217">
        <v>41090</v>
      </c>
      <c r="AZ4" s="217">
        <v>41182</v>
      </c>
      <c r="BA4" s="217">
        <v>41274</v>
      </c>
      <c r="BB4" s="21">
        <v>41274</v>
      </c>
      <c r="BC4" s="217">
        <v>41363</v>
      </c>
      <c r="BD4" s="217">
        <v>41455</v>
      </c>
      <c r="BE4" s="217">
        <v>41547</v>
      </c>
      <c r="BF4" s="22">
        <v>41639</v>
      </c>
      <c r="BG4" s="21">
        <v>41639</v>
      </c>
      <c r="BH4" s="217">
        <v>41728</v>
      </c>
      <c r="BI4" s="217">
        <v>41820</v>
      </c>
      <c r="BJ4" s="217">
        <v>41912</v>
      </c>
      <c r="BK4" s="22">
        <v>42004</v>
      </c>
      <c r="BL4" s="21">
        <v>42004</v>
      </c>
      <c r="BM4" s="217">
        <v>42093</v>
      </c>
      <c r="BN4" s="217">
        <v>42185</v>
      </c>
      <c r="BO4" s="217">
        <v>42277</v>
      </c>
      <c r="BP4" s="22">
        <v>42369</v>
      </c>
      <c r="BQ4" s="21">
        <v>42369</v>
      </c>
      <c r="BR4" s="217">
        <v>42459</v>
      </c>
      <c r="BS4" s="217">
        <v>42551</v>
      </c>
      <c r="BT4" s="217">
        <v>42643</v>
      </c>
      <c r="BU4" s="22">
        <v>42735</v>
      </c>
      <c r="BV4" s="21">
        <v>42735</v>
      </c>
      <c r="BW4" s="217">
        <v>42824</v>
      </c>
      <c r="BX4" s="217">
        <v>42916</v>
      </c>
      <c r="BY4" s="217">
        <v>43008</v>
      </c>
      <c r="BZ4" s="22">
        <v>43100</v>
      </c>
      <c r="CA4" s="21">
        <v>43100</v>
      </c>
      <c r="CB4" s="217">
        <v>43189</v>
      </c>
      <c r="CC4" s="217">
        <v>43281</v>
      </c>
      <c r="CD4" s="217">
        <v>43373</v>
      </c>
      <c r="CE4" s="22">
        <v>43465</v>
      </c>
      <c r="CF4" s="21">
        <v>43465</v>
      </c>
      <c r="CG4" s="217">
        <v>43554</v>
      </c>
      <c r="CH4" s="217">
        <v>43646</v>
      </c>
      <c r="CI4" s="217">
        <v>43738</v>
      </c>
      <c r="CJ4" s="22">
        <v>43830</v>
      </c>
      <c r="CK4" s="21">
        <v>43830</v>
      </c>
      <c r="CL4" s="217">
        <v>43920</v>
      </c>
      <c r="CM4" s="217">
        <v>44012</v>
      </c>
      <c r="CN4" s="217">
        <v>44104</v>
      </c>
      <c r="CO4" s="22">
        <v>44196</v>
      </c>
      <c r="CP4" s="21">
        <v>44196</v>
      </c>
      <c r="CQ4" s="217">
        <v>44285</v>
      </c>
      <c r="CR4" s="217">
        <v>44377</v>
      </c>
      <c r="CS4" s="217">
        <v>44469</v>
      </c>
      <c r="CT4" s="22">
        <v>44561</v>
      </c>
      <c r="CU4" s="21">
        <v>44561</v>
      </c>
      <c r="CV4" s="217">
        <v>44650</v>
      </c>
      <c r="CW4" s="217">
        <v>44742</v>
      </c>
      <c r="CX4" s="217">
        <v>44834</v>
      </c>
      <c r="CY4" s="22">
        <v>44926</v>
      </c>
      <c r="CZ4" s="21">
        <v>44926</v>
      </c>
      <c r="DA4" s="217">
        <v>45015</v>
      </c>
      <c r="DB4" s="217">
        <v>45107</v>
      </c>
      <c r="DC4" s="217">
        <v>45199</v>
      </c>
      <c r="DD4" s="22">
        <v>45291</v>
      </c>
      <c r="DE4" s="21">
        <v>45291</v>
      </c>
      <c r="DF4" s="217">
        <v>45381</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
        <f>IS!DU4</f>
        <v>46752</v>
      </c>
      <c r="DV4" s="21">
        <f>IS!DV4</f>
        <v>47118</v>
      </c>
    </row>
    <row r="5" spans="2:126" s="32" customFormat="1">
      <c r="C5" s="34"/>
      <c r="D5" s="34"/>
      <c r="E5" s="34"/>
      <c r="F5" s="34"/>
      <c r="G5" s="34"/>
      <c r="H5" s="34"/>
      <c r="I5" s="34"/>
      <c r="N5" s="34"/>
      <c r="S5" s="34"/>
      <c r="X5" s="34"/>
      <c r="AC5" s="34"/>
      <c r="AH5" s="34"/>
      <c r="AM5" s="34"/>
      <c r="AR5" s="34"/>
      <c r="AW5" s="34"/>
      <c r="BB5" s="34"/>
      <c r="BG5" s="34"/>
      <c r="BL5" s="34"/>
      <c r="BQ5" s="34"/>
      <c r="BV5" s="34"/>
      <c r="CA5" s="34"/>
      <c r="CF5" s="34"/>
      <c r="CK5" s="34"/>
      <c r="CP5" s="34"/>
      <c r="CU5" s="34"/>
      <c r="CZ5" s="34"/>
      <c r="DE5" s="34"/>
      <c r="DJ5" s="34"/>
      <c r="DO5" s="34"/>
      <c r="DT5" s="34"/>
      <c r="DU5" s="34"/>
      <c r="DV5" s="34"/>
    </row>
    <row r="6" spans="2:126" s="32" customFormat="1">
      <c r="B6" s="33" t="s">
        <v>43</v>
      </c>
      <c r="C6" s="34"/>
      <c r="D6" s="34"/>
      <c r="E6" s="34"/>
      <c r="F6" s="34"/>
      <c r="G6" s="34"/>
      <c r="H6" s="34"/>
      <c r="I6" s="34"/>
      <c r="N6" s="34"/>
      <c r="S6" s="34"/>
      <c r="X6" s="34"/>
      <c r="AC6" s="34"/>
      <c r="AH6" s="34"/>
      <c r="AM6" s="34"/>
      <c r="AR6" s="34"/>
      <c r="AW6" s="34"/>
      <c r="BB6" s="34"/>
      <c r="BG6" s="34"/>
      <c r="BL6" s="34"/>
      <c r="BQ6" s="34"/>
      <c r="BV6" s="34"/>
      <c r="CA6" s="34"/>
      <c r="CF6" s="34"/>
      <c r="CK6" s="34"/>
      <c r="CP6" s="34"/>
      <c r="CU6" s="34"/>
      <c r="CZ6" s="34"/>
      <c r="DE6" s="34"/>
      <c r="DJ6" s="34"/>
      <c r="DO6" s="34"/>
      <c r="DT6" s="34"/>
      <c r="DU6" s="34"/>
      <c r="DV6" s="34"/>
    </row>
    <row r="7" spans="2:126" s="32" customFormat="1">
      <c r="B7" s="41" t="s">
        <v>44</v>
      </c>
      <c r="C7" s="171"/>
      <c r="D7" s="171"/>
      <c r="E7" s="171"/>
      <c r="F7" s="171"/>
      <c r="G7" s="171"/>
      <c r="H7" s="171"/>
      <c r="I7" s="171"/>
      <c r="J7" s="172"/>
      <c r="K7" s="172"/>
      <c r="L7" s="172"/>
      <c r="M7" s="172"/>
      <c r="N7" s="171"/>
      <c r="O7" s="172"/>
      <c r="P7" s="172"/>
      <c r="Q7" s="172"/>
      <c r="R7" s="172"/>
      <c r="S7" s="171"/>
      <c r="T7" s="172"/>
      <c r="U7" s="172"/>
      <c r="V7" s="172"/>
      <c r="W7" s="172"/>
      <c r="X7" s="171"/>
      <c r="Y7" s="172"/>
      <c r="Z7" s="172"/>
      <c r="AA7" s="172"/>
      <c r="AB7" s="172"/>
      <c r="AC7" s="171"/>
      <c r="AD7" s="172"/>
      <c r="AE7" s="172"/>
      <c r="AF7" s="172"/>
      <c r="AG7" s="172"/>
      <c r="AH7" s="171"/>
      <c r="AI7" s="172"/>
      <c r="AJ7" s="172"/>
      <c r="AK7" s="172"/>
      <c r="AL7" s="172"/>
      <c r="AM7" s="171"/>
      <c r="AN7" s="172"/>
      <c r="AO7" s="172"/>
      <c r="AP7" s="172"/>
      <c r="AQ7" s="172"/>
      <c r="AR7" s="171"/>
      <c r="AS7" s="172"/>
      <c r="AT7" s="172"/>
      <c r="AU7" s="172"/>
      <c r="AV7" s="172"/>
      <c r="AW7" s="171"/>
      <c r="AX7" s="172"/>
      <c r="AY7" s="172"/>
      <c r="AZ7" s="172"/>
      <c r="BA7" s="172"/>
      <c r="BB7" s="171"/>
      <c r="BC7" s="459"/>
      <c r="BD7" s="459"/>
      <c r="BE7" s="459"/>
      <c r="BF7" s="459"/>
      <c r="BG7" s="171"/>
      <c r="BH7" s="459"/>
      <c r="BI7" s="459"/>
      <c r="BJ7" s="459"/>
      <c r="BK7" s="459"/>
      <c r="BL7" s="171"/>
      <c r="BM7" s="459"/>
      <c r="BN7" s="459"/>
      <c r="BO7" s="459"/>
      <c r="BP7" s="459"/>
      <c r="BQ7" s="171"/>
      <c r="BR7" s="459"/>
      <c r="BS7" s="459"/>
      <c r="BT7" s="459"/>
      <c r="BU7" s="459"/>
      <c r="BV7" s="171"/>
      <c r="BW7" s="459"/>
      <c r="BX7" s="459"/>
      <c r="BY7" s="459"/>
      <c r="BZ7" s="459"/>
      <c r="CA7" s="171"/>
      <c r="CB7" s="459"/>
      <c r="CC7" s="459"/>
      <c r="CD7" s="459"/>
      <c r="CE7" s="459"/>
      <c r="CF7" s="680"/>
      <c r="CG7" s="679"/>
      <c r="CH7" s="679">
        <f>Data!CH49</f>
        <v>6480</v>
      </c>
      <c r="CI7" s="683">
        <f>+CH7+CFLO!CI41</f>
        <v>6368.1774999999998</v>
      </c>
      <c r="CJ7" s="679">
        <f>Data!CJ49</f>
        <v>4937</v>
      </c>
      <c r="CK7" s="680">
        <f t="shared" ref="CK7:CK12" si="0">CJ7</f>
        <v>4937</v>
      </c>
      <c r="CL7" s="683">
        <f>+CK7+CFLO!CL41</f>
        <v>6166.2627830000001</v>
      </c>
      <c r="CM7" s="679">
        <f>Data!CM49</f>
        <v>6975</v>
      </c>
      <c r="CN7" s="679">
        <f>Data!CN49</f>
        <v>10001</v>
      </c>
      <c r="CO7" s="679">
        <f>Data!CO49</f>
        <v>8802</v>
      </c>
      <c r="CP7" s="680">
        <f t="shared" ref="CP7:CP12" si="1">CO7</f>
        <v>8802</v>
      </c>
      <c r="CQ7" s="679">
        <f>Data!CQ49</f>
        <v>8579</v>
      </c>
      <c r="CR7" s="679">
        <f>Data!CR49</f>
        <v>8051</v>
      </c>
      <c r="CS7" s="679">
        <f>Data!CS49</f>
        <v>7476</v>
      </c>
      <c r="CT7" s="679">
        <f>Data!CT49</f>
        <v>7832</v>
      </c>
      <c r="CU7" s="680">
        <f t="shared" ref="CU7:CU12" si="2">CT7</f>
        <v>7832</v>
      </c>
      <c r="CV7" s="679">
        <f>Data!CV49</f>
        <v>6040</v>
      </c>
      <c r="CW7" s="679">
        <f>Data!CW49</f>
        <v>4767</v>
      </c>
      <c r="CX7" s="679">
        <f>Data!CX49</f>
        <v>5381</v>
      </c>
      <c r="CY7" s="679">
        <f>Data!CY49</f>
        <v>6220</v>
      </c>
      <c r="CZ7" s="680">
        <f t="shared" ref="CZ7:CZ12" si="3">CY7</f>
        <v>6220</v>
      </c>
      <c r="DA7" s="679">
        <f>Data!DA49</f>
        <v>5893</v>
      </c>
      <c r="DB7" s="679">
        <f>Data!DB49</f>
        <v>5391</v>
      </c>
      <c r="DC7" s="679">
        <f>Data!DC49</f>
        <v>5456</v>
      </c>
      <c r="DD7" s="679">
        <f>Data!DD49</f>
        <v>6587</v>
      </c>
      <c r="DE7" s="680">
        <f t="shared" ref="DE7:DE12" si="4">DD7</f>
        <v>6587</v>
      </c>
      <c r="DF7" s="679">
        <f>Data!DF49</f>
        <v>5607</v>
      </c>
      <c r="DG7" s="679">
        <f>Data!DG49</f>
        <v>6011</v>
      </c>
      <c r="DH7" s="679">
        <f>Data!DH49</f>
        <v>6682</v>
      </c>
      <c r="DI7" s="679">
        <f>Data!DI49</f>
        <v>5578</v>
      </c>
      <c r="DJ7" s="680">
        <f t="shared" ref="DJ7:DJ12" si="5">DI7</f>
        <v>5578</v>
      </c>
      <c r="DK7" s="679">
        <f>Data!DK49</f>
        <v>5157</v>
      </c>
      <c r="DL7" s="679">
        <f>Data!DL49</f>
        <v>4782</v>
      </c>
      <c r="DM7" s="679">
        <f>Data!DM49</f>
        <v>5966</v>
      </c>
      <c r="DN7" s="683">
        <f>+DM7+CFLO!DN41</f>
        <v>7834.6080000000002</v>
      </c>
      <c r="DO7" s="849">
        <f>DN7</f>
        <v>7834.6080000000002</v>
      </c>
      <c r="DP7" s="683">
        <f>+DO7+CFLO!DP41</f>
        <v>7261.576</v>
      </c>
      <c r="DQ7" s="683">
        <f>+DP7+CFLO!DQ41</f>
        <v>6968.4848000000002</v>
      </c>
      <c r="DR7" s="683">
        <f>+DQ7+CFLO!DR41</f>
        <v>7209.1336000000001</v>
      </c>
      <c r="DS7" s="683">
        <f>+DR7+CFLO!DS41</f>
        <v>9019.5223999999998</v>
      </c>
      <c r="DT7" s="849">
        <f>DS7</f>
        <v>9019.5223999999998</v>
      </c>
      <c r="DU7" s="684">
        <f>+DT7+CFLO!DU41</f>
        <v>9851.0434399999995</v>
      </c>
      <c r="DV7" s="684">
        <f>+DU7+CFLO!DV41</f>
        <v>10435.496983999998</v>
      </c>
    </row>
    <row r="8" spans="2:126" s="32" customFormat="1">
      <c r="B8" s="41" t="s">
        <v>197</v>
      </c>
      <c r="C8" s="34"/>
      <c r="D8" s="34"/>
      <c r="E8" s="34"/>
      <c r="F8" s="34"/>
      <c r="G8" s="34"/>
      <c r="H8" s="34"/>
      <c r="I8" s="34"/>
      <c r="N8" s="34"/>
      <c r="S8" s="34"/>
      <c r="X8" s="34"/>
      <c r="AC8" s="34"/>
      <c r="AH8" s="34"/>
      <c r="AM8" s="34"/>
      <c r="AR8" s="34"/>
      <c r="AW8" s="34"/>
      <c r="BB8" s="34"/>
      <c r="BC8" s="3"/>
      <c r="BD8" s="3"/>
      <c r="BE8" s="3"/>
      <c r="BG8" s="34"/>
      <c r="BL8" s="34"/>
      <c r="BQ8" s="34"/>
      <c r="BV8" s="34"/>
      <c r="CA8" s="34"/>
      <c r="CF8" s="360"/>
      <c r="CG8" s="200"/>
      <c r="CH8" s="200">
        <f>Data!CH50</f>
        <v>9633</v>
      </c>
      <c r="CI8" s="357">
        <f>IS!CI6*BS!CI69/91</f>
        <v>9664.2484615384601</v>
      </c>
      <c r="CJ8" s="200">
        <f>Data!CJ50</f>
        <v>8743</v>
      </c>
      <c r="CK8" s="360">
        <f t="shared" si="0"/>
        <v>8743</v>
      </c>
      <c r="CL8" s="357">
        <f>IS!CL6*BS!CL69/91</f>
        <v>11759.978021978022</v>
      </c>
      <c r="CM8" s="200">
        <f>Data!CM50</f>
        <v>9496</v>
      </c>
      <c r="CN8" s="200">
        <f>Data!CN50</f>
        <v>10115</v>
      </c>
      <c r="CO8" s="200">
        <f>Data!CO50</f>
        <v>9254</v>
      </c>
      <c r="CP8" s="360">
        <f t="shared" si="1"/>
        <v>9254</v>
      </c>
      <c r="CQ8" s="200">
        <f>Data!CQ50</f>
        <v>10037</v>
      </c>
      <c r="CR8" s="200">
        <f>Data!CR50</f>
        <v>8912</v>
      </c>
      <c r="CS8" s="200">
        <f>Data!CS50</f>
        <v>9538</v>
      </c>
      <c r="CT8" s="200">
        <f>Data!CT50</f>
        <v>9661</v>
      </c>
      <c r="CU8" s="360">
        <f t="shared" si="2"/>
        <v>9661</v>
      </c>
      <c r="CV8" s="200">
        <f>Data!CV50</f>
        <v>9076</v>
      </c>
      <c r="CW8" s="200">
        <f>Data!CW50</f>
        <v>10394</v>
      </c>
      <c r="CX8" s="200">
        <f>Data!CX50</f>
        <v>9233</v>
      </c>
      <c r="CY8" s="200">
        <f>Data!CY50</f>
        <v>9108</v>
      </c>
      <c r="CZ8" s="360">
        <f t="shared" si="3"/>
        <v>9108</v>
      </c>
      <c r="DA8" s="200">
        <f>Data!DA50</f>
        <v>10069</v>
      </c>
      <c r="DB8" s="200">
        <f>Data!DB50</f>
        <v>9903</v>
      </c>
      <c r="DC8" s="200">
        <f>Data!DC50</f>
        <v>10058</v>
      </c>
      <c r="DD8" s="200">
        <f>Data!DD50</f>
        <v>10838</v>
      </c>
      <c r="DE8" s="360">
        <f t="shared" si="4"/>
        <v>10838</v>
      </c>
      <c r="DF8" s="200">
        <f>Data!DF50</f>
        <v>10280</v>
      </c>
      <c r="DG8" s="200">
        <f>Data!DG50</f>
        <v>10252</v>
      </c>
      <c r="DH8" s="200">
        <f>Data!DH50</f>
        <v>10097</v>
      </c>
      <c r="DI8" s="200">
        <f>Data!DI50</f>
        <v>10976</v>
      </c>
      <c r="DJ8" s="360">
        <f t="shared" si="5"/>
        <v>10976</v>
      </c>
      <c r="DK8" s="200">
        <f>Data!DK50</f>
        <v>11426</v>
      </c>
      <c r="DL8" s="200">
        <f>Data!DL50</f>
        <v>12385</v>
      </c>
      <c r="DM8" s="200">
        <f>Data!DM50</f>
        <v>12837</v>
      </c>
      <c r="DN8" s="357">
        <f>IS!DN6*BS!DN69/91</f>
        <v>13162.865087912089</v>
      </c>
      <c r="DO8" s="433">
        <f t="shared" ref="DO8:DO20" si="6">DN8</f>
        <v>13162.865087912089</v>
      </c>
      <c r="DP8" s="357">
        <f>IS!DP6*BS!DP69/91</f>
        <v>12470.777692307693</v>
      </c>
      <c r="DQ8" s="357">
        <f>IS!DQ6*BS!DQ69/91</f>
        <v>13197.661626373627</v>
      </c>
      <c r="DR8" s="357">
        <f>IS!DR6*BS!DR69/91</f>
        <v>13910.780703296703</v>
      </c>
      <c r="DS8" s="357">
        <f>IS!DS6*BS!DS69/91</f>
        <v>14112.55061534066</v>
      </c>
      <c r="DT8" s="433">
        <f t="shared" ref="DT8:DT20" si="7">DS8</f>
        <v>14112.55061534066</v>
      </c>
      <c r="DU8" s="361">
        <f>IS!DU6*BS!DU69/365</f>
        <v>13470.240840769316</v>
      </c>
      <c r="DV8" s="361">
        <f>IS!DV6*BS!DV69/365</f>
        <v>14277.510864077552</v>
      </c>
    </row>
    <row r="9" spans="2:126" s="32" customFormat="1">
      <c r="B9" s="41" t="s">
        <v>482</v>
      </c>
      <c r="C9" s="34"/>
      <c r="D9" s="34"/>
      <c r="E9" s="34"/>
      <c r="F9" s="34"/>
      <c r="G9" s="34"/>
      <c r="H9" s="34"/>
      <c r="I9" s="34"/>
      <c r="N9" s="34"/>
      <c r="S9" s="34"/>
      <c r="X9" s="34"/>
      <c r="AC9" s="34"/>
      <c r="AH9" s="34"/>
      <c r="AM9" s="34"/>
      <c r="AR9" s="34"/>
      <c r="AW9" s="34"/>
      <c r="BB9" s="34"/>
      <c r="BC9" s="3"/>
      <c r="BD9" s="3"/>
      <c r="BE9" s="3"/>
      <c r="BG9" s="34"/>
      <c r="BL9" s="34"/>
      <c r="BQ9" s="34"/>
      <c r="BV9" s="34"/>
      <c r="CA9" s="34"/>
      <c r="CF9" s="360"/>
      <c r="CG9" s="200"/>
      <c r="CH9" s="200">
        <f>Data!CH51</f>
        <v>8969</v>
      </c>
      <c r="CI9" s="357">
        <f>-IS!CI7*365/BS!CI71/91</f>
        <v>9499.7934981684957</v>
      </c>
      <c r="CJ9" s="200">
        <f>Data!CJ51</f>
        <v>4462</v>
      </c>
      <c r="CK9" s="360">
        <f t="shared" si="0"/>
        <v>4462</v>
      </c>
      <c r="CL9" s="357">
        <f>-IS!CL7*365/BS!CL71/91</f>
        <v>12403.393978605936</v>
      </c>
      <c r="CM9" s="200">
        <f>Data!CM51</f>
        <v>9943</v>
      </c>
      <c r="CN9" s="200">
        <f>Data!CN51</f>
        <v>9617</v>
      </c>
      <c r="CO9" s="200">
        <f>Data!CO51</f>
        <v>9931</v>
      </c>
      <c r="CP9" s="360">
        <f t="shared" si="1"/>
        <v>9931</v>
      </c>
      <c r="CQ9" s="200">
        <f>Data!CQ51</f>
        <v>10238</v>
      </c>
      <c r="CR9" s="200">
        <f>Data!CR51</f>
        <v>10485</v>
      </c>
      <c r="CS9" s="200">
        <f>Data!CS51</f>
        <v>10899</v>
      </c>
      <c r="CT9" s="200">
        <f>Data!CT51</f>
        <v>11361</v>
      </c>
      <c r="CU9" s="360">
        <f t="shared" si="2"/>
        <v>11361</v>
      </c>
      <c r="CV9" s="200">
        <f>Data!CV51</f>
        <v>11566</v>
      </c>
      <c r="CW9" s="200">
        <f>Data!CW51</f>
        <v>11836</v>
      </c>
      <c r="CX9" s="200">
        <f>Data!CX51</f>
        <v>12297</v>
      </c>
      <c r="CY9" s="200">
        <f>Data!CY51</f>
        <v>11534</v>
      </c>
      <c r="CZ9" s="360">
        <f t="shared" si="3"/>
        <v>11534</v>
      </c>
      <c r="DA9" s="200">
        <f>Data!DA51</f>
        <v>12729</v>
      </c>
      <c r="DB9" s="200">
        <f>Data!DB51</f>
        <v>12970</v>
      </c>
      <c r="DC9" s="200">
        <f>Data!DC51</f>
        <v>12696</v>
      </c>
      <c r="DD9" s="200">
        <f>Data!DD51</f>
        <v>12139</v>
      </c>
      <c r="DE9" s="360">
        <f t="shared" si="4"/>
        <v>12139</v>
      </c>
      <c r="DF9" s="200">
        <f>Data!DF51</f>
        <v>13104</v>
      </c>
      <c r="DG9" s="200">
        <f>Data!DG51</f>
        <v>13581</v>
      </c>
      <c r="DH9" s="200">
        <f>Data!DH51</f>
        <v>14684</v>
      </c>
      <c r="DI9" s="200">
        <f>Data!DI51</f>
        <v>14570</v>
      </c>
      <c r="DJ9" s="360">
        <f t="shared" si="5"/>
        <v>14570</v>
      </c>
      <c r="DK9" s="200">
        <f>Data!DK51</f>
        <v>15241</v>
      </c>
      <c r="DL9" s="200">
        <f>Data!DL51</f>
        <v>15686</v>
      </c>
      <c r="DM9" s="200">
        <f>Data!DM51</f>
        <v>16604</v>
      </c>
      <c r="DN9" s="357">
        <f>-IS!DN7*365/BS!DN71/91</f>
        <v>16641.606806095067</v>
      </c>
      <c r="DO9" s="433">
        <f t="shared" si="6"/>
        <v>16641.606806095067</v>
      </c>
      <c r="DP9" s="357">
        <f>-IS!DP7*365/BS!DP71/91</f>
        <v>15061.546341636142</v>
      </c>
      <c r="DQ9" s="357">
        <f>-IS!DQ7*365/BS!DQ71/91</f>
        <v>15860.506797948719</v>
      </c>
      <c r="DR9" s="357">
        <f>-IS!DR7*365/BS!DR71/91</f>
        <v>16596.46511321123</v>
      </c>
      <c r="DS9" s="357">
        <f>-IS!DS7*365/BS!DS71/91</f>
        <v>16849.99148551785</v>
      </c>
      <c r="DT9" s="433">
        <f t="shared" si="7"/>
        <v>16849.99148551785</v>
      </c>
      <c r="DU9" s="361">
        <f>-IS!DU7/BS!DU71</f>
        <v>13941.733372327866</v>
      </c>
      <c r="DV9" s="361">
        <f>-IS!DV7/BS!DV71</f>
        <v>14711.640423894611</v>
      </c>
    </row>
    <row r="10" spans="2:126" s="32" customFormat="1">
      <c r="B10" s="41" t="s">
        <v>198</v>
      </c>
      <c r="C10" s="34"/>
      <c r="D10" s="34"/>
      <c r="E10" s="34"/>
      <c r="F10" s="34"/>
      <c r="G10" s="34"/>
      <c r="H10" s="34"/>
      <c r="I10" s="34"/>
      <c r="N10" s="34"/>
      <c r="S10" s="34"/>
      <c r="X10" s="34"/>
      <c r="AC10" s="34"/>
      <c r="AH10" s="34"/>
      <c r="AM10" s="34"/>
      <c r="AR10" s="34"/>
      <c r="AW10" s="34"/>
      <c r="BB10" s="34"/>
      <c r="BC10" s="3"/>
      <c r="BD10" s="3"/>
      <c r="BE10" s="3"/>
      <c r="BG10" s="34"/>
      <c r="BL10" s="34"/>
      <c r="BQ10" s="34"/>
      <c r="BV10" s="34"/>
      <c r="CA10" s="34"/>
      <c r="CF10" s="360"/>
      <c r="CG10" s="200"/>
      <c r="CH10" s="200">
        <f>Data!CH52</f>
        <v>9554</v>
      </c>
      <c r="CI10" s="357">
        <f>-IS!CI7*BS!CI73/91</f>
        <v>9499.7934981684975</v>
      </c>
      <c r="CJ10" s="200">
        <f>Data!CJ52</f>
        <v>9047</v>
      </c>
      <c r="CK10" s="360">
        <f t="shared" si="0"/>
        <v>9047</v>
      </c>
      <c r="CL10" s="357">
        <f>-IS!CL7*BS!CL73/91</f>
        <v>10972.233134920634</v>
      </c>
      <c r="CM10" s="200">
        <f>Data!CM52</f>
        <v>10256</v>
      </c>
      <c r="CN10" s="200">
        <f>Data!CN52</f>
        <v>9843</v>
      </c>
      <c r="CO10" s="200">
        <f>Data!CO52</f>
        <v>9411</v>
      </c>
      <c r="CP10" s="360">
        <f t="shared" si="1"/>
        <v>9411</v>
      </c>
      <c r="CQ10" s="200">
        <f>Data!CQ52</f>
        <v>9498</v>
      </c>
      <c r="CR10" s="200">
        <f>Data!CR52</f>
        <v>9548</v>
      </c>
      <c r="CS10" s="200">
        <f>Data!CS52</f>
        <v>9426</v>
      </c>
      <c r="CT10" s="200">
        <f>Data!CT52</f>
        <v>9178</v>
      </c>
      <c r="CU10" s="360">
        <f t="shared" si="2"/>
        <v>9178</v>
      </c>
      <c r="CV10" s="200">
        <f>Data!CV52</f>
        <v>9749</v>
      </c>
      <c r="CW10" s="200">
        <f>Data!CW52</f>
        <v>10142</v>
      </c>
      <c r="CX10" s="200">
        <f>Data!CX52</f>
        <v>10443</v>
      </c>
      <c r="CY10" s="200">
        <f>Data!CY52</f>
        <v>10617</v>
      </c>
      <c r="CZ10" s="360">
        <f t="shared" si="3"/>
        <v>10617</v>
      </c>
      <c r="DA10" s="200">
        <f>Data!DA52</f>
        <v>11327</v>
      </c>
      <c r="DB10" s="200">
        <f>Data!DB52</f>
        <v>11997</v>
      </c>
      <c r="DC10" s="200">
        <f>Data!DC52</f>
        <v>12050</v>
      </c>
      <c r="DD10" s="200">
        <f>Data!DD52</f>
        <v>11777</v>
      </c>
      <c r="DE10" s="360">
        <f t="shared" si="4"/>
        <v>11777</v>
      </c>
      <c r="DF10" s="200">
        <f>Data!DF52</f>
        <v>12386</v>
      </c>
      <c r="DG10" s="200">
        <f>Data!DG52</f>
        <v>13047</v>
      </c>
      <c r="DH10" s="200">
        <f>Data!DH52</f>
        <v>13465</v>
      </c>
      <c r="DI10" s="200">
        <f>Data!DI52</f>
        <v>12768</v>
      </c>
      <c r="DJ10" s="360">
        <f t="shared" si="5"/>
        <v>12768</v>
      </c>
      <c r="DK10" s="200">
        <f>Data!DK52</f>
        <v>13618</v>
      </c>
      <c r="DL10" s="200">
        <f>Data!DL52</f>
        <v>14012</v>
      </c>
      <c r="DM10" s="200">
        <f>Data!DM52</f>
        <v>13806</v>
      </c>
      <c r="DN10" s="357">
        <f>-IS!DN7*BS!DN73/91</f>
        <v>13501.680993624301</v>
      </c>
      <c r="DO10" s="433">
        <f t="shared" si="6"/>
        <v>13501.680993624301</v>
      </c>
      <c r="DP10" s="357">
        <f>-IS!DP7*BS!DP73/91</f>
        <v>12788.105384408045</v>
      </c>
      <c r="DQ10" s="357">
        <f>-IS!DQ7*BS!DQ73/91</f>
        <v>13466.468035994194</v>
      </c>
      <c r="DR10" s="357">
        <f>-IS!DR7*BS!DR73/91</f>
        <v>14091.338303669914</v>
      </c>
      <c r="DS10" s="357">
        <f>-IS!DS7*BS!DS73/91</f>
        <v>14306.596544307611</v>
      </c>
      <c r="DT10" s="433">
        <f t="shared" si="7"/>
        <v>14306.596544307611</v>
      </c>
      <c r="DU10" s="361">
        <f>-IS!DU7*BS!DU73/365</f>
        <v>13941.733372327866</v>
      </c>
      <c r="DV10" s="361">
        <f>-IS!DV7*BS!DV73/365</f>
        <v>14711.640423894611</v>
      </c>
    </row>
    <row r="11" spans="2:126" s="88" customFormat="1">
      <c r="B11" s="41" t="s">
        <v>199</v>
      </c>
      <c r="C11" s="87"/>
      <c r="D11" s="87"/>
      <c r="E11" s="87"/>
      <c r="F11" s="87"/>
      <c r="G11" s="87"/>
      <c r="H11" s="87"/>
      <c r="I11" s="87"/>
      <c r="N11" s="87"/>
      <c r="S11" s="87"/>
      <c r="X11" s="87"/>
      <c r="AC11" s="87"/>
      <c r="AH11" s="87"/>
      <c r="AM11" s="87"/>
      <c r="AR11" s="87"/>
      <c r="AW11" s="87"/>
      <c r="BA11" s="451"/>
      <c r="BB11" s="87"/>
      <c r="BE11" s="451"/>
      <c r="BF11" s="451"/>
      <c r="BG11" s="438"/>
      <c r="BH11" s="451"/>
      <c r="BI11" s="451"/>
      <c r="BJ11" s="451"/>
      <c r="BK11" s="451"/>
      <c r="BL11" s="438"/>
      <c r="BM11" s="451"/>
      <c r="BN11" s="451"/>
      <c r="BO11" s="451"/>
      <c r="BP11" s="451"/>
      <c r="BQ11" s="438"/>
      <c r="BR11" s="451"/>
      <c r="BS11" s="451"/>
      <c r="BT11" s="451"/>
      <c r="BU11" s="451"/>
      <c r="BV11" s="438"/>
      <c r="BW11" s="451"/>
      <c r="BX11" s="451"/>
      <c r="BY11" s="451"/>
      <c r="BZ11" s="451"/>
      <c r="CA11" s="438"/>
      <c r="CB11" s="451"/>
      <c r="CC11" s="451"/>
      <c r="CD11" s="451"/>
      <c r="CE11" s="451"/>
      <c r="CF11" s="363"/>
      <c r="CG11" s="400"/>
      <c r="CH11" s="400">
        <f>Data!CH53</f>
        <v>1450</v>
      </c>
      <c r="CI11" s="359">
        <f t="shared" ref="CI11" si="8">CH11</f>
        <v>1450</v>
      </c>
      <c r="CJ11" s="400">
        <f>Data!CJ53</f>
        <v>34388</v>
      </c>
      <c r="CK11" s="363">
        <f t="shared" si="0"/>
        <v>34388</v>
      </c>
      <c r="CL11" s="359">
        <f t="shared" ref="CL11" si="9">CK11</f>
        <v>34388</v>
      </c>
      <c r="CM11" s="400">
        <f>Data!CM53</f>
        <v>5604</v>
      </c>
      <c r="CN11" s="400">
        <f>Data!CN53</f>
        <v>3935</v>
      </c>
      <c r="CO11" s="400">
        <f>Data!CO53</f>
        <v>5978</v>
      </c>
      <c r="CP11" s="363">
        <f t="shared" si="1"/>
        <v>5978</v>
      </c>
      <c r="CQ11" s="400">
        <f>Data!CQ53</f>
        <v>4200</v>
      </c>
      <c r="CR11" s="400">
        <f>Data!CR53</f>
        <v>3883</v>
      </c>
      <c r="CS11" s="400">
        <f>Data!CS53</f>
        <v>4653</v>
      </c>
      <c r="CT11" s="400">
        <f>Data!CT53</f>
        <v>4018</v>
      </c>
      <c r="CU11" s="363">
        <f t="shared" si="2"/>
        <v>4018</v>
      </c>
      <c r="CV11" s="400">
        <f>Data!CV53</f>
        <v>4309</v>
      </c>
      <c r="CW11" s="400">
        <f>Data!CW53</f>
        <v>4323</v>
      </c>
      <c r="CX11" s="400">
        <f>Data!CX53</f>
        <v>4467</v>
      </c>
      <c r="CY11" s="400">
        <f>Data!CY53</f>
        <v>4964</v>
      </c>
      <c r="CZ11" s="363">
        <f t="shared" si="3"/>
        <v>4964</v>
      </c>
      <c r="DA11" s="400">
        <f>Data!DA53</f>
        <v>5486</v>
      </c>
      <c r="DB11" s="400">
        <f>Data!DB53</f>
        <v>5654</v>
      </c>
      <c r="DC11" s="400">
        <f>Data!DC53</f>
        <v>6258</v>
      </c>
      <c r="DD11" s="400">
        <f>Data!DD53</f>
        <v>7076</v>
      </c>
      <c r="DE11" s="363">
        <f t="shared" si="4"/>
        <v>7076</v>
      </c>
      <c r="DF11" s="400">
        <f>Data!DF53</f>
        <v>6646</v>
      </c>
      <c r="DG11" s="400">
        <f>Data!DG53</f>
        <v>6334</v>
      </c>
      <c r="DH11" s="400">
        <f>Data!DH53</f>
        <v>6836</v>
      </c>
      <c r="DI11" s="400">
        <f>Data!DI53</f>
        <v>7241</v>
      </c>
      <c r="DJ11" s="363">
        <f t="shared" si="5"/>
        <v>7241</v>
      </c>
      <c r="DK11" s="400">
        <f>Data!DK53</f>
        <v>7474</v>
      </c>
      <c r="DL11" s="400">
        <f>Data!DL53</f>
        <v>7792</v>
      </c>
      <c r="DM11" s="400">
        <f>Data!DM53</f>
        <v>7905</v>
      </c>
      <c r="DN11" s="359">
        <f t="shared" ref="DN11" si="10">DM11</f>
        <v>7905</v>
      </c>
      <c r="DO11" s="363">
        <f t="shared" si="6"/>
        <v>7905</v>
      </c>
      <c r="DP11" s="359">
        <f t="shared" ref="DP11:DQ11" si="11">DO11</f>
        <v>7905</v>
      </c>
      <c r="DQ11" s="359">
        <f t="shared" si="11"/>
        <v>7905</v>
      </c>
      <c r="DR11" s="359">
        <f t="shared" ref="DR11" si="12">DQ11</f>
        <v>7905</v>
      </c>
      <c r="DS11" s="359">
        <f t="shared" ref="DS11" si="13">DR11</f>
        <v>7905</v>
      </c>
      <c r="DT11" s="363">
        <f t="shared" si="7"/>
        <v>7905</v>
      </c>
      <c r="DU11" s="364">
        <f t="shared" ref="DU11:DV11" si="14">DT11</f>
        <v>7905</v>
      </c>
      <c r="DV11" s="364">
        <f t="shared" si="14"/>
        <v>7905</v>
      </c>
    </row>
    <row r="12" spans="2:126" s="37" customFormat="1">
      <c r="B12" s="352" t="str">
        <f>+Data!B54</f>
        <v>Total current assets</v>
      </c>
      <c r="C12" s="101"/>
      <c r="D12" s="101"/>
      <c r="E12" s="101"/>
      <c r="F12" s="101"/>
      <c r="G12" s="101"/>
      <c r="H12" s="101"/>
      <c r="I12" s="101"/>
      <c r="N12" s="101"/>
      <c r="S12" s="101"/>
      <c r="X12" s="101"/>
      <c r="AC12" s="101"/>
      <c r="AH12" s="101"/>
      <c r="AM12" s="101"/>
      <c r="AR12" s="101"/>
      <c r="AW12" s="101"/>
      <c r="BB12" s="101"/>
      <c r="BG12" s="101"/>
      <c r="BL12" s="101"/>
      <c r="BQ12" s="101"/>
      <c r="BV12" s="101"/>
      <c r="CA12" s="101"/>
      <c r="CF12" s="365"/>
      <c r="CG12" s="182"/>
      <c r="CH12" s="182">
        <f>SUM(CH7:CH11)</f>
        <v>36086</v>
      </c>
      <c r="CI12" s="182">
        <f>SUM(CI7:CI11)</f>
        <v>36482.01295787545</v>
      </c>
      <c r="CJ12" s="182">
        <f>SUM(CJ7:CJ11)</f>
        <v>61577</v>
      </c>
      <c r="CK12" s="365">
        <f t="shared" si="0"/>
        <v>61577</v>
      </c>
      <c r="CL12" s="182">
        <f>SUM(CL7:CL11)</f>
        <v>75689.867918504591</v>
      </c>
      <c r="CM12" s="182">
        <f>SUM(CM7:CM11)</f>
        <v>42274</v>
      </c>
      <c r="CN12" s="182">
        <f>SUM(CN7:CN11)</f>
        <v>43511</v>
      </c>
      <c r="CO12" s="182">
        <f>SUM(CO7:CO11)</f>
        <v>43376</v>
      </c>
      <c r="CP12" s="365">
        <f t="shared" si="1"/>
        <v>43376</v>
      </c>
      <c r="CQ12" s="182">
        <f>SUM(CQ7:CQ11)</f>
        <v>42552</v>
      </c>
      <c r="CR12" s="182">
        <f>SUM(CR7:CR11)</f>
        <v>40879</v>
      </c>
      <c r="CS12" s="182">
        <f>SUM(CS7:CS11)</f>
        <v>41992</v>
      </c>
      <c r="CT12" s="182">
        <f>SUM(CT7:CT11)</f>
        <v>42050</v>
      </c>
      <c r="CU12" s="365">
        <f t="shared" si="2"/>
        <v>42050</v>
      </c>
      <c r="CV12" s="182">
        <f>SUM(CV7:CV11)</f>
        <v>40740</v>
      </c>
      <c r="CW12" s="182">
        <f>SUM(CW7:CW11)</f>
        <v>41462</v>
      </c>
      <c r="CX12" s="182">
        <f>SUM(CX7:CX11)</f>
        <v>41821</v>
      </c>
      <c r="CY12" s="182">
        <f>SUM(CY7:CY11)</f>
        <v>42443</v>
      </c>
      <c r="CZ12" s="365">
        <f t="shared" si="3"/>
        <v>42443</v>
      </c>
      <c r="DA12" s="182">
        <f t="shared" ref="DA12" si="15">SUM(DA7:DA11)</f>
        <v>45504</v>
      </c>
      <c r="DB12" s="182">
        <f>SUM(DB7:DB11)</f>
        <v>45915</v>
      </c>
      <c r="DC12" s="182">
        <f>SUM(DC7:DC11)</f>
        <v>46518</v>
      </c>
      <c r="DD12" s="182">
        <f>SUM(DD7:DD11)</f>
        <v>48417</v>
      </c>
      <c r="DE12" s="365">
        <f t="shared" si="4"/>
        <v>48417</v>
      </c>
      <c r="DF12" s="182">
        <f t="shared" ref="DF12" si="16">SUM(DF7:DF11)</f>
        <v>48023</v>
      </c>
      <c r="DG12" s="182">
        <f>SUM(DG7:DG11)</f>
        <v>49225</v>
      </c>
      <c r="DH12" s="182">
        <f>SUM(DH7:DH11)</f>
        <v>51764</v>
      </c>
      <c r="DI12" s="182">
        <f>SUM(DI7:DI11)</f>
        <v>51133</v>
      </c>
      <c r="DJ12" s="365">
        <f t="shared" si="5"/>
        <v>51133</v>
      </c>
      <c r="DK12" s="182">
        <f t="shared" ref="DK12" si="17">SUM(DK7:DK11)</f>
        <v>52916</v>
      </c>
      <c r="DL12" s="182">
        <f>SUM(DL7:DL11)</f>
        <v>54657</v>
      </c>
      <c r="DM12" s="182">
        <f>SUM(DM7:DM11)</f>
        <v>57118</v>
      </c>
      <c r="DN12" s="182">
        <f t="shared" ref="DN12" si="18">SUM(DN7:DN11)</f>
        <v>59045.760887631455</v>
      </c>
      <c r="DO12" s="365">
        <f t="shared" si="6"/>
        <v>59045.760887631455</v>
      </c>
      <c r="DP12" s="182">
        <f t="shared" ref="DP12" si="19">SUM(DP7:DP11)</f>
        <v>55487.005418351881</v>
      </c>
      <c r="DQ12" s="182">
        <f t="shared" ref="DQ12:DS12" si="20">SUM(DQ7:DQ11)</f>
        <v>57398.12126031654</v>
      </c>
      <c r="DR12" s="182">
        <f t="shared" si="20"/>
        <v>59712.717720177847</v>
      </c>
      <c r="DS12" s="182">
        <f t="shared" si="20"/>
        <v>62193.661045166125</v>
      </c>
      <c r="DT12" s="365">
        <f t="shared" si="7"/>
        <v>62193.661045166125</v>
      </c>
      <c r="DU12" s="365">
        <f t="shared" ref="DU12:DV12" si="21">SUM(DU7:DU11)</f>
        <v>59109.751025425045</v>
      </c>
      <c r="DV12" s="365">
        <f t="shared" si="21"/>
        <v>62041.288695866773</v>
      </c>
    </row>
    <row r="13" spans="2:126" s="3" customFormat="1">
      <c r="B13" s="165" t="s">
        <v>488</v>
      </c>
      <c r="C13" s="2"/>
      <c r="D13" s="2"/>
      <c r="E13" s="2"/>
      <c r="F13" s="2"/>
      <c r="G13" s="2"/>
      <c r="H13" s="2"/>
      <c r="I13" s="2"/>
      <c r="N13" s="2"/>
      <c r="S13" s="2"/>
      <c r="X13" s="2"/>
      <c r="AC13" s="2"/>
      <c r="AH13" s="2"/>
      <c r="AM13" s="2"/>
      <c r="AR13" s="2"/>
      <c r="AW13" s="2"/>
      <c r="BB13" s="2"/>
      <c r="BG13" s="2"/>
      <c r="BL13" s="2"/>
      <c r="BQ13" s="2"/>
      <c r="BV13" s="2"/>
      <c r="CA13" s="2"/>
      <c r="CF13" s="433"/>
      <c r="CG13" s="200"/>
      <c r="CH13" s="200">
        <f>Data!CH55</f>
        <v>3281</v>
      </c>
      <c r="CI13" s="358">
        <f t="shared" ref="CI13:CL13" si="22">CH13</f>
        <v>3281</v>
      </c>
      <c r="CJ13" s="200">
        <f>Data!CJ55</f>
        <v>3463</v>
      </c>
      <c r="CK13" s="433">
        <f>+CJ13</f>
        <v>3463</v>
      </c>
      <c r="CL13" s="358">
        <f t="shared" si="22"/>
        <v>3463</v>
      </c>
      <c r="CM13" s="200">
        <f>Data!CM55</f>
        <v>3363</v>
      </c>
      <c r="CN13" s="200">
        <f>Data!CN55</f>
        <v>3314</v>
      </c>
      <c r="CO13" s="200">
        <f>Data!CO55</f>
        <v>3144</v>
      </c>
      <c r="CP13" s="433">
        <f>+CO13</f>
        <v>3144</v>
      </c>
      <c r="CQ13" s="200">
        <f>Data!CQ55</f>
        <v>3079</v>
      </c>
      <c r="CR13" s="200">
        <f>Data!CR55</f>
        <v>3063</v>
      </c>
      <c r="CS13" s="200">
        <f>Data!CS55</f>
        <v>2960</v>
      </c>
      <c r="CT13" s="200">
        <f>Data!CT55</f>
        <v>2848</v>
      </c>
      <c r="CU13" s="433">
        <f>+CT13</f>
        <v>2848</v>
      </c>
      <c r="CV13" s="200">
        <f>Data!CV55</f>
        <v>2766</v>
      </c>
      <c r="CW13" s="200">
        <f>Data!CW55</f>
        <v>2675</v>
      </c>
      <c r="CX13" s="200">
        <f>Data!CX55</f>
        <v>2618</v>
      </c>
      <c r="CY13" s="200">
        <f>Data!CY55</f>
        <v>2603</v>
      </c>
      <c r="CZ13" s="433">
        <f>+CY13</f>
        <v>2603</v>
      </c>
      <c r="DA13" s="200">
        <f>Data!DA55</f>
        <v>2543</v>
      </c>
      <c r="DB13" s="200">
        <f>Data!DB55</f>
        <v>2457</v>
      </c>
      <c r="DC13" s="200">
        <f>Data!DC55</f>
        <v>2452</v>
      </c>
      <c r="DD13" s="200">
        <f>Data!DD55</f>
        <v>2392</v>
      </c>
      <c r="DE13" s="433">
        <f>+DD13</f>
        <v>2392</v>
      </c>
      <c r="DF13" s="200">
        <f>Data!DF55</f>
        <v>2359</v>
      </c>
      <c r="DG13" s="200">
        <f>Data!DG55</f>
        <v>2320</v>
      </c>
      <c r="DH13" s="200">
        <f>Data!DH55</f>
        <v>2306</v>
      </c>
      <c r="DI13" s="200">
        <f>Data!DI55</f>
        <v>2246</v>
      </c>
      <c r="DJ13" s="433">
        <f>+DI13</f>
        <v>2246</v>
      </c>
      <c r="DK13" s="200">
        <f>Data!DK55</f>
        <v>2135</v>
      </c>
      <c r="DL13" s="200">
        <f>Data!DL55</f>
        <v>2104</v>
      </c>
      <c r="DM13" s="200">
        <f>Data!DM55</f>
        <v>2071</v>
      </c>
      <c r="DN13" s="358">
        <f t="shared" ref="DN13:DN14" si="23">DM13</f>
        <v>2071</v>
      </c>
      <c r="DO13" s="433">
        <f t="shared" si="6"/>
        <v>2071</v>
      </c>
      <c r="DP13" s="358">
        <f t="shared" ref="DP13:DQ14" si="24">DO13</f>
        <v>2071</v>
      </c>
      <c r="DQ13" s="358">
        <f t="shared" si="24"/>
        <v>2071</v>
      </c>
      <c r="DR13" s="358">
        <f t="shared" ref="DR13:DR14" si="25">DQ13</f>
        <v>2071</v>
      </c>
      <c r="DS13" s="358">
        <f t="shared" ref="DS13:DS14" si="26">DR13</f>
        <v>2071</v>
      </c>
      <c r="DT13" s="433">
        <f t="shared" si="7"/>
        <v>2071</v>
      </c>
      <c r="DU13" s="362">
        <f t="shared" ref="DU13:DV14" si="27">DT13</f>
        <v>2071</v>
      </c>
      <c r="DV13" s="362">
        <f t="shared" si="27"/>
        <v>2071</v>
      </c>
    </row>
    <row r="14" spans="2:126" s="32" customFormat="1">
      <c r="B14" s="233" t="s">
        <v>489</v>
      </c>
      <c r="C14" s="2"/>
      <c r="D14" s="2"/>
      <c r="E14" s="2"/>
      <c r="F14" s="2"/>
      <c r="G14" s="2"/>
      <c r="H14" s="2"/>
      <c r="I14" s="2"/>
      <c r="J14" s="3"/>
      <c r="K14" s="3"/>
      <c r="L14" s="3"/>
      <c r="M14" s="3"/>
      <c r="N14" s="2"/>
      <c r="O14" s="3"/>
      <c r="P14" s="3"/>
      <c r="Q14" s="3"/>
      <c r="R14" s="3"/>
      <c r="S14" s="2"/>
      <c r="T14" s="3"/>
      <c r="U14" s="3"/>
      <c r="V14" s="3"/>
      <c r="W14" s="3"/>
      <c r="X14" s="2"/>
      <c r="Y14" s="3"/>
      <c r="Z14" s="3"/>
      <c r="AA14" s="3"/>
      <c r="AB14" s="3"/>
      <c r="AC14" s="2"/>
      <c r="AD14" s="3"/>
      <c r="AE14" s="3"/>
      <c r="AF14" s="3"/>
      <c r="AG14" s="3"/>
      <c r="AH14" s="2"/>
      <c r="AI14" s="3"/>
      <c r="AJ14" s="3"/>
      <c r="AK14" s="3"/>
      <c r="AL14" s="3"/>
      <c r="AM14" s="2"/>
      <c r="AN14" s="3"/>
      <c r="AO14" s="3"/>
      <c r="AP14" s="3"/>
      <c r="AQ14" s="3"/>
      <c r="AR14" s="2"/>
      <c r="AS14" s="3"/>
      <c r="AT14" s="3"/>
      <c r="AU14" s="3"/>
      <c r="AV14" s="3"/>
      <c r="AW14" s="2"/>
      <c r="AX14" s="3"/>
      <c r="AY14" s="3"/>
      <c r="AZ14" s="3"/>
      <c r="BA14" s="3"/>
      <c r="BB14" s="2"/>
      <c r="BC14" s="3"/>
      <c r="BD14" s="3"/>
      <c r="BE14" s="3"/>
      <c r="BF14" s="3"/>
      <c r="BG14" s="2"/>
      <c r="BH14" s="3"/>
      <c r="BI14" s="3"/>
      <c r="BJ14" s="3"/>
      <c r="BK14" s="3"/>
      <c r="BL14" s="2"/>
      <c r="BM14" s="3"/>
      <c r="BN14" s="3"/>
      <c r="BO14" s="3"/>
      <c r="BP14" s="3"/>
      <c r="BQ14" s="2"/>
      <c r="BR14" s="3"/>
      <c r="BS14" s="3"/>
      <c r="BT14" s="3"/>
      <c r="BU14" s="3"/>
      <c r="BV14" s="2"/>
      <c r="BW14" s="3"/>
      <c r="BX14" s="3"/>
      <c r="BY14" s="3"/>
      <c r="BZ14" s="3"/>
      <c r="CA14" s="103"/>
      <c r="CB14" s="3"/>
      <c r="CC14" s="3"/>
      <c r="CD14" s="3"/>
      <c r="CE14" s="102"/>
      <c r="CF14" s="681"/>
      <c r="CG14" s="200"/>
      <c r="CH14" s="200">
        <f>Data!CH56</f>
        <v>930</v>
      </c>
      <c r="CI14" s="358">
        <f t="shared" ref="CI14" si="28">CH14</f>
        <v>930</v>
      </c>
      <c r="CJ14" s="200">
        <f>Data!CJ56</f>
        <v>0</v>
      </c>
      <c r="CK14" s="433">
        <f>+CJ14</f>
        <v>0</v>
      </c>
      <c r="CL14" s="358">
        <f t="shared" ref="CL14" si="29">CK14</f>
        <v>0</v>
      </c>
      <c r="CM14" s="200">
        <f>Data!CM56</f>
        <v>732</v>
      </c>
      <c r="CN14" s="200">
        <f>Data!CN56</f>
        <v>699</v>
      </c>
      <c r="CO14" s="200">
        <f>Data!CO56</f>
        <v>0</v>
      </c>
      <c r="CP14" s="433">
        <f>+CO14</f>
        <v>0</v>
      </c>
      <c r="CQ14" s="200">
        <f>Data!CQ56</f>
        <v>0</v>
      </c>
      <c r="CR14" s="200">
        <f>Data!CR56</f>
        <v>0</v>
      </c>
      <c r="CS14" s="200">
        <f>Data!CS56</f>
        <v>0</v>
      </c>
      <c r="CT14" s="200">
        <f>Data!CT56</f>
        <v>0</v>
      </c>
      <c r="CU14" s="433">
        <f>+CT14</f>
        <v>0</v>
      </c>
      <c r="CV14" s="200">
        <f>Data!CV56</f>
        <v>0</v>
      </c>
      <c r="CW14" s="200">
        <f>Data!CW56</f>
        <v>0</v>
      </c>
      <c r="CX14" s="200">
        <f>Data!CX56</f>
        <v>0</v>
      </c>
      <c r="CY14" s="200">
        <f>Data!CY56</f>
        <v>0</v>
      </c>
      <c r="CZ14" s="433">
        <f>+CY14</f>
        <v>0</v>
      </c>
      <c r="DA14" s="200">
        <f>Data!DA56</f>
        <v>0</v>
      </c>
      <c r="DB14" s="200">
        <f>Data!DB56</f>
        <v>0</v>
      </c>
      <c r="DC14" s="200">
        <f>Data!DC56</f>
        <v>0</v>
      </c>
      <c r="DD14" s="200">
        <f>Data!DD56</f>
        <v>0</v>
      </c>
      <c r="DE14" s="433">
        <f>+DD14</f>
        <v>0</v>
      </c>
      <c r="DF14" s="200">
        <f>Data!DF56</f>
        <v>0</v>
      </c>
      <c r="DG14" s="200">
        <f>Data!DG56</f>
        <v>0</v>
      </c>
      <c r="DH14" s="200">
        <f>Data!DH56</f>
        <v>0</v>
      </c>
      <c r="DI14" s="200">
        <f>Data!DI56</f>
        <v>0</v>
      </c>
      <c r="DJ14" s="433">
        <f>+DI14</f>
        <v>0</v>
      </c>
      <c r="DK14" s="200">
        <f>Data!DK56</f>
        <v>0</v>
      </c>
      <c r="DL14" s="200">
        <f>Data!DL56</f>
        <v>0</v>
      </c>
      <c r="DM14" s="200">
        <f>Data!DM56</f>
        <v>0</v>
      </c>
      <c r="DN14" s="358">
        <f t="shared" si="23"/>
        <v>0</v>
      </c>
      <c r="DO14" s="433">
        <f t="shared" si="6"/>
        <v>0</v>
      </c>
      <c r="DP14" s="358">
        <f t="shared" si="24"/>
        <v>0</v>
      </c>
      <c r="DQ14" s="358">
        <f t="shared" si="24"/>
        <v>0</v>
      </c>
      <c r="DR14" s="358">
        <f t="shared" si="25"/>
        <v>0</v>
      </c>
      <c r="DS14" s="358">
        <f t="shared" si="26"/>
        <v>0</v>
      </c>
      <c r="DT14" s="433">
        <f t="shared" si="7"/>
        <v>0</v>
      </c>
      <c r="DU14" s="362">
        <f t="shared" si="27"/>
        <v>0</v>
      </c>
      <c r="DV14" s="362">
        <f t="shared" si="27"/>
        <v>0</v>
      </c>
    </row>
    <row r="15" spans="2:126" s="32" customFormat="1">
      <c r="B15" s="41" t="s">
        <v>200</v>
      </c>
      <c r="C15" s="34"/>
      <c r="D15" s="34"/>
      <c r="E15" s="34"/>
      <c r="F15" s="34"/>
      <c r="G15" s="34"/>
      <c r="H15" s="34"/>
      <c r="I15" s="34"/>
      <c r="N15" s="34"/>
      <c r="S15" s="34"/>
      <c r="X15" s="34"/>
      <c r="AC15" s="34"/>
      <c r="AH15" s="34"/>
      <c r="AM15" s="34"/>
      <c r="AR15" s="34"/>
      <c r="AW15" s="34"/>
      <c r="BA15" s="3"/>
      <c r="BB15" s="34"/>
      <c r="BC15" s="3"/>
      <c r="BD15" s="3"/>
      <c r="BE15" s="3"/>
      <c r="BF15" s="3"/>
      <c r="BG15" s="34"/>
      <c r="BH15" s="3"/>
      <c r="BI15" s="3"/>
      <c r="BJ15" s="3"/>
      <c r="BK15" s="3"/>
      <c r="BL15" s="2"/>
      <c r="BM15" s="3"/>
      <c r="BN15" s="3"/>
      <c r="BO15" s="3"/>
      <c r="BP15" s="3"/>
      <c r="BQ15" s="2"/>
      <c r="BR15" s="3"/>
      <c r="BS15" s="3"/>
      <c r="BT15" s="3"/>
      <c r="BU15" s="3"/>
      <c r="BV15" s="2"/>
      <c r="BW15" s="3"/>
      <c r="BX15" s="3"/>
      <c r="BY15" s="3"/>
      <c r="BZ15" s="3"/>
      <c r="CA15" s="98"/>
      <c r="CB15" s="3"/>
      <c r="CC15" s="3"/>
      <c r="CD15" s="3"/>
      <c r="CE15" s="97"/>
      <c r="CF15" s="361"/>
      <c r="CG15" s="200"/>
      <c r="CH15" s="200">
        <f>Data!CH57</f>
        <v>14596</v>
      </c>
      <c r="CI15" s="357">
        <f>CH15-CFLO!CI24-CFLO!CI8*0.6</f>
        <v>14994.5</v>
      </c>
      <c r="CJ15" s="200">
        <f>Data!CJ57</f>
        <v>10322</v>
      </c>
      <c r="CK15" s="360">
        <f>+CJ15</f>
        <v>10322</v>
      </c>
      <c r="CL15" s="357">
        <f>CK15-CFLO!CL24-CFLO!CL8*0.6</f>
        <v>10596.6</v>
      </c>
      <c r="CM15" s="200">
        <f>Data!CM57</f>
        <v>14805</v>
      </c>
      <c r="CN15" s="200">
        <f>Data!CN57</f>
        <v>14730</v>
      </c>
      <c r="CO15" s="200">
        <f>Data!CO57</f>
        <v>14962</v>
      </c>
      <c r="CP15" s="360">
        <f>+CO15</f>
        <v>14962</v>
      </c>
      <c r="CQ15" s="200">
        <f>Data!CQ57</f>
        <v>14742</v>
      </c>
      <c r="CR15" s="200">
        <f>Data!CR57</f>
        <v>14665</v>
      </c>
      <c r="CS15" s="200">
        <f>Data!CS57</f>
        <v>14517</v>
      </c>
      <c r="CT15" s="200">
        <f>Data!CT57</f>
        <v>14972</v>
      </c>
      <c r="CU15" s="360">
        <f>+CT15</f>
        <v>14972</v>
      </c>
      <c r="CV15" s="200">
        <f>Data!CV57</f>
        <v>14837</v>
      </c>
      <c r="CW15" s="200">
        <f>Data!CW57</f>
        <v>14741</v>
      </c>
      <c r="CX15" s="200">
        <f>Data!CX57</f>
        <v>14668</v>
      </c>
      <c r="CY15" s="200">
        <f>Data!CY57</f>
        <v>15170</v>
      </c>
      <c r="CZ15" s="360">
        <f>+CY15</f>
        <v>15170</v>
      </c>
      <c r="DA15" s="200">
        <f>Data!DA57</f>
        <v>15149</v>
      </c>
      <c r="DB15" s="200">
        <f>Data!DB57</f>
        <v>15295</v>
      </c>
      <c r="DC15" s="200">
        <f>Data!DC57</f>
        <v>15347</v>
      </c>
      <c r="DD15" s="200">
        <f>Data!DD57</f>
        <v>15748</v>
      </c>
      <c r="DE15" s="360">
        <f>+DD15</f>
        <v>15748</v>
      </c>
      <c r="DF15" s="200">
        <f>Data!DF57</f>
        <v>15638</v>
      </c>
      <c r="DG15" s="200">
        <f>Data!DG57</f>
        <v>15693</v>
      </c>
      <c r="DH15" s="200">
        <f>Data!DH57</f>
        <v>15886</v>
      </c>
      <c r="DI15" s="200">
        <f>Data!DI57</f>
        <v>16089</v>
      </c>
      <c r="DJ15" s="360">
        <f>+DI15</f>
        <v>16089</v>
      </c>
      <c r="DK15" s="200">
        <f>Data!DK57</f>
        <v>16135</v>
      </c>
      <c r="DL15" s="200">
        <f>Data!DL57</f>
        <v>16205</v>
      </c>
      <c r="DM15" s="200">
        <f>Data!DM57</f>
        <v>16325</v>
      </c>
      <c r="DN15" s="357">
        <f>DM15-CFLO!DN24-CFLO!DN8*0.6</f>
        <v>16921</v>
      </c>
      <c r="DO15" s="433">
        <f t="shared" si="6"/>
        <v>16921</v>
      </c>
      <c r="DP15" s="357">
        <f>DO15-CFLO!DP24-CFLO!DP8*0.6</f>
        <v>17111</v>
      </c>
      <c r="DQ15" s="357">
        <f>DP15-CFLO!DQ24-CFLO!DQ8*0.6</f>
        <v>17331</v>
      </c>
      <c r="DR15" s="357">
        <f>DQ15-CFLO!DR24-CFLO!DR8*0.6</f>
        <v>17621</v>
      </c>
      <c r="DS15" s="357">
        <f>DR15-CFLO!DS24-CFLO!DS8*0.6</f>
        <v>18201</v>
      </c>
      <c r="DT15" s="433">
        <f t="shared" si="7"/>
        <v>18201</v>
      </c>
      <c r="DU15" s="361">
        <f>DT15-CFLO!DU24-CFLO!DU8*0.6</f>
        <v>19581</v>
      </c>
      <c r="DV15" s="361">
        <f>DU15-CFLO!DV24-CFLO!DV8*0.6</f>
        <v>20956</v>
      </c>
    </row>
    <row r="16" spans="2:126" s="32" customFormat="1">
      <c r="B16" s="41" t="s">
        <v>478</v>
      </c>
      <c r="C16" s="34"/>
      <c r="D16" s="34"/>
      <c r="E16" s="34"/>
      <c r="F16" s="34"/>
      <c r="G16" s="34"/>
      <c r="H16" s="34"/>
      <c r="I16" s="34"/>
      <c r="N16" s="34"/>
      <c r="S16" s="34"/>
      <c r="X16" s="34"/>
      <c r="AC16" s="34"/>
      <c r="AH16" s="34"/>
      <c r="AM16" s="34"/>
      <c r="AR16" s="34"/>
      <c r="AW16" s="34"/>
      <c r="BA16" s="3"/>
      <c r="BB16" s="34"/>
      <c r="BC16" s="3"/>
      <c r="BD16" s="3"/>
      <c r="BE16" s="3"/>
      <c r="BF16" s="3"/>
      <c r="BG16" s="34"/>
      <c r="BH16" s="3"/>
      <c r="BI16" s="3"/>
      <c r="BJ16" s="3"/>
      <c r="BK16" s="3"/>
      <c r="BL16" s="34"/>
      <c r="BM16" s="3"/>
      <c r="BN16" s="3"/>
      <c r="BO16" s="3"/>
      <c r="BP16" s="3"/>
      <c r="BQ16" s="34"/>
      <c r="BR16" s="3"/>
      <c r="BS16" s="3"/>
      <c r="BT16" s="3"/>
      <c r="BU16" s="3"/>
      <c r="BV16" s="34"/>
      <c r="BW16" s="3"/>
      <c r="BX16" s="3"/>
      <c r="BY16" s="3"/>
      <c r="BZ16" s="3"/>
      <c r="CA16" s="34"/>
      <c r="CB16" s="3"/>
      <c r="CC16" s="3"/>
      <c r="CD16" s="3"/>
      <c r="CE16" s="3"/>
      <c r="CF16" s="360"/>
      <c r="CG16" s="200"/>
      <c r="CH16" s="200">
        <f>Data!CH58</f>
        <v>2150</v>
      </c>
      <c r="CI16" s="358">
        <f t="shared" ref="CI16" si="30">CH16</f>
        <v>2150</v>
      </c>
      <c r="CJ16" s="200">
        <f>Data!CJ58</f>
        <v>1252</v>
      </c>
      <c r="CK16" s="433">
        <f>+CJ16</f>
        <v>1252</v>
      </c>
      <c r="CL16" s="358">
        <f t="shared" ref="CL16" si="31">CK16</f>
        <v>1252</v>
      </c>
      <c r="CM16" s="200">
        <f>Data!CM58</f>
        <v>2102</v>
      </c>
      <c r="CN16" s="200">
        <f>Data!CN58</f>
        <v>2027</v>
      </c>
      <c r="CO16" s="200">
        <f>Data!CO58</f>
        <v>1880</v>
      </c>
      <c r="CP16" s="433">
        <f>+CO16</f>
        <v>1880</v>
      </c>
      <c r="CQ16" s="200">
        <f>Data!CQ58</f>
        <v>1913</v>
      </c>
      <c r="CR16" s="200">
        <f>Data!CR58</f>
        <v>1900</v>
      </c>
      <c r="CS16" s="200">
        <f>Data!CS58</f>
        <v>1876</v>
      </c>
      <c r="CT16" s="200">
        <f>Data!CT58</f>
        <v>1958</v>
      </c>
      <c r="CU16" s="433">
        <f>+CT16</f>
        <v>1958</v>
      </c>
      <c r="CV16" s="200">
        <f>Data!CV58</f>
        <v>1911</v>
      </c>
      <c r="CW16" s="200">
        <f>Data!CW58</f>
        <v>1866</v>
      </c>
      <c r="CX16" s="200">
        <f>Data!CX58</f>
        <v>1802</v>
      </c>
      <c r="CY16" s="200">
        <f>Data!CY58</f>
        <v>1829</v>
      </c>
      <c r="CZ16" s="433">
        <f>+CY16</f>
        <v>1829</v>
      </c>
      <c r="DA16" s="200">
        <f>Data!DA58</f>
        <v>1844</v>
      </c>
      <c r="DB16" s="200">
        <f>Data!DB58</f>
        <v>1812</v>
      </c>
      <c r="DC16" s="200">
        <f>Data!DC58</f>
        <v>1755</v>
      </c>
      <c r="DD16" s="200">
        <f>Data!DD58</f>
        <v>1638</v>
      </c>
      <c r="DE16" s="433">
        <f>+DD16</f>
        <v>1638</v>
      </c>
      <c r="DF16" s="200">
        <f>Data!DF58</f>
        <v>1639</v>
      </c>
      <c r="DG16" s="200">
        <f>Data!DG58</f>
        <v>1664</v>
      </c>
      <c r="DH16" s="200">
        <f>Data!DH58</f>
        <v>1846</v>
      </c>
      <c r="DI16" s="200">
        <f>Data!DI58</f>
        <v>1864</v>
      </c>
      <c r="DJ16" s="433">
        <f>+DI16</f>
        <v>1864</v>
      </c>
      <c r="DK16" s="200">
        <f>Data!DK58</f>
        <v>1899</v>
      </c>
      <c r="DL16" s="200">
        <f>Data!DL58</f>
        <v>1869</v>
      </c>
      <c r="DM16" s="200">
        <f>Data!DM58</f>
        <v>1899</v>
      </c>
      <c r="DN16" s="358">
        <f t="shared" ref="DN16:DN17" si="32">DM16</f>
        <v>1899</v>
      </c>
      <c r="DO16" s="433">
        <f t="shared" si="6"/>
        <v>1899</v>
      </c>
      <c r="DP16" s="358">
        <f t="shared" ref="DP16:DQ17" si="33">DO16</f>
        <v>1899</v>
      </c>
      <c r="DQ16" s="358">
        <f t="shared" si="33"/>
        <v>1899</v>
      </c>
      <c r="DR16" s="358">
        <f t="shared" ref="DR16:DR17" si="34">DQ16</f>
        <v>1899</v>
      </c>
      <c r="DS16" s="358">
        <f t="shared" ref="DS16:DS17" si="35">DR16</f>
        <v>1899</v>
      </c>
      <c r="DT16" s="433">
        <f t="shared" si="7"/>
        <v>1899</v>
      </c>
      <c r="DU16" s="362">
        <f t="shared" ref="DU16:DV17" si="36">DT16</f>
        <v>1899</v>
      </c>
      <c r="DV16" s="362">
        <f t="shared" si="36"/>
        <v>1899</v>
      </c>
    </row>
    <row r="17" spans="2:126" s="32" customFormat="1">
      <c r="B17" s="41" t="s">
        <v>48</v>
      </c>
      <c r="C17" s="34"/>
      <c r="D17" s="34"/>
      <c r="E17" s="34"/>
      <c r="F17" s="34"/>
      <c r="G17" s="34"/>
      <c r="H17" s="34"/>
      <c r="I17" s="34"/>
      <c r="N17" s="34"/>
      <c r="S17" s="34"/>
      <c r="X17" s="34"/>
      <c r="AC17" s="34"/>
      <c r="AH17" s="34"/>
      <c r="AM17" s="34"/>
      <c r="AR17" s="34"/>
      <c r="AW17" s="34"/>
      <c r="BA17" s="3"/>
      <c r="BB17" s="34"/>
      <c r="BC17" s="3"/>
      <c r="BD17" s="3"/>
      <c r="BE17" s="3"/>
      <c r="BF17" s="3"/>
      <c r="BG17" s="34"/>
      <c r="BH17" s="3"/>
      <c r="BI17" s="3"/>
      <c r="BJ17" s="3"/>
      <c r="BK17" s="3"/>
      <c r="BL17" s="34"/>
      <c r="BM17" s="3"/>
      <c r="BN17" s="3"/>
      <c r="BO17" s="3"/>
      <c r="BP17" s="3"/>
      <c r="BQ17" s="34"/>
      <c r="BR17" s="3"/>
      <c r="BS17" s="3"/>
      <c r="BT17" s="3"/>
      <c r="BU17" s="3"/>
      <c r="BV17" s="34"/>
      <c r="BW17" s="3"/>
      <c r="BX17" s="3"/>
      <c r="BY17" s="3"/>
      <c r="BZ17" s="3"/>
      <c r="CA17" s="34"/>
      <c r="CB17" s="3"/>
      <c r="CC17" s="3"/>
      <c r="CD17" s="3"/>
      <c r="CE17" s="3"/>
      <c r="CF17" s="360"/>
      <c r="CG17" s="200"/>
      <c r="CH17" s="200">
        <f>Data!CH59</f>
        <v>76652</v>
      </c>
      <c r="CI17" s="358">
        <f t="shared" ref="CI17" si="37">CH17</f>
        <v>76652</v>
      </c>
      <c r="CJ17" s="200">
        <f>Data!CJ59</f>
        <v>36609</v>
      </c>
      <c r="CK17" s="433">
        <f>+CJ17</f>
        <v>36609</v>
      </c>
      <c r="CL17" s="358">
        <f t="shared" ref="CL17" si="38">CK17</f>
        <v>36609</v>
      </c>
      <c r="CM17" s="200">
        <f>Data!CM59</f>
        <v>53269</v>
      </c>
      <c r="CN17" s="200">
        <f>Data!CN59</f>
        <v>53524</v>
      </c>
      <c r="CO17" s="200">
        <f>Data!CO59</f>
        <v>54285</v>
      </c>
      <c r="CP17" s="433">
        <f>+CO17</f>
        <v>54285</v>
      </c>
      <c r="CQ17" s="200">
        <f>Data!CQ59</f>
        <v>54265</v>
      </c>
      <c r="CR17" s="200">
        <f>Data!CR59</f>
        <v>54394</v>
      </c>
      <c r="CS17" s="200">
        <f>Data!CS59</f>
        <v>53789</v>
      </c>
      <c r="CT17" s="200">
        <f>Data!CT59</f>
        <v>54436</v>
      </c>
      <c r="CU17" s="433">
        <f>+CT17</f>
        <v>54436</v>
      </c>
      <c r="CV17" s="200">
        <f>Data!CV59</f>
        <v>54316</v>
      </c>
      <c r="CW17" s="200">
        <f>Data!CW59</f>
        <v>53806</v>
      </c>
      <c r="CX17" s="200">
        <f>Data!CX59</f>
        <v>53168</v>
      </c>
      <c r="CY17" s="200">
        <f>Data!CY59</f>
        <v>53840</v>
      </c>
      <c r="CZ17" s="433">
        <f>+CY17</f>
        <v>53840</v>
      </c>
      <c r="DA17" s="200">
        <f>Data!DA59</f>
        <v>53904</v>
      </c>
      <c r="DB17" s="200">
        <f>Data!DB59</f>
        <v>54122</v>
      </c>
      <c r="DC17" s="200">
        <f>Data!DC59</f>
        <v>53883</v>
      </c>
      <c r="DD17" s="200">
        <f>Data!DD59</f>
        <v>53699</v>
      </c>
      <c r="DE17" s="433">
        <f>+DD17</f>
        <v>53699</v>
      </c>
      <c r="DF17" s="200">
        <f>Data!DF59</f>
        <v>53644</v>
      </c>
      <c r="DG17" s="200">
        <f>Data!DG59</f>
        <v>53347</v>
      </c>
      <c r="DH17" s="200">
        <f>Data!DH59</f>
        <v>53759</v>
      </c>
      <c r="DI17" s="200">
        <f>Data!DI59</f>
        <v>52789</v>
      </c>
      <c r="DJ17" s="433">
        <f>+DI17</f>
        <v>52789</v>
      </c>
      <c r="DK17" s="200">
        <f>Data!DK59</f>
        <v>53045</v>
      </c>
      <c r="DL17" s="200">
        <f>Data!DL59</f>
        <v>53327</v>
      </c>
      <c r="DM17" s="200">
        <f>Data!DM59</f>
        <v>53311</v>
      </c>
      <c r="DN17" s="358">
        <f t="shared" si="32"/>
        <v>53311</v>
      </c>
      <c r="DO17" s="433">
        <f t="shared" si="6"/>
        <v>53311</v>
      </c>
      <c r="DP17" s="358">
        <f t="shared" si="33"/>
        <v>53311</v>
      </c>
      <c r="DQ17" s="358">
        <f t="shared" si="33"/>
        <v>53311</v>
      </c>
      <c r="DR17" s="358">
        <f t="shared" si="34"/>
        <v>53311</v>
      </c>
      <c r="DS17" s="358">
        <f t="shared" si="35"/>
        <v>53311</v>
      </c>
      <c r="DT17" s="433">
        <f t="shared" si="7"/>
        <v>53311</v>
      </c>
      <c r="DU17" s="362">
        <f t="shared" si="36"/>
        <v>53311</v>
      </c>
      <c r="DV17" s="362">
        <f t="shared" si="36"/>
        <v>53311</v>
      </c>
    </row>
    <row r="18" spans="2:126" s="32" customFormat="1">
      <c r="B18" s="41" t="s">
        <v>201</v>
      </c>
      <c r="C18" s="34"/>
      <c r="D18" s="34"/>
      <c r="E18" s="34"/>
      <c r="F18" s="34"/>
      <c r="G18" s="34"/>
      <c r="H18" s="34"/>
      <c r="I18" s="34"/>
      <c r="N18" s="34"/>
      <c r="S18" s="34"/>
      <c r="X18" s="34"/>
      <c r="AC18" s="34"/>
      <c r="AH18" s="34"/>
      <c r="AM18" s="34"/>
      <c r="AR18" s="34"/>
      <c r="AW18" s="34"/>
      <c r="BB18" s="34"/>
      <c r="BC18" s="3"/>
      <c r="BD18" s="3"/>
      <c r="BE18" s="3"/>
      <c r="BF18" s="3"/>
      <c r="BG18" s="34"/>
      <c r="BH18" s="3"/>
      <c r="BI18" s="3"/>
      <c r="BJ18" s="3"/>
      <c r="BK18" s="3"/>
      <c r="BL18" s="34"/>
      <c r="BM18" s="3"/>
      <c r="BN18" s="3"/>
      <c r="BO18" s="3"/>
      <c r="BP18" s="3"/>
      <c r="BQ18" s="34"/>
      <c r="BR18" s="3"/>
      <c r="BS18" s="3"/>
      <c r="BT18" s="3"/>
      <c r="BU18" s="3"/>
      <c r="BV18" s="34"/>
      <c r="BW18" s="3"/>
      <c r="BX18" s="3"/>
      <c r="BY18" s="3"/>
      <c r="BZ18" s="3"/>
      <c r="CA18" s="34"/>
      <c r="CB18" s="3"/>
      <c r="CC18" s="3"/>
      <c r="CD18" s="3"/>
      <c r="CE18" s="3"/>
      <c r="CF18" s="360"/>
      <c r="CG18" s="200"/>
      <c r="CH18" s="200">
        <f>Data!CH60</f>
        <v>44184</v>
      </c>
      <c r="CI18" s="357">
        <f>+CH18-CFLO!CI8*0.4</f>
        <v>43981</v>
      </c>
      <c r="CJ18" s="200">
        <f>Data!CJ60</f>
        <v>24473</v>
      </c>
      <c r="CK18" s="360">
        <f>CJ18</f>
        <v>24473</v>
      </c>
      <c r="CL18" s="357">
        <f>+CK18-CFLO!CL8*0.4</f>
        <v>24439.4</v>
      </c>
      <c r="CM18" s="200">
        <f>Data!CM60</f>
        <v>42003</v>
      </c>
      <c r="CN18" s="200">
        <f>Data!CN60</f>
        <v>41564</v>
      </c>
      <c r="CO18" s="200">
        <f>Data!CO60</f>
        <v>40539</v>
      </c>
      <c r="CP18" s="360">
        <f>CO18</f>
        <v>40539</v>
      </c>
      <c r="CQ18" s="200">
        <f>Data!CQ60</f>
        <v>39999</v>
      </c>
      <c r="CR18" s="200">
        <f>Data!CR60</f>
        <v>39523</v>
      </c>
      <c r="CS18" s="200">
        <f>Data!CS60</f>
        <v>38842</v>
      </c>
      <c r="CT18" s="200">
        <f>Data!CT60</f>
        <v>38516</v>
      </c>
      <c r="CU18" s="360">
        <f>CT18</f>
        <v>38516</v>
      </c>
      <c r="CV18" s="200">
        <f>Data!CV60</f>
        <v>38118</v>
      </c>
      <c r="CW18" s="200">
        <f>Data!CW60</f>
        <v>37562</v>
      </c>
      <c r="CX18" s="200">
        <f>Data!CX60</f>
        <v>37046</v>
      </c>
      <c r="CY18" s="200">
        <f>Data!CY60</f>
        <v>36823</v>
      </c>
      <c r="CZ18" s="360">
        <f>CY18</f>
        <v>36823</v>
      </c>
      <c r="DA18" s="200">
        <f>Data!DA60</f>
        <v>36477</v>
      </c>
      <c r="DB18" s="200">
        <f>Data!DB60</f>
        <v>36234</v>
      </c>
      <c r="DC18" s="200">
        <f>Data!DC60</f>
        <v>35865</v>
      </c>
      <c r="DD18" s="200">
        <f>Data!DD60</f>
        <v>35399</v>
      </c>
      <c r="DE18" s="360">
        <f>DD18</f>
        <v>35399</v>
      </c>
      <c r="DF18" s="200">
        <f>Data!DF60</f>
        <v>34960</v>
      </c>
      <c r="DG18" s="200">
        <f>Data!DG60</f>
        <v>34503</v>
      </c>
      <c r="DH18" s="200">
        <f>Data!DH60</f>
        <v>34159</v>
      </c>
      <c r="DI18" s="200">
        <f>Data!DI60</f>
        <v>33443</v>
      </c>
      <c r="DJ18" s="360">
        <f>DI18</f>
        <v>33443</v>
      </c>
      <c r="DK18" s="200">
        <f>Data!DK60</f>
        <v>33116</v>
      </c>
      <c r="DL18" s="200">
        <f>Data!DL60</f>
        <v>32748</v>
      </c>
      <c r="DM18" s="200">
        <f>Data!DM60</f>
        <v>32260</v>
      </c>
      <c r="DN18" s="357">
        <f>+DM18-CFLO!DN8*0.4</f>
        <v>32024</v>
      </c>
      <c r="DO18" s="433">
        <f t="shared" si="6"/>
        <v>32024</v>
      </c>
      <c r="DP18" s="357">
        <f>+DO18-CFLO!DP8*0.4</f>
        <v>31784</v>
      </c>
      <c r="DQ18" s="357">
        <f>+DP18-CFLO!DQ8*0.4</f>
        <v>31544</v>
      </c>
      <c r="DR18" s="357">
        <f>+DQ18-CFLO!DR8*0.4</f>
        <v>31304</v>
      </c>
      <c r="DS18" s="357">
        <f>+DR18-CFLO!DS8*0.4</f>
        <v>31064</v>
      </c>
      <c r="DT18" s="433">
        <f t="shared" si="7"/>
        <v>31064</v>
      </c>
      <c r="DU18" s="361">
        <f>+DT18-CFLO!DU8*0.4</f>
        <v>30084</v>
      </c>
      <c r="DV18" s="361">
        <f>+DU18-CFLO!DV8*0.4</f>
        <v>29084</v>
      </c>
    </row>
    <row r="19" spans="2:126" s="32" customFormat="1">
      <c r="B19" s="170" t="str">
        <f>+Data!B61</f>
        <v>Other assets</v>
      </c>
      <c r="C19" s="168"/>
      <c r="D19" s="168"/>
      <c r="E19" s="168"/>
      <c r="F19" s="168"/>
      <c r="G19" s="168"/>
      <c r="H19" s="168"/>
      <c r="I19" s="168"/>
      <c r="J19" s="169"/>
      <c r="K19" s="169"/>
      <c r="L19" s="169"/>
      <c r="M19" s="169"/>
      <c r="N19" s="168"/>
      <c r="O19" s="169"/>
      <c r="P19" s="169"/>
      <c r="Q19" s="169"/>
      <c r="R19" s="169"/>
      <c r="S19" s="168"/>
      <c r="T19" s="169"/>
      <c r="U19" s="169"/>
      <c r="V19" s="169"/>
      <c r="W19" s="169"/>
      <c r="X19" s="168"/>
      <c r="Y19" s="169"/>
      <c r="Z19" s="169"/>
      <c r="AA19" s="169"/>
      <c r="AB19" s="169"/>
      <c r="AC19" s="168"/>
      <c r="AD19" s="169"/>
      <c r="AE19" s="169"/>
      <c r="AF19" s="169"/>
      <c r="AG19" s="169"/>
      <c r="AH19" s="168"/>
      <c r="AI19" s="169"/>
      <c r="AJ19" s="169"/>
      <c r="AK19" s="169"/>
      <c r="AL19" s="169"/>
      <c r="AM19" s="168"/>
      <c r="AN19" s="169"/>
      <c r="AO19" s="169"/>
      <c r="AP19" s="169"/>
      <c r="AQ19" s="169"/>
      <c r="AR19" s="168"/>
      <c r="AS19" s="169"/>
      <c r="AT19" s="169"/>
      <c r="AU19" s="169"/>
      <c r="AV19" s="169"/>
      <c r="AW19" s="168"/>
      <c r="AX19" s="169"/>
      <c r="AY19" s="169"/>
      <c r="AZ19" s="169"/>
      <c r="BA19" s="169"/>
      <c r="BB19" s="168"/>
      <c r="BC19" s="88"/>
      <c r="BD19" s="88"/>
      <c r="BE19" s="88"/>
      <c r="BF19" s="88"/>
      <c r="BG19" s="168"/>
      <c r="BH19" s="88"/>
      <c r="BI19" s="88"/>
      <c r="BJ19" s="88"/>
      <c r="BK19" s="88"/>
      <c r="BL19" s="168"/>
      <c r="BM19" s="88"/>
      <c r="BN19" s="88"/>
      <c r="BO19" s="88"/>
      <c r="BP19" s="88"/>
      <c r="BQ19" s="168"/>
      <c r="BR19" s="88"/>
      <c r="BS19" s="88"/>
      <c r="BT19" s="88"/>
      <c r="BU19" s="88"/>
      <c r="BV19" s="168"/>
      <c r="BW19" s="88"/>
      <c r="BX19" s="88"/>
      <c r="BY19" s="88"/>
      <c r="BZ19" s="88"/>
      <c r="CA19" s="168"/>
      <c r="CB19" s="88"/>
      <c r="CC19" s="88"/>
      <c r="CD19" s="88"/>
      <c r="CE19" s="88"/>
      <c r="CF19" s="682"/>
      <c r="CG19" s="400"/>
      <c r="CH19" s="400">
        <f>Data!CH61</f>
        <v>6799</v>
      </c>
      <c r="CI19" s="685">
        <f t="shared" ref="CI19" si="39">CH19</f>
        <v>6799</v>
      </c>
      <c r="CJ19" s="400">
        <f>Data!CJ61</f>
        <v>1919</v>
      </c>
      <c r="CK19" s="682">
        <f>+CJ19</f>
        <v>1919</v>
      </c>
      <c r="CL19" s="685">
        <f t="shared" ref="CL19" si="40">CK19</f>
        <v>1919</v>
      </c>
      <c r="CM19" s="400">
        <f>Data!CM61</f>
        <v>2969</v>
      </c>
      <c r="CN19" s="400">
        <f>Data!CN61</f>
        <v>3030</v>
      </c>
      <c r="CO19" s="400">
        <f>Data!CO61</f>
        <v>3967</v>
      </c>
      <c r="CP19" s="682">
        <f>+CO19</f>
        <v>3967</v>
      </c>
      <c r="CQ19" s="400">
        <f>Data!CQ61</f>
        <v>4058</v>
      </c>
      <c r="CR19" s="400">
        <f>Data!CR61</f>
        <v>4414</v>
      </c>
      <c r="CS19" s="400">
        <f>Data!CS61</f>
        <v>4796</v>
      </c>
      <c r="CT19" s="400">
        <f>Data!CT61</f>
        <v>6624</v>
      </c>
      <c r="CU19" s="682">
        <f>+CT19</f>
        <v>6624</v>
      </c>
      <c r="CV19" s="400">
        <f>Data!CV61</f>
        <v>6678</v>
      </c>
      <c r="CW19" s="400">
        <f>Data!CW61</f>
        <v>6905</v>
      </c>
      <c r="CX19" s="400">
        <f>Data!CX61</f>
        <v>7102</v>
      </c>
      <c r="CY19" s="400">
        <f>Data!CY61</f>
        <v>6156</v>
      </c>
      <c r="CZ19" s="682">
        <f>+CY19</f>
        <v>6156</v>
      </c>
      <c r="DA19" s="400">
        <f>Data!DA61</f>
        <v>6215</v>
      </c>
      <c r="DB19" s="400">
        <f>Data!DB61</f>
        <v>6326</v>
      </c>
      <c r="DC19" s="400">
        <f>Data!DC61</f>
        <v>6623</v>
      </c>
      <c r="DD19" s="400">
        <f>Data!DD61</f>
        <v>4576</v>
      </c>
      <c r="DE19" s="682">
        <f>+DD19</f>
        <v>4576</v>
      </c>
      <c r="DF19" s="400">
        <f>Data!DF61</f>
        <v>3924</v>
      </c>
      <c r="DG19" s="400">
        <f>Data!DG61</f>
        <v>4417</v>
      </c>
      <c r="DH19" s="400">
        <f>Data!DH61</f>
        <v>5102</v>
      </c>
      <c r="DI19" s="400">
        <f>Data!DI61</f>
        <v>5297</v>
      </c>
      <c r="DJ19" s="682">
        <f>+DI19</f>
        <v>5297</v>
      </c>
      <c r="DK19" s="400">
        <f>Data!DK61</f>
        <v>5618</v>
      </c>
      <c r="DL19" s="400">
        <f>Data!DL61</f>
        <v>6229</v>
      </c>
      <c r="DM19" s="400">
        <f>Data!DM61</f>
        <v>5688</v>
      </c>
      <c r="DN19" s="685">
        <f t="shared" ref="DN19" si="41">DM19</f>
        <v>5688</v>
      </c>
      <c r="DO19" s="363">
        <f t="shared" si="6"/>
        <v>5688</v>
      </c>
      <c r="DP19" s="685">
        <f t="shared" ref="DP19:DQ19" si="42">DO19</f>
        <v>5688</v>
      </c>
      <c r="DQ19" s="685">
        <f t="shared" si="42"/>
        <v>5688</v>
      </c>
      <c r="DR19" s="685">
        <f t="shared" ref="DR19" si="43">DQ19</f>
        <v>5688</v>
      </c>
      <c r="DS19" s="685">
        <f t="shared" ref="DS19" si="44">DR19</f>
        <v>5688</v>
      </c>
      <c r="DT19" s="363">
        <f t="shared" si="7"/>
        <v>5688</v>
      </c>
      <c r="DU19" s="686">
        <f t="shared" ref="DU19:DV19" si="45">DT19</f>
        <v>5688</v>
      </c>
      <c r="DV19" s="686">
        <f t="shared" si="45"/>
        <v>5688</v>
      </c>
    </row>
    <row r="20" spans="2:126" s="32" customFormat="1">
      <c r="B20" s="48" t="s">
        <v>57</v>
      </c>
      <c r="C20" s="104"/>
      <c r="D20" s="104"/>
      <c r="E20" s="104"/>
      <c r="F20" s="104"/>
      <c r="G20" s="104"/>
      <c r="H20" s="104"/>
      <c r="I20" s="104"/>
      <c r="J20" s="47"/>
      <c r="K20" s="47"/>
      <c r="L20" s="47"/>
      <c r="M20" s="47"/>
      <c r="N20" s="104"/>
      <c r="O20" s="47"/>
      <c r="P20" s="47"/>
      <c r="Q20" s="47"/>
      <c r="R20" s="47"/>
      <c r="S20" s="104"/>
      <c r="T20" s="47"/>
      <c r="U20" s="47"/>
      <c r="V20" s="47"/>
      <c r="W20" s="47"/>
      <c r="X20" s="104"/>
      <c r="Y20" s="47"/>
      <c r="Z20" s="47"/>
      <c r="AA20" s="47"/>
      <c r="AB20" s="47"/>
      <c r="AC20" s="104"/>
      <c r="AD20" s="47"/>
      <c r="AE20" s="47"/>
      <c r="AF20" s="47"/>
      <c r="AG20" s="47"/>
      <c r="AH20" s="104"/>
      <c r="AI20" s="47"/>
      <c r="AJ20" s="47"/>
      <c r="AK20" s="47"/>
      <c r="AL20" s="47"/>
      <c r="AM20" s="104"/>
      <c r="AN20" s="47"/>
      <c r="AO20" s="47"/>
      <c r="AP20" s="47"/>
      <c r="AQ20" s="47"/>
      <c r="AR20" s="104"/>
      <c r="AS20" s="47"/>
      <c r="AT20" s="47"/>
      <c r="AU20" s="47"/>
      <c r="AV20" s="47"/>
      <c r="AW20" s="104"/>
      <c r="AX20" s="47"/>
      <c r="AY20" s="47"/>
      <c r="AZ20" s="47"/>
      <c r="BA20" s="47"/>
      <c r="BB20" s="104"/>
      <c r="BC20" s="47"/>
      <c r="BD20" s="47"/>
      <c r="BE20" s="47"/>
      <c r="BF20" s="47"/>
      <c r="BG20" s="104"/>
      <c r="BH20" s="47"/>
      <c r="BI20" s="47"/>
      <c r="BJ20" s="47"/>
      <c r="BK20" s="47"/>
      <c r="BL20" s="104"/>
      <c r="BM20" s="47"/>
      <c r="BN20" s="47"/>
      <c r="BO20" s="47"/>
      <c r="BP20" s="47"/>
      <c r="BQ20" s="104"/>
      <c r="BR20" s="47"/>
      <c r="BS20" s="47"/>
      <c r="BT20" s="47"/>
      <c r="BU20" s="47"/>
      <c r="BV20" s="104"/>
      <c r="BW20" s="47"/>
      <c r="BX20" s="47"/>
      <c r="BY20" s="47"/>
      <c r="BZ20" s="47"/>
      <c r="CA20" s="104"/>
      <c r="CB20" s="723">
        <v>79886.5</v>
      </c>
      <c r="CC20" s="723">
        <v>81522.5</v>
      </c>
      <c r="CD20" s="723">
        <v>87603.5</v>
      </c>
      <c r="CE20" s="723">
        <v>98969.5</v>
      </c>
      <c r="CF20" s="722">
        <f>CE20</f>
        <v>98969.5</v>
      </c>
      <c r="CG20" s="723">
        <v>100266</v>
      </c>
      <c r="CH20" s="47">
        <f>SUM(CH12:CH19)</f>
        <v>184678</v>
      </c>
      <c r="CI20" s="47">
        <f t="shared" ref="CI20:CQ20" si="46">SUM(CI12:CI19)</f>
        <v>185269.51295787544</v>
      </c>
      <c r="CJ20" s="47">
        <f>SUM(CJ12:CJ19)</f>
        <v>139615</v>
      </c>
      <c r="CK20" s="104">
        <f t="shared" si="46"/>
        <v>139615</v>
      </c>
      <c r="CL20" s="47">
        <f t="shared" si="46"/>
        <v>153968.86791850461</v>
      </c>
      <c r="CM20" s="47">
        <f t="shared" si="46"/>
        <v>161517</v>
      </c>
      <c r="CN20" s="47">
        <f t="shared" ref="CN20:CO20" si="47">SUM(CN12:CN19)</f>
        <v>162399</v>
      </c>
      <c r="CO20" s="47">
        <f t="shared" si="47"/>
        <v>162153</v>
      </c>
      <c r="CP20" s="104">
        <f t="shared" si="46"/>
        <v>162153</v>
      </c>
      <c r="CQ20" s="47">
        <f t="shared" si="46"/>
        <v>160608</v>
      </c>
      <c r="CR20" s="47">
        <f t="shared" ref="CR20:CS20" si="48">SUM(CR12:CR19)</f>
        <v>158838</v>
      </c>
      <c r="CS20" s="47">
        <f t="shared" si="48"/>
        <v>158772</v>
      </c>
      <c r="CT20" s="47">
        <f t="shared" ref="CT20" si="49">SUM(CT12:CT19)</f>
        <v>161404</v>
      </c>
      <c r="CU20" s="104">
        <f t="shared" ref="CU20:CV20" si="50">SUM(CU12:CU19)</f>
        <v>161404</v>
      </c>
      <c r="CV20" s="47">
        <f t="shared" si="50"/>
        <v>159366</v>
      </c>
      <c r="CW20" s="47">
        <f t="shared" ref="CW20:CX20" si="51">SUM(CW12:CW19)</f>
        <v>159017</v>
      </c>
      <c r="CX20" s="47">
        <f t="shared" si="51"/>
        <v>158225</v>
      </c>
      <c r="CY20" s="47">
        <f t="shared" ref="CY20" si="52">SUM(CY12:CY19)</f>
        <v>158864</v>
      </c>
      <c r="CZ20" s="104">
        <f t="shared" ref="CZ20" si="53">SUM(CZ12:CZ19)</f>
        <v>158864</v>
      </c>
      <c r="DA20" s="47">
        <f t="shared" ref="DA20:DE20" si="54">SUM(DA12:DA19)</f>
        <v>161636</v>
      </c>
      <c r="DB20" s="47">
        <f t="shared" si="54"/>
        <v>162161</v>
      </c>
      <c r="DC20" s="47">
        <f t="shared" si="54"/>
        <v>162443</v>
      </c>
      <c r="DD20" s="47">
        <f t="shared" si="54"/>
        <v>161869</v>
      </c>
      <c r="DE20" s="104">
        <f t="shared" si="54"/>
        <v>161869</v>
      </c>
      <c r="DF20" s="47">
        <f t="shared" ref="DF20:DI20" si="55">SUM(DF12:DF19)</f>
        <v>160187</v>
      </c>
      <c r="DG20" s="47">
        <f t="shared" si="55"/>
        <v>161169</v>
      </c>
      <c r="DH20" s="47">
        <f t="shared" si="55"/>
        <v>164822</v>
      </c>
      <c r="DI20" s="47">
        <f t="shared" si="55"/>
        <v>162861</v>
      </c>
      <c r="DJ20" s="104">
        <f t="shared" ref="DJ20:DM20" si="56">SUM(DJ12:DJ19)</f>
        <v>162861</v>
      </c>
      <c r="DK20" s="47">
        <f t="shared" si="56"/>
        <v>164864</v>
      </c>
      <c r="DL20" s="47">
        <f t="shared" si="56"/>
        <v>167139</v>
      </c>
      <c r="DM20" s="47">
        <f t="shared" si="56"/>
        <v>168672</v>
      </c>
      <c r="DN20" s="47">
        <f t="shared" ref="DN20" si="57">SUM(DN12:DN19)</f>
        <v>170959.76088763145</v>
      </c>
      <c r="DO20" s="104">
        <f t="shared" si="6"/>
        <v>170959.76088763145</v>
      </c>
      <c r="DP20" s="47">
        <f t="shared" ref="DP20" si="58">SUM(DP12:DP19)</f>
        <v>167351.00541835188</v>
      </c>
      <c r="DQ20" s="47">
        <f t="shared" ref="DQ20:DS20" si="59">SUM(DQ12:DQ19)</f>
        <v>169242.12126031655</v>
      </c>
      <c r="DR20" s="47">
        <f t="shared" si="59"/>
        <v>171606.71772017784</v>
      </c>
      <c r="DS20" s="47">
        <f t="shared" si="59"/>
        <v>174427.66104516614</v>
      </c>
      <c r="DT20" s="104">
        <f t="shared" si="7"/>
        <v>174427.66104516614</v>
      </c>
      <c r="DU20" s="104">
        <f t="shared" ref="DU20:DV20" si="60">SUM(DU12:DU19)</f>
        <v>171743.75102542504</v>
      </c>
      <c r="DV20" s="104">
        <f t="shared" si="60"/>
        <v>175050.28869586677</v>
      </c>
    </row>
    <row r="21" spans="2:126" s="32" customFormat="1">
      <c r="B21" s="41" t="s">
        <v>29</v>
      </c>
      <c r="C21" s="34"/>
      <c r="D21" s="34"/>
      <c r="E21" s="34"/>
      <c r="F21" s="34"/>
      <c r="G21" s="34"/>
      <c r="H21" s="34"/>
      <c r="I21" s="34"/>
      <c r="N21" s="34"/>
      <c r="S21" s="34"/>
      <c r="X21" s="34"/>
      <c r="AC21" s="34"/>
      <c r="AH21" s="34"/>
      <c r="AM21" s="34"/>
      <c r="AR21" s="34"/>
      <c r="AW21" s="34"/>
      <c r="BB21" s="34"/>
      <c r="BC21" s="3"/>
      <c r="BD21" s="3"/>
      <c r="BE21" s="3"/>
      <c r="BG21" s="34"/>
      <c r="BL21" s="34"/>
      <c r="BQ21" s="34"/>
      <c r="BV21" s="34"/>
      <c r="CA21" s="34"/>
      <c r="CF21" s="34"/>
      <c r="CK21" s="34"/>
      <c r="CP21" s="34"/>
      <c r="CU21" s="34"/>
      <c r="CV21" s="3"/>
      <c r="CW21" s="3"/>
      <c r="CX21" s="3"/>
      <c r="CY21" s="3"/>
      <c r="CZ21" s="34"/>
      <c r="DE21" s="34"/>
      <c r="DJ21" s="34"/>
      <c r="DO21" s="2"/>
      <c r="DT21" s="2"/>
      <c r="DU21" s="34"/>
      <c r="DV21" s="34"/>
    </row>
    <row r="22" spans="2:126" s="32" customFormat="1">
      <c r="B22" s="33" t="s">
        <v>145</v>
      </c>
      <c r="C22" s="34"/>
      <c r="D22" s="34"/>
      <c r="E22" s="34"/>
      <c r="F22" s="34"/>
      <c r="G22" s="34"/>
      <c r="H22" s="34"/>
      <c r="I22" s="34"/>
      <c r="N22" s="34"/>
      <c r="S22" s="34"/>
      <c r="X22" s="34"/>
      <c r="AC22" s="34"/>
      <c r="AH22" s="34"/>
      <c r="AM22" s="34"/>
      <c r="AR22" s="34"/>
      <c r="AW22" s="34"/>
      <c r="BB22" s="34"/>
      <c r="BC22" s="3"/>
      <c r="BD22" s="3"/>
      <c r="BE22" s="3"/>
      <c r="BG22" s="34"/>
      <c r="BL22" s="34"/>
      <c r="BQ22" s="34"/>
      <c r="BV22" s="34"/>
      <c r="CA22" s="34"/>
      <c r="CF22" s="34"/>
      <c r="CK22" s="34"/>
      <c r="CP22" s="34"/>
      <c r="CU22" s="34"/>
      <c r="CV22" s="3"/>
      <c r="CW22" s="3"/>
      <c r="CX22" s="3"/>
      <c r="CY22" s="3"/>
      <c r="CZ22" s="34"/>
      <c r="DE22" s="34"/>
      <c r="DJ22" s="34"/>
      <c r="DO22" s="2"/>
      <c r="DT22" s="2"/>
      <c r="DU22" s="34"/>
      <c r="DV22" s="34"/>
    </row>
    <row r="23" spans="2:126" s="32" customFormat="1">
      <c r="B23" s="41" t="s">
        <v>70</v>
      </c>
      <c r="C23" s="34"/>
      <c r="D23" s="34"/>
      <c r="E23" s="34"/>
      <c r="F23" s="34"/>
      <c r="G23" s="34"/>
      <c r="H23" s="34"/>
      <c r="I23" s="34"/>
      <c r="N23" s="34"/>
      <c r="S23" s="34"/>
      <c r="X23" s="34"/>
      <c r="AC23" s="34"/>
      <c r="AH23" s="34"/>
      <c r="AM23" s="34"/>
      <c r="AR23" s="34"/>
      <c r="AW23" s="34"/>
      <c r="BB23" s="34"/>
      <c r="BC23" s="200"/>
      <c r="BD23" s="200"/>
      <c r="BE23" s="200"/>
      <c r="BF23" s="200"/>
      <c r="BG23" s="34"/>
      <c r="BH23" s="200"/>
      <c r="BI23" s="200"/>
      <c r="BJ23" s="200"/>
      <c r="BK23" s="200"/>
      <c r="BL23" s="360"/>
      <c r="BM23" s="200"/>
      <c r="BN23" s="200"/>
      <c r="BO23" s="200"/>
      <c r="BP23" s="200"/>
      <c r="BQ23" s="360"/>
      <c r="BR23" s="200"/>
      <c r="BS23" s="200"/>
      <c r="BT23" s="200"/>
      <c r="BU23" s="200"/>
      <c r="BV23" s="360"/>
      <c r="BW23" s="200"/>
      <c r="BX23" s="200"/>
      <c r="BY23" s="200"/>
      <c r="BZ23" s="200"/>
      <c r="CA23" s="360"/>
      <c r="CB23" s="200"/>
      <c r="CC23" s="200"/>
      <c r="CD23" s="200"/>
      <c r="CE23" s="200"/>
      <c r="CF23" s="360"/>
      <c r="CG23" s="200"/>
      <c r="CH23" s="200">
        <f>Data!CH64</f>
        <v>1095</v>
      </c>
      <c r="CI23" s="357">
        <f>CH23+CFLO!CI32</f>
        <v>1018</v>
      </c>
      <c r="CJ23" s="200">
        <f>Data!CJ64</f>
        <v>2293</v>
      </c>
      <c r="CK23" s="360">
        <f t="shared" ref="CK23:CK29" si="61">CJ23</f>
        <v>2293</v>
      </c>
      <c r="CL23" s="357">
        <f>CK23+CFLO!CL32</f>
        <v>1630</v>
      </c>
      <c r="CM23" s="200">
        <f>Data!CM64</f>
        <v>243</v>
      </c>
      <c r="CN23" s="200">
        <f>Data!CN64</f>
        <v>228</v>
      </c>
      <c r="CO23" s="200">
        <f>Data!CO64</f>
        <v>247</v>
      </c>
      <c r="CP23" s="360">
        <f t="shared" ref="CP23:CP29" si="62">CO23</f>
        <v>247</v>
      </c>
      <c r="CQ23" s="200">
        <f>Data!CQ64</f>
        <v>234</v>
      </c>
      <c r="CR23" s="200">
        <f>Data!CR64</f>
        <v>196</v>
      </c>
      <c r="CS23" s="200">
        <f>Data!CS64</f>
        <v>206</v>
      </c>
      <c r="CT23" s="200">
        <f>Data!CT64</f>
        <v>134</v>
      </c>
      <c r="CU23" s="360">
        <f t="shared" ref="CU23:CU29" si="63">CT23</f>
        <v>134</v>
      </c>
      <c r="CV23" s="200">
        <f>Data!CV64</f>
        <v>140</v>
      </c>
      <c r="CW23" s="200">
        <f>Data!CW64</f>
        <v>113</v>
      </c>
      <c r="CX23" s="200">
        <f>Data!CX64</f>
        <v>2195</v>
      </c>
      <c r="CY23" s="200">
        <f>Data!CY64</f>
        <v>625</v>
      </c>
      <c r="CZ23" s="360">
        <f t="shared" ref="CZ23:CZ29" si="64">CY23</f>
        <v>625</v>
      </c>
      <c r="DA23" s="200">
        <f>Data!DA64</f>
        <v>224</v>
      </c>
      <c r="DB23" s="200">
        <f>Data!DB64</f>
        <v>1076</v>
      </c>
      <c r="DC23" s="200">
        <f>Data!DC64</f>
        <v>1170</v>
      </c>
      <c r="DD23" s="200">
        <f>Data!DD64</f>
        <v>189</v>
      </c>
      <c r="DE23" s="360">
        <f t="shared" ref="DE23:DE29" si="65">DD23</f>
        <v>189</v>
      </c>
      <c r="DF23" s="200">
        <f>Data!DF64</f>
        <v>166</v>
      </c>
      <c r="DG23" s="200">
        <f>Data!DG64</f>
        <v>231</v>
      </c>
      <c r="DH23" s="200">
        <f>Data!DH64</f>
        <v>220</v>
      </c>
      <c r="DI23" s="200">
        <f>Data!DI64</f>
        <v>183</v>
      </c>
      <c r="DJ23" s="360">
        <f t="shared" ref="DJ23:DJ29" si="66">DI23</f>
        <v>183</v>
      </c>
      <c r="DK23" s="200">
        <f>Data!DK64</f>
        <v>212</v>
      </c>
      <c r="DL23" s="200">
        <f>Data!DL64</f>
        <v>1635</v>
      </c>
      <c r="DM23" s="200">
        <f>Data!DM64</f>
        <v>215</v>
      </c>
      <c r="DN23" s="357">
        <f>DM23+CFLO!DN32</f>
        <v>215</v>
      </c>
      <c r="DO23" s="433">
        <f>DN23</f>
        <v>215</v>
      </c>
      <c r="DP23" s="357">
        <f>DO23+CFLO!DP32</f>
        <v>215</v>
      </c>
      <c r="DQ23" s="357">
        <f>DP23+CFLO!DQ32</f>
        <v>215</v>
      </c>
      <c r="DR23" s="357">
        <f>DQ23+CFLO!DR32</f>
        <v>215</v>
      </c>
      <c r="DS23" s="357">
        <f>DR23+CFLO!DS32</f>
        <v>215</v>
      </c>
      <c r="DT23" s="433">
        <f>DS23</f>
        <v>215</v>
      </c>
      <c r="DU23" s="361">
        <f>DT23+CFLO!DU32</f>
        <v>215</v>
      </c>
      <c r="DV23" s="361">
        <f>DU23+CFLO!DV32</f>
        <v>215</v>
      </c>
    </row>
    <row r="24" spans="2:126" s="32" customFormat="1">
      <c r="B24" s="41" t="s">
        <v>50</v>
      </c>
      <c r="C24" s="34"/>
      <c r="D24" s="34"/>
      <c r="E24" s="34"/>
      <c r="F24" s="34"/>
      <c r="G24" s="34"/>
      <c r="H24" s="34"/>
      <c r="I24" s="34"/>
      <c r="N24" s="34"/>
      <c r="S24" s="34"/>
      <c r="X24" s="34"/>
      <c r="AC24" s="34"/>
      <c r="AH24" s="34"/>
      <c r="AM24" s="34"/>
      <c r="AR24" s="34"/>
      <c r="AW24" s="34"/>
      <c r="BB24" s="34"/>
      <c r="BC24" s="3"/>
      <c r="BD24" s="3"/>
      <c r="BE24" s="3"/>
      <c r="BF24" s="3"/>
      <c r="BG24" s="34"/>
      <c r="BH24" s="3"/>
      <c r="BI24" s="3"/>
      <c r="BJ24" s="3"/>
      <c r="BK24" s="3"/>
      <c r="BL24" s="360"/>
      <c r="BM24" s="3"/>
      <c r="BN24" s="3"/>
      <c r="BO24" s="3"/>
      <c r="BP24" s="3"/>
      <c r="BQ24" s="360"/>
      <c r="BR24" s="3"/>
      <c r="BS24" s="3"/>
      <c r="BT24" s="3"/>
      <c r="BU24" s="3"/>
      <c r="BV24" s="360"/>
      <c r="BW24" s="3"/>
      <c r="BX24" s="3"/>
      <c r="BY24" s="3"/>
      <c r="BZ24" s="3"/>
      <c r="CA24" s="360"/>
      <c r="CB24" s="3"/>
      <c r="CC24" s="3"/>
      <c r="CD24" s="3"/>
      <c r="CE24" s="3"/>
      <c r="CF24" s="360"/>
      <c r="CG24" s="200"/>
      <c r="CH24" s="200">
        <f>Data!CH65</f>
        <v>9198</v>
      </c>
      <c r="CI24" s="357">
        <f>-IS!CI7*BS!CI70/91</f>
        <v>9369.6593406593402</v>
      </c>
      <c r="CJ24" s="200">
        <f>Data!CJ65</f>
        <v>7816</v>
      </c>
      <c r="CK24" s="360">
        <f t="shared" si="61"/>
        <v>7816</v>
      </c>
      <c r="CL24" s="357">
        <f>-IS!CL7*BS!CL70/91</f>
        <v>11880.072698412698</v>
      </c>
      <c r="CM24" s="200">
        <f>Data!CM65</f>
        <v>7182</v>
      </c>
      <c r="CN24" s="200">
        <f>Data!CN65</f>
        <v>8143</v>
      </c>
      <c r="CO24" s="200">
        <f>Data!CO65</f>
        <v>8639</v>
      </c>
      <c r="CP24" s="360">
        <f t="shared" si="62"/>
        <v>8639</v>
      </c>
      <c r="CQ24" s="200">
        <f>Data!CQ65</f>
        <v>9182</v>
      </c>
      <c r="CR24" s="200">
        <f>Data!CR65</f>
        <v>8043</v>
      </c>
      <c r="CS24" s="200">
        <f>Data!CS65</f>
        <v>8667</v>
      </c>
      <c r="CT24" s="200">
        <f>Data!CT65</f>
        <v>8751</v>
      </c>
      <c r="CU24" s="360">
        <f t="shared" si="63"/>
        <v>8751</v>
      </c>
      <c r="CV24" s="200">
        <f>Data!CV65</f>
        <v>8270</v>
      </c>
      <c r="CW24" s="200">
        <f>Data!CW65</f>
        <v>9732</v>
      </c>
      <c r="CX24" s="200">
        <f>Data!CX65</f>
        <v>9017</v>
      </c>
      <c r="CY24" s="200">
        <f>Data!CY65</f>
        <v>9896</v>
      </c>
      <c r="CZ24" s="360">
        <f t="shared" si="64"/>
        <v>9896</v>
      </c>
      <c r="DA24" s="200">
        <f>Data!DA65</f>
        <v>10060</v>
      </c>
      <c r="DB24" s="200">
        <f>Data!DB65</f>
        <v>10128</v>
      </c>
      <c r="DC24" s="200">
        <f>Data!DC65</f>
        <v>10315</v>
      </c>
      <c r="DD24" s="200">
        <f>Data!DD65</f>
        <v>10698</v>
      </c>
      <c r="DE24" s="360">
        <f t="shared" si="65"/>
        <v>10698</v>
      </c>
      <c r="DF24" s="200">
        <f>Data!DF65</f>
        <v>10522</v>
      </c>
      <c r="DG24" s="200">
        <f>Data!DG65</f>
        <v>10939</v>
      </c>
      <c r="DH24" s="200">
        <f>Data!DH65</f>
        <v>11834</v>
      </c>
      <c r="DI24" s="200">
        <f>Data!DI65</f>
        <v>12897</v>
      </c>
      <c r="DJ24" s="360">
        <f t="shared" si="66"/>
        <v>12897</v>
      </c>
      <c r="DK24" s="200">
        <f>Data!DK65</f>
        <v>13444</v>
      </c>
      <c r="DL24" s="200">
        <f>Data!DL65</f>
        <v>13433</v>
      </c>
      <c r="DM24" s="200">
        <f>Data!DM65</f>
        <v>14552</v>
      </c>
      <c r="DN24" s="357">
        <f>-IS!DN7*BS!DN70/91</f>
        <v>14507.833659450549</v>
      </c>
      <c r="DO24" s="433">
        <f t="shared" ref="DO24:DO43" si="67">DN24</f>
        <v>14507.833659450549</v>
      </c>
      <c r="DP24" s="357">
        <f>-IS!DP7*BS!DP70/91</f>
        <v>12998.320815384615</v>
      </c>
      <c r="DQ24" s="357">
        <f>-IS!DQ7*BS!DQ70/91</f>
        <v>13687.834633846156</v>
      </c>
      <c r="DR24" s="357">
        <f>-IS!DR7*BS!DR70/91</f>
        <v>14322.976741538459</v>
      </c>
      <c r="DS24" s="357">
        <f>-IS!DS7*BS!DS70/91</f>
        <v>14541.773473803078</v>
      </c>
      <c r="DT24" s="433">
        <f t="shared" ref="DT24:DT43" si="68">DS24</f>
        <v>14541.773473803078</v>
      </c>
      <c r="DU24" s="361">
        <f>-IS!DU7*BS!DU70/365</f>
        <v>13655.259398923869</v>
      </c>
      <c r="DV24" s="361">
        <f>-IS!DV7*BS!DV70/365</f>
        <v>14409.346442581707</v>
      </c>
    </row>
    <row r="25" spans="2:126" s="32" customFormat="1">
      <c r="B25" s="41" t="s">
        <v>608</v>
      </c>
      <c r="C25" s="34"/>
      <c r="D25" s="34"/>
      <c r="E25" s="34"/>
      <c r="F25" s="34"/>
      <c r="G25" s="34"/>
      <c r="H25" s="34"/>
      <c r="I25" s="34"/>
      <c r="N25" s="34"/>
      <c r="S25" s="34"/>
      <c r="X25" s="34"/>
      <c r="AC25" s="34"/>
      <c r="AH25" s="34"/>
      <c r="AM25" s="34"/>
      <c r="AR25" s="34"/>
      <c r="AW25" s="34"/>
      <c r="BB25" s="34"/>
      <c r="BC25" s="3"/>
      <c r="BD25" s="3"/>
      <c r="BE25" s="3"/>
      <c r="BF25" s="3"/>
      <c r="BG25" s="34"/>
      <c r="BH25" s="3"/>
      <c r="BI25" s="3"/>
      <c r="BJ25" s="3"/>
      <c r="BK25" s="3"/>
      <c r="BL25" s="360"/>
      <c r="BM25" s="3"/>
      <c r="BN25" s="3"/>
      <c r="BO25" s="3"/>
      <c r="BP25" s="3"/>
      <c r="BQ25" s="360"/>
      <c r="BR25" s="3"/>
      <c r="BS25" s="3"/>
      <c r="BT25" s="3"/>
      <c r="BU25" s="3"/>
      <c r="BV25" s="360"/>
      <c r="BW25" s="3"/>
      <c r="BX25" s="3"/>
      <c r="BY25" s="3"/>
      <c r="BZ25" s="3"/>
      <c r="CA25" s="360"/>
      <c r="CB25" s="3"/>
      <c r="CC25" s="3"/>
      <c r="CD25" s="3"/>
      <c r="CE25" s="3"/>
      <c r="CF25" s="360"/>
      <c r="CG25" s="200"/>
      <c r="CH25" s="200"/>
      <c r="CI25" s="357"/>
      <c r="CJ25" s="200">
        <f>Data!CJ66</f>
        <v>1353</v>
      </c>
      <c r="CK25" s="360">
        <f t="shared" si="61"/>
        <v>1353</v>
      </c>
      <c r="CL25" s="357"/>
      <c r="CM25" s="200"/>
      <c r="CN25" s="200"/>
      <c r="CO25" s="200">
        <f>Data!CO66</f>
        <v>3006</v>
      </c>
      <c r="CP25" s="360">
        <f t="shared" si="62"/>
        <v>3006</v>
      </c>
      <c r="CQ25" s="200">
        <f>Data!CQ66</f>
        <v>2511</v>
      </c>
      <c r="CR25" s="200">
        <f>Data!CR66</f>
        <v>2233</v>
      </c>
      <c r="CS25" s="200">
        <f>Data!CS66</f>
        <v>2756</v>
      </c>
      <c r="CT25" s="200">
        <f>Data!CT66</f>
        <v>2658</v>
      </c>
      <c r="CU25" s="360">
        <f t="shared" ref="CU25" si="69">CT25</f>
        <v>2658</v>
      </c>
      <c r="CV25" s="200">
        <f>Data!CV66</f>
        <v>1880</v>
      </c>
      <c r="CW25" s="200">
        <f>Data!CW66</f>
        <v>2028</v>
      </c>
      <c r="CX25" s="200">
        <f>Data!CX66</f>
        <v>2390</v>
      </c>
      <c r="CY25" s="200">
        <f>Data!CY66</f>
        <v>2401</v>
      </c>
      <c r="CZ25" s="360">
        <f t="shared" si="64"/>
        <v>2401</v>
      </c>
      <c r="DA25" s="200">
        <f>Data!DA66</f>
        <v>1856</v>
      </c>
      <c r="DB25" s="200">
        <f>Data!DB66</f>
        <v>2121</v>
      </c>
      <c r="DC25" s="200">
        <f>Data!DC66</f>
        <v>2597</v>
      </c>
      <c r="DD25" s="200">
        <f>Data!DD66</f>
        <v>2491</v>
      </c>
      <c r="DE25" s="360">
        <f t="shared" si="65"/>
        <v>2491</v>
      </c>
      <c r="DF25" s="200">
        <f>Data!DF66</f>
        <v>1862</v>
      </c>
      <c r="DG25" s="200">
        <f>Data!DG66</f>
        <v>2065</v>
      </c>
      <c r="DH25" s="200">
        <f>Data!DH66</f>
        <v>2673</v>
      </c>
      <c r="DI25" s="200">
        <f>Data!DI66</f>
        <v>2620</v>
      </c>
      <c r="DJ25" s="360">
        <f t="shared" si="66"/>
        <v>2620</v>
      </c>
      <c r="DK25" s="200">
        <f>Data!DK66</f>
        <v>1867</v>
      </c>
      <c r="DL25" s="200">
        <f>Data!DL66</f>
        <v>2133</v>
      </c>
      <c r="DM25" s="200">
        <f>Data!DM66</f>
        <v>2937</v>
      </c>
      <c r="DN25" s="358">
        <f t="shared" ref="DN25:DN29" si="70">DM25</f>
        <v>2937</v>
      </c>
      <c r="DO25" s="433">
        <f t="shared" si="67"/>
        <v>2937</v>
      </c>
      <c r="DP25" s="358">
        <f t="shared" ref="DP25:DQ29" si="71">DO25</f>
        <v>2937</v>
      </c>
      <c r="DQ25" s="358">
        <f t="shared" si="71"/>
        <v>2937</v>
      </c>
      <c r="DR25" s="358">
        <f t="shared" ref="DR25:DR29" si="72">DQ25</f>
        <v>2937</v>
      </c>
      <c r="DS25" s="358">
        <f t="shared" ref="DS25:DS29" si="73">DR25</f>
        <v>2937</v>
      </c>
      <c r="DT25" s="433">
        <f t="shared" si="68"/>
        <v>2937</v>
      </c>
      <c r="DU25" s="362">
        <f t="shared" ref="DU25:DV25" si="74">DT25</f>
        <v>2937</v>
      </c>
      <c r="DV25" s="362">
        <f t="shared" si="74"/>
        <v>2937</v>
      </c>
    </row>
    <row r="26" spans="2:126" s="32" customFormat="1">
      <c r="B26" s="41" t="s">
        <v>51</v>
      </c>
      <c r="C26" s="34"/>
      <c r="D26" s="34"/>
      <c r="E26" s="34"/>
      <c r="F26" s="34"/>
      <c r="G26" s="34"/>
      <c r="H26" s="34"/>
      <c r="I26" s="34"/>
      <c r="N26" s="34"/>
      <c r="S26" s="34"/>
      <c r="X26" s="34"/>
      <c r="AC26" s="34"/>
      <c r="AH26" s="34"/>
      <c r="AM26" s="34"/>
      <c r="AR26" s="34"/>
      <c r="AW26" s="34"/>
      <c r="BB26" s="34"/>
      <c r="BC26" s="3"/>
      <c r="BD26" s="3"/>
      <c r="BE26" s="3"/>
      <c r="BF26" s="3"/>
      <c r="BG26" s="34"/>
      <c r="BH26" s="3"/>
      <c r="BI26" s="3"/>
      <c r="BJ26" s="3"/>
      <c r="BK26" s="3"/>
      <c r="BL26" s="360"/>
      <c r="BM26" s="3"/>
      <c r="BN26" s="3"/>
      <c r="BO26" s="3"/>
      <c r="BP26" s="3"/>
      <c r="BQ26" s="360"/>
      <c r="BR26" s="3"/>
      <c r="BS26" s="3"/>
      <c r="BT26" s="3"/>
      <c r="BU26" s="3"/>
      <c r="BV26" s="360"/>
      <c r="BW26" s="3"/>
      <c r="BX26" s="3"/>
      <c r="BY26" s="3"/>
      <c r="BZ26" s="3"/>
      <c r="CA26" s="360"/>
      <c r="CB26" s="3"/>
      <c r="CC26" s="3"/>
      <c r="CD26" s="3"/>
      <c r="CE26" s="3"/>
      <c r="CF26" s="360"/>
      <c r="CG26" s="200"/>
      <c r="CH26" s="200">
        <f>Data!CH67</f>
        <v>12451</v>
      </c>
      <c r="CI26" s="358">
        <f t="shared" ref="CI26:CL29" si="75">CH26</f>
        <v>12451</v>
      </c>
      <c r="CJ26" s="200">
        <f>Data!CJ67</f>
        <v>8417</v>
      </c>
      <c r="CK26" s="360">
        <f t="shared" si="61"/>
        <v>8417</v>
      </c>
      <c r="CL26" s="358">
        <f t="shared" si="75"/>
        <v>8417</v>
      </c>
      <c r="CM26" s="200">
        <f>Data!CM67</f>
        <v>14253</v>
      </c>
      <c r="CN26" s="200">
        <f>Data!CN67</f>
        <v>13558</v>
      </c>
      <c r="CO26" s="200">
        <f>Data!CO67</f>
        <v>10401</v>
      </c>
      <c r="CP26" s="360">
        <f t="shared" si="62"/>
        <v>10401</v>
      </c>
      <c r="CQ26" s="200">
        <f>Data!CQ67</f>
        <v>10184</v>
      </c>
      <c r="CR26" s="200">
        <f>Data!CR67</f>
        <v>10361</v>
      </c>
      <c r="CS26" s="200">
        <f>Data!CS67</f>
        <v>9685</v>
      </c>
      <c r="CT26" s="200">
        <f>Data!CT67</f>
        <v>10162</v>
      </c>
      <c r="CU26" s="360">
        <f t="shared" si="63"/>
        <v>10162</v>
      </c>
      <c r="CV26" s="200">
        <f>Data!CV67</f>
        <v>11004</v>
      </c>
      <c r="CW26" s="200">
        <f>Data!CW67</f>
        <v>12459</v>
      </c>
      <c r="CX26" s="200">
        <f>Data!CX67</f>
        <v>11210</v>
      </c>
      <c r="CY26" s="200">
        <f>Data!CY67</f>
        <v>10999</v>
      </c>
      <c r="CZ26" s="360">
        <f t="shared" si="64"/>
        <v>10999</v>
      </c>
      <c r="DA26" s="200">
        <f>Data!DA67</f>
        <v>11573</v>
      </c>
      <c r="DB26" s="200">
        <f>Data!DB67</f>
        <v>11719</v>
      </c>
      <c r="DC26" s="200">
        <f>Data!DC67</f>
        <v>14283</v>
      </c>
      <c r="DD26" s="200">
        <f>Data!DD67</f>
        <v>14917</v>
      </c>
      <c r="DE26" s="360">
        <f t="shared" si="65"/>
        <v>14917</v>
      </c>
      <c r="DF26" s="200">
        <f>Data!DF67</f>
        <v>15006</v>
      </c>
      <c r="DG26" s="200">
        <f>Data!DG67</f>
        <v>17048</v>
      </c>
      <c r="DH26" s="200">
        <f>Data!DH67</f>
        <v>15971</v>
      </c>
      <c r="DI26" s="200">
        <f>Data!DI67</f>
        <v>14831</v>
      </c>
      <c r="DJ26" s="360">
        <f t="shared" si="66"/>
        <v>14831</v>
      </c>
      <c r="DK26" s="200">
        <f>Data!DK67</f>
        <v>15219</v>
      </c>
      <c r="DL26" s="200">
        <f>Data!DL67</f>
        <v>15861</v>
      </c>
      <c r="DM26" s="200">
        <f>Data!DM67</f>
        <v>14835</v>
      </c>
      <c r="DN26" s="358">
        <f t="shared" si="70"/>
        <v>14835</v>
      </c>
      <c r="DO26" s="433">
        <f t="shared" si="67"/>
        <v>14835</v>
      </c>
      <c r="DP26" s="358">
        <f t="shared" si="71"/>
        <v>14835</v>
      </c>
      <c r="DQ26" s="358">
        <f t="shared" si="71"/>
        <v>14835</v>
      </c>
      <c r="DR26" s="358">
        <f t="shared" si="72"/>
        <v>14835</v>
      </c>
      <c r="DS26" s="358">
        <f t="shared" si="73"/>
        <v>14835</v>
      </c>
      <c r="DT26" s="433">
        <f t="shared" si="68"/>
        <v>14835</v>
      </c>
      <c r="DU26" s="362">
        <f t="shared" ref="DU26:DV29" si="76">DT26</f>
        <v>14835</v>
      </c>
      <c r="DV26" s="362">
        <f t="shared" si="76"/>
        <v>14835</v>
      </c>
    </row>
    <row r="27" spans="2:126" s="32" customFormat="1">
      <c r="B27" s="41" t="s">
        <v>473</v>
      </c>
      <c r="C27" s="34"/>
      <c r="D27" s="34"/>
      <c r="E27" s="34"/>
      <c r="F27" s="34"/>
      <c r="G27" s="34"/>
      <c r="H27" s="34"/>
      <c r="I27" s="34"/>
      <c r="N27" s="34"/>
      <c r="S27" s="34"/>
      <c r="X27" s="34"/>
      <c r="AC27" s="34"/>
      <c r="AH27" s="34"/>
      <c r="AM27" s="34"/>
      <c r="AR27" s="34"/>
      <c r="AW27" s="34"/>
      <c r="BB27" s="34"/>
      <c r="BC27" s="200"/>
      <c r="BD27" s="200"/>
      <c r="BE27" s="200"/>
      <c r="BF27" s="200"/>
      <c r="BG27" s="34"/>
      <c r="BH27" s="200"/>
      <c r="BI27" s="200"/>
      <c r="BJ27" s="200"/>
      <c r="BK27" s="200"/>
      <c r="BL27" s="360"/>
      <c r="BM27" s="200"/>
      <c r="BN27" s="200"/>
      <c r="BO27" s="200"/>
      <c r="BP27" s="200"/>
      <c r="BQ27" s="360"/>
      <c r="BR27" s="200"/>
      <c r="BS27" s="200"/>
      <c r="BT27" s="200"/>
      <c r="BU27" s="200"/>
      <c r="BV27" s="360"/>
      <c r="BW27" s="200"/>
      <c r="BX27" s="200"/>
      <c r="BY27" s="200"/>
      <c r="BZ27" s="200"/>
      <c r="CA27" s="360"/>
      <c r="CB27" s="200"/>
      <c r="CC27" s="200"/>
      <c r="CD27" s="200"/>
      <c r="CE27" s="200"/>
      <c r="CF27" s="360"/>
      <c r="CG27" s="200"/>
      <c r="CH27" s="200">
        <f>Data!CH68</f>
        <v>4774</v>
      </c>
      <c r="CI27" s="358">
        <f t="shared" si="75"/>
        <v>4774</v>
      </c>
      <c r="CJ27" s="200">
        <f>Data!CJ68</f>
        <v>9014</v>
      </c>
      <c r="CK27" s="360">
        <f t="shared" si="61"/>
        <v>9014</v>
      </c>
      <c r="CL27" s="358">
        <f t="shared" si="75"/>
        <v>9014</v>
      </c>
      <c r="CM27" s="200">
        <f>Data!CM68</f>
        <v>11997</v>
      </c>
      <c r="CN27" s="200">
        <f>Data!CN68</f>
        <v>12208</v>
      </c>
      <c r="CO27" s="200">
        <f>Data!CO68</f>
        <v>12889</v>
      </c>
      <c r="CP27" s="360">
        <f t="shared" si="62"/>
        <v>12889</v>
      </c>
      <c r="CQ27" s="200">
        <f>Data!CQ68</f>
        <v>12879</v>
      </c>
      <c r="CR27" s="200">
        <f>Data!CR68</f>
        <v>12591</v>
      </c>
      <c r="CS27" s="200">
        <f>Data!CS68</f>
        <v>12543</v>
      </c>
      <c r="CT27" s="200">
        <f>Data!CT68</f>
        <v>13720</v>
      </c>
      <c r="CU27" s="360">
        <f t="shared" si="63"/>
        <v>13720</v>
      </c>
      <c r="CV27" s="200">
        <f>Data!CV68</f>
        <v>13739</v>
      </c>
      <c r="CW27" s="200">
        <f>Data!CW68</f>
        <v>13430</v>
      </c>
      <c r="CX27" s="200">
        <f>Data!CX68</f>
        <v>13368</v>
      </c>
      <c r="CY27" s="200">
        <f>Data!CY68</f>
        <v>14598</v>
      </c>
      <c r="CZ27" s="360">
        <f t="shared" si="64"/>
        <v>14598</v>
      </c>
      <c r="DA27" s="200">
        <f>Data!DA68</f>
        <v>14870</v>
      </c>
      <c r="DB27" s="200">
        <f>Data!DB68</f>
        <v>15162</v>
      </c>
      <c r="DC27" s="200">
        <f>Data!DC68</f>
        <v>15248</v>
      </c>
      <c r="DD27" s="200">
        <f>Data!DD68</f>
        <v>17183</v>
      </c>
      <c r="DE27" s="360">
        <f t="shared" si="65"/>
        <v>17183</v>
      </c>
      <c r="DF27" s="200">
        <f>Data!DF68</f>
        <v>17119</v>
      </c>
      <c r="DG27" s="200">
        <f>Data!DG68</f>
        <v>17665</v>
      </c>
      <c r="DH27" s="200">
        <f>Data!DH68</f>
        <v>18436</v>
      </c>
      <c r="DI27" s="200">
        <f>Data!DI68</f>
        <v>18616</v>
      </c>
      <c r="DJ27" s="360">
        <f t="shared" si="66"/>
        <v>18616</v>
      </c>
      <c r="DK27" s="200">
        <f>Data!DK68</f>
        <v>19038</v>
      </c>
      <c r="DL27" s="200">
        <f>Data!DL68</f>
        <v>19186</v>
      </c>
      <c r="DM27" s="200">
        <f>Data!DM68</f>
        <v>20111</v>
      </c>
      <c r="DN27" s="358">
        <f t="shared" si="70"/>
        <v>20111</v>
      </c>
      <c r="DO27" s="433">
        <f t="shared" si="67"/>
        <v>20111</v>
      </c>
      <c r="DP27" s="358">
        <f t="shared" si="71"/>
        <v>20111</v>
      </c>
      <c r="DQ27" s="358">
        <f t="shared" si="71"/>
        <v>20111</v>
      </c>
      <c r="DR27" s="358">
        <f t="shared" si="72"/>
        <v>20111</v>
      </c>
      <c r="DS27" s="358">
        <f t="shared" si="73"/>
        <v>20111</v>
      </c>
      <c r="DT27" s="433">
        <f t="shared" si="68"/>
        <v>20111</v>
      </c>
      <c r="DU27" s="362">
        <f t="shared" si="76"/>
        <v>20111</v>
      </c>
      <c r="DV27" s="362">
        <f t="shared" si="76"/>
        <v>20111</v>
      </c>
    </row>
    <row r="28" spans="2:126" s="32" customFormat="1">
      <c r="B28" s="41" t="s">
        <v>584</v>
      </c>
      <c r="C28" s="34"/>
      <c r="D28" s="34"/>
      <c r="E28" s="34"/>
      <c r="F28" s="34"/>
      <c r="G28" s="34"/>
      <c r="H28" s="34"/>
      <c r="I28" s="34"/>
      <c r="N28" s="34"/>
      <c r="S28" s="34"/>
      <c r="X28" s="34"/>
      <c r="AC28" s="34"/>
      <c r="AH28" s="34"/>
      <c r="AM28" s="34"/>
      <c r="AR28" s="34"/>
      <c r="AW28" s="34"/>
      <c r="BB28" s="34"/>
      <c r="BC28" s="200"/>
      <c r="BD28" s="200"/>
      <c r="BE28" s="200"/>
      <c r="BF28" s="200"/>
      <c r="BG28" s="34"/>
      <c r="BH28" s="200"/>
      <c r="BI28" s="200"/>
      <c r="BJ28" s="200"/>
      <c r="BK28" s="200"/>
      <c r="BL28" s="360"/>
      <c r="BM28" s="200"/>
      <c r="BN28" s="200"/>
      <c r="BO28" s="200"/>
      <c r="BP28" s="200"/>
      <c r="BQ28" s="360"/>
      <c r="BR28" s="200"/>
      <c r="BS28" s="200"/>
      <c r="BT28" s="200"/>
      <c r="BU28" s="200"/>
      <c r="BV28" s="360"/>
      <c r="BW28" s="200"/>
      <c r="BX28" s="200"/>
      <c r="BY28" s="200"/>
      <c r="BZ28" s="200"/>
      <c r="CA28" s="360"/>
      <c r="CB28" s="200"/>
      <c r="CC28" s="200"/>
      <c r="CD28" s="200"/>
      <c r="CE28" s="200"/>
      <c r="CF28" s="360"/>
      <c r="CG28" s="200"/>
      <c r="CH28" s="200"/>
      <c r="CI28" s="358"/>
      <c r="CJ28" s="200">
        <f>Data!CJ69</f>
        <v>14443</v>
      </c>
      <c r="CK28" s="360">
        <f t="shared" si="61"/>
        <v>14443</v>
      </c>
      <c r="CL28" s="200"/>
      <c r="CM28" s="200">
        <f>Data!CM69</f>
        <v>319</v>
      </c>
      <c r="CN28" s="200">
        <f>Data!CN69</f>
        <v>118</v>
      </c>
      <c r="CO28" s="200">
        <f>Data!CO69</f>
        <v>116</v>
      </c>
      <c r="CP28" s="360">
        <f t="shared" ref="CP28" si="77">CO28</f>
        <v>116</v>
      </c>
      <c r="CQ28" s="200">
        <f>Data!CQ69</f>
        <v>0</v>
      </c>
      <c r="CR28" s="200">
        <f>Data!CR69</f>
        <v>0</v>
      </c>
      <c r="CS28" s="200">
        <f>Data!CS69</f>
        <v>0</v>
      </c>
      <c r="CT28" s="200">
        <f>Data!CT69</f>
        <v>0</v>
      </c>
      <c r="CU28" s="360">
        <f t="shared" si="63"/>
        <v>0</v>
      </c>
      <c r="CV28" s="200">
        <f>Data!CV69</f>
        <v>0</v>
      </c>
      <c r="CW28" s="200">
        <f>Data!CW69</f>
        <v>0</v>
      </c>
      <c r="CX28" s="200">
        <f>Data!CX69</f>
        <v>0</v>
      </c>
      <c r="CY28" s="200">
        <f>Data!CY69</f>
        <v>0</v>
      </c>
      <c r="CZ28" s="360">
        <f t="shared" si="64"/>
        <v>0</v>
      </c>
      <c r="DA28" s="200">
        <f>Data!DA69</f>
        <v>0</v>
      </c>
      <c r="DB28" s="200">
        <f>Data!DB69</f>
        <v>0</v>
      </c>
      <c r="DC28" s="200">
        <f>Data!DC69</f>
        <v>0</v>
      </c>
      <c r="DD28" s="200">
        <f>Data!DD69</f>
        <v>0</v>
      </c>
      <c r="DE28" s="360">
        <f t="shared" si="65"/>
        <v>0</v>
      </c>
      <c r="DF28" s="200">
        <f>Data!DF69</f>
        <v>0</v>
      </c>
      <c r="DG28" s="200">
        <f>Data!DG69</f>
        <v>0</v>
      </c>
      <c r="DH28" s="200">
        <f>Data!DH69</f>
        <v>0</v>
      </c>
      <c r="DI28" s="200">
        <f>Data!DI69</f>
        <v>0</v>
      </c>
      <c r="DJ28" s="360">
        <f t="shared" si="66"/>
        <v>0</v>
      </c>
      <c r="DK28" s="200">
        <f>Data!DK69</f>
        <v>0</v>
      </c>
      <c r="DL28" s="200">
        <f>Data!DL69</f>
        <v>0</v>
      </c>
      <c r="DM28" s="200">
        <f>Data!DM69</f>
        <v>0</v>
      </c>
      <c r="DN28" s="358">
        <f t="shared" si="70"/>
        <v>0</v>
      </c>
      <c r="DO28" s="433">
        <f t="shared" si="67"/>
        <v>0</v>
      </c>
      <c r="DP28" s="358">
        <f t="shared" si="71"/>
        <v>0</v>
      </c>
      <c r="DQ28" s="358">
        <f t="shared" si="71"/>
        <v>0</v>
      </c>
      <c r="DR28" s="358">
        <f t="shared" si="72"/>
        <v>0</v>
      </c>
      <c r="DS28" s="358">
        <f t="shared" si="73"/>
        <v>0</v>
      </c>
      <c r="DT28" s="433">
        <f t="shared" si="68"/>
        <v>0</v>
      </c>
      <c r="DU28" s="362">
        <f t="shared" si="76"/>
        <v>0</v>
      </c>
      <c r="DV28" s="362">
        <f t="shared" si="76"/>
        <v>0</v>
      </c>
    </row>
    <row r="29" spans="2:126" s="88" customFormat="1">
      <c r="B29" s="41" t="s">
        <v>490</v>
      </c>
      <c r="C29" s="87"/>
      <c r="D29" s="87"/>
      <c r="E29" s="87"/>
      <c r="F29" s="87"/>
      <c r="G29" s="87"/>
      <c r="H29" s="87"/>
      <c r="I29" s="87"/>
      <c r="N29" s="87"/>
      <c r="S29" s="87"/>
      <c r="X29" s="87"/>
      <c r="AC29" s="87"/>
      <c r="AH29" s="87"/>
      <c r="AM29" s="87"/>
      <c r="AR29" s="87"/>
      <c r="AW29" s="87"/>
      <c r="BB29" s="87"/>
      <c r="BC29" s="400"/>
      <c r="BD29" s="400"/>
      <c r="BE29" s="400"/>
      <c r="BF29" s="400"/>
      <c r="BG29" s="87"/>
      <c r="BH29" s="400"/>
      <c r="BI29" s="400"/>
      <c r="BJ29" s="400"/>
      <c r="BK29" s="400"/>
      <c r="BL29" s="363"/>
      <c r="BM29" s="400"/>
      <c r="BN29" s="400"/>
      <c r="BO29" s="400"/>
      <c r="BP29" s="400"/>
      <c r="BQ29" s="363"/>
      <c r="BR29" s="400"/>
      <c r="BS29" s="400"/>
      <c r="BT29" s="400"/>
      <c r="BU29" s="400"/>
      <c r="BV29" s="363"/>
      <c r="BW29" s="400"/>
      <c r="BX29" s="400"/>
      <c r="BY29" s="400"/>
      <c r="BZ29" s="400"/>
      <c r="CA29" s="363"/>
      <c r="CB29" s="400"/>
      <c r="CC29" s="400"/>
      <c r="CD29" s="400"/>
      <c r="CE29" s="400"/>
      <c r="CF29" s="363"/>
      <c r="CG29" s="400"/>
      <c r="CH29" s="400">
        <f>Data!CH70</f>
        <v>7002</v>
      </c>
      <c r="CI29" s="359">
        <f t="shared" si="75"/>
        <v>7002</v>
      </c>
      <c r="CJ29" s="400">
        <f>Data!CJ70</f>
        <v>3258</v>
      </c>
      <c r="CK29" s="363">
        <f t="shared" si="61"/>
        <v>3258</v>
      </c>
      <c r="CL29" s="359">
        <f t="shared" si="75"/>
        <v>3258</v>
      </c>
      <c r="CM29" s="400">
        <f>Data!CM70</f>
        <v>1297</v>
      </c>
      <c r="CN29" s="400">
        <f>Data!CN70</f>
        <v>1307</v>
      </c>
      <c r="CO29" s="400">
        <f>Data!CO70</f>
        <v>550</v>
      </c>
      <c r="CP29" s="363">
        <f t="shared" si="62"/>
        <v>550</v>
      </c>
      <c r="CQ29" s="400">
        <f>Data!CQ70</f>
        <v>1369</v>
      </c>
      <c r="CR29" s="400">
        <f>Data!CR70</f>
        <v>1370</v>
      </c>
      <c r="CS29" s="400">
        <f>Data!CS70</f>
        <v>274</v>
      </c>
      <c r="CT29" s="400">
        <f>Data!CT70</f>
        <v>24</v>
      </c>
      <c r="CU29" s="363">
        <f t="shared" si="63"/>
        <v>24</v>
      </c>
      <c r="CV29" s="400">
        <f>Data!CV70</f>
        <v>24</v>
      </c>
      <c r="CW29" s="400">
        <f>Data!CW70</f>
        <v>26</v>
      </c>
      <c r="CX29" s="400">
        <f>Data!CX70</f>
        <v>193</v>
      </c>
      <c r="CY29" s="400">
        <f>Data!CY70</f>
        <v>595</v>
      </c>
      <c r="CZ29" s="363">
        <f t="shared" si="64"/>
        <v>595</v>
      </c>
      <c r="DA29" s="400">
        <f>Data!DA70</f>
        <v>1545</v>
      </c>
      <c r="DB29" s="400">
        <f>Data!DB70</f>
        <v>1554</v>
      </c>
      <c r="DC29" s="400">
        <f>Data!DC70</f>
        <v>1389</v>
      </c>
      <c r="DD29" s="400">
        <f>Data!DD70</f>
        <v>1283</v>
      </c>
      <c r="DE29" s="363">
        <f t="shared" si="65"/>
        <v>1283</v>
      </c>
      <c r="DF29" s="400">
        <f>Data!DF70</f>
        <v>344</v>
      </c>
      <c r="DG29" s="400">
        <f>Data!DG70</f>
        <v>1617</v>
      </c>
      <c r="DH29" s="400">
        <f>Data!DH70</f>
        <v>3113</v>
      </c>
      <c r="DI29" s="400">
        <f>Data!DI70</f>
        <v>2352</v>
      </c>
      <c r="DJ29" s="363">
        <f t="shared" si="66"/>
        <v>2352</v>
      </c>
      <c r="DK29" s="400">
        <f>Data!DK70</f>
        <v>2844</v>
      </c>
      <c r="DL29" s="400">
        <f>Data!DL70</f>
        <v>2084</v>
      </c>
      <c r="DM29" s="400">
        <f>Data!DM70</f>
        <v>584</v>
      </c>
      <c r="DN29" s="359">
        <f t="shared" si="70"/>
        <v>584</v>
      </c>
      <c r="DO29" s="363">
        <f t="shared" si="67"/>
        <v>584</v>
      </c>
      <c r="DP29" s="359">
        <f t="shared" si="71"/>
        <v>584</v>
      </c>
      <c r="DQ29" s="359">
        <f t="shared" si="71"/>
        <v>584</v>
      </c>
      <c r="DR29" s="359">
        <f t="shared" si="72"/>
        <v>584</v>
      </c>
      <c r="DS29" s="359">
        <f t="shared" si="73"/>
        <v>584</v>
      </c>
      <c r="DT29" s="363">
        <f t="shared" si="68"/>
        <v>584</v>
      </c>
      <c r="DU29" s="364">
        <f t="shared" si="76"/>
        <v>584</v>
      </c>
      <c r="DV29" s="364">
        <f t="shared" si="76"/>
        <v>584</v>
      </c>
    </row>
    <row r="30" spans="2:126" s="32" customFormat="1">
      <c r="B30" s="39" t="str">
        <f>+Data!B71</f>
        <v>Total current liabilities</v>
      </c>
      <c r="C30" s="101"/>
      <c r="D30" s="101"/>
      <c r="E30" s="101"/>
      <c r="F30" s="101"/>
      <c r="G30" s="101"/>
      <c r="H30" s="101"/>
      <c r="I30" s="101"/>
      <c r="J30" s="37"/>
      <c r="K30" s="37"/>
      <c r="L30" s="37"/>
      <c r="M30" s="37"/>
      <c r="N30" s="101"/>
      <c r="O30" s="37"/>
      <c r="P30" s="37"/>
      <c r="Q30" s="37"/>
      <c r="R30" s="37"/>
      <c r="S30" s="101"/>
      <c r="T30" s="37"/>
      <c r="U30" s="37"/>
      <c r="V30" s="37"/>
      <c r="W30" s="37"/>
      <c r="X30" s="101"/>
      <c r="Y30" s="37"/>
      <c r="Z30" s="37"/>
      <c r="AA30" s="37"/>
      <c r="AB30" s="37"/>
      <c r="AC30" s="101"/>
      <c r="AD30" s="37"/>
      <c r="AE30" s="37"/>
      <c r="AF30" s="37"/>
      <c r="AG30" s="37"/>
      <c r="AH30" s="101"/>
      <c r="AI30" s="37"/>
      <c r="AJ30" s="37"/>
      <c r="AK30" s="37"/>
      <c r="AL30" s="37"/>
      <c r="AM30" s="101"/>
      <c r="AN30" s="37"/>
      <c r="AO30" s="37"/>
      <c r="AP30" s="37"/>
      <c r="AQ30" s="37"/>
      <c r="AR30" s="101"/>
      <c r="AS30" s="37"/>
      <c r="AT30" s="37"/>
      <c r="AU30" s="37"/>
      <c r="AV30" s="37"/>
      <c r="AW30" s="101"/>
      <c r="AX30" s="37"/>
      <c r="AY30" s="37"/>
      <c r="AZ30" s="37"/>
      <c r="BA30" s="37"/>
      <c r="BB30" s="101"/>
      <c r="BC30" s="182"/>
      <c r="BD30" s="182"/>
      <c r="BE30" s="182"/>
      <c r="BF30" s="182"/>
      <c r="BG30" s="101"/>
      <c r="BH30" s="182"/>
      <c r="BI30" s="182"/>
      <c r="BJ30" s="182"/>
      <c r="BK30" s="182"/>
      <c r="BL30" s="365"/>
      <c r="BM30" s="182"/>
      <c r="BN30" s="182"/>
      <c r="BO30" s="182"/>
      <c r="BP30" s="182"/>
      <c r="BQ30" s="365"/>
      <c r="BR30" s="182"/>
      <c r="BS30" s="182"/>
      <c r="BT30" s="182"/>
      <c r="BU30" s="182"/>
      <c r="BV30" s="365"/>
      <c r="BW30" s="182"/>
      <c r="BX30" s="182"/>
      <c r="BY30" s="182"/>
      <c r="BZ30" s="182"/>
      <c r="CA30" s="365"/>
      <c r="CB30" s="182"/>
      <c r="CC30" s="182"/>
      <c r="CD30" s="182"/>
      <c r="CE30" s="182"/>
      <c r="CF30" s="365"/>
      <c r="CG30" s="182"/>
      <c r="CH30" s="182">
        <f t="shared" ref="CH30:CP30" si="78">SUM(CH23:CH29)</f>
        <v>34520</v>
      </c>
      <c r="CI30" s="182">
        <f t="shared" si="78"/>
        <v>34614.659340659338</v>
      </c>
      <c r="CJ30" s="182">
        <f t="shared" ref="CJ30" si="79">SUM(CJ23:CJ29)</f>
        <v>46594</v>
      </c>
      <c r="CK30" s="365">
        <f t="shared" si="78"/>
        <v>46594</v>
      </c>
      <c r="CL30" s="182">
        <f t="shared" si="78"/>
        <v>34199.072698412696</v>
      </c>
      <c r="CM30" s="182">
        <f t="shared" si="78"/>
        <v>35291</v>
      </c>
      <c r="CN30" s="182">
        <f t="shared" ref="CN30:CO30" si="80">SUM(CN23:CN29)</f>
        <v>35562</v>
      </c>
      <c r="CO30" s="182">
        <f t="shared" si="80"/>
        <v>35848</v>
      </c>
      <c r="CP30" s="365">
        <f t="shared" si="78"/>
        <v>35848</v>
      </c>
      <c r="CQ30" s="182">
        <f t="shared" ref="CQ30:CR30" si="81">SUM(CQ23:CQ29)</f>
        <v>36359</v>
      </c>
      <c r="CR30" s="182">
        <f t="shared" si="81"/>
        <v>34794</v>
      </c>
      <c r="CS30" s="182">
        <f t="shared" ref="CS30:CT30" si="82">SUM(CS23:CS29)</f>
        <v>34131</v>
      </c>
      <c r="CT30" s="182">
        <f t="shared" si="82"/>
        <v>35449</v>
      </c>
      <c r="CU30" s="365">
        <f t="shared" ref="CU30:CV30" si="83">SUM(CU23:CU29)</f>
        <v>35449</v>
      </c>
      <c r="CV30" s="182">
        <f t="shared" si="83"/>
        <v>35057</v>
      </c>
      <c r="CW30" s="182">
        <f t="shared" ref="CW30:CX30" si="84">SUM(CW23:CW29)</f>
        <v>37788</v>
      </c>
      <c r="CX30" s="182">
        <f t="shared" si="84"/>
        <v>38373</v>
      </c>
      <c r="CY30" s="182">
        <f t="shared" ref="CY30" si="85">SUM(CY23:CY29)</f>
        <v>39114</v>
      </c>
      <c r="CZ30" s="365">
        <f t="shared" ref="CZ30" si="86">SUM(CZ23:CZ29)</f>
        <v>39114</v>
      </c>
      <c r="DA30" s="182">
        <f t="shared" ref="DA30:DE30" si="87">SUM(DA23:DA29)</f>
        <v>40128</v>
      </c>
      <c r="DB30" s="182">
        <f t="shared" si="87"/>
        <v>41760</v>
      </c>
      <c r="DC30" s="182">
        <f t="shared" si="87"/>
        <v>45002</v>
      </c>
      <c r="DD30" s="182">
        <f t="shared" si="87"/>
        <v>46761</v>
      </c>
      <c r="DE30" s="365">
        <f t="shared" si="87"/>
        <v>46761</v>
      </c>
      <c r="DF30" s="182">
        <f t="shared" ref="DF30:DI30" si="88">SUM(DF23:DF29)</f>
        <v>45019</v>
      </c>
      <c r="DG30" s="182">
        <f t="shared" si="88"/>
        <v>49565</v>
      </c>
      <c r="DH30" s="182">
        <f t="shared" si="88"/>
        <v>52247</v>
      </c>
      <c r="DI30" s="182">
        <f t="shared" si="88"/>
        <v>51499</v>
      </c>
      <c r="DJ30" s="365">
        <f t="shared" ref="DJ30:DM30" si="89">SUM(DJ23:DJ29)</f>
        <v>51499</v>
      </c>
      <c r="DK30" s="182">
        <f t="shared" si="89"/>
        <v>52624</v>
      </c>
      <c r="DL30" s="182">
        <f t="shared" si="89"/>
        <v>54332</v>
      </c>
      <c r="DM30" s="182">
        <f t="shared" si="89"/>
        <v>53234</v>
      </c>
      <c r="DN30" s="182">
        <f t="shared" ref="DN30" si="90">SUM(DN23:DN29)</f>
        <v>53189.833659450553</v>
      </c>
      <c r="DO30" s="365">
        <f t="shared" si="67"/>
        <v>53189.833659450553</v>
      </c>
      <c r="DP30" s="182">
        <f t="shared" ref="DP30" si="91">SUM(DP23:DP29)</f>
        <v>51680.320815384614</v>
      </c>
      <c r="DQ30" s="182">
        <f t="shared" ref="DQ30:DS30" si="92">SUM(DQ23:DQ29)</f>
        <v>52369.834633846156</v>
      </c>
      <c r="DR30" s="182">
        <f t="shared" si="92"/>
        <v>53004.976741538456</v>
      </c>
      <c r="DS30" s="182">
        <f t="shared" si="92"/>
        <v>53223.773473803078</v>
      </c>
      <c r="DT30" s="365">
        <f t="shared" si="68"/>
        <v>53223.773473803078</v>
      </c>
      <c r="DU30" s="365">
        <f t="shared" ref="DU30:DV30" si="93">SUM(DU23:DU29)</f>
        <v>52337.259398923867</v>
      </c>
      <c r="DV30" s="365">
        <f t="shared" si="93"/>
        <v>53091.346442581707</v>
      </c>
    </row>
    <row r="31" spans="2:126" s="32" customFormat="1">
      <c r="B31" s="41" t="s">
        <v>53</v>
      </c>
      <c r="C31" s="34"/>
      <c r="D31" s="34"/>
      <c r="E31" s="34"/>
      <c r="F31" s="34"/>
      <c r="G31" s="34"/>
      <c r="H31" s="34"/>
      <c r="I31" s="34"/>
      <c r="N31" s="34"/>
      <c r="S31" s="34"/>
      <c r="X31" s="34"/>
      <c r="AC31" s="34"/>
      <c r="AH31" s="34"/>
      <c r="AM31" s="34"/>
      <c r="AR31" s="34"/>
      <c r="AW31" s="34"/>
      <c r="BB31" s="34"/>
      <c r="BC31" s="200"/>
      <c r="BD31" s="200"/>
      <c r="BE31" s="200"/>
      <c r="BF31" s="200"/>
      <c r="BG31" s="34"/>
      <c r="BH31" s="200"/>
      <c r="BI31" s="200"/>
      <c r="BJ31" s="200"/>
      <c r="BK31" s="200"/>
      <c r="BL31" s="360"/>
      <c r="BM31" s="200"/>
      <c r="BN31" s="200"/>
      <c r="BO31" s="200"/>
      <c r="BP31" s="200"/>
      <c r="BQ31" s="360"/>
      <c r="BR31" s="200"/>
      <c r="BS31" s="200"/>
      <c r="BT31" s="200"/>
      <c r="BU31" s="200"/>
      <c r="BV31" s="360"/>
      <c r="BW31" s="200"/>
      <c r="BX31" s="200"/>
      <c r="BY31" s="200"/>
      <c r="BZ31" s="200"/>
      <c r="CA31" s="360"/>
      <c r="CB31" s="200"/>
      <c r="CC31" s="200"/>
      <c r="CD31" s="200"/>
      <c r="CE31" s="200"/>
      <c r="CF31" s="360"/>
      <c r="CG31" s="200"/>
      <c r="CH31" s="200">
        <f>Data!CH72</f>
        <v>25714</v>
      </c>
      <c r="CI31" s="357">
        <f>CH31+CFLO!CI31</f>
        <v>25085</v>
      </c>
      <c r="CJ31" s="200">
        <f>Data!CJ72</f>
        <v>37701</v>
      </c>
      <c r="CK31" s="360">
        <f t="shared" ref="CK31:CK36" si="94">CJ31</f>
        <v>37701</v>
      </c>
      <c r="CL31" s="357">
        <f>CK31+CFLO!CL31</f>
        <v>23891</v>
      </c>
      <c r="CM31" s="200">
        <f>Data!CM72</f>
        <v>31210</v>
      </c>
      <c r="CN31" s="200">
        <f>Data!CN72</f>
        <v>31246</v>
      </c>
      <c r="CO31" s="200">
        <f>Data!CO72</f>
        <v>31026</v>
      </c>
      <c r="CP31" s="360">
        <f t="shared" ref="CP31:CP36" si="95">CO31</f>
        <v>31026</v>
      </c>
      <c r="CQ31" s="200">
        <f>Data!CQ72</f>
        <v>29935</v>
      </c>
      <c r="CR31" s="200">
        <f>Data!CR72</f>
        <v>29916</v>
      </c>
      <c r="CS31" s="200">
        <f>Data!CS72</f>
        <v>30768</v>
      </c>
      <c r="CT31" s="200">
        <f>Data!CT72</f>
        <v>31327</v>
      </c>
      <c r="CU31" s="360">
        <f t="shared" ref="CU31:CU43" si="96">CT31</f>
        <v>31327</v>
      </c>
      <c r="CV31" s="200">
        <f>Data!CV72</f>
        <v>31308</v>
      </c>
      <c r="CW31" s="200">
        <f>Data!CW72</f>
        <v>31274</v>
      </c>
      <c r="CX31" s="200">
        <f>Data!CX72</f>
        <v>31059</v>
      </c>
      <c r="CY31" s="200">
        <f>Data!CY72</f>
        <v>30694</v>
      </c>
      <c r="CZ31" s="360">
        <f t="shared" ref="CZ31:CZ43" si="97">CY31</f>
        <v>30694</v>
      </c>
      <c r="DA31" s="200">
        <f>Data!DA72</f>
        <v>32717</v>
      </c>
      <c r="DB31" s="200">
        <f>Data!DB72</f>
        <v>32723</v>
      </c>
      <c r="DC31" s="200">
        <f>Data!DC72</f>
        <v>32701</v>
      </c>
      <c r="DD31" s="200">
        <f>Data!DD72</f>
        <v>42355</v>
      </c>
      <c r="DE31" s="360">
        <f t="shared" ref="DE31:DE43" si="98">DD31</f>
        <v>42355</v>
      </c>
      <c r="DF31" s="200">
        <f>Data!DF72</f>
        <v>42334</v>
      </c>
      <c r="DG31" s="200">
        <f>Data!DG72</f>
        <v>40303</v>
      </c>
      <c r="DH31" s="200">
        <f>Data!DH72</f>
        <v>38823</v>
      </c>
      <c r="DI31" s="200">
        <f>Data!DI72</f>
        <v>38726</v>
      </c>
      <c r="DJ31" s="360">
        <f t="shared" ref="DJ31:DJ43" si="99">DI31</f>
        <v>38726</v>
      </c>
      <c r="DK31" s="200">
        <f>Data!DK72</f>
        <v>38244</v>
      </c>
      <c r="DL31" s="200">
        <f>Data!DL72</f>
        <v>38259</v>
      </c>
      <c r="DM31" s="200">
        <f>Data!DM72</f>
        <v>38260</v>
      </c>
      <c r="DN31" s="357">
        <f>DM31+CFLO!DN31</f>
        <v>37510</v>
      </c>
      <c r="DO31" s="433">
        <f t="shared" si="67"/>
        <v>37510</v>
      </c>
      <c r="DP31" s="357">
        <f>DO31+CFLO!DP31</f>
        <v>37510</v>
      </c>
      <c r="DQ31" s="357">
        <f>DP31+CFLO!DQ31</f>
        <v>37510</v>
      </c>
      <c r="DR31" s="357">
        <f>DQ31+CFLO!DR31</f>
        <v>37510</v>
      </c>
      <c r="DS31" s="357">
        <f>DR31+CFLO!DS31</f>
        <v>37510</v>
      </c>
      <c r="DT31" s="433">
        <f t="shared" si="68"/>
        <v>37510</v>
      </c>
      <c r="DU31" s="361">
        <f>DT31+CFLO!DU31</f>
        <v>37510</v>
      </c>
      <c r="DV31" s="361">
        <f>DU31+CFLO!DV31</f>
        <v>37510</v>
      </c>
    </row>
    <row r="32" spans="2:126" s="32" customFormat="1">
      <c r="B32" s="41" t="s">
        <v>491</v>
      </c>
      <c r="C32" s="34"/>
      <c r="D32" s="34"/>
      <c r="E32" s="34"/>
      <c r="F32" s="34"/>
      <c r="G32" s="34"/>
      <c r="H32" s="34"/>
      <c r="I32" s="34"/>
      <c r="N32" s="34"/>
      <c r="S32" s="34"/>
      <c r="X32" s="34"/>
      <c r="AC32" s="34"/>
      <c r="AH32" s="34"/>
      <c r="AM32" s="34"/>
      <c r="AR32" s="34"/>
      <c r="AW32" s="34"/>
      <c r="BB32" s="34"/>
      <c r="BC32" s="200"/>
      <c r="BD32" s="200"/>
      <c r="BE32" s="200"/>
      <c r="BF32" s="200"/>
      <c r="BG32" s="34"/>
      <c r="BH32" s="200"/>
      <c r="BI32" s="200"/>
      <c r="BJ32" s="200"/>
      <c r="BK32" s="200"/>
      <c r="BL32" s="360"/>
      <c r="BM32" s="200"/>
      <c r="BN32" s="200"/>
      <c r="BO32" s="200"/>
      <c r="BP32" s="200"/>
      <c r="BQ32" s="360"/>
      <c r="BR32" s="200"/>
      <c r="BS32" s="200"/>
      <c r="BT32" s="200"/>
      <c r="BU32" s="200"/>
      <c r="BV32" s="360"/>
      <c r="BW32" s="200"/>
      <c r="BX32" s="200"/>
      <c r="BY32" s="200"/>
      <c r="BZ32" s="200"/>
      <c r="CA32" s="360"/>
      <c r="CB32" s="200"/>
      <c r="CC32" s="200"/>
      <c r="CD32" s="200"/>
      <c r="CE32" s="200"/>
      <c r="CF32" s="360"/>
      <c r="CG32" s="200"/>
      <c r="CH32" s="200">
        <f>Data!CH73</f>
        <v>9765</v>
      </c>
      <c r="CI32" s="358">
        <f t="shared" ref="CI32:CL32" si="100">CH32</f>
        <v>9765</v>
      </c>
      <c r="CJ32" s="200">
        <f>Data!CJ73</f>
        <v>2487</v>
      </c>
      <c r="CK32" s="360">
        <f t="shared" si="94"/>
        <v>2487</v>
      </c>
      <c r="CL32" s="358">
        <f t="shared" si="100"/>
        <v>2487</v>
      </c>
      <c r="CM32" s="200">
        <f>Data!CM73</f>
        <v>14972</v>
      </c>
      <c r="CN32" s="200">
        <f>Data!CN73</f>
        <v>14688</v>
      </c>
      <c r="CO32" s="200">
        <f>Data!CO73</f>
        <v>10342</v>
      </c>
      <c r="CP32" s="360">
        <f t="shared" si="95"/>
        <v>10342</v>
      </c>
      <c r="CQ32" s="200">
        <f>Data!CQ73</f>
        <v>9808</v>
      </c>
      <c r="CR32" s="200">
        <f>Data!CR73</f>
        <v>9929</v>
      </c>
      <c r="CS32" s="200">
        <f>Data!CS73</f>
        <v>9742</v>
      </c>
      <c r="CT32" s="200">
        <f>Data!CT73</f>
        <v>7855</v>
      </c>
      <c r="CU32" s="360">
        <f t="shared" si="96"/>
        <v>7855</v>
      </c>
      <c r="CV32" s="200">
        <f>Data!CV73</f>
        <v>7709</v>
      </c>
      <c r="CW32" s="200">
        <f>Data!CW73</f>
        <v>7543</v>
      </c>
      <c r="CX32" s="200">
        <f>Data!CX73</f>
        <v>7362</v>
      </c>
      <c r="CY32" s="200">
        <f>Data!CY73</f>
        <v>4807</v>
      </c>
      <c r="CZ32" s="360">
        <f t="shared" si="97"/>
        <v>4807</v>
      </c>
      <c r="DA32" s="200">
        <f>Data!DA73</f>
        <v>4676</v>
      </c>
      <c r="DB32" s="200">
        <f>Data!DB73</f>
        <v>4579</v>
      </c>
      <c r="DC32" s="200">
        <f>Data!DC73</f>
        <v>4457</v>
      </c>
      <c r="DD32" s="200">
        <f>Data!DD73</f>
        <v>2385</v>
      </c>
      <c r="DE32" s="360">
        <f t="shared" si="98"/>
        <v>2385</v>
      </c>
      <c r="DF32" s="200">
        <f>Data!DF73</f>
        <v>1410</v>
      </c>
      <c r="DG32" s="200">
        <f>Data!DG73</f>
        <v>2264</v>
      </c>
      <c r="DH32" s="200">
        <f>Data!DH73</f>
        <v>2230</v>
      </c>
      <c r="DI32" s="200">
        <f>Data!DI73</f>
        <v>2104</v>
      </c>
      <c r="DJ32" s="360">
        <f t="shared" si="99"/>
        <v>2104</v>
      </c>
      <c r="DK32" s="200">
        <f>Data!DK73</f>
        <v>1646</v>
      </c>
      <c r="DL32" s="200">
        <f>Data!DL73</f>
        <v>2038</v>
      </c>
      <c r="DM32" s="200">
        <f>Data!DM73</f>
        <v>1981</v>
      </c>
      <c r="DN32" s="358">
        <f t="shared" ref="DN32:DN34" si="101">DM32</f>
        <v>1981</v>
      </c>
      <c r="DO32" s="433">
        <f t="shared" si="67"/>
        <v>1981</v>
      </c>
      <c r="DP32" s="358">
        <f t="shared" ref="DP32:DQ34" si="102">DO32</f>
        <v>1981</v>
      </c>
      <c r="DQ32" s="358">
        <f t="shared" si="102"/>
        <v>1981</v>
      </c>
      <c r="DR32" s="358">
        <f t="shared" ref="DR32:DR34" si="103">DQ32</f>
        <v>1981</v>
      </c>
      <c r="DS32" s="358">
        <f t="shared" ref="DS32:DS34" si="104">DR32</f>
        <v>1981</v>
      </c>
      <c r="DT32" s="433">
        <f t="shared" si="68"/>
        <v>1981</v>
      </c>
      <c r="DU32" s="362">
        <f t="shared" ref="DU32:DV34" si="105">DT32</f>
        <v>1981</v>
      </c>
      <c r="DV32" s="362">
        <f t="shared" si="105"/>
        <v>1981</v>
      </c>
    </row>
    <row r="33" spans="1:126" s="32" customFormat="1">
      <c r="B33" s="41" t="s">
        <v>477</v>
      </c>
      <c r="C33" s="34"/>
      <c r="D33" s="34"/>
      <c r="E33" s="34"/>
      <c r="F33" s="34"/>
      <c r="G33" s="34"/>
      <c r="H33" s="34"/>
      <c r="I33" s="34"/>
      <c r="N33" s="34"/>
      <c r="S33" s="34"/>
      <c r="X33" s="34"/>
      <c r="AC33" s="34"/>
      <c r="AH33" s="34"/>
      <c r="AM33" s="34"/>
      <c r="AR33" s="34"/>
      <c r="AW33" s="34"/>
      <c r="BA33" s="3"/>
      <c r="BB33" s="34"/>
      <c r="BC33" s="3"/>
      <c r="BD33" s="3"/>
      <c r="BE33" s="3"/>
      <c r="BF33" s="3"/>
      <c r="BG33" s="34"/>
      <c r="BH33" s="3"/>
      <c r="BI33" s="3"/>
      <c r="BJ33" s="3"/>
      <c r="BK33" s="3"/>
      <c r="BL33" s="34"/>
      <c r="BM33" s="3"/>
      <c r="BN33" s="3"/>
      <c r="BO33" s="3"/>
      <c r="BP33" s="3"/>
      <c r="BQ33" s="34"/>
      <c r="BR33" s="3"/>
      <c r="BS33" s="3"/>
      <c r="BT33" s="3"/>
      <c r="BU33" s="3"/>
      <c r="BV33" s="34"/>
      <c r="BW33" s="3"/>
      <c r="BX33" s="3"/>
      <c r="BY33" s="3"/>
      <c r="BZ33" s="3"/>
      <c r="CA33" s="34"/>
      <c r="CB33" s="3"/>
      <c r="CC33" s="3"/>
      <c r="CD33" s="3"/>
      <c r="CE33" s="3"/>
      <c r="CF33" s="360"/>
      <c r="CG33" s="200"/>
      <c r="CH33" s="200">
        <f>Data!CH74</f>
        <v>1826</v>
      </c>
      <c r="CI33" s="358">
        <f t="shared" ref="CI33:CL34" si="106">CH33</f>
        <v>1826</v>
      </c>
      <c r="CJ33" s="200">
        <f>Data!CJ74</f>
        <v>1093</v>
      </c>
      <c r="CK33" s="360">
        <f t="shared" si="94"/>
        <v>1093</v>
      </c>
      <c r="CL33" s="358">
        <f t="shared" si="106"/>
        <v>1093</v>
      </c>
      <c r="CM33" s="200">
        <f>Data!CM74</f>
        <v>1723</v>
      </c>
      <c r="CN33" s="200">
        <f>Data!CN74</f>
        <v>1651</v>
      </c>
      <c r="CO33" s="200">
        <f>Data!CO74</f>
        <v>1516</v>
      </c>
      <c r="CP33" s="360">
        <f t="shared" si="95"/>
        <v>1516</v>
      </c>
      <c r="CQ33" s="200">
        <f>Data!CQ74</f>
        <v>1552</v>
      </c>
      <c r="CR33" s="200">
        <f>Data!CR74</f>
        <v>1563</v>
      </c>
      <c r="CS33" s="200">
        <f>Data!CS74</f>
        <v>1541</v>
      </c>
      <c r="CT33" s="200">
        <f>Data!CT74</f>
        <v>1657</v>
      </c>
      <c r="CU33" s="360">
        <f t="shared" si="96"/>
        <v>1657</v>
      </c>
      <c r="CV33" s="200">
        <f>Data!CV74</f>
        <v>1627</v>
      </c>
      <c r="CW33" s="200">
        <f>Data!CW74</f>
        <v>1593</v>
      </c>
      <c r="CX33" s="200">
        <f>Data!CX74</f>
        <v>1539</v>
      </c>
      <c r="CY33" s="200">
        <f>Data!CY74</f>
        <v>1586</v>
      </c>
      <c r="CZ33" s="360">
        <f t="shared" si="97"/>
        <v>1586</v>
      </c>
      <c r="DA33" s="200">
        <f>Data!DA74</f>
        <v>1624</v>
      </c>
      <c r="DB33" s="200">
        <f>Data!DB74</f>
        <v>1570</v>
      </c>
      <c r="DC33" s="200">
        <f>Data!DC74</f>
        <v>1523</v>
      </c>
      <c r="DD33" s="200">
        <f>Data!DD74</f>
        <v>1412</v>
      </c>
      <c r="DE33" s="360">
        <f t="shared" si="98"/>
        <v>1412</v>
      </c>
      <c r="DF33" s="200">
        <f>Data!DF74</f>
        <v>2320</v>
      </c>
      <c r="DG33" s="200">
        <f>Data!DG74</f>
        <v>1415</v>
      </c>
      <c r="DH33" s="200">
        <f>Data!DH74</f>
        <v>1592</v>
      </c>
      <c r="DI33" s="200">
        <f>Data!DI74</f>
        <v>1632</v>
      </c>
      <c r="DJ33" s="360">
        <f t="shared" si="99"/>
        <v>1632</v>
      </c>
      <c r="DK33" s="200">
        <f>Data!DK74</f>
        <v>2060</v>
      </c>
      <c r="DL33" s="200">
        <f>Data!DL74</f>
        <v>1617</v>
      </c>
      <c r="DM33" s="200">
        <f>Data!DM74</f>
        <v>1650</v>
      </c>
      <c r="DN33" s="358">
        <f t="shared" si="101"/>
        <v>1650</v>
      </c>
      <c r="DO33" s="433">
        <f t="shared" si="67"/>
        <v>1650</v>
      </c>
      <c r="DP33" s="358">
        <f t="shared" si="102"/>
        <v>1650</v>
      </c>
      <c r="DQ33" s="358">
        <f t="shared" si="102"/>
        <v>1650</v>
      </c>
      <c r="DR33" s="358">
        <f t="shared" si="103"/>
        <v>1650</v>
      </c>
      <c r="DS33" s="358">
        <f t="shared" si="104"/>
        <v>1650</v>
      </c>
      <c r="DT33" s="433">
        <f t="shared" si="68"/>
        <v>1650</v>
      </c>
      <c r="DU33" s="362">
        <f t="shared" si="105"/>
        <v>1650</v>
      </c>
      <c r="DV33" s="362">
        <f t="shared" si="105"/>
        <v>1650</v>
      </c>
    </row>
    <row r="34" spans="1:126" s="88" customFormat="1">
      <c r="B34" s="41" t="s">
        <v>54</v>
      </c>
      <c r="C34" s="87"/>
      <c r="D34" s="87"/>
      <c r="E34" s="87"/>
      <c r="F34" s="87"/>
      <c r="G34" s="87"/>
      <c r="H34" s="87"/>
      <c r="I34" s="87"/>
      <c r="N34" s="87"/>
      <c r="S34" s="87"/>
      <c r="X34" s="87"/>
      <c r="AC34" s="87"/>
      <c r="AH34" s="87"/>
      <c r="AM34" s="87"/>
      <c r="AR34" s="87"/>
      <c r="AW34" s="87"/>
      <c r="BB34" s="87"/>
      <c r="BG34" s="87"/>
      <c r="BL34" s="87"/>
      <c r="BQ34" s="87"/>
      <c r="BV34" s="87"/>
      <c r="CA34" s="87"/>
      <c r="CF34" s="363"/>
      <c r="CG34" s="400"/>
      <c r="CH34" s="400">
        <f>Data!CH75</f>
        <v>20627</v>
      </c>
      <c r="CI34" s="359">
        <f t="shared" si="106"/>
        <v>20627</v>
      </c>
      <c r="CJ34" s="400">
        <f>Data!CJ75</f>
        <v>7414</v>
      </c>
      <c r="CK34" s="363">
        <f t="shared" si="94"/>
        <v>7414</v>
      </c>
      <c r="CL34" s="359">
        <f t="shared" si="106"/>
        <v>7414</v>
      </c>
      <c r="CM34" s="400">
        <f>Data!CM75</f>
        <v>9394</v>
      </c>
      <c r="CN34" s="400">
        <f>Data!CN75</f>
        <v>9142</v>
      </c>
      <c r="CO34" s="400">
        <f>Data!CO75</f>
        <v>9537</v>
      </c>
      <c r="CP34" s="363">
        <f t="shared" si="95"/>
        <v>9537</v>
      </c>
      <c r="CQ34" s="400">
        <f>Data!CQ75</f>
        <v>9612</v>
      </c>
      <c r="CR34" s="400">
        <f>Data!CR75</f>
        <v>9885</v>
      </c>
      <c r="CS34" s="400">
        <f>Data!CS75</f>
        <v>9621</v>
      </c>
      <c r="CT34" s="400">
        <f>Data!CT75</f>
        <v>10417</v>
      </c>
      <c r="CU34" s="363">
        <f t="shared" si="96"/>
        <v>10417</v>
      </c>
      <c r="CV34" s="400">
        <f>Data!CV75</f>
        <v>9643</v>
      </c>
      <c r="CW34" s="400">
        <f>Data!CW75</f>
        <v>8791</v>
      </c>
      <c r="CX34" s="400">
        <f>Data!CX75</f>
        <v>8124</v>
      </c>
      <c r="CY34" s="400">
        <f>Data!CY75</f>
        <v>8449</v>
      </c>
      <c r="CZ34" s="363">
        <f t="shared" si="97"/>
        <v>8449</v>
      </c>
      <c r="DA34" s="400">
        <f>Data!DA75</f>
        <v>8106</v>
      </c>
      <c r="DB34" s="400">
        <f>Data!DB75</f>
        <v>7442</v>
      </c>
      <c r="DC34" s="400">
        <f>Data!DC75</f>
        <v>7514</v>
      </c>
      <c r="DD34" s="400">
        <f>Data!DD75</f>
        <v>7511</v>
      </c>
      <c r="DE34" s="363">
        <f t="shared" si="98"/>
        <v>7511</v>
      </c>
      <c r="DF34" s="400">
        <f>Data!DF75</f>
        <v>6967</v>
      </c>
      <c r="DG34" s="400">
        <f>Data!DG75</f>
        <v>6941</v>
      </c>
      <c r="DH34" s="400">
        <f>Data!DH75</f>
        <v>7071</v>
      </c>
      <c r="DI34" s="400">
        <f>Data!DI75</f>
        <v>6942</v>
      </c>
      <c r="DJ34" s="363">
        <f t="shared" si="99"/>
        <v>6942</v>
      </c>
      <c r="DK34" s="400">
        <f>Data!DK75</f>
        <v>6946</v>
      </c>
      <c r="DL34" s="400">
        <f>Data!DL75</f>
        <v>6646</v>
      </c>
      <c r="DM34" s="400">
        <f>Data!DM75</f>
        <v>7154</v>
      </c>
      <c r="DN34" s="359">
        <f t="shared" si="101"/>
        <v>7154</v>
      </c>
      <c r="DO34" s="363">
        <f t="shared" si="67"/>
        <v>7154</v>
      </c>
      <c r="DP34" s="359">
        <f t="shared" si="102"/>
        <v>7154</v>
      </c>
      <c r="DQ34" s="359">
        <f t="shared" si="102"/>
        <v>7154</v>
      </c>
      <c r="DR34" s="359">
        <f t="shared" si="103"/>
        <v>7154</v>
      </c>
      <c r="DS34" s="359">
        <f t="shared" si="104"/>
        <v>7154</v>
      </c>
      <c r="DT34" s="363">
        <f t="shared" si="68"/>
        <v>7154</v>
      </c>
      <c r="DU34" s="364">
        <f t="shared" si="105"/>
        <v>7154</v>
      </c>
      <c r="DV34" s="364">
        <f t="shared" si="105"/>
        <v>7154</v>
      </c>
    </row>
    <row r="35" spans="1:126" s="37" customFormat="1">
      <c r="B35" s="39" t="str">
        <f>+Data!B76</f>
        <v>Total liabilities</v>
      </c>
      <c r="C35" s="101"/>
      <c r="D35" s="101"/>
      <c r="E35" s="101"/>
      <c r="F35" s="101"/>
      <c r="G35" s="101"/>
      <c r="H35" s="101"/>
      <c r="I35" s="101"/>
      <c r="N35" s="101"/>
      <c r="S35" s="101"/>
      <c r="X35" s="101"/>
      <c r="AC35" s="101"/>
      <c r="AH35" s="101"/>
      <c r="AM35" s="101"/>
      <c r="AR35" s="101"/>
      <c r="AW35" s="101"/>
      <c r="BB35" s="101"/>
      <c r="BG35" s="101"/>
      <c r="BL35" s="101"/>
      <c r="BQ35" s="101"/>
      <c r="BV35" s="101"/>
      <c r="CA35" s="101"/>
      <c r="CB35" s="779">
        <v>53336</v>
      </c>
      <c r="CC35" s="779">
        <v>54177.5</v>
      </c>
      <c r="CD35" s="779">
        <v>59106</v>
      </c>
      <c r="CE35" s="779">
        <v>67138</v>
      </c>
      <c r="CF35" s="780">
        <f>CE35</f>
        <v>67138</v>
      </c>
      <c r="CG35" s="781">
        <v>67530.5</v>
      </c>
      <c r="CH35" s="182">
        <f t="shared" ref="CH35:CJ35" si="107">SUM(CH30:CH34)</f>
        <v>92452</v>
      </c>
      <c r="CI35" s="182">
        <f t="shared" ref="CI35" si="108">SUM(CI30:CI34)</f>
        <v>91917.659340659331</v>
      </c>
      <c r="CJ35" s="182">
        <f t="shared" si="107"/>
        <v>95289</v>
      </c>
      <c r="CK35" s="365">
        <f t="shared" si="94"/>
        <v>95289</v>
      </c>
      <c r="CL35" s="182">
        <f t="shared" ref="CL35:CM35" si="109">SUM(CL30:CL34)</f>
        <v>69084.072698412696</v>
      </c>
      <c r="CM35" s="182">
        <f t="shared" si="109"/>
        <v>92590</v>
      </c>
      <c r="CN35" s="182">
        <f t="shared" ref="CN35:CO35" si="110">SUM(CN30:CN34)</f>
        <v>92289</v>
      </c>
      <c r="CO35" s="182">
        <f t="shared" si="110"/>
        <v>88269</v>
      </c>
      <c r="CP35" s="365">
        <f t="shared" si="95"/>
        <v>88269</v>
      </c>
      <c r="CQ35" s="182">
        <f t="shared" ref="CQ35:CR35" si="111">SUM(CQ30:CQ34)</f>
        <v>87266</v>
      </c>
      <c r="CR35" s="182">
        <f t="shared" si="111"/>
        <v>86087</v>
      </c>
      <c r="CS35" s="182">
        <f t="shared" ref="CS35:CT35" si="112">SUM(CS30:CS34)</f>
        <v>85803</v>
      </c>
      <c r="CT35" s="182">
        <f t="shared" si="112"/>
        <v>86705</v>
      </c>
      <c r="CU35" s="365">
        <f t="shared" si="96"/>
        <v>86705</v>
      </c>
      <c r="CV35" s="182">
        <f t="shared" ref="CV35:CW35" si="113">SUM(CV30:CV34)</f>
        <v>85344</v>
      </c>
      <c r="CW35" s="182">
        <f t="shared" si="113"/>
        <v>86989</v>
      </c>
      <c r="CX35" s="182">
        <f t="shared" ref="CX35:CY35" si="114">SUM(CX30:CX34)</f>
        <v>86457</v>
      </c>
      <c r="CY35" s="182">
        <f t="shared" si="114"/>
        <v>84650</v>
      </c>
      <c r="CZ35" s="365">
        <f t="shared" si="97"/>
        <v>84650</v>
      </c>
      <c r="DA35" s="182">
        <f t="shared" ref="DA35:DD35" si="115">SUM(DA30:DA34)</f>
        <v>87251</v>
      </c>
      <c r="DB35" s="182">
        <f t="shared" si="115"/>
        <v>88074</v>
      </c>
      <c r="DC35" s="182">
        <f t="shared" si="115"/>
        <v>91197</v>
      </c>
      <c r="DD35" s="182">
        <f t="shared" si="115"/>
        <v>100424</v>
      </c>
      <c r="DE35" s="365">
        <f t="shared" si="98"/>
        <v>100424</v>
      </c>
      <c r="DF35" s="182">
        <f t="shared" ref="DF35:DI35" si="116">SUM(DF30:DF34)</f>
        <v>98050</v>
      </c>
      <c r="DG35" s="182">
        <f t="shared" si="116"/>
        <v>100488</v>
      </c>
      <c r="DH35" s="182">
        <f t="shared" si="116"/>
        <v>101963</v>
      </c>
      <c r="DI35" s="182">
        <f t="shared" si="116"/>
        <v>100903</v>
      </c>
      <c r="DJ35" s="365">
        <f t="shared" si="99"/>
        <v>100903</v>
      </c>
      <c r="DK35" s="182">
        <f t="shared" ref="DK35:DM35" si="117">SUM(DK30:DK34)</f>
        <v>101520</v>
      </c>
      <c r="DL35" s="182">
        <f t="shared" si="117"/>
        <v>102892</v>
      </c>
      <c r="DM35" s="182">
        <f t="shared" si="117"/>
        <v>102279</v>
      </c>
      <c r="DN35" s="182">
        <f t="shared" ref="DN35" si="118">SUM(DN30:DN34)</f>
        <v>101484.83365945055</v>
      </c>
      <c r="DO35" s="365">
        <f t="shared" si="67"/>
        <v>101484.83365945055</v>
      </c>
      <c r="DP35" s="182">
        <f t="shared" ref="DP35" si="119">SUM(DP30:DP34)</f>
        <v>99975.320815384621</v>
      </c>
      <c r="DQ35" s="182">
        <f t="shared" ref="DQ35:DS35" si="120">SUM(DQ30:DQ34)</f>
        <v>100664.83463384616</v>
      </c>
      <c r="DR35" s="182">
        <f t="shared" si="120"/>
        <v>101299.97674153846</v>
      </c>
      <c r="DS35" s="182">
        <f t="shared" si="120"/>
        <v>101518.77347380307</v>
      </c>
      <c r="DT35" s="365">
        <f t="shared" si="68"/>
        <v>101518.77347380307</v>
      </c>
      <c r="DU35" s="365">
        <f t="shared" ref="DU35:DV35" si="121">SUM(DU30:DU34)</f>
        <v>100632.25939892387</v>
      </c>
      <c r="DV35" s="365">
        <f t="shared" si="121"/>
        <v>101386.34644258171</v>
      </c>
    </row>
    <row r="36" spans="1:126" s="3" customFormat="1">
      <c r="B36" s="41" t="s">
        <v>227</v>
      </c>
      <c r="C36" s="2"/>
      <c r="D36" s="2"/>
      <c r="E36" s="2"/>
      <c r="F36" s="2"/>
      <c r="G36" s="2"/>
      <c r="H36" s="2"/>
      <c r="I36" s="2"/>
      <c r="N36" s="2"/>
      <c r="S36" s="2"/>
      <c r="X36" s="2"/>
      <c r="AC36" s="2"/>
      <c r="AH36" s="2"/>
      <c r="AM36" s="2"/>
      <c r="AR36" s="2"/>
      <c r="AW36" s="2"/>
      <c r="BB36" s="2"/>
      <c r="BG36" s="2"/>
      <c r="BL36" s="2"/>
      <c r="BQ36" s="2"/>
      <c r="BV36" s="2"/>
      <c r="CA36" s="2"/>
      <c r="CB36" s="492"/>
      <c r="CC36" s="492"/>
      <c r="CD36" s="492"/>
      <c r="CE36" s="492"/>
      <c r="CF36" s="782"/>
      <c r="CG36" s="783"/>
      <c r="CH36" s="200">
        <f>Data!CH77</f>
        <v>435</v>
      </c>
      <c r="CI36" s="358">
        <f t="shared" ref="CI36:CL36" si="122">CH36</f>
        <v>435</v>
      </c>
      <c r="CJ36" s="200">
        <f>Data!CJ77</f>
        <v>95</v>
      </c>
      <c r="CK36" s="433">
        <f t="shared" si="94"/>
        <v>95</v>
      </c>
      <c r="CL36" s="358">
        <f t="shared" si="122"/>
        <v>95</v>
      </c>
      <c r="CM36" s="200">
        <f>Data!CM77</f>
        <v>35</v>
      </c>
      <c r="CN36" s="200">
        <f>Data!CN77</f>
        <v>30</v>
      </c>
      <c r="CO36" s="200">
        <f>Data!CO77</f>
        <v>32</v>
      </c>
      <c r="CP36" s="433">
        <f t="shared" si="95"/>
        <v>32</v>
      </c>
      <c r="CQ36" s="200">
        <f>Data!CQ77</f>
        <v>34</v>
      </c>
      <c r="CR36" s="200">
        <f>Data!CR77</f>
        <v>30</v>
      </c>
      <c r="CS36" s="200">
        <f>Data!CS77</f>
        <v>32</v>
      </c>
      <c r="CT36" s="200">
        <f>Data!CT77</f>
        <v>35</v>
      </c>
      <c r="CU36" s="433">
        <f t="shared" si="96"/>
        <v>35</v>
      </c>
      <c r="CV36" s="200">
        <f>Data!CV77</f>
        <v>36</v>
      </c>
      <c r="CW36" s="200">
        <f>Data!CW77</f>
        <v>38</v>
      </c>
      <c r="CX36" s="200">
        <f>Data!CX77</f>
        <v>33</v>
      </c>
      <c r="CY36" s="200">
        <f>Data!CY77</f>
        <v>36</v>
      </c>
      <c r="CZ36" s="433">
        <f t="shared" si="97"/>
        <v>36</v>
      </c>
      <c r="DA36" s="200">
        <f>Data!DA77</f>
        <v>38</v>
      </c>
      <c r="DB36" s="200">
        <f>Data!DB77</f>
        <v>31</v>
      </c>
      <c r="DC36" s="200">
        <f>Data!DC77</f>
        <v>33</v>
      </c>
      <c r="DD36" s="200">
        <f>Data!DD77</f>
        <v>35</v>
      </c>
      <c r="DE36" s="433">
        <f t="shared" si="98"/>
        <v>35</v>
      </c>
      <c r="DF36" s="200">
        <f>Data!DF77</f>
        <v>37</v>
      </c>
      <c r="DG36" s="200">
        <f>Data!DG77</f>
        <v>31</v>
      </c>
      <c r="DH36" s="200">
        <f>Data!DH77</f>
        <v>33</v>
      </c>
      <c r="DI36" s="200">
        <f>Data!DI77</f>
        <v>35</v>
      </c>
      <c r="DJ36" s="433">
        <f t="shared" si="99"/>
        <v>35</v>
      </c>
      <c r="DK36" s="200">
        <f>Data!DK77</f>
        <v>37</v>
      </c>
      <c r="DL36" s="200">
        <f>Data!DL77</f>
        <v>41</v>
      </c>
      <c r="DM36" s="200">
        <f>Data!DM77</f>
        <v>34</v>
      </c>
      <c r="DN36" s="358">
        <f t="shared" ref="DN36:DN38" si="123">DM36</f>
        <v>34</v>
      </c>
      <c r="DO36" s="433">
        <f t="shared" si="67"/>
        <v>34</v>
      </c>
      <c r="DP36" s="358">
        <f t="shared" ref="DP36:DQ38" si="124">DO36</f>
        <v>34</v>
      </c>
      <c r="DQ36" s="358">
        <f t="shared" si="124"/>
        <v>34</v>
      </c>
      <c r="DR36" s="358">
        <f t="shared" ref="DR36:DR38" si="125">DQ36</f>
        <v>34</v>
      </c>
      <c r="DS36" s="358">
        <f t="shared" ref="DS36:DS38" si="126">DR36</f>
        <v>34</v>
      </c>
      <c r="DT36" s="433">
        <f t="shared" si="68"/>
        <v>34</v>
      </c>
      <c r="DU36" s="362">
        <f t="shared" ref="DU36:DV38" si="127">DT36</f>
        <v>34</v>
      </c>
      <c r="DV36" s="362">
        <f t="shared" si="127"/>
        <v>34</v>
      </c>
    </row>
    <row r="37" spans="1:126" s="3" customFormat="1">
      <c r="B37" s="41" t="s">
        <v>58</v>
      </c>
      <c r="C37" s="2"/>
      <c r="D37" s="2"/>
      <c r="E37" s="2"/>
      <c r="F37" s="2"/>
      <c r="G37" s="2"/>
      <c r="H37" s="2"/>
      <c r="I37" s="2"/>
      <c r="N37" s="2"/>
      <c r="S37" s="2"/>
      <c r="X37" s="2"/>
      <c r="AC37" s="2"/>
      <c r="AH37" s="2"/>
      <c r="AM37" s="2"/>
      <c r="AR37" s="2"/>
      <c r="AW37" s="2"/>
      <c r="BB37" s="2"/>
      <c r="BG37" s="2"/>
      <c r="BL37" s="2"/>
      <c r="BQ37" s="2"/>
      <c r="BV37" s="2"/>
      <c r="CA37" s="2"/>
      <c r="CB37" s="492"/>
      <c r="CC37" s="492"/>
      <c r="CD37" s="492"/>
      <c r="CE37" s="492"/>
      <c r="CF37" s="782"/>
      <c r="CG37" s="783"/>
      <c r="CH37" s="200">
        <f>Data!CH78</f>
        <v>75501</v>
      </c>
      <c r="CI37" s="358">
        <f t="shared" ref="CI37" si="128">CH37</f>
        <v>75501</v>
      </c>
      <c r="CJ37" s="200">
        <f>Data!CJ78</f>
        <v>22955</v>
      </c>
      <c r="CK37" s="433">
        <f t="shared" ref="CK37" si="129">CJ37</f>
        <v>22955</v>
      </c>
      <c r="CL37" s="358">
        <f t="shared" ref="CL37" si="130">CK37</f>
        <v>22955</v>
      </c>
      <c r="CM37" s="200">
        <f>Data!CM78</f>
        <v>36679</v>
      </c>
      <c r="CN37" s="200">
        <f>Data!CN78</f>
        <v>36781</v>
      </c>
      <c r="CO37" s="200">
        <f>Data!CO78</f>
        <v>36881</v>
      </c>
      <c r="CP37" s="433">
        <f t="shared" ref="CP37" si="131">CO37</f>
        <v>36881</v>
      </c>
      <c r="CQ37" s="200">
        <f>Data!CQ78</f>
        <v>36951</v>
      </c>
      <c r="CR37" s="200">
        <f>Data!CR78</f>
        <v>37140</v>
      </c>
      <c r="CS37" s="200">
        <f>Data!CS78</f>
        <v>37302</v>
      </c>
      <c r="CT37" s="200">
        <f>Data!CT78</f>
        <v>37445</v>
      </c>
      <c r="CU37" s="433">
        <f t="shared" si="96"/>
        <v>37445</v>
      </c>
      <c r="CV37" s="200">
        <f>Data!CV78</f>
        <v>37468</v>
      </c>
      <c r="CW37" s="200">
        <f>Data!CW78</f>
        <v>37640</v>
      </c>
      <c r="CX37" s="200">
        <f>Data!CX78</f>
        <v>37798</v>
      </c>
      <c r="CY37" s="200">
        <f>Data!CY78</f>
        <v>37911</v>
      </c>
      <c r="CZ37" s="433">
        <f t="shared" si="97"/>
        <v>37911</v>
      </c>
      <c r="DA37" s="200">
        <f>Data!DA78</f>
        <v>38005</v>
      </c>
      <c r="DB37" s="200">
        <f>Data!DB78</f>
        <v>38206</v>
      </c>
      <c r="DC37" s="200">
        <f>Data!DC78</f>
        <v>38369</v>
      </c>
      <c r="DD37" s="200">
        <f>Data!DD78</f>
        <v>37040</v>
      </c>
      <c r="DE37" s="433">
        <f t="shared" si="98"/>
        <v>37040</v>
      </c>
      <c r="DF37" s="200">
        <f>Data!DF78</f>
        <v>37097</v>
      </c>
      <c r="DG37" s="200">
        <f>Data!DG78</f>
        <v>37295</v>
      </c>
      <c r="DH37" s="200">
        <f>Data!DH78</f>
        <v>37276</v>
      </c>
      <c r="DI37" s="200">
        <f>Data!DI78</f>
        <v>37434</v>
      </c>
      <c r="DJ37" s="433">
        <f t="shared" si="99"/>
        <v>37434</v>
      </c>
      <c r="DK37" s="200">
        <f>Data!DK78</f>
        <v>37515</v>
      </c>
      <c r="DL37" s="200">
        <f>Data!DL78</f>
        <v>37680</v>
      </c>
      <c r="DM37" s="200">
        <f>Data!DM78</f>
        <v>37869</v>
      </c>
      <c r="DN37" s="358">
        <f t="shared" si="123"/>
        <v>37869</v>
      </c>
      <c r="DO37" s="433">
        <f t="shared" si="67"/>
        <v>37869</v>
      </c>
      <c r="DP37" s="358">
        <f t="shared" si="124"/>
        <v>37869</v>
      </c>
      <c r="DQ37" s="358">
        <f t="shared" si="124"/>
        <v>37869</v>
      </c>
      <c r="DR37" s="358">
        <f t="shared" si="125"/>
        <v>37869</v>
      </c>
      <c r="DS37" s="358">
        <f t="shared" si="126"/>
        <v>37869</v>
      </c>
      <c r="DT37" s="433">
        <f t="shared" si="68"/>
        <v>37869</v>
      </c>
      <c r="DU37" s="362">
        <f t="shared" si="127"/>
        <v>37869</v>
      </c>
      <c r="DV37" s="362">
        <f t="shared" si="127"/>
        <v>37869</v>
      </c>
    </row>
    <row r="38" spans="1:126" s="32" customFormat="1">
      <c r="B38" s="41" t="s">
        <v>254</v>
      </c>
      <c r="C38" s="2"/>
      <c r="D38" s="2"/>
      <c r="E38" s="2"/>
      <c r="F38" s="2"/>
      <c r="G38" s="2"/>
      <c r="H38" s="2"/>
      <c r="I38" s="2"/>
      <c r="N38" s="34"/>
      <c r="S38" s="34"/>
      <c r="X38" s="34"/>
      <c r="AC38" s="34"/>
      <c r="AH38" s="34"/>
      <c r="AM38" s="34"/>
      <c r="AR38" s="34"/>
      <c r="AW38" s="34"/>
      <c r="BB38" s="34"/>
      <c r="BC38" s="3"/>
      <c r="BD38" s="3"/>
      <c r="BE38" s="3"/>
      <c r="BF38" s="3"/>
      <c r="BG38" s="34"/>
      <c r="BH38" s="3"/>
      <c r="BI38" s="3"/>
      <c r="BJ38" s="3"/>
      <c r="BK38" s="3"/>
      <c r="BL38" s="34"/>
      <c r="BM38" s="3"/>
      <c r="BN38" s="3"/>
      <c r="BO38" s="3"/>
      <c r="BP38" s="3"/>
      <c r="BQ38" s="34"/>
      <c r="BR38" s="3"/>
      <c r="BS38" s="3"/>
      <c r="BT38" s="3"/>
      <c r="BU38" s="3"/>
      <c r="BV38" s="34"/>
      <c r="BW38" s="3"/>
      <c r="BX38" s="3"/>
      <c r="BY38" s="3"/>
      <c r="BZ38" s="3"/>
      <c r="CA38" s="34"/>
      <c r="CB38" s="492"/>
      <c r="CC38" s="492"/>
      <c r="CD38" s="492"/>
      <c r="CE38" s="492"/>
      <c r="CF38" s="782"/>
      <c r="CG38" s="783"/>
      <c r="CH38" s="200">
        <f>Data!CH79</f>
        <v>-32549</v>
      </c>
      <c r="CI38" s="358">
        <f t="shared" ref="CI38" si="132">CH38</f>
        <v>-32549</v>
      </c>
      <c r="CJ38" s="200">
        <f>Data!CJ79</f>
        <v>-32626</v>
      </c>
      <c r="CK38" s="433">
        <f t="shared" ref="CK38" si="133">CJ38</f>
        <v>-32626</v>
      </c>
      <c r="CL38" s="358">
        <f t="shared" ref="CL38" si="134">CK38</f>
        <v>-32626</v>
      </c>
      <c r="CM38" s="200">
        <f>Data!CM79</f>
        <v>-10398</v>
      </c>
      <c r="CN38" s="200">
        <f>Data!CN79</f>
        <v>-10407</v>
      </c>
      <c r="CO38" s="200">
        <f>Data!CO79</f>
        <v>-10407</v>
      </c>
      <c r="CP38" s="433">
        <f t="shared" ref="CP38" si="135">CO38</f>
        <v>-10407</v>
      </c>
      <c r="CQ38" s="200">
        <f>Data!CQ79</f>
        <v>-10780</v>
      </c>
      <c r="CR38" s="200">
        <f>Data!CR79</f>
        <v>-11424</v>
      </c>
      <c r="CS38" s="200">
        <f>Data!CS79</f>
        <v>-12398</v>
      </c>
      <c r="CT38" s="200">
        <f>Data!CT79</f>
        <v>-12727</v>
      </c>
      <c r="CU38" s="433">
        <f t="shared" si="96"/>
        <v>-12727</v>
      </c>
      <c r="CV38" s="200">
        <f>Data!CV79</f>
        <v>-13483</v>
      </c>
      <c r="CW38" s="200">
        <f>Data!CW79</f>
        <v>-14539</v>
      </c>
      <c r="CX38" s="200">
        <f>Data!CX79</f>
        <v>-15141</v>
      </c>
      <c r="CY38" s="200">
        <f>Data!CY79</f>
        <v>-15530</v>
      </c>
      <c r="CZ38" s="433">
        <f t="shared" si="97"/>
        <v>-15530</v>
      </c>
      <c r="DA38" s="200">
        <f>Data!DA79</f>
        <v>-16112</v>
      </c>
      <c r="DB38" s="200">
        <f>Data!DB79</f>
        <v>-16713</v>
      </c>
      <c r="DC38" s="200">
        <f>Data!DC79</f>
        <v>-18170</v>
      </c>
      <c r="DD38" s="200">
        <f>Data!DD79</f>
        <v>-26977</v>
      </c>
      <c r="DE38" s="433">
        <f t="shared" si="98"/>
        <v>-26977</v>
      </c>
      <c r="DF38" s="200">
        <f>Data!DF79</f>
        <v>-27029</v>
      </c>
      <c r="DG38" s="200">
        <f>Data!DG79</f>
        <v>-27080</v>
      </c>
      <c r="DH38" s="200">
        <f>Data!DH79</f>
        <v>-27141</v>
      </c>
      <c r="DI38" s="200">
        <f>Data!DI79</f>
        <v>-27112</v>
      </c>
      <c r="DJ38" s="433">
        <f t="shared" si="99"/>
        <v>-27112</v>
      </c>
      <c r="DK38" s="200">
        <f>Data!DK79</f>
        <v>-27069</v>
      </c>
      <c r="DL38" s="200">
        <f>Data!DL79</f>
        <v>-26995</v>
      </c>
      <c r="DM38" s="200">
        <f>Data!DM79</f>
        <v>-26937</v>
      </c>
      <c r="DN38" s="358">
        <f t="shared" si="123"/>
        <v>-26937</v>
      </c>
      <c r="DO38" s="433">
        <f t="shared" si="67"/>
        <v>-26937</v>
      </c>
      <c r="DP38" s="358">
        <f t="shared" si="124"/>
        <v>-26937</v>
      </c>
      <c r="DQ38" s="358">
        <f t="shared" si="124"/>
        <v>-26937</v>
      </c>
      <c r="DR38" s="358">
        <f t="shared" si="125"/>
        <v>-26937</v>
      </c>
      <c r="DS38" s="358">
        <f t="shared" si="126"/>
        <v>-26937</v>
      </c>
      <c r="DT38" s="433">
        <f t="shared" si="68"/>
        <v>-26937</v>
      </c>
      <c r="DU38" s="362">
        <f t="shared" si="127"/>
        <v>-26937</v>
      </c>
      <c r="DV38" s="362">
        <f t="shared" si="127"/>
        <v>-26937</v>
      </c>
    </row>
    <row r="39" spans="1:126" s="32" customFormat="1">
      <c r="B39" s="41" t="s">
        <v>55</v>
      </c>
      <c r="C39" s="2"/>
      <c r="D39" s="2"/>
      <c r="E39" s="2"/>
      <c r="F39" s="2"/>
      <c r="G39" s="2"/>
      <c r="H39" s="2"/>
      <c r="I39" s="2"/>
      <c r="N39" s="34"/>
      <c r="S39" s="34"/>
      <c r="X39" s="34"/>
      <c r="AC39" s="34"/>
      <c r="AH39" s="34"/>
      <c r="AM39" s="34"/>
      <c r="AR39" s="34"/>
      <c r="AW39" s="34"/>
      <c r="BB39" s="34"/>
      <c r="BC39" s="200"/>
      <c r="BD39" s="200"/>
      <c r="BE39" s="200"/>
      <c r="BF39" s="200"/>
      <c r="BG39" s="34"/>
      <c r="BH39" s="200"/>
      <c r="BI39" s="200"/>
      <c r="BJ39" s="200"/>
      <c r="BK39" s="200"/>
      <c r="BL39" s="360"/>
      <c r="BM39" s="200"/>
      <c r="BN39" s="200"/>
      <c r="BO39" s="200"/>
      <c r="BP39" s="200"/>
      <c r="BQ39" s="360"/>
      <c r="BR39" s="200"/>
      <c r="BS39" s="200"/>
      <c r="BT39" s="200"/>
      <c r="BU39" s="200"/>
      <c r="BV39" s="360"/>
      <c r="BW39" s="200"/>
      <c r="BX39" s="200"/>
      <c r="BY39" s="200"/>
      <c r="BZ39" s="200"/>
      <c r="CA39" s="360"/>
      <c r="CB39" s="783"/>
      <c r="CC39" s="783"/>
      <c r="CD39" s="783"/>
      <c r="CE39" s="783"/>
      <c r="CF39" s="782"/>
      <c r="CG39" s="783"/>
      <c r="CH39" s="200">
        <f>Data!CH80</f>
        <v>54191</v>
      </c>
      <c r="CI39" s="357">
        <f>+CH39+IS!CI19+CFLO!CI34</f>
        <v>55457.197499999995</v>
      </c>
      <c r="CJ39" s="200">
        <f>Data!CJ80</f>
        <v>61594</v>
      </c>
      <c r="CK39" s="360">
        <f t="shared" ref="CK39:CK43" si="136">CJ39</f>
        <v>61594</v>
      </c>
      <c r="CL39" s="357">
        <f>+CK39+IS!CL19+CFLO!CL34</f>
        <v>62708.311111111114</v>
      </c>
      <c r="CM39" s="200">
        <f>Data!CM80</f>
        <v>49744</v>
      </c>
      <c r="CN39" s="200">
        <f>Data!CN80</f>
        <v>50017</v>
      </c>
      <c r="CO39" s="200">
        <f>Data!CO80</f>
        <v>49423</v>
      </c>
      <c r="CP39" s="360">
        <f t="shared" ref="CP39:CP43" si="137">CO39</f>
        <v>49423</v>
      </c>
      <c r="CQ39" s="200">
        <f>Data!CQ80</f>
        <v>49460</v>
      </c>
      <c r="CR39" s="200">
        <f>Data!CR80</f>
        <v>48954</v>
      </c>
      <c r="CS39" s="200">
        <f>Data!CS80</f>
        <v>50343</v>
      </c>
      <c r="CT39" s="200">
        <f>Data!CT80</f>
        <v>50265</v>
      </c>
      <c r="CU39" s="360">
        <f t="shared" si="96"/>
        <v>50265</v>
      </c>
      <c r="CV39" s="200">
        <f>Data!CV80</f>
        <v>50592</v>
      </c>
      <c r="CW39" s="200">
        <f>Data!CW80</f>
        <v>50271</v>
      </c>
      <c r="CX39" s="200">
        <f>Data!CX80</f>
        <v>51652</v>
      </c>
      <c r="CY39" s="200">
        <f>Data!CY80</f>
        <v>52269</v>
      </c>
      <c r="CZ39" s="360">
        <f t="shared" si="97"/>
        <v>52269</v>
      </c>
      <c r="DA39" s="200">
        <f>Data!DA80</f>
        <v>52891</v>
      </c>
      <c r="DB39" s="200">
        <f>Data!DB80</f>
        <v>52489</v>
      </c>
      <c r="DC39" s="200">
        <f>Data!DC80</f>
        <v>51513</v>
      </c>
      <c r="DD39" s="200">
        <f>Data!DD80</f>
        <v>52154</v>
      </c>
      <c r="DE39" s="360">
        <f t="shared" si="98"/>
        <v>52154</v>
      </c>
      <c r="DF39" s="200">
        <f>Data!DF80</f>
        <v>53052</v>
      </c>
      <c r="DG39" s="200">
        <f>Data!DG80</f>
        <v>51488</v>
      </c>
      <c r="DH39" s="200">
        <f>Data!DH80</f>
        <v>52948</v>
      </c>
      <c r="DI39" s="200">
        <f>Data!DI80</f>
        <v>53589</v>
      </c>
      <c r="DJ39" s="360">
        <f t="shared" si="99"/>
        <v>53589</v>
      </c>
      <c r="DK39" s="200">
        <f>Data!DK80</f>
        <v>54277</v>
      </c>
      <c r="DL39" s="200">
        <f>Data!DL80</f>
        <v>54104</v>
      </c>
      <c r="DM39" s="200">
        <f>Data!DM80</f>
        <v>56014</v>
      </c>
      <c r="DN39" s="357">
        <f>+DM39+IS!DN19+CFLO!DN34</f>
        <v>56689.962687799998</v>
      </c>
      <c r="DO39" s="433">
        <f t="shared" si="67"/>
        <v>56689.962687799998</v>
      </c>
      <c r="DP39" s="357">
        <f>+DO39+IS!DP19+CFLO!DP34</f>
        <v>57390.239321050001</v>
      </c>
      <c r="DQ39" s="357">
        <f>+DP39+IS!DQ19+CFLO!DQ34</f>
        <v>58163.224800340002</v>
      </c>
      <c r="DR39" s="357">
        <f>+DQ39+IS!DR19+CFLO!DR34</f>
        <v>59149.555221760005</v>
      </c>
      <c r="DS39" s="357">
        <f>+DR39+IS!DS19+CFLO!DS34</f>
        <v>60159.476826744169</v>
      </c>
      <c r="DT39" s="433">
        <f t="shared" si="68"/>
        <v>60159.476826744169</v>
      </c>
      <c r="DU39" s="361">
        <f>+DT39+IS!DU19+CFLO!DU34</f>
        <v>64016.382147226897</v>
      </c>
      <c r="DV39" s="361">
        <f>+DU39+IS!DV19+CFLO!DV34</f>
        <v>68282.70017410061</v>
      </c>
    </row>
    <row r="40" spans="1:126" s="32" customFormat="1">
      <c r="B40" s="41" t="s">
        <v>202</v>
      </c>
      <c r="C40" s="2"/>
      <c r="D40" s="2"/>
      <c r="E40" s="2"/>
      <c r="F40" s="2"/>
      <c r="G40" s="2"/>
      <c r="H40" s="2"/>
      <c r="I40" s="2"/>
      <c r="N40" s="34"/>
      <c r="S40" s="34"/>
      <c r="X40" s="34"/>
      <c r="AC40" s="34"/>
      <c r="AH40" s="34"/>
      <c r="AM40" s="34"/>
      <c r="AR40" s="34"/>
      <c r="AW40" s="34"/>
      <c r="BA40" s="3"/>
      <c r="BB40" s="34"/>
      <c r="BC40" s="3"/>
      <c r="BD40" s="3"/>
      <c r="BE40" s="3"/>
      <c r="BF40" s="3"/>
      <c r="BG40" s="34"/>
      <c r="BH40" s="3"/>
      <c r="BI40" s="3"/>
      <c r="BJ40" s="3"/>
      <c r="BK40" s="3"/>
      <c r="BL40" s="34"/>
      <c r="BM40" s="3"/>
      <c r="BN40" s="3"/>
      <c r="BO40" s="3"/>
      <c r="BP40" s="3"/>
      <c r="BQ40" s="34"/>
      <c r="BR40" s="3"/>
      <c r="BS40" s="3"/>
      <c r="BT40" s="3"/>
      <c r="BU40" s="3"/>
      <c r="BV40" s="34"/>
      <c r="BW40" s="3"/>
      <c r="BX40" s="3"/>
      <c r="BY40" s="3"/>
      <c r="BZ40" s="3"/>
      <c r="CA40" s="34"/>
      <c r="CB40" s="492"/>
      <c r="CC40" s="492"/>
      <c r="CD40" s="492"/>
      <c r="CE40" s="492"/>
      <c r="CF40" s="782"/>
      <c r="CG40" s="783"/>
      <c r="CH40" s="200">
        <f>Data!CH81</f>
        <v>-71</v>
      </c>
      <c r="CI40" s="357">
        <f>CH40+CFLO!CI35</f>
        <v>-71</v>
      </c>
      <c r="CJ40" s="200">
        <f>Data!CJ81</f>
        <v>0</v>
      </c>
      <c r="CK40" s="360">
        <f t="shared" si="136"/>
        <v>0</v>
      </c>
      <c r="CL40" s="357">
        <f>CK40+CFLO!CL35</f>
        <v>-47</v>
      </c>
      <c r="CM40" s="200">
        <f>Data!CM81</f>
        <v>0</v>
      </c>
      <c r="CN40" s="200">
        <f>Data!CN81</f>
        <v>0</v>
      </c>
      <c r="CO40" s="200">
        <f>Data!CO81</f>
        <v>0</v>
      </c>
      <c r="CP40" s="360">
        <f t="shared" si="137"/>
        <v>0</v>
      </c>
      <c r="CQ40" s="200">
        <f>Data!CQ81</f>
        <v>0</v>
      </c>
      <c r="CR40" s="200">
        <f>Data!CR81</f>
        <v>0</v>
      </c>
      <c r="CS40" s="200">
        <f>Data!CS81</f>
        <v>0</v>
      </c>
      <c r="CT40" s="200">
        <f>Data!CT81</f>
        <v>0</v>
      </c>
      <c r="CU40" s="360">
        <f t="shared" si="96"/>
        <v>0</v>
      </c>
      <c r="CV40" s="200">
        <f>Data!CV81</f>
        <v>0</v>
      </c>
      <c r="CW40" s="200">
        <f>Data!CW81</f>
        <v>0</v>
      </c>
      <c r="CX40" s="200">
        <f>Data!CX81</f>
        <v>0</v>
      </c>
      <c r="CY40" s="200">
        <f>Data!CY81</f>
        <v>0</v>
      </c>
      <c r="CZ40" s="360">
        <f t="shared" si="97"/>
        <v>0</v>
      </c>
      <c r="DA40" s="200">
        <f>Data!DA81</f>
        <v>0</v>
      </c>
      <c r="DB40" s="200">
        <f>Data!DB81</f>
        <v>0</v>
      </c>
      <c r="DC40" s="200">
        <f>Data!DC81</f>
        <v>0</v>
      </c>
      <c r="DD40" s="200">
        <f>Data!DD81</f>
        <v>0</v>
      </c>
      <c r="DE40" s="360">
        <f t="shared" si="98"/>
        <v>0</v>
      </c>
      <c r="DF40" s="200">
        <f>Data!DF81</f>
        <v>0</v>
      </c>
      <c r="DG40" s="200">
        <f>Data!DG81</f>
        <v>0</v>
      </c>
      <c r="DH40" s="200">
        <f>Data!DH81</f>
        <v>0</v>
      </c>
      <c r="DI40" s="200">
        <f>Data!DI81</f>
        <v>0</v>
      </c>
      <c r="DJ40" s="360">
        <f t="shared" si="99"/>
        <v>0</v>
      </c>
      <c r="DK40" s="200">
        <f>Data!DK81</f>
        <v>0</v>
      </c>
      <c r="DL40" s="200">
        <f>Data!DL81</f>
        <v>0</v>
      </c>
      <c r="DM40" s="200">
        <f>Data!DM81</f>
        <v>0</v>
      </c>
      <c r="DN40" s="357">
        <f>DM40+CFLO!DN35</f>
        <v>0</v>
      </c>
      <c r="DO40" s="433">
        <f t="shared" si="67"/>
        <v>0</v>
      </c>
      <c r="DP40" s="357">
        <f>DO40+CFLO!DP35</f>
        <v>-500</v>
      </c>
      <c r="DQ40" s="357">
        <f>DP40+CFLO!DQ35</f>
        <v>-1000</v>
      </c>
      <c r="DR40" s="357">
        <f>DQ40+CFLO!DR35</f>
        <v>-2000</v>
      </c>
      <c r="DS40" s="357">
        <f>DR40+CFLO!DS35</f>
        <v>-3000</v>
      </c>
      <c r="DT40" s="433">
        <f t="shared" si="68"/>
        <v>-3000</v>
      </c>
      <c r="DU40" s="361">
        <f>DT40+CFLO!DU35</f>
        <v>-7000</v>
      </c>
      <c r="DV40" s="361">
        <f>DU40+CFLO!DV35</f>
        <v>-11500</v>
      </c>
    </row>
    <row r="41" spans="1:126" s="88" customFormat="1">
      <c r="B41" s="41" t="s">
        <v>492</v>
      </c>
      <c r="C41" s="87"/>
      <c r="D41" s="87"/>
      <c r="E41" s="87"/>
      <c r="F41" s="87"/>
      <c r="G41" s="87"/>
      <c r="H41" s="87"/>
      <c r="I41" s="87"/>
      <c r="N41" s="87"/>
      <c r="S41" s="87"/>
      <c r="X41" s="87"/>
      <c r="AC41" s="87"/>
      <c r="AH41" s="87"/>
      <c r="AM41" s="87"/>
      <c r="AR41" s="87"/>
      <c r="AW41" s="87"/>
      <c r="BB41" s="87"/>
      <c r="BG41" s="87"/>
      <c r="BL41" s="87"/>
      <c r="BQ41" s="87"/>
      <c r="BV41" s="87"/>
      <c r="CA41" s="87"/>
      <c r="CB41" s="784"/>
      <c r="CC41" s="784"/>
      <c r="CD41" s="784"/>
      <c r="CE41" s="784"/>
      <c r="CF41" s="785"/>
      <c r="CG41" s="786"/>
      <c r="CH41" s="400">
        <f>Data!CH82</f>
        <v>-6630</v>
      </c>
      <c r="CI41" s="714">
        <f>CI20-SUM(CI30:CI34)-SUM(CI36:CI40)-CI43</f>
        <v>-6770.3438827838836</v>
      </c>
      <c r="CJ41" s="400">
        <f>Data!CJ82</f>
        <v>-10149</v>
      </c>
      <c r="CK41" s="363">
        <f t="shared" si="136"/>
        <v>-10149</v>
      </c>
      <c r="CL41" s="714">
        <f>CL20-SUM(CL30:CL34)-SUM(CL36:CL40)-CL43</f>
        <v>29342.484108980796</v>
      </c>
      <c r="CM41" s="400">
        <f>Data!CM82</f>
        <v>-8800</v>
      </c>
      <c r="CN41" s="400">
        <f>Data!CN82</f>
        <v>-8012</v>
      </c>
      <c r="CO41" s="400">
        <f>Data!CO82</f>
        <v>-3734</v>
      </c>
      <c r="CP41" s="363">
        <f t="shared" si="137"/>
        <v>-3734</v>
      </c>
      <c r="CQ41" s="400">
        <f>Data!CQ82</f>
        <v>-3921</v>
      </c>
      <c r="CR41" s="400">
        <f>Data!CR82</f>
        <v>-3555</v>
      </c>
      <c r="CS41" s="400">
        <f>Data!CS82</f>
        <v>-3939</v>
      </c>
      <c r="CT41" s="400">
        <f>Data!CT82</f>
        <v>-1915</v>
      </c>
      <c r="CU41" s="363">
        <f t="shared" si="96"/>
        <v>-1915</v>
      </c>
      <c r="CV41" s="400">
        <f>Data!CV82</f>
        <v>-2115</v>
      </c>
      <c r="CW41" s="400">
        <f>Data!CW82</f>
        <v>-2931</v>
      </c>
      <c r="CX41" s="400">
        <f>Data!CX82</f>
        <v>-4122</v>
      </c>
      <c r="CY41" s="400">
        <f>Data!CY82</f>
        <v>-2018</v>
      </c>
      <c r="CZ41" s="363">
        <f t="shared" si="97"/>
        <v>-2018</v>
      </c>
      <c r="DA41" s="400">
        <f>Data!DA82</f>
        <v>-1989</v>
      </c>
      <c r="DB41" s="400">
        <f>Data!DB82</f>
        <v>-1502</v>
      </c>
      <c r="DC41" s="400">
        <f>Data!DC82</f>
        <v>-2116</v>
      </c>
      <c r="DD41" s="400">
        <f>Data!DD82</f>
        <v>-2419</v>
      </c>
      <c r="DE41" s="363">
        <f t="shared" si="98"/>
        <v>-2419</v>
      </c>
      <c r="DF41" s="400">
        <f>Data!DF82</f>
        <v>-2635</v>
      </c>
      <c r="DG41" s="400">
        <f>Data!DG82</f>
        <v>-2718</v>
      </c>
      <c r="DH41" s="400">
        <f>Data!DH82</f>
        <v>-1969</v>
      </c>
      <c r="DI41" s="400">
        <f>Data!DI82</f>
        <v>-3755</v>
      </c>
      <c r="DJ41" s="363">
        <f t="shared" si="99"/>
        <v>-3755</v>
      </c>
      <c r="DK41" s="400">
        <f>Data!DK82</f>
        <v>-3207</v>
      </c>
      <c r="DL41" s="400">
        <f>Data!DL82</f>
        <v>-2391</v>
      </c>
      <c r="DM41" s="400">
        <f>Data!DM82</f>
        <v>-2432</v>
      </c>
      <c r="DN41" s="714">
        <f t="shared" ref="DN41" si="138">DN20-SUM(DN30:DN34)-SUM(DN36:DN40)-DN43</f>
        <v>-26.035459619102767</v>
      </c>
      <c r="DO41" s="363">
        <f t="shared" si="67"/>
        <v>-26.035459619102767</v>
      </c>
      <c r="DP41" s="714">
        <f t="shared" ref="DP41" si="139">DP20-SUM(DP30:DP34)-SUM(DP36:DP40)-DP43</f>
        <v>-2325.5547180827416</v>
      </c>
      <c r="DQ41" s="714">
        <f t="shared" ref="DQ41:DS41" si="140">DQ20-SUM(DQ30:DQ34)-SUM(DQ36:DQ40)-DQ43</f>
        <v>-1396.9381738696102</v>
      </c>
      <c r="DR41" s="714">
        <f t="shared" si="140"/>
        <v>346.18575687937846</v>
      </c>
      <c r="DS41" s="714">
        <f t="shared" si="140"/>
        <v>2938.4107446189009</v>
      </c>
      <c r="DT41" s="363">
        <f t="shared" si="68"/>
        <v>2938.4107446189009</v>
      </c>
      <c r="DU41" s="715">
        <f t="shared" ref="DU41:DV41" si="141">DU20-SUM(DU30:DU34)-SUM(DU36:DU40)-DU43</f>
        <v>1284.1094792742806</v>
      </c>
      <c r="DV41" s="715">
        <f t="shared" si="141"/>
        <v>4070.2420791844488</v>
      </c>
    </row>
    <row r="42" spans="1:126" s="37" customFormat="1">
      <c r="B42" s="39" t="str">
        <f>+Data!B83</f>
        <v>Total shareholders' equity</v>
      </c>
      <c r="C42" s="101"/>
      <c r="D42" s="101"/>
      <c r="E42" s="101"/>
      <c r="F42" s="101"/>
      <c r="G42" s="101"/>
      <c r="H42" s="101"/>
      <c r="I42" s="101"/>
      <c r="N42" s="101"/>
      <c r="S42" s="101"/>
      <c r="X42" s="101"/>
      <c r="AC42" s="101"/>
      <c r="AH42" s="101"/>
      <c r="AM42" s="101"/>
      <c r="AR42" s="101"/>
      <c r="AW42" s="101"/>
      <c r="BB42" s="101"/>
      <c r="BG42" s="101"/>
      <c r="BL42" s="101"/>
      <c r="BQ42" s="101"/>
      <c r="BV42" s="101"/>
      <c r="CA42" s="101"/>
      <c r="CB42" s="779">
        <f>+CB20-CB35</f>
        <v>26550.5</v>
      </c>
      <c r="CC42" s="779">
        <f t="shared" ref="CC42:CG42" si="142">+CC20-CC35</f>
        <v>27345</v>
      </c>
      <c r="CD42" s="779">
        <f t="shared" si="142"/>
        <v>28497.5</v>
      </c>
      <c r="CE42" s="779">
        <f t="shared" si="142"/>
        <v>31831.5</v>
      </c>
      <c r="CF42" s="780">
        <f t="shared" si="142"/>
        <v>31831.5</v>
      </c>
      <c r="CG42" s="781">
        <f t="shared" si="142"/>
        <v>32735.5</v>
      </c>
      <c r="CH42" s="435">
        <f>SUM(CH36:CH41)</f>
        <v>90877</v>
      </c>
      <c r="CI42" s="182">
        <f>SUM(CI36:CI41)</f>
        <v>92002.853617216111</v>
      </c>
      <c r="CJ42" s="435">
        <f>SUM(CJ36:CJ41)</f>
        <v>41869</v>
      </c>
      <c r="CK42" s="365">
        <f t="shared" si="136"/>
        <v>41869</v>
      </c>
      <c r="CL42" s="182">
        <f t="shared" ref="CL42:CM42" si="143">SUM(CL36:CL41)</f>
        <v>82427.79522009191</v>
      </c>
      <c r="CM42" s="182">
        <f t="shared" si="143"/>
        <v>67260</v>
      </c>
      <c r="CN42" s="182">
        <f t="shared" ref="CN42:CO42" si="144">SUM(CN36:CN41)</f>
        <v>68409</v>
      </c>
      <c r="CO42" s="182">
        <f t="shared" si="144"/>
        <v>72195</v>
      </c>
      <c r="CP42" s="365">
        <f t="shared" si="137"/>
        <v>72195</v>
      </c>
      <c r="CQ42" s="182">
        <f t="shared" ref="CQ42:CR42" si="145">SUM(CQ36:CQ41)</f>
        <v>71744</v>
      </c>
      <c r="CR42" s="182">
        <f t="shared" si="145"/>
        <v>71145</v>
      </c>
      <c r="CS42" s="182">
        <f t="shared" ref="CS42:CT42" si="146">SUM(CS36:CS41)</f>
        <v>71340</v>
      </c>
      <c r="CT42" s="182">
        <f t="shared" si="146"/>
        <v>73103</v>
      </c>
      <c r="CU42" s="365">
        <f t="shared" si="96"/>
        <v>73103</v>
      </c>
      <c r="CV42" s="182">
        <f t="shared" ref="CV42:CW42" si="147">SUM(CV36:CV41)</f>
        <v>72498</v>
      </c>
      <c r="CW42" s="182">
        <f t="shared" si="147"/>
        <v>70479</v>
      </c>
      <c r="CX42" s="182">
        <f t="shared" ref="CX42:CY42" si="148">SUM(CX36:CX41)</f>
        <v>70220</v>
      </c>
      <c r="CY42" s="182">
        <f t="shared" si="148"/>
        <v>72668</v>
      </c>
      <c r="CZ42" s="365">
        <f t="shared" si="97"/>
        <v>72668</v>
      </c>
      <c r="DA42" s="182">
        <f t="shared" ref="DA42:DD42" si="149">SUM(DA36:DA41)</f>
        <v>72833</v>
      </c>
      <c r="DB42" s="182">
        <f t="shared" si="149"/>
        <v>72511</v>
      </c>
      <c r="DC42" s="182">
        <f t="shared" si="149"/>
        <v>69629</v>
      </c>
      <c r="DD42" s="182">
        <f t="shared" si="149"/>
        <v>59833</v>
      </c>
      <c r="DE42" s="365">
        <f t="shared" si="98"/>
        <v>59833</v>
      </c>
      <c r="DF42" s="182">
        <f t="shared" ref="DF42" si="150">SUM(DF36:DF41)</f>
        <v>60522</v>
      </c>
      <c r="DG42" s="182">
        <f>+SUM(DG36:DG41)</f>
        <v>59016</v>
      </c>
      <c r="DH42" s="182">
        <f t="shared" ref="DH42" si="151">SUM(DH36:DH41)</f>
        <v>61147</v>
      </c>
      <c r="DI42" s="182">
        <f t="shared" ref="DI42" si="152">SUM(DI36:DI41)</f>
        <v>60191</v>
      </c>
      <c r="DJ42" s="365">
        <f t="shared" si="99"/>
        <v>60191</v>
      </c>
      <c r="DK42" s="182">
        <f t="shared" ref="DK42" si="153">SUM(DK36:DK41)</f>
        <v>61553</v>
      </c>
      <c r="DL42" s="182">
        <f>+SUM(DL36:DL41)</f>
        <v>62439</v>
      </c>
      <c r="DM42" s="182">
        <f t="shared" ref="DM42" si="154">SUM(DM36:DM41)</f>
        <v>64548</v>
      </c>
      <c r="DN42" s="182">
        <f t="shared" ref="DN42" si="155">SUM(DN36:DN41)</f>
        <v>67629.927228180895</v>
      </c>
      <c r="DO42" s="365">
        <f t="shared" si="67"/>
        <v>67629.927228180895</v>
      </c>
      <c r="DP42" s="182">
        <f t="shared" ref="DP42" si="156">SUM(DP36:DP41)</f>
        <v>65530.68460296726</v>
      </c>
      <c r="DQ42" s="182">
        <f t="shared" ref="DQ42:DS42" si="157">SUM(DQ36:DQ41)</f>
        <v>66732.286626470392</v>
      </c>
      <c r="DR42" s="182">
        <f t="shared" si="157"/>
        <v>68461.740978639384</v>
      </c>
      <c r="DS42" s="182">
        <f t="shared" si="157"/>
        <v>71063.88757136307</v>
      </c>
      <c r="DT42" s="365">
        <f t="shared" si="68"/>
        <v>71063.88757136307</v>
      </c>
      <c r="DU42" s="365">
        <f t="shared" ref="DU42:DV42" si="158">SUM(DU36:DU41)</f>
        <v>69266.491626501171</v>
      </c>
      <c r="DV42" s="365">
        <f t="shared" si="158"/>
        <v>71818.942253285059</v>
      </c>
    </row>
    <row r="43" spans="1:126" s="3" customFormat="1">
      <c r="B43" s="41" t="str">
        <f>+Data!B84</f>
        <v>Noncontrolling interest</v>
      </c>
      <c r="C43" s="2"/>
      <c r="D43" s="2"/>
      <c r="E43" s="2"/>
      <c r="F43" s="2"/>
      <c r="G43" s="2"/>
      <c r="H43" s="2"/>
      <c r="I43" s="2"/>
      <c r="N43" s="2"/>
      <c r="S43" s="2"/>
      <c r="X43" s="2"/>
      <c r="AC43" s="2"/>
      <c r="AH43" s="2"/>
      <c r="AM43" s="2"/>
      <c r="AR43" s="2"/>
      <c r="AW43" s="2"/>
      <c r="BB43" s="2"/>
      <c r="BG43" s="2"/>
      <c r="BL43" s="2"/>
      <c r="BQ43" s="2"/>
      <c r="BV43" s="2"/>
      <c r="CA43" s="2"/>
      <c r="CB43" s="492"/>
      <c r="CC43" s="492"/>
      <c r="CD43" s="492"/>
      <c r="CE43" s="492"/>
      <c r="CF43" s="782"/>
      <c r="CG43" s="783"/>
      <c r="CH43" s="200">
        <f>+Data!CH84</f>
        <v>1349</v>
      </c>
      <c r="CI43" s="358">
        <f t="shared" ref="CI43:CL43" si="159">CH43</f>
        <v>1349</v>
      </c>
      <c r="CJ43" s="200">
        <f>+Data!CJ84</f>
        <v>2457</v>
      </c>
      <c r="CK43" s="433">
        <f t="shared" si="136"/>
        <v>2457</v>
      </c>
      <c r="CL43" s="358">
        <f t="shared" si="159"/>
        <v>2457</v>
      </c>
      <c r="CM43" s="200">
        <f>Data!CM84</f>
        <v>1667</v>
      </c>
      <c r="CN43" s="200">
        <f>Data!CN84</f>
        <v>1701</v>
      </c>
      <c r="CO43" s="200">
        <f>Data!CO84</f>
        <v>1689</v>
      </c>
      <c r="CP43" s="433">
        <f t="shared" si="137"/>
        <v>1689</v>
      </c>
      <c r="CQ43" s="200">
        <f>Data!CQ84</f>
        <v>1598</v>
      </c>
      <c r="CR43" s="200">
        <f>Data!CR84</f>
        <v>1606</v>
      </c>
      <c r="CS43" s="200">
        <f>Data!CS84</f>
        <v>1629</v>
      </c>
      <c r="CT43" s="200">
        <f>Data!CT84</f>
        <v>1596</v>
      </c>
      <c r="CU43" s="433">
        <f t="shared" si="96"/>
        <v>1596</v>
      </c>
      <c r="CV43" s="200">
        <f>Data!CV84</f>
        <v>1524</v>
      </c>
      <c r="CW43" s="200">
        <f>Data!CW84</f>
        <v>1549</v>
      </c>
      <c r="CX43" s="200">
        <f>Data!CX84</f>
        <v>1548</v>
      </c>
      <c r="CY43" s="200">
        <f>Data!CY84</f>
        <v>1546</v>
      </c>
      <c r="CZ43" s="433">
        <f t="shared" si="97"/>
        <v>1546</v>
      </c>
      <c r="DA43" s="200">
        <f>Data!DA84</f>
        <v>1552</v>
      </c>
      <c r="DB43" s="200">
        <f>Data!DB84</f>
        <v>1576</v>
      </c>
      <c r="DC43" s="200">
        <f>Data!DC84</f>
        <v>1617</v>
      </c>
      <c r="DD43" s="200">
        <f>Data!DD84</f>
        <v>1612</v>
      </c>
      <c r="DE43" s="433">
        <f t="shared" si="98"/>
        <v>1612</v>
      </c>
      <c r="DF43" s="200">
        <f>Data!DF84</f>
        <v>1615</v>
      </c>
      <c r="DG43" s="200">
        <f>Data!DG84</f>
        <v>1665</v>
      </c>
      <c r="DH43" s="200">
        <f>Data!DH84</f>
        <v>1712</v>
      </c>
      <c r="DI43" s="200">
        <f>Data!DI84</f>
        <v>1767</v>
      </c>
      <c r="DJ43" s="433">
        <f t="shared" si="99"/>
        <v>1767</v>
      </c>
      <c r="DK43" s="200">
        <f>Data!DK84</f>
        <v>1791</v>
      </c>
      <c r="DL43" s="200">
        <f>Data!DL84</f>
        <v>1808</v>
      </c>
      <c r="DM43" s="200">
        <f>Data!DM84</f>
        <v>1845</v>
      </c>
      <c r="DN43" s="358">
        <f t="shared" ref="DN43" si="160">DM43</f>
        <v>1845</v>
      </c>
      <c r="DO43" s="433">
        <f t="shared" si="67"/>
        <v>1845</v>
      </c>
      <c r="DP43" s="358">
        <f t="shared" ref="DP43:DQ43" si="161">DO43</f>
        <v>1845</v>
      </c>
      <c r="DQ43" s="358">
        <f t="shared" si="161"/>
        <v>1845</v>
      </c>
      <c r="DR43" s="358">
        <f t="shared" ref="DR43" si="162">DQ43</f>
        <v>1845</v>
      </c>
      <c r="DS43" s="358">
        <f t="shared" ref="DS43" si="163">DR43</f>
        <v>1845</v>
      </c>
      <c r="DT43" s="433">
        <f t="shared" si="68"/>
        <v>1845</v>
      </c>
      <c r="DU43" s="362">
        <f t="shared" ref="DU43:DV43" si="164">DT43</f>
        <v>1845</v>
      </c>
      <c r="DV43" s="362">
        <f t="shared" si="164"/>
        <v>1845</v>
      </c>
    </row>
    <row r="44" spans="1:126" s="32" customFormat="1">
      <c r="B44" s="48" t="s">
        <v>59</v>
      </c>
      <c r="C44" s="104"/>
      <c r="D44" s="104"/>
      <c r="E44" s="104"/>
      <c r="F44" s="104"/>
      <c r="G44" s="104"/>
      <c r="H44" s="104"/>
      <c r="I44" s="104"/>
      <c r="J44" s="47"/>
      <c r="K44" s="47"/>
      <c r="L44" s="47"/>
      <c r="M44" s="47"/>
      <c r="N44" s="104"/>
      <c r="O44" s="47"/>
      <c r="P44" s="47"/>
      <c r="Q44" s="47"/>
      <c r="R44" s="47"/>
      <c r="S44" s="104"/>
      <c r="T44" s="47"/>
      <c r="U44" s="47"/>
      <c r="V44" s="47"/>
      <c r="W44" s="47"/>
      <c r="X44" s="104"/>
      <c r="Y44" s="47"/>
      <c r="Z44" s="47"/>
      <c r="AA44" s="47"/>
      <c r="AB44" s="47"/>
      <c r="AC44" s="104"/>
      <c r="AD44" s="47"/>
      <c r="AE44" s="47"/>
      <c r="AF44" s="47"/>
      <c r="AG44" s="47"/>
      <c r="AH44" s="104"/>
      <c r="AI44" s="47"/>
      <c r="AJ44" s="47"/>
      <c r="AK44" s="47"/>
      <c r="AL44" s="47"/>
      <c r="AM44" s="104"/>
      <c r="AN44" s="47"/>
      <c r="AO44" s="47"/>
      <c r="AP44" s="47"/>
      <c r="AQ44" s="47"/>
      <c r="AR44" s="104"/>
      <c r="AS44" s="47"/>
      <c r="AT44" s="47"/>
      <c r="AU44" s="47"/>
      <c r="AV44" s="47"/>
      <c r="AW44" s="104"/>
      <c r="AX44" s="47"/>
      <c r="AY44" s="47"/>
      <c r="AZ44" s="47"/>
      <c r="BA44" s="47"/>
      <c r="BB44" s="104"/>
      <c r="BC44" s="47"/>
      <c r="BD44" s="47"/>
      <c r="BE44" s="47"/>
      <c r="BF44" s="47"/>
      <c r="BG44" s="104"/>
      <c r="BH44" s="47"/>
      <c r="BI44" s="47"/>
      <c r="BJ44" s="47"/>
      <c r="BK44" s="47"/>
      <c r="BL44" s="104"/>
      <c r="BM44" s="47"/>
      <c r="BN44" s="47"/>
      <c r="BO44" s="47"/>
      <c r="BP44" s="47"/>
      <c r="BQ44" s="104"/>
      <c r="BR44" s="47"/>
      <c r="BS44" s="47"/>
      <c r="BT44" s="47"/>
      <c r="BU44" s="47"/>
      <c r="BV44" s="104"/>
      <c r="BW44" s="47"/>
      <c r="BX44" s="47"/>
      <c r="BY44" s="47"/>
      <c r="BZ44" s="47"/>
      <c r="CA44" s="104"/>
      <c r="CB44" s="723">
        <f>CB35+CB42</f>
        <v>79886.5</v>
      </c>
      <c r="CC44" s="723">
        <f t="shared" ref="CC44:CG44" si="165">CC35+CC42</f>
        <v>81522.5</v>
      </c>
      <c r="CD44" s="723">
        <f t="shared" si="165"/>
        <v>87603.5</v>
      </c>
      <c r="CE44" s="723">
        <f t="shared" si="165"/>
        <v>98969.5</v>
      </c>
      <c r="CF44" s="722">
        <f t="shared" si="165"/>
        <v>98969.5</v>
      </c>
      <c r="CG44" s="723">
        <f t="shared" si="165"/>
        <v>100266</v>
      </c>
      <c r="CH44" s="47">
        <f t="shared" ref="CH44:CQ44" si="166">+CH35+CH42+CH43</f>
        <v>184678</v>
      </c>
      <c r="CI44" s="47">
        <f t="shared" si="166"/>
        <v>185269.51295787544</v>
      </c>
      <c r="CJ44" s="47">
        <f t="shared" ref="CJ44" si="167">+CJ35+CJ42+CJ43</f>
        <v>139615</v>
      </c>
      <c r="CK44" s="104">
        <f t="shared" si="166"/>
        <v>139615</v>
      </c>
      <c r="CL44" s="47">
        <f t="shared" si="166"/>
        <v>153968.86791850461</v>
      </c>
      <c r="CM44" s="47">
        <f t="shared" si="166"/>
        <v>161517</v>
      </c>
      <c r="CN44" s="47">
        <f t="shared" ref="CN44:CO44" si="168">+CN35+CN42+CN43</f>
        <v>162399</v>
      </c>
      <c r="CO44" s="47">
        <f t="shared" si="168"/>
        <v>162153</v>
      </c>
      <c r="CP44" s="104">
        <f t="shared" si="166"/>
        <v>162153</v>
      </c>
      <c r="CQ44" s="47">
        <f t="shared" si="166"/>
        <v>160608</v>
      </c>
      <c r="CR44" s="47">
        <f t="shared" ref="CR44:CS44" si="169">+CR35+CR42+CR43</f>
        <v>158838</v>
      </c>
      <c r="CS44" s="47">
        <f t="shared" si="169"/>
        <v>158772</v>
      </c>
      <c r="CT44" s="47">
        <f t="shared" ref="CT44" si="170">+CT35+CT42+CT43</f>
        <v>161404</v>
      </c>
      <c r="CU44" s="104">
        <f t="shared" ref="CU44:CV44" si="171">+CU35+CU42+CU43</f>
        <v>161404</v>
      </c>
      <c r="CV44" s="47">
        <f t="shared" si="171"/>
        <v>159366</v>
      </c>
      <c r="CW44" s="47">
        <f t="shared" ref="CW44:CX44" si="172">+CW35+CW42+CW43</f>
        <v>159017</v>
      </c>
      <c r="CX44" s="47">
        <f t="shared" si="172"/>
        <v>158225</v>
      </c>
      <c r="CY44" s="47">
        <f t="shared" ref="CY44" si="173">+CY35+CY42+CY43</f>
        <v>158864</v>
      </c>
      <c r="CZ44" s="104">
        <f t="shared" ref="CZ44" si="174">+CZ35+CZ42+CZ43</f>
        <v>158864</v>
      </c>
      <c r="DA44" s="47">
        <f t="shared" ref="DA44:DE44" si="175">+DA35+DA42+DA43</f>
        <v>161636</v>
      </c>
      <c r="DB44" s="47">
        <f t="shared" si="175"/>
        <v>162161</v>
      </c>
      <c r="DC44" s="47">
        <f t="shared" si="175"/>
        <v>162443</v>
      </c>
      <c r="DD44" s="47">
        <f t="shared" si="175"/>
        <v>161869</v>
      </c>
      <c r="DE44" s="104">
        <f t="shared" si="175"/>
        <v>161869</v>
      </c>
      <c r="DF44" s="47">
        <f t="shared" ref="DF44:DI44" si="176">+DF35+DF42+DF43</f>
        <v>160187</v>
      </c>
      <c r="DG44" s="47">
        <f t="shared" si="176"/>
        <v>161169</v>
      </c>
      <c r="DH44" s="47">
        <f t="shared" si="176"/>
        <v>164822</v>
      </c>
      <c r="DI44" s="47">
        <f t="shared" si="176"/>
        <v>162861</v>
      </c>
      <c r="DJ44" s="104">
        <f t="shared" ref="DJ44:DM44" si="177">+DJ35+DJ42+DJ43</f>
        <v>162861</v>
      </c>
      <c r="DK44" s="47">
        <f t="shared" si="177"/>
        <v>164864</v>
      </c>
      <c r="DL44" s="47">
        <f t="shared" si="177"/>
        <v>167139</v>
      </c>
      <c r="DM44" s="47">
        <f t="shared" si="177"/>
        <v>168672</v>
      </c>
      <c r="DN44" s="47">
        <f t="shared" ref="DN44" si="178">+DN35+DN42+DN43</f>
        <v>170959.76088763145</v>
      </c>
      <c r="DO44" s="104">
        <f t="shared" ref="DO44:DS44" si="179">+DO35+DO42+DO43</f>
        <v>170959.76088763145</v>
      </c>
      <c r="DP44" s="47">
        <f t="shared" ref="DP44" si="180">+DP35+DP42+DP43</f>
        <v>167351.00541835188</v>
      </c>
      <c r="DQ44" s="47">
        <f t="shared" si="179"/>
        <v>169242.12126031655</v>
      </c>
      <c r="DR44" s="47">
        <f t="shared" si="179"/>
        <v>171606.71772017784</v>
      </c>
      <c r="DS44" s="47">
        <f t="shared" si="179"/>
        <v>174427.66104516614</v>
      </c>
      <c r="DT44" s="104">
        <f t="shared" ref="DT44" si="181">+DT35+DT42+DT43</f>
        <v>174427.66104516614</v>
      </c>
      <c r="DU44" s="104">
        <f t="shared" ref="DU44:DV44" si="182">+DU35+DU42+DU43</f>
        <v>171743.75102542504</v>
      </c>
      <c r="DV44" s="104">
        <f t="shared" si="182"/>
        <v>175050.28869586677</v>
      </c>
    </row>
    <row r="45" spans="1:126" s="32" customFormat="1" hidden="1" outlineLevel="1">
      <c r="C45" s="35"/>
      <c r="D45" s="35"/>
      <c r="E45" s="35"/>
      <c r="F45" s="35"/>
      <c r="G45" s="35"/>
      <c r="H45" s="35"/>
      <c r="I45" s="35"/>
      <c r="J45" s="36"/>
      <c r="K45" s="36"/>
      <c r="L45" s="36"/>
      <c r="M45" s="36"/>
      <c r="N45" s="35"/>
      <c r="O45" s="36"/>
      <c r="P45" s="36"/>
      <c r="Q45" s="36"/>
      <c r="R45" s="36"/>
      <c r="S45" s="35"/>
      <c r="T45" s="36"/>
      <c r="U45" s="36"/>
      <c r="V45" s="36"/>
      <c r="W45" s="36"/>
      <c r="X45" s="35"/>
      <c r="Y45" s="36"/>
      <c r="Z45" s="36"/>
      <c r="AA45" s="36"/>
      <c r="AB45" s="36"/>
      <c r="AC45" s="35"/>
      <c r="AD45" s="36"/>
      <c r="AE45" s="36"/>
      <c r="AF45" s="36"/>
      <c r="AG45" s="36"/>
      <c r="AH45" s="35"/>
      <c r="AI45" s="36"/>
      <c r="AJ45" s="36"/>
      <c r="AK45" s="36"/>
      <c r="AL45" s="36"/>
      <c r="AM45" s="35"/>
      <c r="AN45" s="36"/>
      <c r="AO45" s="36"/>
      <c r="AP45" s="36"/>
      <c r="AQ45" s="36"/>
      <c r="AR45" s="35"/>
      <c r="AS45" s="36"/>
      <c r="AT45" s="36"/>
      <c r="AU45" s="36"/>
      <c r="AV45" s="36"/>
      <c r="AW45" s="35"/>
      <c r="AX45" s="36"/>
      <c r="AY45" s="36"/>
      <c r="AZ45" s="36"/>
      <c r="BA45" s="36"/>
      <c r="BB45" s="35"/>
      <c r="BC45" s="458"/>
      <c r="BD45" s="36"/>
      <c r="BE45" s="36"/>
      <c r="BF45" s="36"/>
      <c r="BG45" s="35"/>
      <c r="BH45" s="36"/>
      <c r="BI45" s="36"/>
      <c r="BJ45" s="36"/>
      <c r="BK45" s="36"/>
      <c r="BL45" s="35"/>
      <c r="BM45" s="36"/>
      <c r="BN45" s="36"/>
      <c r="BO45" s="36"/>
      <c r="BP45" s="36"/>
      <c r="BQ45" s="35"/>
      <c r="BR45" s="36"/>
      <c r="BS45" s="36"/>
      <c r="BT45" s="36"/>
      <c r="BU45" s="36"/>
      <c r="BV45" s="35"/>
      <c r="BW45" s="36"/>
      <c r="BX45" s="36"/>
      <c r="BY45" s="36"/>
      <c r="BZ45" s="36"/>
      <c r="CA45" s="35"/>
      <c r="CB45" s="36"/>
      <c r="CC45" s="36"/>
      <c r="CD45" s="36"/>
      <c r="CE45" s="36"/>
      <c r="CF45" s="35"/>
      <c r="CG45" s="36"/>
      <c r="CH45" s="36"/>
      <c r="CI45" s="36"/>
      <c r="CJ45" s="36"/>
      <c r="CK45" s="35"/>
      <c r="CL45" s="36"/>
      <c r="CM45" s="36"/>
      <c r="CN45" s="36"/>
      <c r="CO45" s="36"/>
      <c r="CP45" s="35"/>
      <c r="CQ45" s="36"/>
      <c r="CR45" s="36"/>
      <c r="CS45" s="36"/>
      <c r="CT45" s="36"/>
      <c r="CU45" s="35"/>
      <c r="CV45" s="36"/>
      <c r="CW45" s="36"/>
      <c r="CX45" s="36"/>
      <c r="CY45" s="36"/>
      <c r="CZ45" s="35"/>
      <c r="DA45" s="36"/>
      <c r="DB45" s="36"/>
      <c r="DC45" s="36"/>
      <c r="DD45" s="36"/>
      <c r="DE45" s="35"/>
      <c r="DF45" s="36"/>
      <c r="DG45" s="36"/>
      <c r="DH45" s="36"/>
      <c r="DI45" s="36"/>
      <c r="DJ45" s="35"/>
      <c r="DK45" s="36"/>
      <c r="DL45" s="36"/>
      <c r="DM45" s="36"/>
      <c r="DN45" s="36"/>
      <c r="DO45" s="35"/>
      <c r="DP45" s="36"/>
      <c r="DQ45" s="36"/>
      <c r="DR45" s="36"/>
      <c r="DS45" s="36"/>
      <c r="DT45" s="35"/>
      <c r="DU45" s="35"/>
      <c r="DV45" s="35"/>
    </row>
    <row r="46" spans="1:126" s="32" customFormat="1" hidden="1" outlineLevel="1">
      <c r="B46" s="64" t="s">
        <v>153</v>
      </c>
      <c r="C46" s="35"/>
      <c r="D46" s="35"/>
      <c r="E46" s="35"/>
      <c r="F46" s="35"/>
      <c r="G46" s="35"/>
      <c r="H46" s="35"/>
      <c r="I46" s="35"/>
      <c r="J46" s="36"/>
      <c r="K46" s="36"/>
      <c r="L46" s="36"/>
      <c r="M46" s="36"/>
      <c r="N46" s="35"/>
      <c r="O46" s="36"/>
      <c r="P46" s="36"/>
      <c r="Q46" s="36"/>
      <c r="R46" s="36"/>
      <c r="S46" s="35"/>
      <c r="T46" s="36"/>
      <c r="U46" s="36"/>
      <c r="V46" s="36"/>
      <c r="W46" s="36"/>
      <c r="X46" s="35"/>
      <c r="Y46" s="36"/>
      <c r="Z46" s="36"/>
      <c r="AA46" s="36"/>
      <c r="AB46" s="36"/>
      <c r="AC46" s="35"/>
      <c r="AD46" s="36"/>
      <c r="AE46" s="36"/>
      <c r="AF46" s="36"/>
      <c r="AG46" s="36"/>
      <c r="AH46" s="35"/>
      <c r="AI46" s="36"/>
      <c r="AJ46" s="36"/>
      <c r="AK46" s="36"/>
      <c r="AL46" s="36"/>
      <c r="AM46" s="35"/>
      <c r="AN46" s="36"/>
      <c r="AO46" s="36"/>
      <c r="AP46" s="36"/>
      <c r="AQ46" s="36"/>
      <c r="AR46" s="35"/>
      <c r="AS46" s="36"/>
      <c r="AT46" s="36"/>
      <c r="AU46" s="36"/>
      <c r="AV46" s="36"/>
      <c r="AW46" s="35"/>
      <c r="AX46" s="36"/>
      <c r="AY46" s="36"/>
      <c r="AZ46" s="36"/>
      <c r="BA46" s="36"/>
      <c r="BB46" s="35"/>
      <c r="BC46" s="458"/>
      <c r="BD46" s="36"/>
      <c r="BE46" s="36"/>
      <c r="BF46" s="36"/>
      <c r="BG46" s="35"/>
      <c r="BH46" s="36"/>
      <c r="BI46" s="36"/>
      <c r="BJ46" s="36"/>
      <c r="BK46" s="36"/>
      <c r="BL46" s="35"/>
      <c r="BM46" s="36"/>
      <c r="BN46" s="36"/>
      <c r="BO46" s="36"/>
      <c r="BP46" s="36"/>
      <c r="BQ46" s="35"/>
      <c r="BR46" s="36"/>
      <c r="BS46" s="36"/>
      <c r="BT46" s="36"/>
      <c r="BU46" s="36"/>
      <c r="BV46" s="35"/>
      <c r="BW46" s="36"/>
      <c r="BX46" s="36"/>
      <c r="BY46" s="36"/>
      <c r="BZ46" s="36"/>
      <c r="CA46" s="35"/>
      <c r="CB46" s="777"/>
      <c r="CC46" s="777"/>
      <c r="CD46" s="777"/>
      <c r="CE46" s="777"/>
      <c r="CF46" s="778"/>
      <c r="CG46" s="777"/>
      <c r="CH46" s="36"/>
      <c r="CI46" s="36"/>
      <c r="CJ46" s="36"/>
      <c r="CK46" s="35"/>
      <c r="CL46" s="36"/>
      <c r="CM46" s="36"/>
      <c r="CN46" s="36"/>
      <c r="CO46" s="36"/>
      <c r="CP46" s="35"/>
      <c r="CQ46" s="36"/>
      <c r="CR46" s="36"/>
      <c r="CS46" s="36"/>
      <c r="CT46" s="36"/>
      <c r="CU46" s="35"/>
      <c r="CV46" s="36"/>
      <c r="CW46" s="36"/>
      <c r="CX46" s="36"/>
      <c r="CY46" s="36"/>
      <c r="CZ46" s="35"/>
      <c r="DA46" s="36"/>
      <c r="DB46" s="36"/>
      <c r="DC46" s="36"/>
      <c r="DD46" s="36"/>
      <c r="DE46" s="35"/>
      <c r="DF46" s="36"/>
      <c r="DG46" s="36"/>
      <c r="DH46" s="36"/>
      <c r="DI46" s="36"/>
      <c r="DJ46" s="35"/>
      <c r="DK46" s="36"/>
      <c r="DL46" s="36"/>
      <c r="DM46" s="36"/>
      <c r="DN46" s="36"/>
      <c r="DO46" s="35"/>
      <c r="DP46" s="36"/>
      <c r="DQ46" s="36"/>
      <c r="DR46" s="36"/>
      <c r="DS46" s="36"/>
      <c r="DT46" s="35"/>
      <c r="DU46" s="35"/>
      <c r="DV46" s="35"/>
    </row>
    <row r="47" spans="1:126" s="16" customFormat="1" hidden="1" outlineLevel="1">
      <c r="A47" s="32"/>
      <c r="B47" s="32" t="s">
        <v>154</v>
      </c>
      <c r="C47" s="17"/>
      <c r="D47" s="17"/>
      <c r="E47" s="17"/>
      <c r="F47" s="17"/>
      <c r="G47" s="17"/>
      <c r="H47" s="17"/>
      <c r="I47" s="17"/>
      <c r="N47" s="17"/>
      <c r="S47" s="17"/>
      <c r="X47" s="17"/>
      <c r="AC47" s="17"/>
      <c r="AH47" s="17"/>
      <c r="AM47" s="17"/>
      <c r="AR47" s="17"/>
      <c r="AW47" s="17"/>
      <c r="BB47" s="17"/>
      <c r="BC47" s="198"/>
      <c r="BG47" s="17"/>
      <c r="BL47" s="17"/>
      <c r="BQ47" s="17"/>
      <c r="BV47" s="17"/>
      <c r="CA47" s="17"/>
      <c r="CF47" s="17"/>
      <c r="CK47" s="17"/>
      <c r="CP47" s="17"/>
      <c r="CU47" s="17"/>
      <c r="CZ47" s="17"/>
      <c r="DE47" s="17"/>
      <c r="DJ47" s="17"/>
      <c r="DO47" s="17"/>
      <c r="DT47" s="17"/>
      <c r="DU47" s="17"/>
      <c r="DV47" s="17"/>
    </row>
    <row r="48" spans="1:126" s="16" customFormat="1" hidden="1" outlineLevel="1">
      <c r="A48" s="88"/>
      <c r="B48" s="3" t="s">
        <v>155</v>
      </c>
      <c r="C48" s="85"/>
      <c r="D48" s="85"/>
      <c r="E48" s="85"/>
      <c r="F48" s="85"/>
      <c r="G48" s="85"/>
      <c r="H48" s="85"/>
      <c r="I48" s="85"/>
      <c r="J48" s="86"/>
      <c r="K48" s="86"/>
      <c r="L48" s="86"/>
      <c r="M48" s="86"/>
      <c r="N48" s="85"/>
      <c r="O48" s="86"/>
      <c r="P48" s="86"/>
      <c r="Q48" s="86"/>
      <c r="R48" s="86"/>
      <c r="S48" s="85"/>
      <c r="T48" s="86"/>
      <c r="U48" s="86"/>
      <c r="V48" s="86"/>
      <c r="W48" s="86"/>
      <c r="X48" s="85"/>
      <c r="Y48" s="86"/>
      <c r="Z48" s="86"/>
      <c r="AA48" s="86"/>
      <c r="AB48" s="86"/>
      <c r="AC48" s="85"/>
      <c r="AD48" s="86"/>
      <c r="AE48" s="86"/>
      <c r="AF48" s="86"/>
      <c r="AG48" s="86"/>
      <c r="AH48" s="85"/>
      <c r="AI48" s="86"/>
      <c r="AJ48" s="86"/>
      <c r="AK48" s="86"/>
      <c r="AL48" s="86"/>
      <c r="AM48" s="85"/>
      <c r="AN48" s="86"/>
      <c r="AO48" s="86"/>
      <c r="AP48" s="86"/>
      <c r="AQ48" s="86"/>
      <c r="AR48" s="85"/>
      <c r="AS48" s="86"/>
      <c r="AT48" s="86"/>
      <c r="AU48" s="86"/>
      <c r="AV48" s="86"/>
      <c r="AW48" s="85"/>
      <c r="AX48" s="86"/>
      <c r="AY48" s="86"/>
      <c r="AZ48" s="86"/>
      <c r="BA48" s="86"/>
      <c r="BB48" s="85"/>
      <c r="BC48" s="86"/>
      <c r="BD48" s="86"/>
      <c r="BE48" s="86"/>
      <c r="BF48" s="86"/>
      <c r="BG48" s="85"/>
      <c r="BH48" s="86"/>
      <c r="BI48" s="86"/>
      <c r="BJ48" s="86"/>
      <c r="BK48" s="86"/>
      <c r="BL48" s="85"/>
      <c r="BM48" s="86"/>
      <c r="BN48" s="86"/>
      <c r="BO48" s="86"/>
      <c r="BP48" s="86"/>
      <c r="BQ48" s="85"/>
      <c r="BR48" s="86"/>
      <c r="BS48" s="86"/>
      <c r="BT48" s="86"/>
      <c r="BU48" s="86"/>
      <c r="BV48" s="85"/>
      <c r="BW48" s="86"/>
      <c r="BX48" s="86"/>
      <c r="BY48" s="86"/>
      <c r="BZ48" s="86"/>
      <c r="CA48" s="85"/>
      <c r="CB48" s="86"/>
      <c r="CC48" s="86"/>
      <c r="CD48" s="86"/>
      <c r="CE48" s="86"/>
      <c r="CF48" s="85"/>
      <c r="CG48" s="86"/>
      <c r="CH48" s="86"/>
      <c r="CI48" s="86"/>
      <c r="CJ48" s="86"/>
      <c r="CK48" s="85"/>
      <c r="CL48" s="86"/>
      <c r="CM48" s="86"/>
      <c r="CN48" s="86"/>
      <c r="CO48" s="86"/>
      <c r="CP48" s="85"/>
      <c r="CQ48" s="86"/>
      <c r="CR48" s="86"/>
      <c r="CS48" s="86"/>
      <c r="CT48" s="86"/>
      <c r="CU48" s="85"/>
      <c r="CV48" s="86"/>
      <c r="CW48" s="86"/>
      <c r="CX48" s="86"/>
      <c r="CY48" s="86"/>
      <c r="CZ48" s="85"/>
      <c r="DA48" s="86"/>
      <c r="DB48" s="86"/>
      <c r="DC48" s="86"/>
      <c r="DD48" s="86"/>
      <c r="DE48" s="85"/>
      <c r="DF48" s="86"/>
      <c r="DG48" s="86"/>
      <c r="DH48" s="86"/>
      <c r="DI48" s="86"/>
      <c r="DJ48" s="85"/>
      <c r="DK48" s="86"/>
      <c r="DL48" s="86"/>
      <c r="DM48" s="86"/>
      <c r="DN48" s="86"/>
      <c r="DO48" s="85"/>
      <c r="DP48" s="86"/>
      <c r="DQ48" s="86"/>
      <c r="DR48" s="86"/>
      <c r="DS48" s="86"/>
      <c r="DT48" s="85"/>
      <c r="DU48" s="85"/>
      <c r="DV48" s="85"/>
    </row>
    <row r="49" spans="1:126" s="16" customFormat="1" hidden="1" outlineLevel="1">
      <c r="A49" s="32"/>
      <c r="B49" s="3" t="s">
        <v>156</v>
      </c>
      <c r="C49" s="366"/>
      <c r="D49" s="366"/>
      <c r="E49" s="366"/>
      <c r="F49" s="366"/>
      <c r="G49" s="366"/>
      <c r="H49" s="366"/>
      <c r="I49" s="366"/>
      <c r="J49" s="183"/>
      <c r="K49" s="183"/>
      <c r="L49" s="183"/>
      <c r="M49" s="183"/>
      <c r="N49" s="366"/>
      <c r="O49" s="183"/>
      <c r="P49" s="183"/>
      <c r="Q49" s="183"/>
      <c r="R49" s="183"/>
      <c r="S49" s="366"/>
      <c r="T49" s="183"/>
      <c r="U49" s="183"/>
      <c r="V49" s="183"/>
      <c r="W49" s="183"/>
      <c r="X49" s="366"/>
      <c r="Y49" s="183"/>
      <c r="Z49" s="183"/>
      <c r="AA49" s="183"/>
      <c r="AB49" s="183"/>
      <c r="AC49" s="366"/>
      <c r="AD49" s="183"/>
      <c r="AE49" s="183"/>
      <c r="AF49" s="183"/>
      <c r="AG49" s="183"/>
      <c r="AH49" s="366"/>
      <c r="AI49" s="183"/>
      <c r="AJ49" s="183"/>
      <c r="AK49" s="183"/>
      <c r="AL49" s="183"/>
      <c r="AM49" s="366"/>
      <c r="AN49" s="183"/>
      <c r="AO49" s="183"/>
      <c r="AP49" s="183"/>
      <c r="AQ49" s="183"/>
      <c r="AR49" s="366"/>
      <c r="AS49" s="183"/>
      <c r="AT49" s="183"/>
      <c r="AU49" s="183"/>
      <c r="AV49" s="183"/>
      <c r="AW49" s="366"/>
      <c r="AX49" s="183"/>
      <c r="AY49" s="183"/>
      <c r="AZ49" s="183"/>
      <c r="BA49" s="183"/>
      <c r="BB49" s="366"/>
      <c r="BC49" s="183"/>
      <c r="BD49" s="183"/>
      <c r="BE49" s="183"/>
      <c r="BF49" s="183"/>
      <c r="BG49" s="366"/>
      <c r="BH49" s="183"/>
      <c r="BI49" s="183"/>
      <c r="BJ49" s="183"/>
      <c r="BK49" s="183"/>
      <c r="BL49" s="366"/>
      <c r="BM49" s="183"/>
      <c r="BN49" s="183"/>
      <c r="BO49" s="183"/>
      <c r="BP49" s="183"/>
      <c r="BQ49" s="366"/>
      <c r="BR49" s="183"/>
      <c r="BS49" s="183"/>
      <c r="BT49" s="183"/>
      <c r="BU49" s="183"/>
      <c r="BV49" s="366"/>
      <c r="BW49" s="183"/>
      <c r="BX49" s="183"/>
      <c r="BY49" s="183"/>
      <c r="BZ49" s="183"/>
      <c r="CA49" s="366"/>
      <c r="CB49" s="183"/>
      <c r="CC49" s="183"/>
      <c r="CD49" s="183"/>
      <c r="CE49" s="183"/>
      <c r="CF49" s="366"/>
      <c r="CG49" s="183"/>
      <c r="CH49" s="183"/>
      <c r="CI49" s="183"/>
      <c r="CJ49" s="183"/>
      <c r="CK49" s="367"/>
      <c r="CL49" s="183"/>
      <c r="CM49" s="183"/>
      <c r="CN49" s="183"/>
      <c r="CO49" s="183"/>
      <c r="CP49" s="367"/>
      <c r="CQ49" s="183"/>
      <c r="CR49" s="183"/>
      <c r="CS49" s="183"/>
      <c r="CT49" s="183"/>
      <c r="CU49" s="367"/>
      <c r="CV49" s="183"/>
      <c r="CW49" s="183"/>
      <c r="CX49" s="183"/>
      <c r="CY49" s="183"/>
      <c r="CZ49" s="367"/>
      <c r="DA49" s="183"/>
      <c r="DB49" s="183"/>
      <c r="DC49" s="183"/>
      <c r="DD49" s="183"/>
      <c r="DE49" s="367"/>
      <c r="DF49" s="183"/>
      <c r="DG49" s="183"/>
      <c r="DH49" s="183"/>
      <c r="DI49" s="183"/>
      <c r="DJ49" s="367"/>
      <c r="DK49" s="183"/>
      <c r="DL49" s="183"/>
      <c r="DM49" s="183"/>
      <c r="DN49" s="183"/>
      <c r="DO49" s="367"/>
      <c r="DP49" s="183"/>
      <c r="DQ49" s="183"/>
      <c r="DR49" s="183"/>
      <c r="DS49" s="183"/>
      <c r="DT49" s="367"/>
      <c r="DU49" s="367"/>
      <c r="DV49" s="367"/>
    </row>
    <row r="50" spans="1:126" s="16" customFormat="1" hidden="1" outlineLevel="1">
      <c r="A50" s="32"/>
      <c r="B50" s="3" t="s">
        <v>162</v>
      </c>
      <c r="C50" s="366"/>
      <c r="D50" s="366"/>
      <c r="E50" s="366"/>
      <c r="F50" s="366"/>
      <c r="G50" s="366"/>
      <c r="H50" s="366"/>
      <c r="I50" s="366"/>
      <c r="J50" s="183"/>
      <c r="K50" s="183"/>
      <c r="L50" s="183"/>
      <c r="M50" s="183"/>
      <c r="N50" s="366"/>
      <c r="O50" s="183"/>
      <c r="P50" s="183"/>
      <c r="Q50" s="183"/>
      <c r="R50" s="183"/>
      <c r="S50" s="366"/>
      <c r="T50" s="183"/>
      <c r="U50" s="183"/>
      <c r="V50" s="183"/>
      <c r="W50" s="183"/>
      <c r="X50" s="366"/>
      <c r="Y50" s="183"/>
      <c r="Z50" s="183"/>
      <c r="AA50" s="183"/>
      <c r="AB50" s="183"/>
      <c r="AC50" s="366"/>
      <c r="AD50" s="183"/>
      <c r="AE50" s="183"/>
      <c r="AF50" s="183"/>
      <c r="AG50" s="183"/>
      <c r="AH50" s="366"/>
      <c r="AI50" s="183"/>
      <c r="AJ50" s="183"/>
      <c r="AK50" s="183"/>
      <c r="AL50" s="183"/>
      <c r="AM50" s="366"/>
      <c r="AN50" s="183"/>
      <c r="AO50" s="183"/>
      <c r="AP50" s="183"/>
      <c r="AQ50" s="183"/>
      <c r="AR50" s="366"/>
      <c r="AS50" s="183"/>
      <c r="AT50" s="183"/>
      <c r="AU50" s="183"/>
      <c r="AV50" s="183"/>
      <c r="AW50" s="366"/>
      <c r="AX50" s="183"/>
      <c r="AY50" s="183"/>
      <c r="AZ50" s="183"/>
      <c r="BA50" s="183"/>
      <c r="BB50" s="366"/>
      <c r="BC50" s="183"/>
      <c r="BD50" s="183"/>
      <c r="BE50" s="183"/>
      <c r="BF50" s="183"/>
      <c r="BG50" s="366"/>
      <c r="BH50" s="183"/>
      <c r="BI50" s="183"/>
      <c r="BJ50" s="183"/>
      <c r="BK50" s="183"/>
      <c r="BL50" s="366"/>
      <c r="BM50" s="183"/>
      <c r="BN50" s="183"/>
      <c r="BO50" s="183"/>
      <c r="BP50" s="183"/>
      <c r="BQ50" s="366"/>
      <c r="BR50" s="183"/>
      <c r="BS50" s="183"/>
      <c r="BT50" s="183"/>
      <c r="BU50" s="183"/>
      <c r="BV50" s="366"/>
      <c r="BW50" s="183"/>
      <c r="BX50" s="183"/>
      <c r="BY50" s="183"/>
      <c r="BZ50" s="183"/>
      <c r="CA50" s="366"/>
      <c r="CB50" s="183"/>
      <c r="CC50" s="183"/>
      <c r="CD50" s="183"/>
      <c r="CE50" s="183"/>
      <c r="CF50" s="366"/>
      <c r="CG50" s="183"/>
      <c r="CH50" s="183"/>
      <c r="CI50" s="183"/>
      <c r="CJ50" s="183"/>
      <c r="CK50" s="367"/>
      <c r="CL50" s="183"/>
      <c r="CM50" s="183"/>
      <c r="CN50" s="183"/>
      <c r="CO50" s="183"/>
      <c r="CP50" s="367"/>
      <c r="CQ50" s="183"/>
      <c r="CR50" s="183"/>
      <c r="CS50" s="183"/>
      <c r="CT50" s="183"/>
      <c r="CU50" s="367"/>
      <c r="CV50" s="183"/>
      <c r="CW50" s="183"/>
      <c r="CX50" s="183"/>
      <c r="CY50" s="183"/>
      <c r="CZ50" s="367"/>
      <c r="DA50" s="183"/>
      <c r="DB50" s="183"/>
      <c r="DC50" s="183"/>
      <c r="DD50" s="183"/>
      <c r="DE50" s="367"/>
      <c r="DF50" s="183"/>
      <c r="DG50" s="183"/>
      <c r="DH50" s="183"/>
      <c r="DI50" s="183"/>
      <c r="DJ50" s="367"/>
      <c r="DK50" s="183"/>
      <c r="DL50" s="183"/>
      <c r="DM50" s="183"/>
      <c r="DN50" s="183"/>
      <c r="DO50" s="367"/>
      <c r="DP50" s="183"/>
      <c r="DQ50" s="183"/>
      <c r="DR50" s="183"/>
      <c r="DS50" s="183"/>
      <c r="DT50" s="367"/>
      <c r="DU50" s="367"/>
      <c r="DV50" s="367"/>
    </row>
    <row r="51" spans="1:126" s="32" customFormat="1" collapsed="1">
      <c r="C51" s="369"/>
      <c r="D51" s="369"/>
      <c r="E51" s="369"/>
      <c r="F51" s="369"/>
      <c r="G51" s="369"/>
      <c r="H51" s="369"/>
      <c r="I51" s="369"/>
      <c r="J51" s="370"/>
      <c r="K51" s="370"/>
      <c r="L51" s="370"/>
      <c r="M51" s="370"/>
      <c r="N51" s="369"/>
      <c r="O51" s="370"/>
      <c r="P51" s="370"/>
      <c r="Q51" s="370"/>
      <c r="R51" s="370"/>
      <c r="S51" s="369"/>
      <c r="T51" s="370"/>
      <c r="U51" s="370"/>
      <c r="V51" s="370"/>
      <c r="W51" s="370"/>
      <c r="X51" s="369"/>
      <c r="Y51" s="370"/>
      <c r="Z51" s="370"/>
      <c r="AA51" s="370"/>
      <c r="AB51" s="370"/>
      <c r="AC51" s="369"/>
      <c r="AD51" s="370"/>
      <c r="AE51" s="370"/>
      <c r="AF51" s="370"/>
      <c r="AG51" s="370"/>
      <c r="AH51" s="369"/>
      <c r="AI51" s="370"/>
      <c r="AJ51" s="370"/>
      <c r="AK51" s="370"/>
      <c r="AL51" s="370"/>
      <c r="AM51" s="369"/>
      <c r="AN51" s="370"/>
      <c r="AO51" s="370"/>
      <c r="AP51" s="370"/>
      <c r="AQ51" s="370"/>
      <c r="AR51" s="369"/>
      <c r="AS51" s="370"/>
      <c r="AT51" s="370"/>
      <c r="AU51" s="370"/>
      <c r="AV51" s="370"/>
      <c r="AW51" s="369"/>
      <c r="AX51" s="370"/>
      <c r="AY51" s="370"/>
      <c r="AZ51" s="370"/>
      <c r="BA51" s="370"/>
      <c r="BB51" s="369"/>
      <c r="BC51" s="460"/>
      <c r="BD51" s="370"/>
      <c r="BE51" s="370"/>
      <c r="BF51" s="370"/>
      <c r="BG51" s="369"/>
      <c r="BH51" s="370"/>
      <c r="BI51" s="370"/>
      <c r="BJ51" s="370"/>
      <c r="BK51" s="370"/>
      <c r="BL51" s="369"/>
      <c r="BM51" s="370"/>
      <c r="BN51" s="370"/>
      <c r="BO51" s="370"/>
      <c r="BP51" s="370"/>
      <c r="BQ51" s="369"/>
      <c r="BR51" s="370"/>
      <c r="BS51" s="370"/>
      <c r="BT51" s="370"/>
      <c r="BU51" s="370"/>
      <c r="BV51" s="369"/>
      <c r="BW51" s="370"/>
      <c r="BX51" s="370"/>
      <c r="BY51" s="370"/>
      <c r="BZ51" s="370"/>
      <c r="CA51" s="369"/>
      <c r="CB51" s="370"/>
      <c r="CC51" s="370"/>
      <c r="CD51" s="370"/>
      <c r="CE51" s="370"/>
      <c r="CF51" s="369"/>
      <c r="CG51" s="370"/>
      <c r="CH51" s="370"/>
      <c r="CI51" s="370"/>
      <c r="CJ51" s="370"/>
      <c r="CK51" s="369"/>
      <c r="CL51" s="370"/>
      <c r="CM51" s="370"/>
      <c r="CN51" s="370"/>
      <c r="CO51" s="370"/>
      <c r="CP51" s="369"/>
      <c r="CQ51" s="370"/>
      <c r="CR51" s="370"/>
      <c r="CS51" s="370"/>
      <c r="CT51" s="370"/>
      <c r="CU51" s="369"/>
      <c r="CV51" s="370"/>
      <c r="CW51" s="370"/>
      <c r="CX51" s="370"/>
      <c r="CY51" s="370"/>
      <c r="CZ51" s="369"/>
      <c r="DA51" s="370"/>
      <c r="DB51" s="370"/>
      <c r="DC51" s="370"/>
      <c r="DD51" s="370"/>
      <c r="DE51" s="369"/>
      <c r="DF51" s="370"/>
      <c r="DG51" s="370"/>
      <c r="DH51" s="370"/>
      <c r="DI51" s="370"/>
      <c r="DJ51" s="369"/>
      <c r="DK51" s="370"/>
      <c r="DL51" s="370"/>
      <c r="DM51" s="370"/>
      <c r="DN51" s="370"/>
      <c r="DO51" s="369"/>
      <c r="DP51" s="370"/>
      <c r="DQ51" s="370"/>
      <c r="DR51" s="370"/>
      <c r="DS51" s="370"/>
      <c r="DT51" s="369"/>
      <c r="DU51" s="369"/>
      <c r="DV51" s="369"/>
    </row>
    <row r="52" spans="1:126" s="32" customFormat="1">
      <c r="B52" s="33" t="s">
        <v>106</v>
      </c>
      <c r="C52" s="369"/>
      <c r="D52" s="369"/>
      <c r="E52" s="369"/>
      <c r="F52" s="369"/>
      <c r="G52" s="369"/>
      <c r="H52" s="369"/>
      <c r="I52" s="369"/>
      <c r="J52" s="370"/>
      <c r="K52" s="370"/>
      <c r="L52" s="370"/>
      <c r="M52" s="370"/>
      <c r="N52" s="369"/>
      <c r="O52" s="370"/>
      <c r="P52" s="370"/>
      <c r="Q52" s="370"/>
      <c r="R52" s="370"/>
      <c r="S52" s="369"/>
      <c r="T52" s="370"/>
      <c r="U52" s="370"/>
      <c r="V52" s="370"/>
      <c r="W52" s="370"/>
      <c r="X52" s="369"/>
      <c r="Y52" s="370"/>
      <c r="Z52" s="370"/>
      <c r="AA52" s="370"/>
      <c r="AB52" s="370"/>
      <c r="AC52" s="369"/>
      <c r="AD52" s="370"/>
      <c r="AE52" s="370"/>
      <c r="AF52" s="370"/>
      <c r="AG52" s="370"/>
      <c r="AH52" s="369"/>
      <c r="AI52" s="370"/>
      <c r="AJ52" s="370"/>
      <c r="AK52" s="370"/>
      <c r="AL52" s="370"/>
      <c r="AM52" s="369"/>
      <c r="AN52" s="370"/>
      <c r="AO52" s="370"/>
      <c r="AP52" s="370"/>
      <c r="AQ52" s="370"/>
      <c r="AR52" s="369"/>
      <c r="AS52" s="370"/>
      <c r="AT52" s="370"/>
      <c r="AU52" s="370"/>
      <c r="AV52" s="370"/>
      <c r="AW52" s="369"/>
      <c r="AX52" s="370"/>
      <c r="AY52" s="370"/>
      <c r="AZ52" s="370"/>
      <c r="BA52" s="370"/>
      <c r="BB52" s="369"/>
      <c r="BC52" s="460"/>
      <c r="BD52" s="370"/>
      <c r="BE52" s="370"/>
      <c r="BF52" s="370"/>
      <c r="BG52" s="369"/>
      <c r="BH52" s="370"/>
      <c r="BI52" s="370"/>
      <c r="BJ52" s="370"/>
      <c r="BK52" s="370"/>
      <c r="BL52" s="369"/>
      <c r="BM52" s="370"/>
      <c r="BN52" s="370"/>
      <c r="BO52" s="370"/>
      <c r="BP52" s="370"/>
      <c r="BQ52" s="369"/>
      <c r="BR52" s="370"/>
      <c r="BS52" s="370"/>
      <c r="BT52" s="370"/>
      <c r="BU52" s="370"/>
      <c r="BV52" s="369"/>
      <c r="BW52" s="370"/>
      <c r="BX52" s="370"/>
      <c r="BY52" s="370"/>
      <c r="BZ52" s="370"/>
      <c r="CA52" s="369"/>
      <c r="CB52" s="370"/>
      <c r="CC52" s="370"/>
      <c r="CD52" s="370"/>
      <c r="CE52" s="370"/>
      <c r="CF52" s="369"/>
      <c r="CG52" s="370"/>
      <c r="CH52" s="370"/>
      <c r="CI52" s="370"/>
      <c r="CJ52" s="370"/>
      <c r="CK52" s="369"/>
      <c r="CL52" s="370"/>
      <c r="CM52" s="370"/>
      <c r="CN52" s="370"/>
      <c r="CO52" s="370"/>
      <c r="CP52" s="369"/>
      <c r="CQ52" s="370"/>
      <c r="CR52" s="370"/>
      <c r="CS52" s="370"/>
      <c r="CT52" s="370"/>
      <c r="CU52" s="369"/>
      <c r="CV52" s="370"/>
      <c r="CW52" s="370"/>
      <c r="CX52" s="370"/>
      <c r="CY52" s="370"/>
      <c r="CZ52" s="369"/>
      <c r="DA52" s="370"/>
      <c r="DB52" s="370"/>
      <c r="DC52" s="370"/>
      <c r="DD52" s="370"/>
      <c r="DE52" s="369"/>
      <c r="DF52" s="370"/>
      <c r="DG52" s="370"/>
      <c r="DH52" s="370"/>
      <c r="DI52" s="370"/>
      <c r="DJ52" s="369"/>
      <c r="DK52" s="370"/>
      <c r="DL52" s="370"/>
      <c r="DM52" s="370"/>
      <c r="DN52" s="370"/>
      <c r="DO52" s="369"/>
      <c r="DP52" s="370"/>
      <c r="DQ52" s="370"/>
      <c r="DR52" s="370"/>
      <c r="DS52" s="370"/>
      <c r="DT52" s="369"/>
      <c r="DU52" s="369"/>
      <c r="DV52" s="369"/>
    </row>
    <row r="53" spans="1:126" s="32" customFormat="1">
      <c r="B53" s="32" t="s">
        <v>107</v>
      </c>
      <c r="C53" s="366"/>
      <c r="D53" s="366"/>
      <c r="E53" s="366"/>
      <c r="F53" s="366"/>
      <c r="G53" s="366"/>
      <c r="H53" s="366"/>
      <c r="I53" s="366"/>
      <c r="J53" s="368"/>
      <c r="K53" s="368"/>
      <c r="L53" s="368"/>
      <c r="M53" s="368"/>
      <c r="N53" s="366"/>
      <c r="O53" s="368"/>
      <c r="P53" s="368"/>
      <c r="Q53" s="368"/>
      <c r="R53" s="368"/>
      <c r="S53" s="366"/>
      <c r="T53" s="368"/>
      <c r="U53" s="368"/>
      <c r="V53" s="368"/>
      <c r="W53" s="368"/>
      <c r="X53" s="366"/>
      <c r="Y53" s="368"/>
      <c r="Z53" s="368"/>
      <c r="AA53" s="368"/>
      <c r="AB53" s="368"/>
      <c r="AC53" s="366"/>
      <c r="AD53" s="368"/>
      <c r="AE53" s="368"/>
      <c r="AF53" s="368"/>
      <c r="AG53" s="368"/>
      <c r="AH53" s="366"/>
      <c r="AI53" s="368"/>
      <c r="AJ53" s="368"/>
      <c r="AK53" s="368"/>
      <c r="AL53" s="368"/>
      <c r="AM53" s="366"/>
      <c r="AN53" s="368"/>
      <c r="AO53" s="368"/>
      <c r="AP53" s="368"/>
      <c r="AQ53" s="368"/>
      <c r="AR53" s="366"/>
      <c r="AS53" s="368"/>
      <c r="AT53" s="368"/>
      <c r="AU53" s="368"/>
      <c r="AV53" s="368"/>
      <c r="AW53" s="366"/>
      <c r="AX53" s="368"/>
      <c r="AY53" s="368"/>
      <c r="AZ53" s="368"/>
      <c r="BA53" s="368"/>
      <c r="BB53" s="366"/>
      <c r="BC53" s="453"/>
      <c r="BD53" s="368"/>
      <c r="BE53" s="368"/>
      <c r="BF53" s="368"/>
      <c r="BG53" s="366"/>
      <c r="BH53" s="368"/>
      <c r="BI53" s="368"/>
      <c r="BJ53" s="368"/>
      <c r="BK53" s="368"/>
      <c r="BL53" s="366"/>
      <c r="BM53" s="368"/>
      <c r="BN53" s="368"/>
      <c r="BO53" s="368"/>
      <c r="BP53" s="368"/>
      <c r="BQ53" s="366"/>
      <c r="BR53" s="368"/>
      <c r="BS53" s="368"/>
      <c r="BT53" s="368"/>
      <c r="BU53" s="368"/>
      <c r="BV53" s="366"/>
      <c r="BW53" s="368"/>
      <c r="BX53" s="368"/>
      <c r="BY53" s="368"/>
      <c r="BZ53" s="368"/>
      <c r="CA53" s="366"/>
      <c r="CB53" s="368"/>
      <c r="CC53" s="368"/>
      <c r="CD53" s="368"/>
      <c r="CE53" s="368">
        <f>CE7</f>
        <v>0</v>
      </c>
      <c r="CF53" s="366"/>
      <c r="CG53" s="368"/>
      <c r="CH53" s="368">
        <f t="shared" ref="CH53:CP53" si="183">CH7</f>
        <v>6480</v>
      </c>
      <c r="CI53" s="368">
        <f t="shared" si="183"/>
        <v>6368.1774999999998</v>
      </c>
      <c r="CJ53" s="368">
        <f t="shared" si="183"/>
        <v>4937</v>
      </c>
      <c r="CK53" s="366">
        <f t="shared" si="183"/>
        <v>4937</v>
      </c>
      <c r="CL53" s="368">
        <f t="shared" si="183"/>
        <v>6166.2627830000001</v>
      </c>
      <c r="CM53" s="368">
        <f t="shared" si="183"/>
        <v>6975</v>
      </c>
      <c r="CN53" s="368">
        <f t="shared" si="183"/>
        <v>10001</v>
      </c>
      <c r="CO53" s="368">
        <f t="shared" si="183"/>
        <v>8802</v>
      </c>
      <c r="CP53" s="366">
        <f t="shared" si="183"/>
        <v>8802</v>
      </c>
      <c r="CQ53" s="368">
        <f t="shared" ref="CQ53:CV53" si="184">CQ7</f>
        <v>8579</v>
      </c>
      <c r="CR53" s="368">
        <f t="shared" si="184"/>
        <v>8051</v>
      </c>
      <c r="CS53" s="368">
        <f t="shared" si="184"/>
        <v>7476</v>
      </c>
      <c r="CT53" s="368">
        <f t="shared" si="184"/>
        <v>7832</v>
      </c>
      <c r="CU53" s="366">
        <f t="shared" si="184"/>
        <v>7832</v>
      </c>
      <c r="CV53" s="368">
        <f t="shared" si="184"/>
        <v>6040</v>
      </c>
      <c r="CW53" s="368">
        <f t="shared" ref="CW53:CZ53" si="185">CW7</f>
        <v>4767</v>
      </c>
      <c r="CX53" s="368">
        <f t="shared" si="185"/>
        <v>5381</v>
      </c>
      <c r="CY53" s="368">
        <f t="shared" si="185"/>
        <v>6220</v>
      </c>
      <c r="CZ53" s="366">
        <f t="shared" si="185"/>
        <v>6220</v>
      </c>
      <c r="DA53" s="368">
        <f t="shared" ref="DA53:DE53" si="186">DA7</f>
        <v>5893</v>
      </c>
      <c r="DB53" s="368">
        <f t="shared" si="186"/>
        <v>5391</v>
      </c>
      <c r="DC53" s="368">
        <f t="shared" si="186"/>
        <v>5456</v>
      </c>
      <c r="DD53" s="368">
        <f t="shared" si="186"/>
        <v>6587</v>
      </c>
      <c r="DE53" s="366">
        <f t="shared" si="186"/>
        <v>6587</v>
      </c>
      <c r="DF53" s="368">
        <f t="shared" ref="DF53:DI53" si="187">DF7</f>
        <v>5607</v>
      </c>
      <c r="DG53" s="368">
        <f t="shared" si="187"/>
        <v>6011</v>
      </c>
      <c r="DH53" s="368">
        <f t="shared" si="187"/>
        <v>6682</v>
      </c>
      <c r="DI53" s="368">
        <f t="shared" si="187"/>
        <v>5578</v>
      </c>
      <c r="DJ53" s="366">
        <f t="shared" ref="DJ53:DM53" si="188">DJ7</f>
        <v>5578</v>
      </c>
      <c r="DK53" s="368">
        <f t="shared" si="188"/>
        <v>5157</v>
      </c>
      <c r="DL53" s="368">
        <f t="shared" si="188"/>
        <v>4782</v>
      </c>
      <c r="DM53" s="368">
        <f t="shared" si="188"/>
        <v>5966</v>
      </c>
      <c r="DN53" s="368">
        <f t="shared" ref="DN53" si="189">DN7</f>
        <v>7834.6080000000002</v>
      </c>
      <c r="DO53" s="366">
        <f t="shared" ref="DO53:DS53" si="190">DO7</f>
        <v>7834.6080000000002</v>
      </c>
      <c r="DP53" s="368">
        <f t="shared" ref="DP53" si="191">DP7</f>
        <v>7261.576</v>
      </c>
      <c r="DQ53" s="368">
        <f t="shared" si="190"/>
        <v>6968.4848000000002</v>
      </c>
      <c r="DR53" s="368">
        <f t="shared" si="190"/>
        <v>7209.1336000000001</v>
      </c>
      <c r="DS53" s="368">
        <f t="shared" si="190"/>
        <v>9019.5223999999998</v>
      </c>
      <c r="DT53" s="366">
        <f t="shared" ref="DT53" si="192">DT7</f>
        <v>9019.5223999999998</v>
      </c>
      <c r="DU53" s="366">
        <f t="shared" ref="DU53:DV53" si="193">DU7</f>
        <v>9851.0434399999995</v>
      </c>
      <c r="DV53" s="366">
        <f t="shared" si="193"/>
        <v>10435.496983999998</v>
      </c>
    </row>
    <row r="54" spans="1:126" s="32" customFormat="1">
      <c r="B54" s="183" t="s">
        <v>108</v>
      </c>
      <c r="C54" s="371"/>
      <c r="D54" s="371"/>
      <c r="E54" s="371"/>
      <c r="F54" s="371"/>
      <c r="G54" s="371"/>
      <c r="H54" s="371"/>
      <c r="I54" s="371"/>
      <c r="J54" s="372"/>
      <c r="K54" s="372"/>
      <c r="L54" s="372"/>
      <c r="M54" s="372"/>
      <c r="N54" s="371"/>
      <c r="O54" s="372"/>
      <c r="P54" s="372"/>
      <c r="Q54" s="372"/>
      <c r="R54" s="372"/>
      <c r="S54" s="371"/>
      <c r="T54" s="372"/>
      <c r="U54" s="372"/>
      <c r="V54" s="372"/>
      <c r="W54" s="372"/>
      <c r="X54" s="371"/>
      <c r="Y54" s="372"/>
      <c r="Z54" s="372"/>
      <c r="AA54" s="372"/>
      <c r="AB54" s="372"/>
      <c r="AC54" s="371"/>
      <c r="AD54" s="372"/>
      <c r="AE54" s="372"/>
      <c r="AF54" s="372"/>
      <c r="AG54" s="372"/>
      <c r="AH54" s="371"/>
      <c r="AI54" s="372"/>
      <c r="AJ54" s="372"/>
      <c r="AK54" s="372"/>
      <c r="AL54" s="372"/>
      <c r="AM54" s="371"/>
      <c r="AN54" s="372"/>
      <c r="AO54" s="372"/>
      <c r="AP54" s="372"/>
      <c r="AQ54" s="372"/>
      <c r="AR54" s="371"/>
      <c r="AS54" s="372"/>
      <c r="AT54" s="372"/>
      <c r="AU54" s="372"/>
      <c r="AV54" s="372"/>
      <c r="AW54" s="371"/>
      <c r="AX54" s="372"/>
      <c r="AY54" s="372"/>
      <c r="AZ54" s="372"/>
      <c r="BA54" s="372"/>
      <c r="BB54" s="371"/>
      <c r="BC54" s="372"/>
      <c r="BD54" s="372"/>
      <c r="BE54" s="372"/>
      <c r="BF54" s="372"/>
      <c r="BG54" s="371"/>
      <c r="BH54" s="372"/>
      <c r="BI54" s="372"/>
      <c r="BJ54" s="372"/>
      <c r="BK54" s="372"/>
      <c r="BL54" s="371"/>
      <c r="BM54" s="372"/>
      <c r="BN54" s="372"/>
      <c r="BO54" s="372"/>
      <c r="BP54" s="372"/>
      <c r="BQ54" s="371"/>
      <c r="BR54" s="372"/>
      <c r="BS54" s="372"/>
      <c r="BT54" s="372"/>
      <c r="BU54" s="372"/>
      <c r="BV54" s="371"/>
      <c r="BW54" s="372"/>
      <c r="BX54" s="372"/>
      <c r="BY54" s="372"/>
      <c r="BZ54" s="372"/>
      <c r="CA54" s="371"/>
      <c r="CB54" s="372"/>
      <c r="CC54" s="372"/>
      <c r="CD54" s="372"/>
      <c r="CE54" s="372" t="e">
        <f>CE53/IS!CE33</f>
        <v>#DIV/0!</v>
      </c>
      <c r="CF54" s="371"/>
      <c r="CG54" s="372"/>
      <c r="CH54" s="372">
        <f>CH53/IS!CH33</f>
        <v>4.2842975206611573</v>
      </c>
      <c r="CI54" s="372">
        <f>CI53/IS!CI33</f>
        <v>4.1920726087815154</v>
      </c>
      <c r="CJ54" s="372">
        <f>CJ53/IS!CJ33</f>
        <v>3.2499506286617077</v>
      </c>
      <c r="CK54" s="371">
        <f>CK53/IS!CK33</f>
        <v>3.2570259928750498</v>
      </c>
      <c r="CL54" s="372">
        <f>CL53/IS!CL33</f>
        <v>4.0623643079254235</v>
      </c>
      <c r="CM54" s="372">
        <f>CM53/IS!CM33</f>
        <v>4.6459734896423104</v>
      </c>
      <c r="CN54" s="372">
        <f>CN53/IS!CN33</f>
        <v>6.6048078193105271</v>
      </c>
      <c r="CO54" s="372">
        <f>CO53/IS!CO33</f>
        <v>5.8083674277418496</v>
      </c>
      <c r="CP54" s="371">
        <f>CP53/IS!CP33</f>
        <v>5.8225838460011907</v>
      </c>
      <c r="CQ54" s="372">
        <f>CQ53/IS!CQ33</f>
        <v>5.6660722541443764</v>
      </c>
      <c r="CR54" s="372">
        <f>CR53/IS!CR33</f>
        <v>5.3194582094482987</v>
      </c>
      <c r="CS54" s="372">
        <f>CS53/IS!CS33</f>
        <v>4.9644730725811801</v>
      </c>
      <c r="CT54" s="372">
        <f>CT53/IS!CT33</f>
        <v>5.2206372483668844</v>
      </c>
      <c r="CU54" s="371">
        <f>CU53/IS!CU33</f>
        <v>5.1921706415632203</v>
      </c>
      <c r="CV54" s="372">
        <f>CV53/IS!CV33</f>
        <v>4.0323119033313306</v>
      </c>
      <c r="CW54" s="372">
        <f>CW53/IS!CW33</f>
        <v>3.2001879699248121</v>
      </c>
      <c r="CX54" s="372">
        <f>CX53/IS!CX33</f>
        <v>3.6375312647873996</v>
      </c>
      <c r="CY54" s="372">
        <f>CY53/IS!CY33</f>
        <v>4.2132357921831609</v>
      </c>
      <c r="CZ54" s="371">
        <f>CZ53/IS!CZ33</f>
        <v>4.1863673840251714</v>
      </c>
      <c r="DA54" s="372">
        <f>DA53/IS!DA33</f>
        <v>3.997422330755664</v>
      </c>
      <c r="DB54" s="372">
        <f>DB53/IS!DB33</f>
        <v>3.6705930414652412</v>
      </c>
      <c r="DC54" s="372">
        <f>DC53/IS!DC33</f>
        <v>3.7480250051521602</v>
      </c>
      <c r="DD54" s="372">
        <f>DD53/IS!DD33</f>
        <v>4.8373356833370051</v>
      </c>
      <c r="DE54" s="371">
        <f>DE53/IS!DE33</f>
        <v>4.5740673228824882</v>
      </c>
      <c r="DF54" s="372">
        <f>DF53/IS!DF33</f>
        <v>4.1927764899424211</v>
      </c>
      <c r="DG54" s="372">
        <f>DG53/IS!DG33</f>
        <v>4.4788018776544227</v>
      </c>
      <c r="DH54" s="372">
        <f>DH53/IS!DH33</f>
        <v>4.9636012479572127</v>
      </c>
      <c r="DI54" s="372">
        <f>DI53/IS!DI33</f>
        <v>4.1352212914226403</v>
      </c>
      <c r="DJ54" s="371">
        <f>DJ53/IS!DJ33</f>
        <v>4.1514559493906411</v>
      </c>
      <c r="DK54" s="372">
        <f>DK53/IS!DK33</f>
        <v>3.81491344873502</v>
      </c>
      <c r="DL54" s="372">
        <f>DL53/IS!DL33</f>
        <v>3.5317577548005907</v>
      </c>
      <c r="DM54" s="372">
        <f>DM53/IS!DM33</f>
        <v>4.3919316843345113</v>
      </c>
      <c r="DN54" s="372">
        <f>DN53/IS!DN33</f>
        <v>5.7632838016772103</v>
      </c>
      <c r="DO54" s="371">
        <f>DO53/IS!DO33</f>
        <v>5.7781606313149938</v>
      </c>
      <c r="DP54" s="372">
        <f>DP53/IS!DP33</f>
        <v>5.3496213349049651</v>
      </c>
      <c r="DQ54" s="372">
        <f>DQ53/IS!DQ33</f>
        <v>5.1450714707619607</v>
      </c>
      <c r="DR54" s="372">
        <f>DR53/IS!DR33</f>
        <v>5.3424733955832222</v>
      </c>
      <c r="DS54" s="372">
        <f>DS53/IS!DS33</f>
        <v>6.7089574531389458</v>
      </c>
      <c r="DT54" s="371">
        <f>DT53/IS!DT33</f>
        <v>6.6742063045730351</v>
      </c>
      <c r="DU54" s="371">
        <f>DU53/IS!DU33</f>
        <v>7.343852273743849</v>
      </c>
      <c r="DV54" s="371">
        <f>DV53/IS!DV33</f>
        <v>7.8379878203394897</v>
      </c>
    </row>
    <row r="55" spans="1:126" s="32" customFormat="1">
      <c r="B55" s="183" t="s">
        <v>109</v>
      </c>
      <c r="C55" s="366"/>
      <c r="D55" s="366"/>
      <c r="E55" s="366"/>
      <c r="F55" s="366"/>
      <c r="G55" s="366"/>
      <c r="H55" s="366"/>
      <c r="I55" s="366"/>
      <c r="J55" s="368"/>
      <c r="K55" s="368"/>
      <c r="L55" s="368"/>
      <c r="M55" s="368"/>
      <c r="N55" s="366"/>
      <c r="O55" s="368"/>
      <c r="P55" s="368"/>
      <c r="Q55" s="368"/>
      <c r="R55" s="368"/>
      <c r="S55" s="366"/>
      <c r="T55" s="368"/>
      <c r="U55" s="368"/>
      <c r="V55" s="368"/>
      <c r="W55" s="368"/>
      <c r="X55" s="366"/>
      <c r="Y55" s="368"/>
      <c r="Z55" s="368"/>
      <c r="AA55" s="368"/>
      <c r="AB55" s="368"/>
      <c r="AC55" s="366"/>
      <c r="AD55" s="368"/>
      <c r="AE55" s="368"/>
      <c r="AF55" s="368"/>
      <c r="AG55" s="368"/>
      <c r="AH55" s="366"/>
      <c r="AI55" s="368"/>
      <c r="AJ55" s="368"/>
      <c r="AK55" s="368"/>
      <c r="AL55" s="368"/>
      <c r="AM55" s="366"/>
      <c r="AN55" s="368"/>
      <c r="AO55" s="368"/>
      <c r="AP55" s="368"/>
      <c r="AQ55" s="368"/>
      <c r="AR55" s="366"/>
      <c r="AS55" s="368"/>
      <c r="AT55" s="368"/>
      <c r="AU55" s="368"/>
      <c r="AV55" s="368"/>
      <c r="AW55" s="366"/>
      <c r="AX55" s="368"/>
      <c r="AY55" s="368"/>
      <c r="AZ55" s="368"/>
      <c r="BA55" s="368"/>
      <c r="BB55" s="366"/>
      <c r="BC55" s="453"/>
      <c r="BD55" s="368"/>
      <c r="BE55" s="368"/>
      <c r="BF55" s="368"/>
      <c r="BG55" s="366"/>
      <c r="BH55" s="368"/>
      <c r="BI55" s="368"/>
      <c r="BJ55" s="368"/>
      <c r="BK55" s="368"/>
      <c r="BL55" s="366"/>
      <c r="BM55" s="368"/>
      <c r="BN55" s="368"/>
      <c r="BO55" s="368"/>
      <c r="BP55" s="368"/>
      <c r="BQ55" s="366"/>
      <c r="BR55" s="368"/>
      <c r="BS55" s="368"/>
      <c r="BT55" s="368"/>
      <c r="BU55" s="368"/>
      <c r="BV55" s="366"/>
      <c r="BW55" s="368"/>
      <c r="BX55" s="368"/>
      <c r="BY55" s="368"/>
      <c r="BZ55" s="368"/>
      <c r="CA55" s="366"/>
      <c r="CB55" s="368"/>
      <c r="CC55" s="368"/>
      <c r="CD55" s="368"/>
      <c r="CE55" s="368">
        <f t="shared" ref="CE55" si="194">CE42</f>
        <v>31831.5</v>
      </c>
      <c r="CF55" s="366"/>
      <c r="CG55" s="368"/>
      <c r="CH55" s="368">
        <f t="shared" ref="CH55:CK55" si="195">CH42</f>
        <v>90877</v>
      </c>
      <c r="CI55" s="368">
        <f t="shared" ref="CI55" si="196">CI42</f>
        <v>92002.853617216111</v>
      </c>
      <c r="CJ55" s="368">
        <f t="shared" si="195"/>
        <v>41869</v>
      </c>
      <c r="CK55" s="366">
        <f t="shared" si="195"/>
        <v>41869</v>
      </c>
      <c r="CL55" s="368">
        <f t="shared" ref="CL55:CP55" si="197">CL42</f>
        <v>82427.79522009191</v>
      </c>
      <c r="CM55" s="368">
        <f t="shared" si="197"/>
        <v>67260</v>
      </c>
      <c r="CN55" s="368">
        <f t="shared" si="197"/>
        <v>68409</v>
      </c>
      <c r="CO55" s="368">
        <f t="shared" si="197"/>
        <v>72195</v>
      </c>
      <c r="CP55" s="366">
        <f t="shared" si="197"/>
        <v>72195</v>
      </c>
      <c r="CQ55" s="368">
        <f t="shared" ref="CQ55:CV55" si="198">CQ42</f>
        <v>71744</v>
      </c>
      <c r="CR55" s="368">
        <f t="shared" si="198"/>
        <v>71145</v>
      </c>
      <c r="CS55" s="368">
        <f t="shared" si="198"/>
        <v>71340</v>
      </c>
      <c r="CT55" s="368">
        <f t="shared" si="198"/>
        <v>73103</v>
      </c>
      <c r="CU55" s="366">
        <f t="shared" si="198"/>
        <v>73103</v>
      </c>
      <c r="CV55" s="368">
        <f t="shared" si="198"/>
        <v>72498</v>
      </c>
      <c r="CW55" s="368">
        <f t="shared" ref="CW55:CZ55" si="199">CW42</f>
        <v>70479</v>
      </c>
      <c r="CX55" s="368">
        <f t="shared" si="199"/>
        <v>70220</v>
      </c>
      <c r="CY55" s="368">
        <f t="shared" si="199"/>
        <v>72668</v>
      </c>
      <c r="CZ55" s="366">
        <f t="shared" si="199"/>
        <v>72668</v>
      </c>
      <c r="DA55" s="368">
        <f t="shared" ref="DA55:DE55" si="200">DA42</f>
        <v>72833</v>
      </c>
      <c r="DB55" s="368">
        <f t="shared" si="200"/>
        <v>72511</v>
      </c>
      <c r="DC55" s="368">
        <f t="shared" si="200"/>
        <v>69629</v>
      </c>
      <c r="DD55" s="368">
        <f t="shared" si="200"/>
        <v>59833</v>
      </c>
      <c r="DE55" s="366">
        <f t="shared" si="200"/>
        <v>59833</v>
      </c>
      <c r="DF55" s="368">
        <f t="shared" ref="DF55:DI55" si="201">DF42</f>
        <v>60522</v>
      </c>
      <c r="DG55" s="368">
        <f t="shared" si="201"/>
        <v>59016</v>
      </c>
      <c r="DH55" s="368">
        <f t="shared" si="201"/>
        <v>61147</v>
      </c>
      <c r="DI55" s="368">
        <f t="shared" si="201"/>
        <v>60191</v>
      </c>
      <c r="DJ55" s="366">
        <f t="shared" ref="DJ55:DM55" si="202">DJ42</f>
        <v>60191</v>
      </c>
      <c r="DK55" s="368">
        <f t="shared" si="202"/>
        <v>61553</v>
      </c>
      <c r="DL55" s="368">
        <f t="shared" si="202"/>
        <v>62439</v>
      </c>
      <c r="DM55" s="368">
        <f t="shared" si="202"/>
        <v>64548</v>
      </c>
      <c r="DN55" s="368">
        <f t="shared" ref="DN55" si="203">DN42</f>
        <v>67629.927228180895</v>
      </c>
      <c r="DO55" s="366">
        <f t="shared" ref="DO55:DS55" si="204">DO42</f>
        <v>67629.927228180895</v>
      </c>
      <c r="DP55" s="368">
        <f t="shared" ref="DP55" si="205">DP42</f>
        <v>65530.68460296726</v>
      </c>
      <c r="DQ55" s="368">
        <f t="shared" si="204"/>
        <v>66732.286626470392</v>
      </c>
      <c r="DR55" s="368">
        <f t="shared" si="204"/>
        <v>68461.740978639384</v>
      </c>
      <c r="DS55" s="368">
        <f t="shared" si="204"/>
        <v>71063.88757136307</v>
      </c>
      <c r="DT55" s="366">
        <f t="shared" ref="DT55" si="206">DT42</f>
        <v>71063.88757136307</v>
      </c>
      <c r="DU55" s="366">
        <f t="shared" ref="DU55:DV55" si="207">DU42</f>
        <v>69266.491626501171</v>
      </c>
      <c r="DV55" s="366">
        <f t="shared" si="207"/>
        <v>71818.942253285059</v>
      </c>
    </row>
    <row r="56" spans="1:126" s="183" customFormat="1">
      <c r="B56" s="183" t="s">
        <v>110</v>
      </c>
      <c r="C56" s="366"/>
      <c r="D56" s="366"/>
      <c r="E56" s="366"/>
      <c r="F56" s="366"/>
      <c r="G56" s="366"/>
      <c r="H56" s="366"/>
      <c r="I56" s="366"/>
      <c r="J56" s="368"/>
      <c r="K56" s="368"/>
      <c r="L56" s="368"/>
      <c r="M56" s="368"/>
      <c r="N56" s="366"/>
      <c r="O56" s="368"/>
      <c r="P56" s="368"/>
      <c r="Q56" s="368"/>
      <c r="R56" s="368"/>
      <c r="S56" s="366"/>
      <c r="T56" s="368"/>
      <c r="U56" s="368"/>
      <c r="V56" s="368"/>
      <c r="W56" s="368"/>
      <c r="X56" s="366"/>
      <c r="Y56" s="368"/>
      <c r="Z56" s="368"/>
      <c r="AA56" s="368"/>
      <c r="AB56" s="368"/>
      <c r="AC56" s="366"/>
      <c r="AD56" s="368"/>
      <c r="AE56" s="368"/>
      <c r="AF56" s="368"/>
      <c r="AG56" s="368"/>
      <c r="AH56" s="366"/>
      <c r="AI56" s="368"/>
      <c r="AJ56" s="368"/>
      <c r="AK56" s="368"/>
      <c r="AL56" s="368"/>
      <c r="AM56" s="366"/>
      <c r="AN56" s="368"/>
      <c r="AO56" s="368"/>
      <c r="AP56" s="368"/>
      <c r="AQ56" s="368"/>
      <c r="AR56" s="366"/>
      <c r="AS56" s="368"/>
      <c r="AT56" s="368"/>
      <c r="AU56" s="368"/>
      <c r="AV56" s="368"/>
      <c r="AW56" s="366"/>
      <c r="AX56" s="368"/>
      <c r="AY56" s="368"/>
      <c r="AZ56" s="368"/>
      <c r="BA56" s="368"/>
      <c r="BB56" s="366"/>
      <c r="BC56" s="453"/>
      <c r="BD56" s="368"/>
      <c r="BE56" s="368"/>
      <c r="BF56" s="368"/>
      <c r="BG56" s="366"/>
      <c r="BH56" s="368"/>
      <c r="BI56" s="368"/>
      <c r="BJ56" s="368"/>
      <c r="BK56" s="368"/>
      <c r="BL56" s="366"/>
      <c r="BM56" s="368"/>
      <c r="BN56" s="368"/>
      <c r="BO56" s="368"/>
      <c r="BP56" s="368"/>
      <c r="BQ56" s="366"/>
      <c r="BR56" s="368"/>
      <c r="BS56" s="368"/>
      <c r="BT56" s="368"/>
      <c r="BU56" s="368"/>
      <c r="BV56" s="366"/>
      <c r="BW56" s="368"/>
      <c r="BX56" s="368"/>
      <c r="BY56" s="368"/>
      <c r="BZ56" s="368"/>
      <c r="CA56" s="366"/>
      <c r="CB56" s="368"/>
      <c r="CC56" s="368"/>
      <c r="CD56" s="368"/>
      <c r="CE56" s="368">
        <f>CE31+CE23+CE29</f>
        <v>0</v>
      </c>
      <c r="CF56" s="366"/>
      <c r="CG56" s="368"/>
      <c r="CH56" s="368">
        <f t="shared" ref="CH56:CP56" si="208">CH31+CH23+CH29</f>
        <v>33811</v>
      </c>
      <c r="CI56" s="368">
        <f t="shared" si="208"/>
        <v>33105</v>
      </c>
      <c r="CJ56" s="368">
        <f t="shared" si="208"/>
        <v>43252</v>
      </c>
      <c r="CK56" s="366">
        <f t="shared" si="208"/>
        <v>43252</v>
      </c>
      <c r="CL56" s="368">
        <f t="shared" si="208"/>
        <v>28779</v>
      </c>
      <c r="CM56" s="368">
        <f t="shared" si="208"/>
        <v>32750</v>
      </c>
      <c r="CN56" s="368">
        <f t="shared" si="208"/>
        <v>32781</v>
      </c>
      <c r="CO56" s="368">
        <f t="shared" si="208"/>
        <v>31823</v>
      </c>
      <c r="CP56" s="366">
        <f t="shared" si="208"/>
        <v>31823</v>
      </c>
      <c r="CQ56" s="368">
        <f t="shared" ref="CQ56:CV56" si="209">CQ31+CQ23+CQ29</f>
        <v>31538</v>
      </c>
      <c r="CR56" s="368">
        <f t="shared" si="209"/>
        <v>31482</v>
      </c>
      <c r="CS56" s="368">
        <f t="shared" si="209"/>
        <v>31248</v>
      </c>
      <c r="CT56" s="368">
        <f t="shared" si="209"/>
        <v>31485</v>
      </c>
      <c r="CU56" s="366">
        <f t="shared" si="209"/>
        <v>31485</v>
      </c>
      <c r="CV56" s="368">
        <f t="shared" si="209"/>
        <v>31472</v>
      </c>
      <c r="CW56" s="368">
        <f t="shared" ref="CW56:CZ56" si="210">CW31+CW23+CW29</f>
        <v>31413</v>
      </c>
      <c r="CX56" s="368">
        <f t="shared" si="210"/>
        <v>33447</v>
      </c>
      <c r="CY56" s="368">
        <f t="shared" si="210"/>
        <v>31914</v>
      </c>
      <c r="CZ56" s="366">
        <f t="shared" si="210"/>
        <v>31914</v>
      </c>
      <c r="DA56" s="368">
        <f t="shared" ref="DA56:DE56" si="211">DA31+DA23+DA29</f>
        <v>34486</v>
      </c>
      <c r="DB56" s="368">
        <f t="shared" si="211"/>
        <v>35353</v>
      </c>
      <c r="DC56" s="368">
        <f t="shared" si="211"/>
        <v>35260</v>
      </c>
      <c r="DD56" s="368">
        <f t="shared" si="211"/>
        <v>43827</v>
      </c>
      <c r="DE56" s="366">
        <f t="shared" si="211"/>
        <v>43827</v>
      </c>
      <c r="DF56" s="368">
        <f t="shared" ref="DF56:DI56" si="212">DF31+DF23+DF29</f>
        <v>42844</v>
      </c>
      <c r="DG56" s="368">
        <f t="shared" si="212"/>
        <v>42151</v>
      </c>
      <c r="DH56" s="368">
        <f t="shared" si="212"/>
        <v>42156</v>
      </c>
      <c r="DI56" s="368">
        <f t="shared" si="212"/>
        <v>41261</v>
      </c>
      <c r="DJ56" s="366">
        <f t="shared" ref="DJ56:DM56" si="213">DJ31+DJ23+DJ29</f>
        <v>41261</v>
      </c>
      <c r="DK56" s="368">
        <f t="shared" si="213"/>
        <v>41300</v>
      </c>
      <c r="DL56" s="368">
        <f t="shared" si="213"/>
        <v>41978</v>
      </c>
      <c r="DM56" s="368">
        <f t="shared" si="213"/>
        <v>39059</v>
      </c>
      <c r="DN56" s="368">
        <f t="shared" ref="DN56" si="214">DN31+DN23+DN29</f>
        <v>38309</v>
      </c>
      <c r="DO56" s="366">
        <f t="shared" ref="DO56:DS56" si="215">DO31+DO23+DO29</f>
        <v>38309</v>
      </c>
      <c r="DP56" s="368">
        <f t="shared" ref="DP56" si="216">DP31+DP23+DP29</f>
        <v>38309</v>
      </c>
      <c r="DQ56" s="368">
        <f t="shared" si="215"/>
        <v>38309</v>
      </c>
      <c r="DR56" s="368">
        <f t="shared" si="215"/>
        <v>38309</v>
      </c>
      <c r="DS56" s="368">
        <f t="shared" si="215"/>
        <v>38309</v>
      </c>
      <c r="DT56" s="366">
        <f t="shared" ref="DT56" si="217">DT31+DT23+DT29</f>
        <v>38309</v>
      </c>
      <c r="DU56" s="366">
        <f t="shared" ref="DU56:DV56" si="218">DU31+DU23+DU29</f>
        <v>38309</v>
      </c>
      <c r="DV56" s="366">
        <f t="shared" si="218"/>
        <v>38309</v>
      </c>
    </row>
    <row r="57" spans="1:126" s="32" customFormat="1">
      <c r="B57" s="183" t="s">
        <v>111</v>
      </c>
      <c r="C57" s="366"/>
      <c r="D57" s="366"/>
      <c r="E57" s="366"/>
      <c r="F57" s="366"/>
      <c r="G57" s="366"/>
      <c r="H57" s="366"/>
      <c r="I57" s="366"/>
      <c r="J57" s="368"/>
      <c r="K57" s="368"/>
      <c r="L57" s="368"/>
      <c r="M57" s="368"/>
      <c r="N57" s="366"/>
      <c r="O57" s="368"/>
      <c r="P57" s="368"/>
      <c r="Q57" s="368"/>
      <c r="R57" s="368"/>
      <c r="S57" s="366"/>
      <c r="T57" s="368"/>
      <c r="U57" s="368"/>
      <c r="V57" s="368"/>
      <c r="W57" s="368"/>
      <c r="X57" s="366"/>
      <c r="Y57" s="368"/>
      <c r="Z57" s="368"/>
      <c r="AA57" s="368"/>
      <c r="AB57" s="368"/>
      <c r="AC57" s="366"/>
      <c r="AD57" s="368"/>
      <c r="AE57" s="368"/>
      <c r="AF57" s="368"/>
      <c r="AG57" s="368"/>
      <c r="AH57" s="366"/>
      <c r="AI57" s="368"/>
      <c r="AJ57" s="368"/>
      <c r="AK57" s="368"/>
      <c r="AL57" s="368"/>
      <c r="AM57" s="366"/>
      <c r="AN57" s="368"/>
      <c r="AO57" s="368"/>
      <c r="AP57" s="368"/>
      <c r="AQ57" s="368"/>
      <c r="AR57" s="366"/>
      <c r="AS57" s="368"/>
      <c r="AT57" s="368"/>
      <c r="AU57" s="368"/>
      <c r="AV57" s="368"/>
      <c r="AW57" s="366"/>
      <c r="AX57" s="368"/>
      <c r="AY57" s="368"/>
      <c r="AZ57" s="368"/>
      <c r="BA57" s="368"/>
      <c r="BB57" s="366"/>
      <c r="BC57" s="453"/>
      <c r="BD57" s="368"/>
      <c r="BE57" s="368"/>
      <c r="BF57" s="368"/>
      <c r="BG57" s="366"/>
      <c r="BH57" s="368"/>
      <c r="BI57" s="368"/>
      <c r="BJ57" s="368"/>
      <c r="BK57" s="368"/>
      <c r="BL57" s="366"/>
      <c r="BM57" s="368"/>
      <c r="BN57" s="368"/>
      <c r="BO57" s="368"/>
      <c r="BP57" s="368"/>
      <c r="BQ57" s="366"/>
      <c r="BR57" s="368"/>
      <c r="BS57" s="368"/>
      <c r="BT57" s="368"/>
      <c r="BU57" s="368"/>
      <c r="BV57" s="366"/>
      <c r="BW57" s="368"/>
      <c r="BX57" s="368"/>
      <c r="BY57" s="368"/>
      <c r="BZ57" s="368"/>
      <c r="CA57" s="366"/>
      <c r="CB57" s="368"/>
      <c r="CC57" s="368"/>
      <c r="CD57" s="368"/>
      <c r="CE57" s="368">
        <f t="shared" ref="CE57" si="219">CE56-CE53</f>
        <v>0</v>
      </c>
      <c r="CF57" s="366"/>
      <c r="CG57" s="368"/>
      <c r="CH57" s="368">
        <f t="shared" ref="CH57:CK57" si="220">CH56-CH53</f>
        <v>27331</v>
      </c>
      <c r="CI57" s="368">
        <f t="shared" ref="CI57" si="221">CI56-CI53</f>
        <v>26736.822500000002</v>
      </c>
      <c r="CJ57" s="368">
        <f t="shared" si="220"/>
        <v>38315</v>
      </c>
      <c r="CK57" s="366">
        <f t="shared" si="220"/>
        <v>38315</v>
      </c>
      <c r="CL57" s="368">
        <f t="shared" ref="CL57:CP57" si="222">CL56-CL53</f>
        <v>22612.737217000002</v>
      </c>
      <c r="CM57" s="368">
        <f t="shared" si="222"/>
        <v>25775</v>
      </c>
      <c r="CN57" s="368">
        <f t="shared" si="222"/>
        <v>22780</v>
      </c>
      <c r="CO57" s="368">
        <f t="shared" si="222"/>
        <v>23021</v>
      </c>
      <c r="CP57" s="366">
        <f t="shared" si="222"/>
        <v>23021</v>
      </c>
      <c r="CQ57" s="368">
        <f t="shared" ref="CQ57:CV57" si="223">CQ56-CQ53</f>
        <v>22959</v>
      </c>
      <c r="CR57" s="368">
        <f t="shared" si="223"/>
        <v>23431</v>
      </c>
      <c r="CS57" s="368">
        <f t="shared" si="223"/>
        <v>23772</v>
      </c>
      <c r="CT57" s="368">
        <f t="shared" si="223"/>
        <v>23653</v>
      </c>
      <c r="CU57" s="366">
        <f t="shared" si="223"/>
        <v>23653</v>
      </c>
      <c r="CV57" s="368">
        <f t="shared" si="223"/>
        <v>25432</v>
      </c>
      <c r="CW57" s="368">
        <f t="shared" ref="CW57:CZ57" si="224">CW56-CW53</f>
        <v>26646</v>
      </c>
      <c r="CX57" s="368">
        <f t="shared" si="224"/>
        <v>28066</v>
      </c>
      <c r="CY57" s="368">
        <f t="shared" si="224"/>
        <v>25694</v>
      </c>
      <c r="CZ57" s="366">
        <f t="shared" si="224"/>
        <v>25694</v>
      </c>
      <c r="DA57" s="368">
        <f t="shared" ref="DA57:DE57" si="225">DA56-DA53</f>
        <v>28593</v>
      </c>
      <c r="DB57" s="368">
        <f t="shared" si="225"/>
        <v>29962</v>
      </c>
      <c r="DC57" s="368">
        <f t="shared" si="225"/>
        <v>29804</v>
      </c>
      <c r="DD57" s="368">
        <f t="shared" si="225"/>
        <v>37240</v>
      </c>
      <c r="DE57" s="366">
        <f t="shared" si="225"/>
        <v>37240</v>
      </c>
      <c r="DF57" s="368">
        <f t="shared" ref="DF57:DI57" si="226">DF56-DF53</f>
        <v>37237</v>
      </c>
      <c r="DG57" s="368">
        <f t="shared" si="226"/>
        <v>36140</v>
      </c>
      <c r="DH57" s="368">
        <f t="shared" si="226"/>
        <v>35474</v>
      </c>
      <c r="DI57" s="368">
        <f t="shared" si="226"/>
        <v>35683</v>
      </c>
      <c r="DJ57" s="366">
        <f t="shared" ref="DJ57:DM57" si="227">DJ56-DJ53</f>
        <v>35683</v>
      </c>
      <c r="DK57" s="368">
        <f t="shared" si="227"/>
        <v>36143</v>
      </c>
      <c r="DL57" s="368">
        <f t="shared" si="227"/>
        <v>37196</v>
      </c>
      <c r="DM57" s="368">
        <f t="shared" si="227"/>
        <v>33093</v>
      </c>
      <c r="DN57" s="368">
        <f t="shared" ref="DN57" si="228">DN56-DN53</f>
        <v>30474.392</v>
      </c>
      <c r="DO57" s="366">
        <f t="shared" ref="DO57:DS57" si="229">DO56-DO53</f>
        <v>30474.392</v>
      </c>
      <c r="DP57" s="368">
        <f t="shared" ref="DP57" si="230">DP56-DP53</f>
        <v>31047.423999999999</v>
      </c>
      <c r="DQ57" s="368">
        <f t="shared" si="229"/>
        <v>31340.515200000002</v>
      </c>
      <c r="DR57" s="368">
        <f t="shared" si="229"/>
        <v>31099.866399999999</v>
      </c>
      <c r="DS57" s="368">
        <f t="shared" si="229"/>
        <v>29289.477599999998</v>
      </c>
      <c r="DT57" s="366">
        <f t="shared" ref="DT57" si="231">DT56-DT53</f>
        <v>29289.477599999998</v>
      </c>
      <c r="DU57" s="366">
        <f t="shared" ref="DU57:DV57" si="232">DU56-DU53</f>
        <v>28457.956559999999</v>
      </c>
      <c r="DV57" s="366">
        <f t="shared" si="232"/>
        <v>27873.503016000002</v>
      </c>
    </row>
    <row r="58" spans="1:126" s="32" customFormat="1">
      <c r="B58" s="183" t="s">
        <v>112</v>
      </c>
      <c r="C58" s="181"/>
      <c r="D58" s="181"/>
      <c r="E58" s="181"/>
      <c r="F58" s="181"/>
      <c r="G58" s="181"/>
      <c r="H58" s="181"/>
      <c r="I58" s="181"/>
      <c r="J58" s="373"/>
      <c r="K58" s="373"/>
      <c r="L58" s="373"/>
      <c r="M58" s="373"/>
      <c r="N58" s="181"/>
      <c r="O58" s="373"/>
      <c r="P58" s="373"/>
      <c r="Q58" s="373"/>
      <c r="R58" s="373"/>
      <c r="S58" s="181"/>
      <c r="T58" s="373"/>
      <c r="U58" s="373"/>
      <c r="V58" s="373"/>
      <c r="W58" s="373"/>
      <c r="X58" s="181"/>
      <c r="Y58" s="373"/>
      <c r="Z58" s="373"/>
      <c r="AA58" s="373"/>
      <c r="AB58" s="373"/>
      <c r="AC58" s="181"/>
      <c r="AD58" s="373"/>
      <c r="AE58" s="373"/>
      <c r="AF58" s="373"/>
      <c r="AG58" s="373"/>
      <c r="AH58" s="181"/>
      <c r="AI58" s="373"/>
      <c r="AJ58" s="373"/>
      <c r="AK58" s="373"/>
      <c r="AL58" s="373"/>
      <c r="AM58" s="181"/>
      <c r="AN58" s="373"/>
      <c r="AO58" s="373"/>
      <c r="AP58" s="373"/>
      <c r="AQ58" s="373"/>
      <c r="AR58" s="181"/>
      <c r="AS58" s="373"/>
      <c r="AT58" s="373"/>
      <c r="AU58" s="373"/>
      <c r="AV58" s="373"/>
      <c r="AW58" s="181"/>
      <c r="AX58" s="373"/>
      <c r="AY58" s="373"/>
      <c r="AZ58" s="373"/>
      <c r="BA58" s="373"/>
      <c r="BB58" s="181"/>
      <c r="BC58" s="393"/>
      <c r="BD58" s="373"/>
      <c r="BE58" s="373"/>
      <c r="BF58" s="373"/>
      <c r="BG58" s="181"/>
      <c r="BH58" s="373"/>
      <c r="BI58" s="373"/>
      <c r="BJ58" s="373"/>
      <c r="BK58" s="373"/>
      <c r="BL58" s="181"/>
      <c r="BM58" s="373"/>
      <c r="BN58" s="373"/>
      <c r="BO58" s="373"/>
      <c r="BP58" s="373"/>
      <c r="BQ58" s="181"/>
      <c r="BR58" s="373"/>
      <c r="BS58" s="373"/>
      <c r="BT58" s="373"/>
      <c r="BU58" s="373"/>
      <c r="BV58" s="181"/>
      <c r="BW58" s="373"/>
      <c r="BX58" s="373"/>
      <c r="BY58" s="373"/>
      <c r="BZ58" s="373"/>
      <c r="CA58" s="181"/>
      <c r="CB58" s="373"/>
      <c r="CC58" s="373"/>
      <c r="CD58" s="373"/>
      <c r="CE58" s="373">
        <f t="shared" ref="CE58" si="233">CE56/(CE56+CE55)</f>
        <v>0</v>
      </c>
      <c r="CF58" s="181"/>
      <c r="CG58" s="373"/>
      <c r="CH58" s="373">
        <f t="shared" ref="CH58:CK58" si="234">CH56/(CH56+CH55)</f>
        <v>0.27116482740921338</v>
      </c>
      <c r="CI58" s="373">
        <f t="shared" ref="CI58" si="235">CI56/(CI56+CI55)</f>
        <v>0.26461168538059243</v>
      </c>
      <c r="CJ58" s="373">
        <f t="shared" si="234"/>
        <v>0.50812372974941555</v>
      </c>
      <c r="CK58" s="181">
        <f t="shared" si="234"/>
        <v>0.50812372974941555</v>
      </c>
      <c r="CL58" s="373">
        <f t="shared" ref="CL58:CP58" si="236">CL56/(CL56+CL55)</f>
        <v>0.25878814278428602</v>
      </c>
      <c r="CM58" s="373">
        <f t="shared" si="236"/>
        <v>0.32746725327467252</v>
      </c>
      <c r="CN58" s="373">
        <f t="shared" si="236"/>
        <v>0.32395493625852356</v>
      </c>
      <c r="CO58" s="373">
        <f t="shared" si="236"/>
        <v>0.30593743390567019</v>
      </c>
      <c r="CP58" s="181">
        <f t="shared" si="236"/>
        <v>0.30593743390567019</v>
      </c>
      <c r="CQ58" s="373">
        <f t="shared" ref="CQ58:CV58" si="237">CQ56/(CQ56+CQ55)</f>
        <v>0.30535814565945663</v>
      </c>
      <c r="CR58" s="373">
        <f t="shared" si="237"/>
        <v>0.30676137858458302</v>
      </c>
      <c r="CS58" s="373">
        <f t="shared" si="237"/>
        <v>0.30459702889226808</v>
      </c>
      <c r="CT58" s="373">
        <f t="shared" si="237"/>
        <v>0.30103836004130491</v>
      </c>
      <c r="CU58" s="181">
        <f t="shared" si="237"/>
        <v>0.30103836004130491</v>
      </c>
      <c r="CV58" s="373">
        <f t="shared" si="237"/>
        <v>0.30270270270270272</v>
      </c>
      <c r="CW58" s="373">
        <f t="shared" ref="CW58:CZ58" si="238">CW56/(CW56+CW55)</f>
        <v>0.30829702037451417</v>
      </c>
      <c r="CX58" s="373">
        <f t="shared" si="238"/>
        <v>0.32263883395873327</v>
      </c>
      <c r="CY58" s="373">
        <f t="shared" si="238"/>
        <v>0.30515767531697613</v>
      </c>
      <c r="CZ58" s="181">
        <f t="shared" si="238"/>
        <v>0.30515767531697613</v>
      </c>
      <c r="DA58" s="373">
        <f t="shared" ref="DA58:DE58" si="239">DA56/(DA56+DA55)</f>
        <v>0.32134104864935381</v>
      </c>
      <c r="DB58" s="373">
        <f t="shared" si="239"/>
        <v>0.32775532151598308</v>
      </c>
      <c r="DC58" s="373">
        <f t="shared" si="239"/>
        <v>0.33616489813040451</v>
      </c>
      <c r="DD58" s="373">
        <f t="shared" si="239"/>
        <v>0.42279567817866098</v>
      </c>
      <c r="DE58" s="181">
        <f t="shared" si="239"/>
        <v>0.42279567817866098</v>
      </c>
      <c r="DF58" s="373">
        <f t="shared" ref="DF58:DI58" si="240">DF56/(DF56+DF55)</f>
        <v>0.41448832304626282</v>
      </c>
      <c r="DG58" s="373">
        <f t="shared" si="240"/>
        <v>0.4166477210948234</v>
      </c>
      <c r="DH58" s="373">
        <f t="shared" si="240"/>
        <v>0.40808108186596709</v>
      </c>
      <c r="DI58" s="373">
        <f t="shared" si="240"/>
        <v>0.4067046485037259</v>
      </c>
      <c r="DJ58" s="181">
        <f t="shared" ref="DJ58:DM58" si="241">DJ56/(DJ56+DJ55)</f>
        <v>0.4067046485037259</v>
      </c>
      <c r="DK58" s="373">
        <f t="shared" si="241"/>
        <v>0.4015439510758072</v>
      </c>
      <c r="DL58" s="373">
        <f t="shared" si="241"/>
        <v>0.40202265914554142</v>
      </c>
      <c r="DM58" s="373">
        <f t="shared" si="241"/>
        <v>0.37699190209155753</v>
      </c>
      <c r="DN58" s="373">
        <f t="shared" ref="DN58" si="242">DN56/(DN56+DN55)</f>
        <v>0.3616140072618122</v>
      </c>
      <c r="DO58" s="181">
        <f t="shared" ref="DO58:DS58" si="243">DO56/(DO56+DO55)</f>
        <v>0.3616140072618122</v>
      </c>
      <c r="DP58" s="373">
        <f t="shared" ref="DP58" si="244">DP56/(DP56+DP55)</f>
        <v>0.3689244641533253</v>
      </c>
      <c r="DQ58" s="373">
        <f t="shared" si="243"/>
        <v>0.36470421517424689</v>
      </c>
      <c r="DR58" s="373">
        <f t="shared" si="243"/>
        <v>0.35879679815712923</v>
      </c>
      <c r="DS58" s="373">
        <f t="shared" si="243"/>
        <v>0.35026047908815006</v>
      </c>
      <c r="DT58" s="181">
        <f t="shared" ref="DT58" si="245">DT56/(DT56+DT55)</f>
        <v>0.35026047908815006</v>
      </c>
      <c r="DU58" s="181">
        <f t="shared" ref="DU58:DV58" si="246">DU56/(DU56+DU55)</f>
        <v>0.3561127113693115</v>
      </c>
      <c r="DV58" s="181">
        <f t="shared" si="246"/>
        <v>0.34785903755372549</v>
      </c>
    </row>
    <row r="59" spans="1:126" s="32" customFormat="1">
      <c r="B59" s="32" t="s">
        <v>113</v>
      </c>
      <c r="C59" s="181"/>
      <c r="D59" s="181"/>
      <c r="E59" s="181"/>
      <c r="F59" s="181"/>
      <c r="G59" s="181"/>
      <c r="H59" s="181"/>
      <c r="I59" s="181"/>
      <c r="J59" s="373"/>
      <c r="K59" s="373"/>
      <c r="L59" s="373"/>
      <c r="M59" s="373"/>
      <c r="N59" s="181"/>
      <c r="O59" s="373"/>
      <c r="P59" s="373"/>
      <c r="Q59" s="373"/>
      <c r="R59" s="373"/>
      <c r="S59" s="181"/>
      <c r="T59" s="373"/>
      <c r="U59" s="373"/>
      <c r="V59" s="373"/>
      <c r="W59" s="373"/>
      <c r="X59" s="181"/>
      <c r="Y59" s="373"/>
      <c r="Z59" s="373"/>
      <c r="AA59" s="373"/>
      <c r="AB59" s="373"/>
      <c r="AC59" s="181"/>
      <c r="AD59" s="373"/>
      <c r="AE59" s="373"/>
      <c r="AF59" s="373"/>
      <c r="AG59" s="373"/>
      <c r="AH59" s="181"/>
      <c r="AI59" s="373"/>
      <c r="AJ59" s="373"/>
      <c r="AK59" s="373"/>
      <c r="AL59" s="373"/>
      <c r="AM59" s="181"/>
      <c r="AN59" s="373"/>
      <c r="AO59" s="373"/>
      <c r="AP59" s="373"/>
      <c r="AQ59" s="373"/>
      <c r="AR59" s="181"/>
      <c r="AS59" s="373"/>
      <c r="AT59" s="373"/>
      <c r="AU59" s="373"/>
      <c r="AV59" s="373"/>
      <c r="AW59" s="181"/>
      <c r="AX59" s="373"/>
      <c r="AY59" s="373"/>
      <c r="AZ59" s="373"/>
      <c r="BA59" s="373"/>
      <c r="BB59" s="181"/>
      <c r="BC59" s="393"/>
      <c r="BD59" s="373"/>
      <c r="BE59" s="373"/>
      <c r="BF59" s="373"/>
      <c r="BG59" s="181"/>
      <c r="BH59" s="373"/>
      <c r="BI59" s="373"/>
      <c r="BJ59" s="373"/>
      <c r="BK59" s="373"/>
      <c r="BL59" s="181"/>
      <c r="BM59" s="373"/>
      <c r="BN59" s="373"/>
      <c r="BO59" s="373"/>
      <c r="BP59" s="373"/>
      <c r="BQ59" s="181"/>
      <c r="BR59" s="373"/>
      <c r="BS59" s="373"/>
      <c r="BT59" s="373"/>
      <c r="BU59" s="373"/>
      <c r="BV59" s="181"/>
      <c r="BW59" s="373"/>
      <c r="BX59" s="373"/>
      <c r="BY59" s="373"/>
      <c r="BZ59" s="373"/>
      <c r="CA59" s="181"/>
      <c r="CB59" s="373"/>
      <c r="CC59" s="373"/>
      <c r="CD59" s="373"/>
      <c r="CE59" s="373">
        <f t="shared" ref="CE59" si="247">CE57/(CE55+CE56)</f>
        <v>0</v>
      </c>
      <c r="CF59" s="181"/>
      <c r="CG59" s="373"/>
      <c r="CH59" s="373">
        <f t="shared" ref="CH59:CK59" si="248">CH57/(CH55+CH56)</f>
        <v>0.21919511099704864</v>
      </c>
      <c r="CI59" s="373">
        <f t="shared" ref="CI59" si="249">CI57/(CI55+CI56)</f>
        <v>0.21371018466838076</v>
      </c>
      <c r="CJ59" s="373">
        <f t="shared" si="248"/>
        <v>0.45012394121309662</v>
      </c>
      <c r="CK59" s="181">
        <f t="shared" si="248"/>
        <v>0.45012394121309662</v>
      </c>
      <c r="CL59" s="373">
        <f t="shared" ref="CL59:CP59" si="250">CL57/(CL55+CL56)</f>
        <v>0.20333952769924371</v>
      </c>
      <c r="CM59" s="373">
        <f t="shared" si="250"/>
        <v>0.25772422757724228</v>
      </c>
      <c r="CN59" s="373">
        <f t="shared" si="250"/>
        <v>0.22512105939322066</v>
      </c>
      <c r="CO59" s="373">
        <f t="shared" si="250"/>
        <v>0.2213174642850276</v>
      </c>
      <c r="CP59" s="181">
        <f t="shared" si="250"/>
        <v>0.2213174642850276</v>
      </c>
      <c r="CQ59" s="373">
        <f t="shared" ref="CQ59:CV59" si="251">CQ57/(CQ55+CQ56)</f>
        <v>0.22229430103987141</v>
      </c>
      <c r="CR59" s="373">
        <f t="shared" si="251"/>
        <v>0.22831223752034066</v>
      </c>
      <c r="CS59" s="373">
        <f t="shared" si="251"/>
        <v>0.2317230085390104</v>
      </c>
      <c r="CT59" s="373">
        <f t="shared" si="251"/>
        <v>0.22615405209010594</v>
      </c>
      <c r="CU59" s="181">
        <f t="shared" si="251"/>
        <v>0.22615405209010594</v>
      </c>
      <c r="CV59" s="373">
        <f t="shared" si="251"/>
        <v>0.24460902183322111</v>
      </c>
      <c r="CW59" s="373">
        <f t="shared" ref="CW59:CZ59" si="252">CW57/(CW55+CW56)</f>
        <v>0.26151218937698739</v>
      </c>
      <c r="CX59" s="373">
        <f t="shared" si="252"/>
        <v>0.27073224844936189</v>
      </c>
      <c r="CY59" s="373">
        <f t="shared" si="252"/>
        <v>0.24568281348606835</v>
      </c>
      <c r="CZ59" s="181">
        <f t="shared" si="252"/>
        <v>0.24568281348606835</v>
      </c>
      <c r="DA59" s="373">
        <f t="shared" ref="DA59:DE59" si="253">DA57/(DA55+DA56)</f>
        <v>0.26642998909792304</v>
      </c>
      <c r="DB59" s="373">
        <f t="shared" si="253"/>
        <v>0.27777571757027369</v>
      </c>
      <c r="DC59" s="373">
        <f t="shared" si="253"/>
        <v>0.28414800408050417</v>
      </c>
      <c r="DD59" s="373">
        <f t="shared" si="253"/>
        <v>0.3592513988037816</v>
      </c>
      <c r="DE59" s="181">
        <f t="shared" si="253"/>
        <v>0.3592513988037816</v>
      </c>
      <c r="DF59" s="373">
        <f t="shared" ref="DF59:DI59" si="254">DF57/(DF55+DF56)</f>
        <v>0.36024418087185339</v>
      </c>
      <c r="DG59" s="373">
        <f t="shared" si="254"/>
        <v>0.3572311129123133</v>
      </c>
      <c r="DH59" s="373">
        <f t="shared" si="254"/>
        <v>0.34339757799870285</v>
      </c>
      <c r="DI59" s="373">
        <f t="shared" si="254"/>
        <v>0.3517229822970469</v>
      </c>
      <c r="DJ59" s="181">
        <f t="shared" ref="DJ59:DM59" si="255">DJ57/(DJ55+DJ56)</f>
        <v>0.3517229822970469</v>
      </c>
      <c r="DK59" s="373">
        <f t="shared" si="255"/>
        <v>0.3514044315673826</v>
      </c>
      <c r="DL59" s="373">
        <f t="shared" si="255"/>
        <v>0.35622551883314019</v>
      </c>
      <c r="DM59" s="373">
        <f t="shared" si="255"/>
        <v>0.31940892024670148</v>
      </c>
      <c r="DN59" s="373">
        <f t="shared" ref="DN59" si="256">DN57/(DN55+DN56)</f>
        <v>0.28766000182691565</v>
      </c>
      <c r="DO59" s="181">
        <f t="shared" ref="DO59:DS59" si="257">DO57/(DO55+DO56)</f>
        <v>0.28766000182691565</v>
      </c>
      <c r="DP59" s="373">
        <f t="shared" ref="DP59" si="258">DP57/(DP55+DP56)</f>
        <v>0.29899382031744737</v>
      </c>
      <c r="DQ59" s="373">
        <f t="shared" si="257"/>
        <v>0.29836377872490943</v>
      </c>
      <c r="DR59" s="373">
        <f t="shared" si="257"/>
        <v>0.29127704945142091</v>
      </c>
      <c r="DS59" s="373">
        <f t="shared" si="257"/>
        <v>0.26779468157398101</v>
      </c>
      <c r="DT59" s="181">
        <f t="shared" ref="DT59" si="259">DT57/(DT55+DT56)</f>
        <v>0.26779468157398101</v>
      </c>
      <c r="DU59" s="181">
        <f t="shared" ref="DU59:DV59" si="260">DU57/(DU55+DU56)</f>
        <v>0.26453940511659624</v>
      </c>
      <c r="DV59" s="181">
        <f t="shared" si="260"/>
        <v>0.25310109719378282</v>
      </c>
    </row>
    <row r="60" spans="1:126" s="32" customFormat="1">
      <c r="C60" s="366"/>
      <c r="D60" s="366"/>
      <c r="E60" s="366"/>
      <c r="F60" s="366"/>
      <c r="G60" s="366"/>
      <c r="H60" s="366"/>
      <c r="I60" s="366"/>
      <c r="J60" s="368"/>
      <c r="K60" s="368"/>
      <c r="L60" s="368"/>
      <c r="M60" s="368"/>
      <c r="N60" s="366"/>
      <c r="O60" s="368"/>
      <c r="P60" s="368"/>
      <c r="Q60" s="368"/>
      <c r="R60" s="368"/>
      <c r="S60" s="366"/>
      <c r="T60" s="368"/>
      <c r="U60" s="368"/>
      <c r="V60" s="368"/>
      <c r="W60" s="368"/>
      <c r="X60" s="366"/>
      <c r="Y60" s="368"/>
      <c r="Z60" s="368"/>
      <c r="AA60" s="368"/>
      <c r="AB60" s="368"/>
      <c r="AC60" s="366"/>
      <c r="AD60" s="368"/>
      <c r="AE60" s="368"/>
      <c r="AF60" s="368"/>
      <c r="AG60" s="368"/>
      <c r="AH60" s="366"/>
      <c r="AI60" s="368"/>
      <c r="AJ60" s="368"/>
      <c r="AK60" s="368"/>
      <c r="AL60" s="368"/>
      <c r="AM60" s="366"/>
      <c r="AN60" s="368"/>
      <c r="AO60" s="368"/>
      <c r="AP60" s="368"/>
      <c r="AQ60" s="368"/>
      <c r="AR60" s="366"/>
      <c r="AS60" s="368"/>
      <c r="AT60" s="368"/>
      <c r="AU60" s="368"/>
      <c r="AV60" s="368"/>
      <c r="AW60" s="366"/>
      <c r="AX60" s="368"/>
      <c r="AY60" s="368"/>
      <c r="AZ60" s="368"/>
      <c r="BA60" s="368"/>
      <c r="BB60" s="366"/>
      <c r="BC60" s="453"/>
      <c r="BD60" s="368"/>
      <c r="BE60" s="368"/>
      <c r="BF60" s="368"/>
      <c r="BG60" s="366"/>
      <c r="BH60" s="368"/>
      <c r="BI60" s="368"/>
      <c r="BJ60" s="368"/>
      <c r="BK60" s="368"/>
      <c r="BL60" s="366"/>
      <c r="BM60" s="368"/>
      <c r="BN60" s="368"/>
      <c r="BO60" s="368"/>
      <c r="BP60" s="368"/>
      <c r="BQ60" s="366"/>
      <c r="BR60" s="368"/>
      <c r="BS60" s="368"/>
      <c r="BT60" s="368"/>
      <c r="BU60" s="368"/>
      <c r="BV60" s="366"/>
      <c r="BW60" s="368"/>
      <c r="BX60" s="368"/>
      <c r="BY60" s="368"/>
      <c r="BZ60" s="368"/>
      <c r="CA60" s="366"/>
      <c r="CB60" s="368"/>
      <c r="CC60" s="368"/>
      <c r="CD60" s="368"/>
      <c r="CE60" s="368"/>
      <c r="CF60" s="366"/>
      <c r="CG60" s="368"/>
      <c r="CH60" s="368"/>
      <c r="CI60" s="368"/>
      <c r="CJ60" s="368"/>
      <c r="CK60" s="366"/>
      <c r="CL60" s="368"/>
      <c r="CM60" s="368"/>
      <c r="CN60" s="368"/>
      <c r="CO60" s="368"/>
      <c r="CP60" s="366"/>
      <c r="CQ60" s="368"/>
      <c r="CR60" s="368"/>
      <c r="CS60" s="368"/>
      <c r="CT60" s="368"/>
      <c r="CU60" s="366"/>
      <c r="CV60" s="368"/>
      <c r="CW60" s="368"/>
      <c r="CX60" s="368"/>
      <c r="CY60" s="368"/>
      <c r="CZ60" s="366"/>
      <c r="DA60" s="368"/>
      <c r="DB60" s="368"/>
      <c r="DC60" s="368"/>
      <c r="DD60" s="368"/>
      <c r="DE60" s="366"/>
      <c r="DF60" s="368"/>
      <c r="DG60" s="368"/>
      <c r="DH60" s="368"/>
      <c r="DI60" s="368"/>
      <c r="DJ60" s="366"/>
      <c r="DK60" s="368"/>
      <c r="DL60" s="368"/>
      <c r="DM60" s="368"/>
      <c r="DN60" s="368"/>
      <c r="DO60" s="366"/>
      <c r="DP60" s="368"/>
      <c r="DQ60" s="368"/>
      <c r="DR60" s="368"/>
      <c r="DS60" s="368"/>
      <c r="DT60" s="366"/>
      <c r="DU60" s="366"/>
      <c r="DV60" s="366"/>
    </row>
    <row r="61" spans="1:126" s="32" customFormat="1">
      <c r="B61" s="32" t="s">
        <v>163</v>
      </c>
      <c r="C61" s="366"/>
      <c r="D61" s="366"/>
      <c r="E61" s="366"/>
      <c r="F61" s="366"/>
      <c r="G61" s="366"/>
      <c r="H61" s="366"/>
      <c r="I61" s="366"/>
      <c r="J61" s="374"/>
      <c r="K61" s="375"/>
      <c r="L61" s="375"/>
      <c r="M61" s="376"/>
      <c r="N61" s="366"/>
      <c r="O61" s="368"/>
      <c r="P61" s="368"/>
      <c r="Q61" s="368"/>
      <c r="R61" s="368"/>
      <c r="S61" s="366"/>
      <c r="T61" s="368"/>
      <c r="U61" s="368"/>
      <c r="V61" s="368"/>
      <c r="W61" s="368"/>
      <c r="X61" s="366"/>
      <c r="Y61" s="368"/>
      <c r="Z61" s="368"/>
      <c r="AA61" s="368"/>
      <c r="AB61" s="368"/>
      <c r="AC61" s="366"/>
      <c r="AD61" s="368"/>
      <c r="AE61" s="368"/>
      <c r="AF61" s="368"/>
      <c r="AG61" s="368"/>
      <c r="AH61" s="366"/>
      <c r="AI61" s="368"/>
      <c r="AJ61" s="368"/>
      <c r="AK61" s="368"/>
      <c r="AL61" s="368"/>
      <c r="AM61" s="366"/>
      <c r="AN61" s="368"/>
      <c r="AO61" s="368"/>
      <c r="AP61" s="368"/>
      <c r="AQ61" s="368"/>
      <c r="AR61" s="366"/>
      <c r="AS61" s="368"/>
      <c r="AT61" s="368"/>
      <c r="AU61" s="368"/>
      <c r="AV61" s="368"/>
      <c r="AW61" s="366"/>
      <c r="AX61" s="368"/>
      <c r="AY61" s="368"/>
      <c r="AZ61" s="368"/>
      <c r="BA61" s="368"/>
      <c r="BB61" s="366"/>
      <c r="BC61" s="453"/>
      <c r="BD61" s="368"/>
      <c r="BE61" s="368"/>
      <c r="BF61" s="368"/>
      <c r="BG61" s="366"/>
      <c r="BH61" s="368"/>
      <c r="BI61" s="368"/>
      <c r="BJ61" s="368"/>
      <c r="BK61" s="368"/>
      <c r="BL61" s="366"/>
      <c r="BM61" s="368"/>
      <c r="BN61" s="368"/>
      <c r="BO61" s="368"/>
      <c r="BP61" s="368"/>
      <c r="BQ61" s="366"/>
      <c r="BR61" s="368"/>
      <c r="BS61" s="368"/>
      <c r="BT61" s="368"/>
      <c r="BU61" s="368"/>
      <c r="BV61" s="366"/>
      <c r="BW61" s="368"/>
      <c r="BX61" s="368"/>
      <c r="BY61" s="368"/>
      <c r="BZ61" s="368"/>
      <c r="CA61" s="366"/>
      <c r="CB61" s="368"/>
      <c r="CC61" s="368"/>
      <c r="CD61" s="368"/>
      <c r="CE61" s="368">
        <f t="shared" ref="CE61" si="261">IF(CE50&gt;0,CE55,CE55-CE50)</f>
        <v>31831.5</v>
      </c>
      <c r="CF61" s="366"/>
      <c r="CG61" s="368"/>
      <c r="CH61" s="368">
        <f t="shared" ref="CH61:CK61" si="262">IF(CH50&gt;0,CH55,CH55-CH50)</f>
        <v>90877</v>
      </c>
      <c r="CI61" s="368">
        <f t="shared" ref="CI61" si="263">IF(CI50&gt;0,CI55,CI55-CI50)</f>
        <v>92002.853617216111</v>
      </c>
      <c r="CJ61" s="368">
        <f t="shared" si="262"/>
        <v>41869</v>
      </c>
      <c r="CK61" s="366">
        <f t="shared" si="262"/>
        <v>41869</v>
      </c>
      <c r="CL61" s="368">
        <f t="shared" ref="CL61:CP61" si="264">IF(CL50&gt;0,CL55,CL55-CL50)</f>
        <v>82427.79522009191</v>
      </c>
      <c r="CM61" s="368">
        <f t="shared" si="264"/>
        <v>67260</v>
      </c>
      <c r="CN61" s="368">
        <f t="shared" si="264"/>
        <v>68409</v>
      </c>
      <c r="CO61" s="368">
        <f t="shared" si="264"/>
        <v>72195</v>
      </c>
      <c r="CP61" s="366">
        <f t="shared" si="264"/>
        <v>72195</v>
      </c>
      <c r="CQ61" s="368">
        <f t="shared" ref="CQ61:CV61" si="265">IF(CQ50&gt;0,CQ55,CQ55-CQ50)</f>
        <v>71744</v>
      </c>
      <c r="CR61" s="368">
        <f t="shared" si="265"/>
        <v>71145</v>
      </c>
      <c r="CS61" s="368">
        <f t="shared" si="265"/>
        <v>71340</v>
      </c>
      <c r="CT61" s="368">
        <f t="shared" si="265"/>
        <v>73103</v>
      </c>
      <c r="CU61" s="366">
        <f t="shared" si="265"/>
        <v>73103</v>
      </c>
      <c r="CV61" s="368">
        <f t="shared" si="265"/>
        <v>72498</v>
      </c>
      <c r="CW61" s="368">
        <f t="shared" ref="CW61:CZ61" si="266">IF(CW50&gt;0,CW55,CW55-CW50)</f>
        <v>70479</v>
      </c>
      <c r="CX61" s="368">
        <f t="shared" si="266"/>
        <v>70220</v>
      </c>
      <c r="CY61" s="368">
        <f t="shared" si="266"/>
        <v>72668</v>
      </c>
      <c r="CZ61" s="366">
        <f t="shared" si="266"/>
        <v>72668</v>
      </c>
      <c r="DA61" s="368">
        <f t="shared" ref="DA61:DE61" si="267">IF(DA50&gt;0,DA55,DA55-DA50)</f>
        <v>72833</v>
      </c>
      <c r="DB61" s="368">
        <f t="shared" si="267"/>
        <v>72511</v>
      </c>
      <c r="DC61" s="368">
        <f t="shared" si="267"/>
        <v>69629</v>
      </c>
      <c r="DD61" s="368">
        <f t="shared" si="267"/>
        <v>59833</v>
      </c>
      <c r="DE61" s="366">
        <f t="shared" si="267"/>
        <v>59833</v>
      </c>
      <c r="DF61" s="368">
        <f t="shared" ref="DF61:DI61" si="268">IF(DF50&gt;0,DF55,DF55-DF50)</f>
        <v>60522</v>
      </c>
      <c r="DG61" s="368">
        <f t="shared" si="268"/>
        <v>59016</v>
      </c>
      <c r="DH61" s="368">
        <f t="shared" si="268"/>
        <v>61147</v>
      </c>
      <c r="DI61" s="368">
        <f t="shared" si="268"/>
        <v>60191</v>
      </c>
      <c r="DJ61" s="366">
        <f t="shared" ref="DJ61:DM61" si="269">IF(DJ50&gt;0,DJ55,DJ55-DJ50)</f>
        <v>60191</v>
      </c>
      <c r="DK61" s="368">
        <f t="shared" si="269"/>
        <v>61553</v>
      </c>
      <c r="DL61" s="368">
        <f t="shared" si="269"/>
        <v>62439</v>
      </c>
      <c r="DM61" s="368">
        <f t="shared" si="269"/>
        <v>64548</v>
      </c>
      <c r="DN61" s="368">
        <f t="shared" ref="DN61" si="270">IF(DN50&gt;0,DN55,DN55-DN50)</f>
        <v>67629.927228180895</v>
      </c>
      <c r="DO61" s="366">
        <f t="shared" ref="DO61:DS61" si="271">IF(DO50&gt;0,DO55,DO55-DO50)</f>
        <v>67629.927228180895</v>
      </c>
      <c r="DP61" s="368">
        <f t="shared" ref="DP61" si="272">IF(DP50&gt;0,DP55,DP55-DP50)</f>
        <v>65530.68460296726</v>
      </c>
      <c r="DQ61" s="368">
        <f t="shared" si="271"/>
        <v>66732.286626470392</v>
      </c>
      <c r="DR61" s="368">
        <f t="shared" si="271"/>
        <v>68461.740978639384</v>
      </c>
      <c r="DS61" s="368">
        <f t="shared" si="271"/>
        <v>71063.88757136307</v>
      </c>
      <c r="DT61" s="366">
        <f t="shared" ref="DT61" si="273">IF(DT50&gt;0,DT55,DT55-DT50)</f>
        <v>71063.88757136307</v>
      </c>
      <c r="DU61" s="366">
        <f t="shared" ref="DU61:DV61" si="274">IF(DU50&gt;0,DU55,DU55-DU50)</f>
        <v>69266.491626501171</v>
      </c>
      <c r="DV61" s="366">
        <f t="shared" si="274"/>
        <v>71818.942253285059</v>
      </c>
    </row>
    <row r="62" spans="1:126" s="32" customFormat="1">
      <c r="B62" s="32" t="s">
        <v>164</v>
      </c>
      <c r="C62" s="366"/>
      <c r="D62" s="366"/>
      <c r="E62" s="366"/>
      <c r="F62" s="366"/>
      <c r="G62" s="366"/>
      <c r="H62" s="366"/>
      <c r="I62" s="366"/>
      <c r="J62" s="375"/>
      <c r="K62" s="375"/>
      <c r="L62" s="375"/>
      <c r="M62" s="375"/>
      <c r="N62" s="366"/>
      <c r="O62" s="368"/>
      <c r="P62" s="368"/>
      <c r="Q62" s="368"/>
      <c r="R62" s="368"/>
      <c r="S62" s="366"/>
      <c r="T62" s="368"/>
      <c r="U62" s="368"/>
      <c r="V62" s="368"/>
      <c r="W62" s="368"/>
      <c r="X62" s="366"/>
      <c r="Y62" s="368"/>
      <c r="Z62" s="368"/>
      <c r="AA62" s="368"/>
      <c r="AB62" s="368"/>
      <c r="AC62" s="366"/>
      <c r="AD62" s="368"/>
      <c r="AE62" s="368"/>
      <c r="AF62" s="368"/>
      <c r="AG62" s="368"/>
      <c r="AH62" s="366"/>
      <c r="AI62" s="368"/>
      <c r="AJ62" s="368"/>
      <c r="AK62" s="368"/>
      <c r="AL62" s="368"/>
      <c r="AM62" s="366"/>
      <c r="AN62" s="368"/>
      <c r="AO62" s="368"/>
      <c r="AP62" s="368"/>
      <c r="AQ62" s="368"/>
      <c r="AR62" s="366"/>
      <c r="AS62" s="368"/>
      <c r="AT62" s="368"/>
      <c r="AU62" s="368"/>
      <c r="AV62" s="368"/>
      <c r="AW62" s="366"/>
      <c r="AX62" s="368"/>
      <c r="AY62" s="368"/>
      <c r="AZ62" s="368"/>
      <c r="BA62" s="368"/>
      <c r="BB62" s="366"/>
      <c r="BC62" s="453"/>
      <c r="BD62" s="368"/>
      <c r="BE62" s="368"/>
      <c r="BF62" s="368"/>
      <c r="BG62" s="366"/>
      <c r="BH62" s="368"/>
      <c r="BI62" s="368"/>
      <c r="BJ62" s="368"/>
      <c r="BK62" s="368"/>
      <c r="BL62" s="366"/>
      <c r="BM62" s="368"/>
      <c r="BN62" s="368"/>
      <c r="BO62" s="368"/>
      <c r="BP62" s="368"/>
      <c r="BQ62" s="366"/>
      <c r="BR62" s="368"/>
      <c r="BS62" s="368"/>
      <c r="BT62" s="368"/>
      <c r="BU62" s="368"/>
      <c r="BV62" s="366"/>
      <c r="BW62" s="368"/>
      <c r="BX62" s="368"/>
      <c r="BY62" s="368"/>
      <c r="BZ62" s="368"/>
      <c r="CA62" s="366"/>
      <c r="CB62" s="368"/>
      <c r="CC62" s="368"/>
      <c r="CD62" s="368"/>
      <c r="CE62" s="368">
        <f t="shared" ref="CE62" si="275">IF(CE49&gt;0,CE56,CE56-CE49)</f>
        <v>0</v>
      </c>
      <c r="CF62" s="366"/>
      <c r="CG62" s="368"/>
      <c r="CH62" s="368">
        <f t="shared" ref="CH62:CK62" si="276">IF(CH49&gt;0,CH56,CH56-CH49)</f>
        <v>33811</v>
      </c>
      <c r="CI62" s="368">
        <f t="shared" ref="CI62" si="277">IF(CI49&gt;0,CI56,CI56-CI49)</f>
        <v>33105</v>
      </c>
      <c r="CJ62" s="368">
        <f t="shared" si="276"/>
        <v>43252</v>
      </c>
      <c r="CK62" s="366">
        <f t="shared" si="276"/>
        <v>43252</v>
      </c>
      <c r="CL62" s="368">
        <f t="shared" ref="CL62:CP62" si="278">IF(CL49&gt;0,CL56,CL56-CL49)</f>
        <v>28779</v>
      </c>
      <c r="CM62" s="368">
        <f t="shared" si="278"/>
        <v>32750</v>
      </c>
      <c r="CN62" s="368">
        <f t="shared" si="278"/>
        <v>32781</v>
      </c>
      <c r="CO62" s="368">
        <f t="shared" si="278"/>
        <v>31823</v>
      </c>
      <c r="CP62" s="366">
        <f t="shared" si="278"/>
        <v>31823</v>
      </c>
      <c r="CQ62" s="368">
        <f t="shared" ref="CQ62:CV62" si="279">IF(CQ49&gt;0,CQ56,CQ56-CQ49)</f>
        <v>31538</v>
      </c>
      <c r="CR62" s="368">
        <f t="shared" si="279"/>
        <v>31482</v>
      </c>
      <c r="CS62" s="368">
        <f t="shared" si="279"/>
        <v>31248</v>
      </c>
      <c r="CT62" s="368">
        <f t="shared" si="279"/>
        <v>31485</v>
      </c>
      <c r="CU62" s="366">
        <f t="shared" si="279"/>
        <v>31485</v>
      </c>
      <c r="CV62" s="368">
        <f t="shared" si="279"/>
        <v>31472</v>
      </c>
      <c r="CW62" s="368">
        <f t="shared" ref="CW62:CZ62" si="280">IF(CW49&gt;0,CW56,CW56-CW49)</f>
        <v>31413</v>
      </c>
      <c r="CX62" s="368">
        <f t="shared" si="280"/>
        <v>33447</v>
      </c>
      <c r="CY62" s="368">
        <f t="shared" si="280"/>
        <v>31914</v>
      </c>
      <c r="CZ62" s="366">
        <f t="shared" si="280"/>
        <v>31914</v>
      </c>
      <c r="DA62" s="368">
        <f t="shared" ref="DA62:DE62" si="281">IF(DA49&gt;0,DA56,DA56-DA49)</f>
        <v>34486</v>
      </c>
      <c r="DB62" s="368">
        <f t="shared" si="281"/>
        <v>35353</v>
      </c>
      <c r="DC62" s="368">
        <f t="shared" si="281"/>
        <v>35260</v>
      </c>
      <c r="DD62" s="368">
        <f t="shared" si="281"/>
        <v>43827</v>
      </c>
      <c r="DE62" s="366">
        <f t="shared" si="281"/>
        <v>43827</v>
      </c>
      <c r="DF62" s="368">
        <f t="shared" ref="DF62:DI62" si="282">IF(DF49&gt;0,DF56,DF56-DF49)</f>
        <v>42844</v>
      </c>
      <c r="DG62" s="368">
        <f t="shared" si="282"/>
        <v>42151</v>
      </c>
      <c r="DH62" s="368">
        <f t="shared" si="282"/>
        <v>42156</v>
      </c>
      <c r="DI62" s="368">
        <f t="shared" si="282"/>
        <v>41261</v>
      </c>
      <c r="DJ62" s="366">
        <f t="shared" ref="DJ62:DM62" si="283">IF(DJ49&gt;0,DJ56,DJ56-DJ49)</f>
        <v>41261</v>
      </c>
      <c r="DK62" s="368">
        <f t="shared" si="283"/>
        <v>41300</v>
      </c>
      <c r="DL62" s="368">
        <f t="shared" si="283"/>
        <v>41978</v>
      </c>
      <c r="DM62" s="368">
        <f t="shared" si="283"/>
        <v>39059</v>
      </c>
      <c r="DN62" s="368">
        <f t="shared" ref="DN62" si="284">IF(DN49&gt;0,DN56,DN56-DN49)</f>
        <v>38309</v>
      </c>
      <c r="DO62" s="366">
        <f t="shared" ref="DO62:DS62" si="285">IF(DO49&gt;0,DO56,DO56-DO49)</f>
        <v>38309</v>
      </c>
      <c r="DP62" s="368">
        <f t="shared" ref="DP62" si="286">IF(DP49&gt;0,DP56,DP56-DP49)</f>
        <v>38309</v>
      </c>
      <c r="DQ62" s="368">
        <f t="shared" si="285"/>
        <v>38309</v>
      </c>
      <c r="DR62" s="368">
        <f t="shared" si="285"/>
        <v>38309</v>
      </c>
      <c r="DS62" s="368">
        <f t="shared" si="285"/>
        <v>38309</v>
      </c>
      <c r="DT62" s="366">
        <f t="shared" ref="DT62" si="287">IF(DT49&gt;0,DT56,DT56-DT49)</f>
        <v>38309</v>
      </c>
      <c r="DU62" s="366">
        <f t="shared" ref="DU62:DV62" si="288">IF(DU49&gt;0,DU56,DU56-DU49)</f>
        <v>38309</v>
      </c>
      <c r="DV62" s="366">
        <f t="shared" si="288"/>
        <v>38309</v>
      </c>
    </row>
    <row r="63" spans="1:126" s="32" customFormat="1">
      <c r="B63" s="32" t="s">
        <v>111</v>
      </c>
      <c r="C63" s="366"/>
      <c r="D63" s="366"/>
      <c r="E63" s="366"/>
      <c r="F63" s="366"/>
      <c r="G63" s="366"/>
      <c r="H63" s="366"/>
      <c r="I63" s="366"/>
      <c r="J63" s="368"/>
      <c r="K63" s="368"/>
      <c r="L63" s="368"/>
      <c r="M63" s="368"/>
      <c r="N63" s="366"/>
      <c r="O63" s="368"/>
      <c r="P63" s="368"/>
      <c r="Q63" s="368"/>
      <c r="R63" s="368"/>
      <c r="S63" s="366"/>
      <c r="T63" s="368"/>
      <c r="U63" s="368"/>
      <c r="V63" s="368"/>
      <c r="W63" s="368"/>
      <c r="X63" s="366"/>
      <c r="Y63" s="368"/>
      <c r="Z63" s="368"/>
      <c r="AA63" s="368"/>
      <c r="AB63" s="368"/>
      <c r="AC63" s="366"/>
      <c r="AD63" s="368"/>
      <c r="AE63" s="368"/>
      <c r="AF63" s="368"/>
      <c r="AG63" s="368"/>
      <c r="AH63" s="366"/>
      <c r="AI63" s="368"/>
      <c r="AJ63" s="368"/>
      <c r="AK63" s="368"/>
      <c r="AL63" s="368"/>
      <c r="AM63" s="366"/>
      <c r="AN63" s="368"/>
      <c r="AO63" s="368"/>
      <c r="AP63" s="368"/>
      <c r="AQ63" s="368"/>
      <c r="AR63" s="366"/>
      <c r="AS63" s="368"/>
      <c r="AT63" s="368"/>
      <c r="AU63" s="368"/>
      <c r="AV63" s="368"/>
      <c r="AW63" s="366"/>
      <c r="AX63" s="368"/>
      <c r="AY63" s="368"/>
      <c r="AZ63" s="368"/>
      <c r="BA63" s="368"/>
      <c r="BB63" s="366"/>
      <c r="BC63" s="453"/>
      <c r="BD63" s="368"/>
      <c r="BE63" s="368"/>
      <c r="BF63" s="368"/>
      <c r="BG63" s="366"/>
      <c r="BH63" s="368"/>
      <c r="BI63" s="368"/>
      <c r="BJ63" s="368"/>
      <c r="BK63" s="368"/>
      <c r="BL63" s="366"/>
      <c r="BM63" s="368"/>
      <c r="BN63" s="368"/>
      <c r="BO63" s="368"/>
      <c r="BP63" s="368"/>
      <c r="BQ63" s="366"/>
      <c r="BR63" s="368"/>
      <c r="BS63" s="368"/>
      <c r="BT63" s="368"/>
      <c r="BU63" s="368"/>
      <c r="BV63" s="366"/>
      <c r="BW63" s="368"/>
      <c r="BX63" s="368"/>
      <c r="BY63" s="368"/>
      <c r="BZ63" s="368"/>
      <c r="CA63" s="366"/>
      <c r="CB63" s="368"/>
      <c r="CC63" s="368"/>
      <c r="CD63" s="368"/>
      <c r="CE63" s="368">
        <f t="shared" ref="CE63" si="289">CE62-CE53</f>
        <v>0</v>
      </c>
      <c r="CF63" s="366"/>
      <c r="CG63" s="368"/>
      <c r="CH63" s="368">
        <f t="shared" ref="CH63:CK63" si="290">CH62-CH53</f>
        <v>27331</v>
      </c>
      <c r="CI63" s="368">
        <f t="shared" ref="CI63" si="291">CI62-CI53</f>
        <v>26736.822500000002</v>
      </c>
      <c r="CJ63" s="368">
        <f t="shared" si="290"/>
        <v>38315</v>
      </c>
      <c r="CK63" s="366">
        <f t="shared" si="290"/>
        <v>38315</v>
      </c>
      <c r="CL63" s="368">
        <f t="shared" ref="CL63:CP63" si="292">CL62-CL53</f>
        <v>22612.737217000002</v>
      </c>
      <c r="CM63" s="368">
        <f t="shared" si="292"/>
        <v>25775</v>
      </c>
      <c r="CN63" s="368">
        <f t="shared" si="292"/>
        <v>22780</v>
      </c>
      <c r="CO63" s="368">
        <f t="shared" si="292"/>
        <v>23021</v>
      </c>
      <c r="CP63" s="366">
        <f t="shared" si="292"/>
        <v>23021</v>
      </c>
      <c r="CQ63" s="368">
        <f t="shared" ref="CQ63:CV63" si="293">CQ62-CQ53</f>
        <v>22959</v>
      </c>
      <c r="CR63" s="368">
        <f t="shared" si="293"/>
        <v>23431</v>
      </c>
      <c r="CS63" s="368">
        <f t="shared" si="293"/>
        <v>23772</v>
      </c>
      <c r="CT63" s="368">
        <f t="shared" si="293"/>
        <v>23653</v>
      </c>
      <c r="CU63" s="366">
        <f t="shared" si="293"/>
        <v>23653</v>
      </c>
      <c r="CV63" s="368">
        <f t="shared" si="293"/>
        <v>25432</v>
      </c>
      <c r="CW63" s="368">
        <f t="shared" ref="CW63:CZ63" si="294">CW62-CW53</f>
        <v>26646</v>
      </c>
      <c r="CX63" s="368">
        <f t="shared" si="294"/>
        <v>28066</v>
      </c>
      <c r="CY63" s="368">
        <f t="shared" si="294"/>
        <v>25694</v>
      </c>
      <c r="CZ63" s="366">
        <f t="shared" si="294"/>
        <v>25694</v>
      </c>
      <c r="DA63" s="368">
        <f t="shared" ref="DA63:DE63" si="295">DA62-DA53</f>
        <v>28593</v>
      </c>
      <c r="DB63" s="368">
        <f t="shared" si="295"/>
        <v>29962</v>
      </c>
      <c r="DC63" s="368">
        <f t="shared" si="295"/>
        <v>29804</v>
      </c>
      <c r="DD63" s="368">
        <f t="shared" si="295"/>
        <v>37240</v>
      </c>
      <c r="DE63" s="366">
        <f t="shared" si="295"/>
        <v>37240</v>
      </c>
      <c r="DF63" s="368">
        <f t="shared" ref="DF63:DI63" si="296">DF62-DF53</f>
        <v>37237</v>
      </c>
      <c r="DG63" s="368">
        <f t="shared" si="296"/>
        <v>36140</v>
      </c>
      <c r="DH63" s="368">
        <f t="shared" si="296"/>
        <v>35474</v>
      </c>
      <c r="DI63" s="368">
        <f t="shared" si="296"/>
        <v>35683</v>
      </c>
      <c r="DJ63" s="366">
        <f t="shared" ref="DJ63:DM63" si="297">DJ62-DJ53</f>
        <v>35683</v>
      </c>
      <c r="DK63" s="368">
        <f t="shared" si="297"/>
        <v>36143</v>
      </c>
      <c r="DL63" s="368">
        <f t="shared" si="297"/>
        <v>37196</v>
      </c>
      <c r="DM63" s="368">
        <f t="shared" si="297"/>
        <v>33093</v>
      </c>
      <c r="DN63" s="368">
        <f t="shared" ref="DN63" si="298">DN62-DN53</f>
        <v>30474.392</v>
      </c>
      <c r="DO63" s="366">
        <f t="shared" ref="DO63:DS63" si="299">DO62-DO53</f>
        <v>30474.392</v>
      </c>
      <c r="DP63" s="368">
        <f t="shared" ref="DP63" si="300">DP62-DP53</f>
        <v>31047.423999999999</v>
      </c>
      <c r="DQ63" s="368">
        <f t="shared" si="299"/>
        <v>31340.515200000002</v>
      </c>
      <c r="DR63" s="368">
        <f t="shared" si="299"/>
        <v>31099.866399999999</v>
      </c>
      <c r="DS63" s="368">
        <f t="shared" si="299"/>
        <v>29289.477599999998</v>
      </c>
      <c r="DT63" s="366">
        <f t="shared" ref="DT63" si="301">DT62-DT53</f>
        <v>29289.477599999998</v>
      </c>
      <c r="DU63" s="366">
        <f t="shared" ref="DU63:DV63" si="302">DU62-DU53</f>
        <v>28457.956559999999</v>
      </c>
      <c r="DV63" s="366">
        <f t="shared" si="302"/>
        <v>27873.503016000002</v>
      </c>
    </row>
    <row r="64" spans="1:126" s="32" customFormat="1">
      <c r="B64" s="32" t="s">
        <v>112</v>
      </c>
      <c r="C64" s="181"/>
      <c r="D64" s="181"/>
      <c r="E64" s="181"/>
      <c r="F64" s="181"/>
      <c r="G64" s="181"/>
      <c r="H64" s="181"/>
      <c r="I64" s="181"/>
      <c r="J64" s="373"/>
      <c r="K64" s="373"/>
      <c r="L64" s="373"/>
      <c r="M64" s="373"/>
      <c r="N64" s="181"/>
      <c r="O64" s="373"/>
      <c r="P64" s="373"/>
      <c r="Q64" s="373"/>
      <c r="R64" s="373"/>
      <c r="S64" s="181"/>
      <c r="T64" s="373"/>
      <c r="U64" s="373"/>
      <c r="V64" s="373"/>
      <c r="W64" s="373"/>
      <c r="X64" s="181"/>
      <c r="Y64" s="373"/>
      <c r="Z64" s="373"/>
      <c r="AA64" s="373"/>
      <c r="AB64" s="373"/>
      <c r="AC64" s="181"/>
      <c r="AD64" s="373"/>
      <c r="AE64" s="373"/>
      <c r="AF64" s="373"/>
      <c r="AG64" s="373"/>
      <c r="AH64" s="181"/>
      <c r="AI64" s="373"/>
      <c r="AJ64" s="373"/>
      <c r="AK64" s="373"/>
      <c r="AL64" s="373"/>
      <c r="AM64" s="181"/>
      <c r="AN64" s="373"/>
      <c r="AO64" s="373"/>
      <c r="AP64" s="373"/>
      <c r="AQ64" s="373"/>
      <c r="AR64" s="181"/>
      <c r="AS64" s="373"/>
      <c r="AT64" s="373"/>
      <c r="AU64" s="373"/>
      <c r="AV64" s="373"/>
      <c r="AW64" s="181"/>
      <c r="AX64" s="373"/>
      <c r="AY64" s="373"/>
      <c r="AZ64" s="373"/>
      <c r="BA64" s="373"/>
      <c r="BB64" s="181"/>
      <c r="BC64" s="393"/>
      <c r="BD64" s="373"/>
      <c r="BE64" s="373"/>
      <c r="BF64" s="373"/>
      <c r="BG64" s="181"/>
      <c r="BH64" s="373"/>
      <c r="BI64" s="373"/>
      <c r="BJ64" s="373"/>
      <c r="BK64" s="373"/>
      <c r="BL64" s="181"/>
      <c r="BM64" s="373"/>
      <c r="BN64" s="373"/>
      <c r="BO64" s="373"/>
      <c r="BP64" s="373"/>
      <c r="BQ64" s="181"/>
      <c r="BR64" s="373"/>
      <c r="BS64" s="373"/>
      <c r="BT64" s="373"/>
      <c r="BU64" s="373"/>
      <c r="BV64" s="181"/>
      <c r="BW64" s="373"/>
      <c r="BX64" s="373"/>
      <c r="BY64" s="373"/>
      <c r="BZ64" s="373"/>
      <c r="CA64" s="181"/>
      <c r="CB64" s="373"/>
      <c r="CC64" s="373"/>
      <c r="CD64" s="373"/>
      <c r="CE64" s="373">
        <f t="shared" ref="CE64" si="303">CE62/(CE62+CE61)</f>
        <v>0</v>
      </c>
      <c r="CF64" s="181"/>
      <c r="CG64" s="373"/>
      <c r="CH64" s="373">
        <f t="shared" ref="CH64:CK64" si="304">CH62/(CH62+CH61)</f>
        <v>0.27116482740921338</v>
      </c>
      <c r="CI64" s="373">
        <f t="shared" ref="CI64" si="305">CI62/(CI62+CI61)</f>
        <v>0.26461168538059243</v>
      </c>
      <c r="CJ64" s="373">
        <f t="shared" si="304"/>
        <v>0.50812372974941555</v>
      </c>
      <c r="CK64" s="181">
        <f t="shared" si="304"/>
        <v>0.50812372974941555</v>
      </c>
      <c r="CL64" s="373">
        <f t="shared" ref="CL64:CP64" si="306">CL62/(CL62+CL61)</f>
        <v>0.25878814278428602</v>
      </c>
      <c r="CM64" s="373">
        <f t="shared" si="306"/>
        <v>0.32746725327467252</v>
      </c>
      <c r="CN64" s="373">
        <f t="shared" si="306"/>
        <v>0.32395493625852356</v>
      </c>
      <c r="CO64" s="373">
        <f t="shared" si="306"/>
        <v>0.30593743390567019</v>
      </c>
      <c r="CP64" s="181">
        <f t="shared" si="306"/>
        <v>0.30593743390567019</v>
      </c>
      <c r="CQ64" s="373">
        <f t="shared" ref="CQ64:CV64" si="307">CQ62/(CQ62+CQ61)</f>
        <v>0.30535814565945663</v>
      </c>
      <c r="CR64" s="373">
        <f t="shared" si="307"/>
        <v>0.30676137858458302</v>
      </c>
      <c r="CS64" s="373">
        <f t="shared" si="307"/>
        <v>0.30459702889226808</v>
      </c>
      <c r="CT64" s="373">
        <f t="shared" si="307"/>
        <v>0.30103836004130491</v>
      </c>
      <c r="CU64" s="181">
        <f t="shared" si="307"/>
        <v>0.30103836004130491</v>
      </c>
      <c r="CV64" s="373">
        <f t="shared" si="307"/>
        <v>0.30270270270270272</v>
      </c>
      <c r="CW64" s="373">
        <f t="shared" ref="CW64:CZ64" si="308">CW62/(CW62+CW61)</f>
        <v>0.30829702037451417</v>
      </c>
      <c r="CX64" s="373">
        <f t="shared" si="308"/>
        <v>0.32263883395873327</v>
      </c>
      <c r="CY64" s="373">
        <f t="shared" si="308"/>
        <v>0.30515767531697613</v>
      </c>
      <c r="CZ64" s="181">
        <f t="shared" si="308"/>
        <v>0.30515767531697613</v>
      </c>
      <c r="DA64" s="373">
        <f t="shared" ref="DA64:DE64" si="309">DA62/(DA62+DA61)</f>
        <v>0.32134104864935381</v>
      </c>
      <c r="DB64" s="373">
        <f t="shared" si="309"/>
        <v>0.32775532151598308</v>
      </c>
      <c r="DC64" s="373">
        <f t="shared" si="309"/>
        <v>0.33616489813040451</v>
      </c>
      <c r="DD64" s="373">
        <f t="shared" si="309"/>
        <v>0.42279567817866098</v>
      </c>
      <c r="DE64" s="181">
        <f t="shared" si="309"/>
        <v>0.42279567817866098</v>
      </c>
      <c r="DF64" s="373">
        <f t="shared" ref="DF64:DI64" si="310">DF62/(DF62+DF61)</f>
        <v>0.41448832304626282</v>
      </c>
      <c r="DG64" s="373">
        <f t="shared" si="310"/>
        <v>0.4166477210948234</v>
      </c>
      <c r="DH64" s="373">
        <f t="shared" si="310"/>
        <v>0.40808108186596709</v>
      </c>
      <c r="DI64" s="373">
        <f t="shared" si="310"/>
        <v>0.4067046485037259</v>
      </c>
      <c r="DJ64" s="181">
        <f t="shared" ref="DJ64:DM64" si="311">DJ62/(DJ62+DJ61)</f>
        <v>0.4067046485037259</v>
      </c>
      <c r="DK64" s="373">
        <f t="shared" si="311"/>
        <v>0.4015439510758072</v>
      </c>
      <c r="DL64" s="373">
        <f t="shared" si="311"/>
        <v>0.40202265914554142</v>
      </c>
      <c r="DM64" s="373">
        <f t="shared" si="311"/>
        <v>0.37699190209155753</v>
      </c>
      <c r="DN64" s="373">
        <f t="shared" ref="DN64" si="312">DN62/(DN62+DN61)</f>
        <v>0.3616140072618122</v>
      </c>
      <c r="DO64" s="181">
        <f t="shared" ref="DO64:DS64" si="313">DO62/(DO62+DO61)</f>
        <v>0.3616140072618122</v>
      </c>
      <c r="DP64" s="373">
        <f t="shared" ref="DP64" si="314">DP62/(DP62+DP61)</f>
        <v>0.3689244641533253</v>
      </c>
      <c r="DQ64" s="373">
        <f t="shared" si="313"/>
        <v>0.36470421517424689</v>
      </c>
      <c r="DR64" s="373">
        <f t="shared" si="313"/>
        <v>0.35879679815712923</v>
      </c>
      <c r="DS64" s="373">
        <f t="shared" si="313"/>
        <v>0.35026047908815006</v>
      </c>
      <c r="DT64" s="181">
        <f t="shared" ref="DT64" si="315">DT62/(DT62+DT61)</f>
        <v>0.35026047908815006</v>
      </c>
      <c r="DU64" s="181">
        <f t="shared" ref="DU64:DV64" si="316">DU62/(DU62+DU61)</f>
        <v>0.3561127113693115</v>
      </c>
      <c r="DV64" s="181">
        <f t="shared" si="316"/>
        <v>0.34785903755372549</v>
      </c>
    </row>
    <row r="65" spans="2:126" s="32" customFormat="1">
      <c r="B65" s="32" t="s">
        <v>113</v>
      </c>
      <c r="C65" s="181"/>
      <c r="D65" s="181"/>
      <c r="E65" s="181"/>
      <c r="F65" s="181"/>
      <c r="G65" s="181"/>
      <c r="H65" s="181"/>
      <c r="I65" s="181"/>
      <c r="J65" s="373"/>
      <c r="K65" s="373"/>
      <c r="L65" s="373"/>
      <c r="M65" s="373"/>
      <c r="N65" s="181"/>
      <c r="O65" s="373"/>
      <c r="P65" s="373"/>
      <c r="Q65" s="373"/>
      <c r="R65" s="373"/>
      <c r="S65" s="181"/>
      <c r="T65" s="373"/>
      <c r="U65" s="373"/>
      <c r="V65" s="373"/>
      <c r="W65" s="373"/>
      <c r="X65" s="181"/>
      <c r="Y65" s="373"/>
      <c r="Z65" s="373"/>
      <c r="AA65" s="373"/>
      <c r="AB65" s="373"/>
      <c r="AC65" s="181"/>
      <c r="AD65" s="373"/>
      <c r="AE65" s="373"/>
      <c r="AF65" s="373"/>
      <c r="AG65" s="373"/>
      <c r="AH65" s="181"/>
      <c r="AI65" s="373"/>
      <c r="AJ65" s="373"/>
      <c r="AK65" s="373"/>
      <c r="AL65" s="373"/>
      <c r="AM65" s="181"/>
      <c r="AN65" s="373"/>
      <c r="AO65" s="373"/>
      <c r="AP65" s="373"/>
      <c r="AQ65" s="373"/>
      <c r="AR65" s="181"/>
      <c r="AS65" s="373"/>
      <c r="AT65" s="373"/>
      <c r="AU65" s="373"/>
      <c r="AV65" s="373"/>
      <c r="AW65" s="181"/>
      <c r="AX65" s="373"/>
      <c r="AY65" s="373"/>
      <c r="AZ65" s="373"/>
      <c r="BA65" s="373"/>
      <c r="BB65" s="181"/>
      <c r="BC65" s="393"/>
      <c r="BD65" s="373"/>
      <c r="BE65" s="373"/>
      <c r="BF65" s="373"/>
      <c r="BG65" s="181"/>
      <c r="BH65" s="373"/>
      <c r="BI65" s="373"/>
      <c r="BJ65" s="373"/>
      <c r="BK65" s="373"/>
      <c r="BL65" s="181"/>
      <c r="BM65" s="373"/>
      <c r="BN65" s="373"/>
      <c r="BO65" s="373"/>
      <c r="BP65" s="373"/>
      <c r="BQ65" s="181"/>
      <c r="BR65" s="373"/>
      <c r="BS65" s="373"/>
      <c r="BT65" s="373"/>
      <c r="BU65" s="373"/>
      <c r="BV65" s="181"/>
      <c r="BW65" s="373"/>
      <c r="BX65" s="373"/>
      <c r="BY65" s="373"/>
      <c r="BZ65" s="373"/>
      <c r="CA65" s="181"/>
      <c r="CB65" s="373"/>
      <c r="CC65" s="373"/>
      <c r="CD65" s="373"/>
      <c r="CE65" s="373">
        <f t="shared" ref="CE65" si="317">CE63/(CE62+CE61)</f>
        <v>0</v>
      </c>
      <c r="CF65" s="181"/>
      <c r="CG65" s="373"/>
      <c r="CH65" s="373">
        <f t="shared" ref="CH65:CK65" si="318">CH63/(CH62+CH61)</f>
        <v>0.21919511099704864</v>
      </c>
      <c r="CI65" s="373">
        <f t="shared" ref="CI65" si="319">CI63/(CI62+CI61)</f>
        <v>0.21371018466838076</v>
      </c>
      <c r="CJ65" s="373">
        <f t="shared" si="318"/>
        <v>0.45012394121309662</v>
      </c>
      <c r="CK65" s="181">
        <f t="shared" si="318"/>
        <v>0.45012394121309662</v>
      </c>
      <c r="CL65" s="373">
        <f t="shared" ref="CL65:CP65" si="320">CL63/(CL62+CL61)</f>
        <v>0.20333952769924371</v>
      </c>
      <c r="CM65" s="373">
        <f t="shared" si="320"/>
        <v>0.25772422757724228</v>
      </c>
      <c r="CN65" s="373">
        <f t="shared" si="320"/>
        <v>0.22512105939322066</v>
      </c>
      <c r="CO65" s="373">
        <f t="shared" si="320"/>
        <v>0.2213174642850276</v>
      </c>
      <c r="CP65" s="181">
        <f t="shared" si="320"/>
        <v>0.2213174642850276</v>
      </c>
      <c r="CQ65" s="373">
        <f t="shared" ref="CQ65:CV65" si="321">CQ63/(CQ62+CQ61)</f>
        <v>0.22229430103987141</v>
      </c>
      <c r="CR65" s="373">
        <f t="shared" si="321"/>
        <v>0.22831223752034066</v>
      </c>
      <c r="CS65" s="373">
        <f t="shared" si="321"/>
        <v>0.2317230085390104</v>
      </c>
      <c r="CT65" s="373">
        <f t="shared" si="321"/>
        <v>0.22615405209010594</v>
      </c>
      <c r="CU65" s="181">
        <f t="shared" si="321"/>
        <v>0.22615405209010594</v>
      </c>
      <c r="CV65" s="373">
        <f t="shared" si="321"/>
        <v>0.24460902183322111</v>
      </c>
      <c r="CW65" s="373">
        <f t="shared" ref="CW65:CZ65" si="322">CW63/(CW62+CW61)</f>
        <v>0.26151218937698739</v>
      </c>
      <c r="CX65" s="373">
        <f t="shared" si="322"/>
        <v>0.27073224844936189</v>
      </c>
      <c r="CY65" s="373">
        <f t="shared" si="322"/>
        <v>0.24568281348606835</v>
      </c>
      <c r="CZ65" s="181">
        <f t="shared" si="322"/>
        <v>0.24568281348606835</v>
      </c>
      <c r="DA65" s="373">
        <f t="shared" ref="DA65:DE65" si="323">DA63/(DA62+DA61)</f>
        <v>0.26642998909792304</v>
      </c>
      <c r="DB65" s="373">
        <f t="shared" si="323"/>
        <v>0.27777571757027369</v>
      </c>
      <c r="DC65" s="373">
        <f t="shared" si="323"/>
        <v>0.28414800408050417</v>
      </c>
      <c r="DD65" s="373">
        <f t="shared" si="323"/>
        <v>0.3592513988037816</v>
      </c>
      <c r="DE65" s="181">
        <f t="shared" si="323"/>
        <v>0.3592513988037816</v>
      </c>
      <c r="DF65" s="373">
        <f t="shared" ref="DF65:DI65" si="324">DF63/(DF62+DF61)</f>
        <v>0.36024418087185339</v>
      </c>
      <c r="DG65" s="373">
        <f t="shared" si="324"/>
        <v>0.3572311129123133</v>
      </c>
      <c r="DH65" s="373">
        <f t="shared" si="324"/>
        <v>0.34339757799870285</v>
      </c>
      <c r="DI65" s="373">
        <f t="shared" si="324"/>
        <v>0.3517229822970469</v>
      </c>
      <c r="DJ65" s="181">
        <f t="shared" ref="DJ65:DM65" si="325">DJ63/(DJ62+DJ61)</f>
        <v>0.3517229822970469</v>
      </c>
      <c r="DK65" s="373">
        <f t="shared" si="325"/>
        <v>0.3514044315673826</v>
      </c>
      <c r="DL65" s="373">
        <f t="shared" si="325"/>
        <v>0.35622551883314019</v>
      </c>
      <c r="DM65" s="373">
        <f t="shared" si="325"/>
        <v>0.31940892024670148</v>
      </c>
      <c r="DN65" s="373">
        <f t="shared" ref="DN65" si="326">DN63/(DN62+DN61)</f>
        <v>0.28766000182691565</v>
      </c>
      <c r="DO65" s="181">
        <f t="shared" ref="DO65:DS65" si="327">DO63/(DO62+DO61)</f>
        <v>0.28766000182691565</v>
      </c>
      <c r="DP65" s="373">
        <f t="shared" ref="DP65" si="328">DP63/(DP62+DP61)</f>
        <v>0.29899382031744737</v>
      </c>
      <c r="DQ65" s="373">
        <f t="shared" si="327"/>
        <v>0.29836377872490943</v>
      </c>
      <c r="DR65" s="373">
        <f t="shared" si="327"/>
        <v>0.29127704945142091</v>
      </c>
      <c r="DS65" s="373">
        <f t="shared" si="327"/>
        <v>0.26779468157398101</v>
      </c>
      <c r="DT65" s="181">
        <f t="shared" ref="DT65" si="329">DT63/(DT62+DT61)</f>
        <v>0.26779468157398101</v>
      </c>
      <c r="DU65" s="181">
        <f t="shared" ref="DU65:DV65" si="330">DU63/(DU62+DU61)</f>
        <v>0.26453940511659624</v>
      </c>
      <c r="DV65" s="181">
        <f t="shared" si="330"/>
        <v>0.25310109719378282</v>
      </c>
    </row>
    <row r="66" spans="2:126" s="32" customFormat="1">
      <c r="C66" s="369"/>
      <c r="D66" s="369"/>
      <c r="E66" s="369"/>
      <c r="F66" s="369"/>
      <c r="G66" s="369"/>
      <c r="H66" s="369"/>
      <c r="I66" s="369"/>
      <c r="J66" s="370"/>
      <c r="K66" s="370"/>
      <c r="L66" s="370"/>
      <c r="M66" s="370"/>
      <c r="N66" s="369"/>
      <c r="O66" s="370"/>
      <c r="P66" s="370"/>
      <c r="Q66" s="370"/>
      <c r="R66" s="370"/>
      <c r="S66" s="369"/>
      <c r="T66" s="370"/>
      <c r="U66" s="370"/>
      <c r="V66" s="370"/>
      <c r="W66" s="370"/>
      <c r="X66" s="369"/>
      <c r="Y66" s="370"/>
      <c r="Z66" s="370"/>
      <c r="AA66" s="370"/>
      <c r="AB66" s="370"/>
      <c r="AC66" s="369"/>
      <c r="AD66" s="370"/>
      <c r="AE66" s="370"/>
      <c r="AF66" s="370"/>
      <c r="AG66" s="370"/>
      <c r="AH66" s="369"/>
      <c r="AI66" s="370"/>
      <c r="AJ66" s="370"/>
      <c r="AK66" s="370"/>
      <c r="AL66" s="370"/>
      <c r="AM66" s="369"/>
      <c r="AN66" s="370"/>
      <c r="AO66" s="370"/>
      <c r="AP66" s="370"/>
      <c r="AQ66" s="370"/>
      <c r="AR66" s="369"/>
      <c r="AS66" s="370"/>
      <c r="AT66" s="370"/>
      <c r="AU66" s="370"/>
      <c r="AV66" s="370"/>
      <c r="AW66" s="369"/>
      <c r="AX66" s="370"/>
      <c r="AY66" s="370"/>
      <c r="AZ66" s="370"/>
      <c r="BA66" s="370"/>
      <c r="BB66" s="369"/>
      <c r="BC66" s="460"/>
      <c r="BD66" s="370"/>
      <c r="BE66" s="370"/>
      <c r="BF66" s="370"/>
      <c r="BG66" s="369"/>
      <c r="BH66" s="370"/>
      <c r="BI66" s="370"/>
      <c r="BJ66" s="370"/>
      <c r="BK66" s="370"/>
      <c r="BL66" s="369"/>
      <c r="BM66" s="370"/>
      <c r="BN66" s="370"/>
      <c r="BO66" s="370"/>
      <c r="BP66" s="370"/>
      <c r="BQ66" s="369"/>
      <c r="BR66" s="370"/>
      <c r="BS66" s="370"/>
      <c r="BT66" s="370"/>
      <c r="BU66" s="370"/>
      <c r="BV66" s="369"/>
      <c r="BW66" s="370"/>
      <c r="BX66" s="370"/>
      <c r="BY66" s="370"/>
      <c r="BZ66" s="370"/>
      <c r="CA66" s="369"/>
      <c r="CB66" s="370"/>
      <c r="CC66" s="370"/>
      <c r="CD66" s="370"/>
      <c r="CE66" s="370"/>
      <c r="CF66" s="369"/>
      <c r="CG66" s="370"/>
      <c r="CH66" s="370"/>
      <c r="CI66" s="370"/>
      <c r="CJ66" s="370"/>
      <c r="CK66" s="369"/>
      <c r="CL66" s="370"/>
      <c r="CM66" s="370"/>
      <c r="CN66" s="370"/>
      <c r="CO66" s="370"/>
      <c r="CP66" s="369"/>
      <c r="CQ66" s="370"/>
      <c r="CR66" s="370"/>
      <c r="CS66" s="370"/>
      <c r="CT66" s="370"/>
      <c r="CU66" s="369"/>
      <c r="CV66" s="370"/>
      <c r="CW66" s="370"/>
      <c r="CX66" s="370"/>
      <c r="CY66" s="370"/>
      <c r="CZ66" s="369"/>
      <c r="DA66" s="370"/>
      <c r="DB66" s="370"/>
      <c r="DC66" s="370"/>
      <c r="DD66" s="370"/>
      <c r="DE66" s="369"/>
      <c r="DF66" s="370"/>
      <c r="DG66" s="370"/>
      <c r="DH66" s="370"/>
      <c r="DI66" s="370"/>
      <c r="DJ66" s="369"/>
      <c r="DK66" s="370"/>
      <c r="DL66" s="370"/>
      <c r="DM66" s="370"/>
      <c r="DN66" s="370"/>
      <c r="DO66" s="369"/>
      <c r="DP66" s="370"/>
      <c r="DQ66" s="370"/>
      <c r="DR66" s="370"/>
      <c r="DS66" s="370"/>
      <c r="DT66" s="369"/>
      <c r="DU66" s="369"/>
      <c r="DV66" s="369"/>
    </row>
    <row r="67" spans="2:126" s="32" customFormat="1">
      <c r="B67" s="33" t="s">
        <v>114</v>
      </c>
      <c r="C67" s="369"/>
      <c r="D67" s="369"/>
      <c r="E67" s="369"/>
      <c r="F67" s="369"/>
      <c r="G67" s="369"/>
      <c r="H67" s="369"/>
      <c r="I67" s="369"/>
      <c r="J67" s="370"/>
      <c r="K67" s="370"/>
      <c r="L67" s="370"/>
      <c r="M67" s="370"/>
      <c r="N67" s="369"/>
      <c r="O67" s="370"/>
      <c r="P67" s="370"/>
      <c r="Q67" s="370"/>
      <c r="R67" s="370"/>
      <c r="S67" s="369"/>
      <c r="T67" s="370"/>
      <c r="U67" s="370"/>
      <c r="V67" s="370"/>
      <c r="W67" s="370"/>
      <c r="X67" s="369"/>
      <c r="Y67" s="370"/>
      <c r="Z67" s="370"/>
      <c r="AA67" s="370"/>
      <c r="AB67" s="370"/>
      <c r="AC67" s="369"/>
      <c r="AD67" s="370"/>
      <c r="AE67" s="370"/>
      <c r="AF67" s="370"/>
      <c r="AG67" s="370"/>
      <c r="AH67" s="369"/>
      <c r="AI67" s="370"/>
      <c r="AJ67" s="370"/>
      <c r="AK67" s="370"/>
      <c r="AL67" s="370"/>
      <c r="AM67" s="369"/>
      <c r="AN67" s="370"/>
      <c r="AO67" s="370"/>
      <c r="AP67" s="370"/>
      <c r="AQ67" s="370"/>
      <c r="AR67" s="369"/>
      <c r="AS67" s="370"/>
      <c r="AT67" s="370"/>
      <c r="AU67" s="370"/>
      <c r="AV67" s="370"/>
      <c r="AW67" s="369"/>
      <c r="AX67" s="370"/>
      <c r="AY67" s="370"/>
      <c r="AZ67" s="370"/>
      <c r="BA67" s="370"/>
      <c r="BB67" s="369"/>
      <c r="BC67" s="460"/>
      <c r="BD67" s="370"/>
      <c r="BE67" s="370"/>
      <c r="BF67" s="370"/>
      <c r="BG67" s="369"/>
      <c r="BH67" s="370"/>
      <c r="BI67" s="370"/>
      <c r="BJ67" s="370"/>
      <c r="BK67" s="370"/>
      <c r="BL67" s="369"/>
      <c r="BM67" s="370"/>
      <c r="BN67" s="370"/>
      <c r="BO67" s="370"/>
      <c r="BP67" s="370"/>
      <c r="BQ67" s="369"/>
      <c r="BR67" s="370"/>
      <c r="BS67" s="370"/>
      <c r="BT67" s="370"/>
      <c r="BU67" s="370"/>
      <c r="BV67" s="369"/>
      <c r="BW67" s="370"/>
      <c r="BX67" s="370"/>
      <c r="BY67" s="370"/>
      <c r="BZ67" s="370"/>
      <c r="CA67" s="369"/>
      <c r="CB67" s="370"/>
      <c r="CC67" s="370"/>
      <c r="CD67" s="370"/>
      <c r="CE67" s="370"/>
      <c r="CF67" s="369"/>
      <c r="CG67" s="370"/>
      <c r="CH67" s="370"/>
      <c r="CI67" s="370"/>
      <c r="CJ67" s="370"/>
      <c r="CK67" s="369"/>
      <c r="CL67" s="370"/>
      <c r="CM67" s="370"/>
      <c r="CN67" s="370"/>
      <c r="CO67" s="370"/>
      <c r="CP67" s="369"/>
      <c r="CQ67" s="370"/>
      <c r="CR67" s="370"/>
      <c r="CS67" s="370"/>
      <c r="CT67" s="370"/>
      <c r="CU67" s="369"/>
      <c r="CV67" s="370"/>
      <c r="CW67" s="370"/>
      <c r="CX67" s="370"/>
      <c r="CY67" s="370"/>
      <c r="CZ67" s="369"/>
      <c r="DA67" s="370"/>
      <c r="DB67" s="370"/>
      <c r="DC67" s="370"/>
      <c r="DD67" s="370"/>
      <c r="DE67" s="369"/>
      <c r="DF67" s="370"/>
      <c r="DG67" s="370"/>
      <c r="DH67" s="370"/>
      <c r="DI67" s="370"/>
      <c r="DJ67" s="369"/>
      <c r="DK67" s="370"/>
      <c r="DL67" s="370"/>
      <c r="DM67" s="370"/>
      <c r="DN67" s="370"/>
      <c r="DO67" s="369"/>
      <c r="DP67" s="370"/>
      <c r="DQ67" s="370"/>
      <c r="DR67" s="370"/>
      <c r="DS67" s="370"/>
      <c r="DT67" s="369"/>
      <c r="DU67" s="369"/>
      <c r="DV67" s="369"/>
    </row>
    <row r="68" spans="2:126" s="32" customFormat="1">
      <c r="B68" s="32" t="s">
        <v>115</v>
      </c>
      <c r="C68" s="369"/>
      <c r="D68" s="366"/>
      <c r="E68" s="366"/>
      <c r="F68" s="366"/>
      <c r="G68" s="366"/>
      <c r="H68" s="366"/>
      <c r="I68" s="366"/>
      <c r="J68" s="368"/>
      <c r="K68" s="368"/>
      <c r="L68" s="368"/>
      <c r="M68" s="368"/>
      <c r="N68" s="366"/>
      <c r="O68" s="368"/>
      <c r="P68" s="368"/>
      <c r="Q68" s="368"/>
      <c r="R68" s="368"/>
      <c r="S68" s="366"/>
      <c r="T68" s="368"/>
      <c r="U68" s="368"/>
      <c r="V68" s="368"/>
      <c r="W68" s="368"/>
      <c r="X68" s="366"/>
      <c r="Y68" s="368"/>
      <c r="Z68" s="368"/>
      <c r="AA68" s="368"/>
      <c r="AB68" s="368"/>
      <c r="AC68" s="366"/>
      <c r="AD68" s="368"/>
      <c r="AE68" s="368"/>
      <c r="AF68" s="368"/>
      <c r="AG68" s="368"/>
      <c r="AH68" s="366"/>
      <c r="AI68" s="368"/>
      <c r="AJ68" s="368"/>
      <c r="AK68" s="368"/>
      <c r="AL68" s="368"/>
      <c r="AM68" s="366"/>
      <c r="AN68" s="368"/>
      <c r="AO68" s="368"/>
      <c r="AP68" s="368"/>
      <c r="AQ68" s="368"/>
      <c r="AR68" s="366"/>
      <c r="AS68" s="368"/>
      <c r="AT68" s="368"/>
      <c r="AU68" s="368"/>
      <c r="AV68" s="368"/>
      <c r="AW68" s="366"/>
      <c r="AX68" s="368"/>
      <c r="AY68" s="368"/>
      <c r="AZ68" s="368"/>
      <c r="BA68" s="368"/>
      <c r="BB68" s="366"/>
      <c r="BC68" s="368"/>
      <c r="BD68" s="368"/>
      <c r="BE68" s="368"/>
      <c r="BF68" s="368"/>
      <c r="BG68" s="366"/>
      <c r="BH68" s="368"/>
      <c r="BI68" s="368"/>
      <c r="BJ68" s="368"/>
      <c r="BK68" s="368"/>
      <c r="BL68" s="366"/>
      <c r="BM68" s="368"/>
      <c r="BN68" s="368"/>
      <c r="BO68" s="368"/>
      <c r="BP68" s="368"/>
      <c r="BQ68" s="366"/>
      <c r="BR68" s="368"/>
      <c r="BS68" s="368"/>
      <c r="BT68" s="368"/>
      <c r="BU68" s="368"/>
      <c r="BV68" s="366"/>
      <c r="BW68" s="368"/>
      <c r="BX68" s="368"/>
      <c r="BY68" s="368"/>
      <c r="BZ68" s="368"/>
      <c r="CA68" s="366"/>
      <c r="CB68" s="368"/>
      <c r="CC68" s="368"/>
      <c r="CD68" s="368"/>
      <c r="CE68" s="368">
        <f>CE12-CE30</f>
        <v>0</v>
      </c>
      <c r="CF68" s="366"/>
      <c r="CG68" s="368"/>
      <c r="CH68" s="368">
        <f t="shared" ref="CH68:CP68" si="331">CH12-CH30</f>
        <v>1566</v>
      </c>
      <c r="CI68" s="368">
        <f t="shared" si="331"/>
        <v>1867.3536172161112</v>
      </c>
      <c r="CJ68" s="368">
        <f t="shared" si="331"/>
        <v>14983</v>
      </c>
      <c r="CK68" s="366">
        <f t="shared" si="331"/>
        <v>14983</v>
      </c>
      <c r="CL68" s="368">
        <f t="shared" si="331"/>
        <v>41490.795220091895</v>
      </c>
      <c r="CM68" s="453">
        <f t="shared" si="331"/>
        <v>6983</v>
      </c>
      <c r="CN68" s="368">
        <f t="shared" si="331"/>
        <v>7949</v>
      </c>
      <c r="CO68" s="368">
        <f t="shared" si="331"/>
        <v>7528</v>
      </c>
      <c r="CP68" s="366">
        <f t="shared" si="331"/>
        <v>7528</v>
      </c>
      <c r="CQ68" s="368">
        <f t="shared" ref="CQ68:CV68" si="332">CQ12-CQ30</f>
        <v>6193</v>
      </c>
      <c r="CR68" s="368">
        <f t="shared" si="332"/>
        <v>6085</v>
      </c>
      <c r="CS68" s="368">
        <f t="shared" si="332"/>
        <v>7861</v>
      </c>
      <c r="CT68" s="368">
        <f t="shared" si="332"/>
        <v>6601</v>
      </c>
      <c r="CU68" s="366">
        <f t="shared" si="332"/>
        <v>6601</v>
      </c>
      <c r="CV68" s="368">
        <f t="shared" si="332"/>
        <v>5683</v>
      </c>
      <c r="CW68" s="368">
        <f t="shared" ref="CW68:CZ68" si="333">CW12-CW30</f>
        <v>3674</v>
      </c>
      <c r="CX68" s="368">
        <f t="shared" si="333"/>
        <v>3448</v>
      </c>
      <c r="CY68" s="368">
        <f t="shared" si="333"/>
        <v>3329</v>
      </c>
      <c r="CZ68" s="366">
        <f t="shared" si="333"/>
        <v>3329</v>
      </c>
      <c r="DA68" s="368">
        <f t="shared" ref="DA68:DE68" si="334">DA12-DA30</f>
        <v>5376</v>
      </c>
      <c r="DB68" s="368">
        <f t="shared" si="334"/>
        <v>4155</v>
      </c>
      <c r="DC68" s="368">
        <f t="shared" si="334"/>
        <v>1516</v>
      </c>
      <c r="DD68" s="368">
        <f t="shared" si="334"/>
        <v>1656</v>
      </c>
      <c r="DE68" s="366">
        <f t="shared" si="334"/>
        <v>1656</v>
      </c>
      <c r="DF68" s="368">
        <f t="shared" ref="DF68:DI68" si="335">DF12-DF30</f>
        <v>3004</v>
      </c>
      <c r="DG68" s="368">
        <f t="shared" si="335"/>
        <v>-340</v>
      </c>
      <c r="DH68" s="368">
        <f t="shared" si="335"/>
        <v>-483</v>
      </c>
      <c r="DI68" s="368">
        <f t="shared" si="335"/>
        <v>-366</v>
      </c>
      <c r="DJ68" s="366">
        <f t="shared" ref="DJ68:DM68" si="336">DJ12-DJ30</f>
        <v>-366</v>
      </c>
      <c r="DK68" s="368">
        <f t="shared" si="336"/>
        <v>292</v>
      </c>
      <c r="DL68" s="368">
        <f t="shared" si="336"/>
        <v>325</v>
      </c>
      <c r="DM68" s="368">
        <f t="shared" si="336"/>
        <v>3884</v>
      </c>
      <c r="DN68" s="368">
        <f t="shared" ref="DN68:DO68" si="337">DN12-DN30</f>
        <v>5855.9272281809026</v>
      </c>
      <c r="DO68" s="366">
        <f t="shared" si="337"/>
        <v>5855.9272281809026</v>
      </c>
      <c r="DP68" s="368">
        <f t="shared" ref="DP68" si="338">DP12-DP30</f>
        <v>3806.684602967267</v>
      </c>
      <c r="DQ68" s="368">
        <f t="shared" ref="DQ68:DT68" si="339">DQ12-DQ30</f>
        <v>5028.2866264703844</v>
      </c>
      <c r="DR68" s="368">
        <f t="shared" si="339"/>
        <v>6707.740978639391</v>
      </c>
      <c r="DS68" s="368">
        <f t="shared" si="339"/>
        <v>8969.8875713630478</v>
      </c>
      <c r="DT68" s="366">
        <f t="shared" si="339"/>
        <v>8969.8875713630478</v>
      </c>
      <c r="DU68" s="366">
        <f t="shared" ref="DU68:DV68" si="340">DU12-DU30</f>
        <v>6772.491626501178</v>
      </c>
      <c r="DV68" s="366">
        <f t="shared" si="340"/>
        <v>8949.9422532850658</v>
      </c>
    </row>
    <row r="69" spans="2:126" s="32" customFormat="1">
      <c r="B69" s="32" t="s">
        <v>116</v>
      </c>
      <c r="C69" s="369"/>
      <c r="D69" s="366"/>
      <c r="E69" s="366"/>
      <c r="F69" s="366"/>
      <c r="G69" s="366"/>
      <c r="H69" s="366"/>
      <c r="I69" s="366"/>
      <c r="J69" s="368"/>
      <c r="K69" s="368"/>
      <c r="L69" s="368"/>
      <c r="M69" s="368"/>
      <c r="N69" s="366"/>
      <c r="O69" s="368"/>
      <c r="P69" s="436"/>
      <c r="Q69" s="368"/>
      <c r="R69" s="368"/>
      <c r="S69" s="366"/>
      <c r="T69" s="368"/>
      <c r="U69" s="368"/>
      <c r="V69" s="368"/>
      <c r="W69" s="368"/>
      <c r="X69" s="366"/>
      <c r="Y69" s="368"/>
      <c r="Z69" s="368"/>
      <c r="AA69" s="368"/>
      <c r="AB69" s="368"/>
      <c r="AC69" s="366"/>
      <c r="AD69" s="368"/>
      <c r="AE69" s="368"/>
      <c r="AF69" s="368"/>
      <c r="AG69" s="368"/>
      <c r="AH69" s="366"/>
      <c r="AI69" s="368"/>
      <c r="AJ69" s="368"/>
      <c r="AK69" s="368"/>
      <c r="AL69" s="368"/>
      <c r="AM69" s="366"/>
      <c r="AN69" s="368"/>
      <c r="AO69" s="368"/>
      <c r="AP69" s="368"/>
      <c r="AQ69" s="368"/>
      <c r="AR69" s="366"/>
      <c r="AS69" s="368"/>
      <c r="AT69" s="368"/>
      <c r="AU69" s="368"/>
      <c r="AV69" s="368"/>
      <c r="AW69" s="366"/>
      <c r="AX69" s="368"/>
      <c r="AY69" s="368"/>
      <c r="AZ69" s="368"/>
      <c r="BA69" s="368"/>
      <c r="BB69" s="366"/>
      <c r="BC69" s="453"/>
      <c r="BD69" s="453"/>
      <c r="BE69" s="453"/>
      <c r="BF69" s="453"/>
      <c r="BG69" s="366"/>
      <c r="BH69" s="453"/>
      <c r="BI69" s="453"/>
      <c r="BJ69" s="453"/>
      <c r="BK69" s="453"/>
      <c r="BL69" s="366"/>
      <c r="BM69" s="453"/>
      <c r="BN69" s="453"/>
      <c r="BO69" s="453"/>
      <c r="BP69" s="453"/>
      <c r="BQ69" s="366"/>
      <c r="BR69" s="453"/>
      <c r="BS69" s="453"/>
      <c r="BT69" s="453"/>
      <c r="BU69" s="453"/>
      <c r="BV69" s="366"/>
      <c r="BW69" s="453"/>
      <c r="BX69" s="453"/>
      <c r="BY69" s="453"/>
      <c r="BZ69" s="453"/>
      <c r="CA69" s="366"/>
      <c r="CB69" s="453"/>
      <c r="CC69" s="453"/>
      <c r="CD69" s="453"/>
      <c r="CE69" s="453" t="e">
        <f>AVERAGE(CD8,CE8)/(IS!CE6/90)</f>
        <v>#DIV/0!</v>
      </c>
      <c r="CF69" s="366"/>
      <c r="CG69" s="453"/>
      <c r="CH69" s="453">
        <f>AVERAGE(CG8,CH8)/(IS!CH6/90)</f>
        <v>47.155095047727826</v>
      </c>
      <c r="CI69" s="355">
        <v>47</v>
      </c>
      <c r="CJ69" s="453">
        <f>AVERAGE(CI8,CJ8)/(IS!CJ6/90)</f>
        <v>42.53198685155818</v>
      </c>
      <c r="CK69" s="366">
        <f>CK8/(IS!CK6/365)</f>
        <v>42.9865835095707</v>
      </c>
      <c r="CL69" s="355">
        <v>58</v>
      </c>
      <c r="CM69" s="453">
        <f>CM8/(IS!CM6/91)</f>
        <v>59.719143054595712</v>
      </c>
      <c r="CN69" s="453">
        <f>CN8/(IS!CN6/91)</f>
        <v>62.417101783413578</v>
      </c>
      <c r="CO69" s="453">
        <f>CO8/(IS!CO6/91)</f>
        <v>51.288994457640541</v>
      </c>
      <c r="CP69" s="366">
        <f>CP8/(IS!CP6/365)</f>
        <v>52.705072791673821</v>
      </c>
      <c r="CQ69" s="453">
        <f>CQ8/(IS!CQ6/91)</f>
        <v>59.888990885843548</v>
      </c>
      <c r="CR69" s="453">
        <f>CR8/(IS!CR6/91)</f>
        <v>51.070025188916873</v>
      </c>
      <c r="CS69" s="453">
        <f>CS8/(IS!CS6/91)</f>
        <v>53.534694381052248</v>
      </c>
      <c r="CT69" s="453">
        <f>CT8/(IS!CT6/91)</f>
        <v>51.581260267542831</v>
      </c>
      <c r="CU69" s="366">
        <f>CU8/(IS!CU6/365)</f>
        <v>54.765872522830335</v>
      </c>
      <c r="CV69" s="453">
        <f>CV8/(IS!CV6/91)</f>
        <v>52.552557902774247</v>
      </c>
      <c r="CW69" s="453">
        <f>CW8/(IS!CW6/91)</f>
        <v>57.978055657717292</v>
      </c>
      <c r="CX69" s="453">
        <f>CX8/(IS!CX6/91)</f>
        <v>49.566574243407466</v>
      </c>
      <c r="CY69" s="453">
        <f>CY8/(IS!CY6/91)</f>
        <v>45.809318520974962</v>
      </c>
      <c r="CZ69" s="366">
        <f>CZ8/(IS!CZ6/365)</f>
        <v>49.563467215314432</v>
      </c>
      <c r="DA69" s="453">
        <f>DA8/(IS!DA6/91)</f>
        <v>53.228709190194031</v>
      </c>
      <c r="DB69" s="453">
        <f>DB8/(IS!DB6/91)</f>
        <v>49.204095004095002</v>
      </c>
      <c r="DC69" s="453">
        <f>DC8/(IS!DC6/91)</f>
        <v>67.979649435531798</v>
      </c>
      <c r="DD69" s="453">
        <f>DD8/(IS!DD6/91)</f>
        <v>49.493551462839363</v>
      </c>
      <c r="DE69" s="366">
        <f>DE8/(IS!DE6/365)</f>
        <v>57.397997678467789</v>
      </c>
      <c r="DF69" s="453">
        <f>DF8/(IS!DF6/91)</f>
        <v>48.457912457912457</v>
      </c>
      <c r="DG69" s="453">
        <f>DG8/(IS!DG6/91)</f>
        <v>47.306526038233351</v>
      </c>
      <c r="DH69" s="453">
        <f>DH8/(IS!DH6/91)</f>
        <v>45.737816715615516</v>
      </c>
      <c r="DI69" s="453">
        <f>DI8/(IS!DI6/91)</f>
        <v>46.192295241178378</v>
      </c>
      <c r="DJ69" s="366">
        <f>DJ8/(IS!DJ6/365)</f>
        <v>49.620253164556964</v>
      </c>
      <c r="DK69" s="453">
        <f>DK8/(IS!DK6/91)</f>
        <v>51.204865556978234</v>
      </c>
      <c r="DL69" s="453">
        <f>DL8/(IS!DL6/91)</f>
        <v>52.223483619850796</v>
      </c>
      <c r="DM69" s="453">
        <f>DM8/(IS!DM6/91)</f>
        <v>51.969347806744373</v>
      </c>
      <c r="DN69" s="355">
        <v>53</v>
      </c>
      <c r="DO69" s="366">
        <f>DO8/(IS!DO6/365)</f>
        <v>55.245491359751512</v>
      </c>
      <c r="DP69" s="355">
        <v>53</v>
      </c>
      <c r="DQ69" s="355">
        <v>53</v>
      </c>
      <c r="DR69" s="355">
        <v>53</v>
      </c>
      <c r="DS69" s="355">
        <v>53</v>
      </c>
      <c r="DT69" s="366">
        <f>DT8/(IS!DT6/365)</f>
        <v>55.875976754957954</v>
      </c>
      <c r="DU69" s="74">
        <v>50</v>
      </c>
      <c r="DV69" s="74">
        <v>50</v>
      </c>
    </row>
    <row r="70" spans="2:126" s="32" customFormat="1">
      <c r="B70" s="32" t="s">
        <v>117</v>
      </c>
      <c r="C70" s="369"/>
      <c r="D70" s="366"/>
      <c r="E70" s="366"/>
      <c r="F70" s="366"/>
      <c r="G70" s="366"/>
      <c r="H70" s="366"/>
      <c r="I70" s="366"/>
      <c r="J70" s="368"/>
      <c r="K70" s="368"/>
      <c r="L70" s="368"/>
      <c r="M70" s="368"/>
      <c r="N70" s="366"/>
      <c r="O70" s="368"/>
      <c r="P70" s="368"/>
      <c r="Q70" s="368"/>
      <c r="R70" s="368"/>
      <c r="S70" s="366"/>
      <c r="T70" s="368"/>
      <c r="U70" s="368"/>
      <c r="V70" s="368"/>
      <c r="W70" s="368"/>
      <c r="X70" s="366"/>
      <c r="Y70" s="368"/>
      <c r="Z70" s="368"/>
      <c r="AA70" s="368"/>
      <c r="AB70" s="368"/>
      <c r="AC70" s="366"/>
      <c r="AD70" s="368"/>
      <c r="AE70" s="368"/>
      <c r="AF70" s="368"/>
      <c r="AG70" s="368"/>
      <c r="AH70" s="366"/>
      <c r="AI70" s="368"/>
      <c r="AJ70" s="368"/>
      <c r="AK70" s="368"/>
      <c r="AL70" s="368"/>
      <c r="AM70" s="366"/>
      <c r="AN70" s="368"/>
      <c r="AO70" s="368"/>
      <c r="AP70" s="368"/>
      <c r="AQ70" s="368"/>
      <c r="AR70" s="366"/>
      <c r="AS70" s="368"/>
      <c r="AT70" s="368"/>
      <c r="AU70" s="368"/>
      <c r="AV70" s="368"/>
      <c r="AW70" s="366"/>
      <c r="AX70" s="368"/>
      <c r="AY70" s="368"/>
      <c r="AZ70" s="368"/>
      <c r="BA70" s="368"/>
      <c r="BB70" s="366"/>
      <c r="BC70" s="453"/>
      <c r="BD70" s="453"/>
      <c r="BE70" s="453"/>
      <c r="BF70" s="453"/>
      <c r="BG70" s="366"/>
      <c r="BH70" s="453"/>
      <c r="BI70" s="453"/>
      <c r="BJ70" s="453"/>
      <c r="BK70" s="453"/>
      <c r="BL70" s="366"/>
      <c r="BM70" s="453"/>
      <c r="BN70" s="453"/>
      <c r="BO70" s="453"/>
      <c r="BP70" s="453"/>
      <c r="BQ70" s="366"/>
      <c r="BR70" s="453"/>
      <c r="BS70" s="453"/>
      <c r="BT70" s="453"/>
      <c r="BU70" s="453"/>
      <c r="BV70" s="366"/>
      <c r="BW70" s="453"/>
      <c r="BX70" s="453"/>
      <c r="BY70" s="453"/>
      <c r="BZ70" s="453"/>
      <c r="CA70" s="366"/>
      <c r="CB70" s="453"/>
      <c r="CC70" s="453"/>
      <c r="CD70" s="453"/>
      <c r="CE70" s="453" t="e">
        <f>AVERAGE(CD24,CE24)/(-IS!CE7/90)</f>
        <v>#DIV/0!</v>
      </c>
      <c r="CF70" s="366"/>
      <c r="CG70" s="453"/>
      <c r="CH70" s="453">
        <f>AVERAGE(CG24,CH24)/(-IS!CH7/90)</f>
        <v>59.186396180360433</v>
      </c>
      <c r="CI70" s="355">
        <v>60</v>
      </c>
      <c r="CJ70" s="453">
        <f>AVERAGE(CI24,CJ24)/(-IS!CJ7/90)</f>
        <v>50.551508517563668</v>
      </c>
      <c r="CK70" s="366">
        <f>CK24/(-IS!CK7/365)</f>
        <v>49.869594098521134</v>
      </c>
      <c r="CL70" s="355">
        <v>76</v>
      </c>
      <c r="CM70" s="453">
        <f>CM24/(-IS!CM7/91)</f>
        <v>41.791009770675053</v>
      </c>
      <c r="CN70" s="453">
        <f>CN24/(-IS!CN7/91)</f>
        <v>56.983466625653648</v>
      </c>
      <c r="CO70" s="453">
        <f>CO24/(-IS!CO7/91)</f>
        <v>55.10647693817468</v>
      </c>
      <c r="CP70" s="366">
        <f>CP24/(-IS!CP7/365)</f>
        <v>55.190512809216692</v>
      </c>
      <c r="CQ70" s="453">
        <f>CQ24/(-IS!CQ7/91)</f>
        <v>66.647682858738136</v>
      </c>
      <c r="CR70" s="453">
        <f>CR24/(-IS!CR7/91)</f>
        <v>57.835875148162778</v>
      </c>
      <c r="CS70" s="453">
        <f>CS24/(-IS!CS7/91)</f>
        <v>60.256474902589957</v>
      </c>
      <c r="CT70" s="453">
        <f>CT24/(-IS!CT7/91)</f>
        <v>58.485678613396004</v>
      </c>
      <c r="CU70" s="366">
        <f>CU24/(-IS!CU7/365)</f>
        <v>61.547199260072837</v>
      </c>
      <c r="CV70" s="453">
        <f>CV24/(-IS!CV7/91)</f>
        <v>59.91799363057325</v>
      </c>
      <c r="CW70" s="453">
        <f>CW24/(-IS!CW7/91)</f>
        <v>68.887056627255745</v>
      </c>
      <c r="CX70" s="453">
        <f>CX24/(-IS!CX7/91)</f>
        <v>60.94377599524659</v>
      </c>
      <c r="CY70" s="453">
        <f>CY24/(-IS!CY7/91)</f>
        <v>61.994768002202946</v>
      </c>
      <c r="CZ70" s="366">
        <f>CZ24/(-IS!CZ7/365)</f>
        <v>67.633599221061303</v>
      </c>
      <c r="DA70" s="453">
        <f>DA24/(-IS!DA7/91)</f>
        <v>67.091242213264934</v>
      </c>
      <c r="DB70" s="453">
        <f>DB24/(-IS!DB7/91)</f>
        <v>63.483124397299903</v>
      </c>
      <c r="DC70" s="453">
        <f>DC24/(-IS!DC7/91)</f>
        <v>73.620784313725494</v>
      </c>
      <c r="DD70" s="453">
        <f>DD24/(-IS!DD7/91)</f>
        <v>61.158311345646432</v>
      </c>
      <c r="DE70" s="366">
        <f>DE24/(-IS!DE7/365)</f>
        <v>68.708451373370167</v>
      </c>
      <c r="DF70" s="453">
        <f>DF24/(-IS!DF7/91)</f>
        <v>60.816946138211378</v>
      </c>
      <c r="DG70" s="453">
        <f>DG24/(-IS!DG7/91)</f>
        <v>61.672077318629583</v>
      </c>
      <c r="DH70" s="453">
        <f>DH24/(-IS!DH7/91)</f>
        <v>67.075303643724695</v>
      </c>
      <c r="DI70" s="453">
        <f>DI24/(-IS!DI7/91)</f>
        <v>67.496376811594203</v>
      </c>
      <c r="DJ70" s="366">
        <f>DJ24/(-IS!DJ7/365)</f>
        <v>72.05799963262308</v>
      </c>
      <c r="DK70" s="453">
        <f>DK24/(-IS!DK7/91)</f>
        <v>75.565410747374926</v>
      </c>
      <c r="DL70" s="453">
        <f>DL24/(-IS!DL7/91)</f>
        <v>71.049287997675094</v>
      </c>
      <c r="DM70" s="453">
        <f>DM24/(-IS!DM7/91)</f>
        <v>73.987708123812709</v>
      </c>
      <c r="DN70" s="355">
        <v>74</v>
      </c>
      <c r="DO70" s="366">
        <f>DO24/(-IS!DO7/365)</f>
        <v>76.595903089221366</v>
      </c>
      <c r="DP70" s="355">
        <v>70</v>
      </c>
      <c r="DQ70" s="355">
        <v>70</v>
      </c>
      <c r="DR70" s="355">
        <v>70</v>
      </c>
      <c r="DS70" s="355">
        <v>70</v>
      </c>
      <c r="DT70" s="366">
        <f>DT24/(-IS!DT7/365)</f>
        <v>73.498037582202016</v>
      </c>
      <c r="DU70" s="74">
        <v>65</v>
      </c>
      <c r="DV70" s="74">
        <v>65</v>
      </c>
    </row>
    <row r="71" spans="2:126" s="32" customFormat="1">
      <c r="B71" s="3" t="s">
        <v>483</v>
      </c>
      <c r="C71" s="369"/>
      <c r="D71" s="366"/>
      <c r="E71" s="366"/>
      <c r="F71" s="366"/>
      <c r="G71" s="366"/>
      <c r="H71" s="366"/>
      <c r="I71" s="366"/>
      <c r="J71" s="368"/>
      <c r="K71" s="368"/>
      <c r="L71" s="368"/>
      <c r="M71" s="368"/>
      <c r="N71" s="366"/>
      <c r="O71" s="368"/>
      <c r="P71" s="368"/>
      <c r="Q71" s="368"/>
      <c r="R71" s="368"/>
      <c r="S71" s="366"/>
      <c r="T71" s="368"/>
      <c r="U71" s="368"/>
      <c r="V71" s="368"/>
      <c r="W71" s="368"/>
      <c r="X71" s="366"/>
      <c r="Y71" s="368"/>
      <c r="Z71" s="368"/>
      <c r="AA71" s="368"/>
      <c r="AB71" s="368"/>
      <c r="AC71" s="366"/>
      <c r="AD71" s="368"/>
      <c r="AE71" s="368"/>
      <c r="AF71" s="368"/>
      <c r="AG71" s="368"/>
      <c r="AH71" s="366"/>
      <c r="AI71" s="368"/>
      <c r="AJ71" s="368"/>
      <c r="AK71" s="368"/>
      <c r="AL71" s="368"/>
      <c r="AM71" s="366"/>
      <c r="AN71" s="368"/>
      <c r="AO71" s="368"/>
      <c r="AP71" s="368"/>
      <c r="AQ71" s="368"/>
      <c r="AR71" s="366"/>
      <c r="AS71" s="368"/>
      <c r="AT71" s="368"/>
      <c r="AU71" s="368"/>
      <c r="AV71" s="368"/>
      <c r="AW71" s="366"/>
      <c r="AX71" s="368"/>
      <c r="AY71" s="368"/>
      <c r="AZ71" s="368"/>
      <c r="BA71" s="368"/>
      <c r="BB71" s="366"/>
      <c r="BC71" s="453"/>
      <c r="BD71" s="453"/>
      <c r="BE71" s="453"/>
      <c r="BF71" s="453"/>
      <c r="BG71" s="366"/>
      <c r="BH71" s="453"/>
      <c r="BI71" s="453"/>
      <c r="BJ71" s="453"/>
      <c r="BK71" s="453"/>
      <c r="BL71" s="366"/>
      <c r="BM71" s="453"/>
      <c r="BN71" s="453"/>
      <c r="BO71" s="453"/>
      <c r="BP71" s="453"/>
      <c r="BQ71" s="366"/>
      <c r="BR71" s="453"/>
      <c r="BS71" s="453"/>
      <c r="BT71" s="453"/>
      <c r="BU71" s="453"/>
      <c r="BV71" s="366"/>
      <c r="BW71" s="453"/>
      <c r="BX71" s="453"/>
      <c r="BY71" s="453"/>
      <c r="BZ71" s="453"/>
      <c r="CA71" s="366"/>
      <c r="CB71" s="454"/>
      <c r="CC71" s="454"/>
      <c r="CD71" s="454"/>
      <c r="CE71" s="454" t="e">
        <f>-IS!CE7*4/AVERAGE(BS!CD9,CE9)</f>
        <v>#DIV/0!</v>
      </c>
      <c r="CF71" s="377"/>
      <c r="CG71" s="454"/>
      <c r="CH71" s="454">
        <f>-IS!CH7*4/AVERAGE(BS!CG9,CH9)</f>
        <v>6.2377790166127776</v>
      </c>
      <c r="CI71" s="356">
        <v>6</v>
      </c>
      <c r="CJ71" s="454">
        <f>-IS!CJ7*4/AVERAGE(BS!CI9,CJ9)</f>
        <v>8.7658365679204948</v>
      </c>
      <c r="CK71" s="377">
        <f>-IS!CK7/BS!CK9</f>
        <v>12.820708202599731</v>
      </c>
      <c r="CL71" s="356">
        <v>4.5999999999999996</v>
      </c>
      <c r="CM71" s="454">
        <f>-IS!CM7/BS!CM9*4</f>
        <v>6.2913881522870412</v>
      </c>
      <c r="CN71" s="454">
        <f>-IS!CN7/BS!CN9*4</f>
        <v>5.4087553291047108</v>
      </c>
      <c r="CO71" s="454">
        <f>-IS!CO7/BS!CO9*4</f>
        <v>5.7460477293323935</v>
      </c>
      <c r="CP71" s="377">
        <f>-IS!CP7/BS!CP9</f>
        <v>5.753060315017259</v>
      </c>
      <c r="CQ71" s="454">
        <f>-IS!CQ7/BS!CQ9*4</f>
        <v>4.8982223090447352</v>
      </c>
      <c r="CR71" s="454">
        <f>-IS!CR7/BS!CR9*4</f>
        <v>4.8278493085360035</v>
      </c>
      <c r="CS71" s="454">
        <f>-IS!CS7/BS!CS9*4</f>
        <v>4.8037434627030002</v>
      </c>
      <c r="CT71" s="454">
        <f>-IS!CT7/BS!CT9*4</f>
        <v>4.7939441950532524</v>
      </c>
      <c r="CU71" s="377">
        <f>-IS!CU7/BS!CU9</f>
        <v>4.5679957750198046</v>
      </c>
      <c r="CV71" s="454">
        <f>-IS!CV7/BS!CV9*4</f>
        <v>4.343766211309009</v>
      </c>
      <c r="CW71" s="454">
        <f>-IS!CW7/BS!CW9*4</f>
        <v>4.3447110510307541</v>
      </c>
      <c r="CX71" s="454">
        <f>-IS!CX7/BS!CX9*4</f>
        <v>4.379604781654062</v>
      </c>
      <c r="CY71" s="454">
        <f>-IS!CY7/BS!CY9*4</f>
        <v>5.0376278827813419</v>
      </c>
      <c r="CZ71" s="377">
        <f>-IS!CZ7/BS!CZ9</f>
        <v>4.6303103866828508</v>
      </c>
      <c r="DA71" s="454">
        <f>-IS!DA7/BS!DA9*4</f>
        <v>4.2878466493832983</v>
      </c>
      <c r="DB71" s="454">
        <f>-IS!DB7/BS!DB9*4</f>
        <v>4.4774094063222822</v>
      </c>
      <c r="DC71" s="454">
        <f>-IS!DC7/BS!DC9*4</f>
        <v>4.0170132325141781</v>
      </c>
      <c r="DD71" s="454">
        <f>-IS!DD7/BS!DD9*4</f>
        <v>5.2452426064749975</v>
      </c>
      <c r="DE71" s="377">
        <f>-IS!DE7/BS!DE9</f>
        <v>4.6816871241453164</v>
      </c>
      <c r="DF71" s="454">
        <f>-IS!DF7/BS!DF9*4</f>
        <v>4.8058608058608057</v>
      </c>
      <c r="DG71" s="454">
        <f>-IS!DG7/BS!DG9*4</f>
        <v>4.7539945512112514</v>
      </c>
      <c r="DH71" s="454">
        <f>-IS!DH7/BS!DH9*4</f>
        <v>4.3734677199673113</v>
      </c>
      <c r="DI71" s="454">
        <f>-IS!DI7/BS!DI9*4</f>
        <v>4.7736444749485241</v>
      </c>
      <c r="DJ71" s="377">
        <f>-IS!DJ7/BS!DJ9</f>
        <v>4.4837336993822925</v>
      </c>
      <c r="DK71" s="454">
        <f>-IS!DK7/BS!DK9*4</f>
        <v>4.2490650219801847</v>
      </c>
      <c r="DL71" s="454">
        <f>-IS!DL7/BS!DL9*4</f>
        <v>4.3873517786561269</v>
      </c>
      <c r="DM71" s="454">
        <f>-IS!DM7/BS!DM9*4</f>
        <v>4.3117321127439174</v>
      </c>
      <c r="DN71" s="356">
        <v>4.3</v>
      </c>
      <c r="DO71" s="377">
        <f>-IS!DO7/BS!DO9</f>
        <v>4.1542691862951262</v>
      </c>
      <c r="DP71" s="356">
        <v>4.5</v>
      </c>
      <c r="DQ71" s="356">
        <v>4.5</v>
      </c>
      <c r="DR71" s="356">
        <v>4.5</v>
      </c>
      <c r="DS71" s="356">
        <v>4.5</v>
      </c>
      <c r="DT71" s="377">
        <f>-IS!DT7/BS!DT9</f>
        <v>4.2858287154632704</v>
      </c>
      <c r="DU71" s="379">
        <v>5.5</v>
      </c>
      <c r="DV71" s="379">
        <v>5.5</v>
      </c>
    </row>
    <row r="72" spans="2:126" s="32" customFormat="1">
      <c r="B72" s="32" t="s">
        <v>118</v>
      </c>
      <c r="C72" s="369"/>
      <c r="D72" s="377"/>
      <c r="E72" s="377"/>
      <c r="F72" s="377"/>
      <c r="G72" s="377"/>
      <c r="H72" s="377"/>
      <c r="I72" s="377"/>
      <c r="J72" s="378"/>
      <c r="K72" s="378"/>
      <c r="L72" s="378"/>
      <c r="M72" s="378"/>
      <c r="N72" s="377"/>
      <c r="O72" s="378"/>
      <c r="P72" s="378"/>
      <c r="Q72" s="378"/>
      <c r="R72" s="378"/>
      <c r="S72" s="377"/>
      <c r="T72" s="378"/>
      <c r="U72" s="378"/>
      <c r="V72" s="378"/>
      <c r="W72" s="378"/>
      <c r="X72" s="377"/>
      <c r="Y72" s="378"/>
      <c r="Z72" s="378"/>
      <c r="AA72" s="378"/>
      <c r="AB72" s="378"/>
      <c r="AC72" s="377"/>
      <c r="AD72" s="378"/>
      <c r="AE72" s="378"/>
      <c r="AF72" s="378"/>
      <c r="AG72" s="378"/>
      <c r="AH72" s="377"/>
      <c r="AI72" s="378"/>
      <c r="AJ72" s="378"/>
      <c r="AK72" s="378"/>
      <c r="AL72" s="378"/>
      <c r="AM72" s="377"/>
      <c r="AN72" s="378"/>
      <c r="AO72" s="378"/>
      <c r="AP72" s="378"/>
      <c r="AQ72" s="378"/>
      <c r="AR72" s="377"/>
      <c r="AS72" s="378"/>
      <c r="AT72" s="378"/>
      <c r="AU72" s="378"/>
      <c r="AV72" s="378"/>
      <c r="AW72" s="377"/>
      <c r="AX72" s="378"/>
      <c r="AY72" s="378"/>
      <c r="AZ72" s="378"/>
      <c r="BA72" s="378"/>
      <c r="BB72" s="377"/>
      <c r="BC72" s="454"/>
      <c r="BD72" s="454"/>
      <c r="BE72" s="454"/>
      <c r="BF72" s="454"/>
      <c r="BG72" s="377"/>
      <c r="BH72" s="454"/>
      <c r="BI72" s="454"/>
      <c r="BJ72" s="454"/>
      <c r="BK72" s="454"/>
      <c r="BL72" s="377"/>
      <c r="BM72" s="454"/>
      <c r="BN72" s="454"/>
      <c r="BO72" s="454"/>
      <c r="BP72" s="454"/>
      <c r="BQ72" s="377"/>
      <c r="BR72" s="454"/>
      <c r="BS72" s="454"/>
      <c r="BT72" s="454"/>
      <c r="BU72" s="454"/>
      <c r="BV72" s="377"/>
      <c r="BW72" s="454"/>
      <c r="BX72" s="454"/>
      <c r="BY72" s="454"/>
      <c r="BZ72" s="454"/>
      <c r="CA72" s="377"/>
      <c r="CB72" s="454"/>
      <c r="CC72" s="454"/>
      <c r="CD72" s="454"/>
      <c r="CE72" s="454" t="e">
        <f>-IS!CE7*4/AVERAGE(BS!CD10,CE10)</f>
        <v>#DIV/0!</v>
      </c>
      <c r="CF72" s="377"/>
      <c r="CG72" s="454"/>
      <c r="CH72" s="454">
        <f>-IS!CH7*4/AVERAGE(BS!CG10,CH10)</f>
        <v>5.8558342055683479</v>
      </c>
      <c r="CI72" s="356">
        <v>6</v>
      </c>
      <c r="CJ72" s="454">
        <f>-IS!CJ7*4/AVERAGE(BS!CI10,CJ10)</f>
        <v>6.5988118114371508</v>
      </c>
      <c r="CK72" s="377">
        <f>-IS!CK7/BS!CK10</f>
        <v>6.3232010611252347</v>
      </c>
      <c r="CL72" s="356">
        <v>5.2</v>
      </c>
      <c r="CM72" s="454">
        <f>-IS!CM7/BS!CM10*4</f>
        <v>6.0993830341448954</v>
      </c>
      <c r="CN72" s="454">
        <f>-IS!CN7/BS!CN10*4</f>
        <v>5.2845677130956012</v>
      </c>
      <c r="CO72" s="454">
        <f>-IS!CO7/BS!CO10*4</f>
        <v>6.063542662841356</v>
      </c>
      <c r="CP72" s="377">
        <f>-IS!CP7/BS!CP10</f>
        <v>6.0709427253678037</v>
      </c>
      <c r="CQ72" s="454">
        <f>-IS!CQ7/BS!CQ10*4</f>
        <v>5.2798483891345542</v>
      </c>
      <c r="CR72" s="454">
        <f>-IS!CR7/BS!CR10*4</f>
        <v>5.3016338500209468</v>
      </c>
      <c r="CS72" s="454">
        <f>-IS!CS7/BS!CS10*4</f>
        <v>5.5544239338001269</v>
      </c>
      <c r="CT72" s="454">
        <f>-IS!CT7/BS!CT10*4</f>
        <v>5.934190455436914</v>
      </c>
      <c r="CU72" s="377">
        <f>-IS!CU7/BS!CU10</f>
        <v>5.6544998910438</v>
      </c>
      <c r="CV72" s="454">
        <f>-IS!CV7/BS!CV10*4</f>
        <v>5.1533490614421993</v>
      </c>
      <c r="CW72" s="454">
        <f>-IS!CW7/BS!CW10*4</f>
        <v>5.0704003155196213</v>
      </c>
      <c r="CX72" s="454">
        <f>-IS!CX7/BS!CX10*4</f>
        <v>5.1571387532318296</v>
      </c>
      <c r="CY72" s="454">
        <f>-IS!CY7/BS!CY10*4</f>
        <v>5.4727324102853911</v>
      </c>
      <c r="CZ72" s="377">
        <f>-IS!CZ7/BS!CZ10</f>
        <v>5.0302345295281157</v>
      </c>
      <c r="DA72" s="454">
        <f>-IS!DA7/BS!DA10*4</f>
        <v>4.8185750860775141</v>
      </c>
      <c r="DB72" s="454">
        <f>-IS!DB7/BS!DB10*4</f>
        <v>4.8405434692006333</v>
      </c>
      <c r="DC72" s="454">
        <f>-IS!DC7/BS!DC10*4</f>
        <v>4.2323651452282158</v>
      </c>
      <c r="DD72" s="454">
        <f>-IS!DD7/BS!DD10*4</f>
        <v>5.4064702386006624</v>
      </c>
      <c r="DE72" s="377">
        <f>-IS!DE7/BS!DE10</f>
        <v>4.8255922560923832</v>
      </c>
      <c r="DF72" s="454">
        <f>-IS!DF7/BS!DF10*4</f>
        <v>5.0844501856935249</v>
      </c>
      <c r="DG72" s="454">
        <f>-IS!DG7/BS!DG10*4</f>
        <v>4.9485705526174604</v>
      </c>
      <c r="DH72" s="454">
        <f>-IS!DH7/BS!DH10*4</f>
        <v>4.7694021537318978</v>
      </c>
      <c r="DI72" s="454">
        <f>-IS!DI7/BS!DI10*4</f>
        <v>5.4473684210526319</v>
      </c>
      <c r="DJ72" s="377">
        <f>-IS!DJ7/BS!DJ10</f>
        <v>5.1165413533834583</v>
      </c>
      <c r="DK72" s="454">
        <f>-IS!DK7/BS!DK10*4</f>
        <v>4.7554707005433983</v>
      </c>
      <c r="DL72" s="454">
        <f>-IS!DL7/BS!DL10*4</f>
        <v>4.9115044247787614</v>
      </c>
      <c r="DM72" s="454">
        <f>-IS!DM7/BS!DM10*4</f>
        <v>5.185571490656236</v>
      </c>
      <c r="DN72" s="356">
        <v>5.3</v>
      </c>
      <c r="DO72" s="377">
        <f>-IS!DO7/BS!DO10</f>
        <v>5.1203782993870162</v>
      </c>
      <c r="DP72" s="356">
        <v>5.3</v>
      </c>
      <c r="DQ72" s="356">
        <v>5.3</v>
      </c>
      <c r="DR72" s="356">
        <v>5.3</v>
      </c>
      <c r="DS72" s="356">
        <v>5.3</v>
      </c>
      <c r="DT72" s="377">
        <f>-IS!DT7/BS!DT10</f>
        <v>5.0477538204345169</v>
      </c>
      <c r="DU72" s="379">
        <v>5.5</v>
      </c>
      <c r="DV72" s="379">
        <v>5.5</v>
      </c>
    </row>
    <row r="73" spans="2:126" s="32" customFormat="1">
      <c r="B73" s="32" t="s">
        <v>119</v>
      </c>
      <c r="C73" s="369"/>
      <c r="D73" s="366"/>
      <c r="E73" s="366"/>
      <c r="F73" s="366"/>
      <c r="G73" s="366"/>
      <c r="H73" s="366"/>
      <c r="I73" s="366"/>
      <c r="J73" s="368"/>
      <c r="K73" s="368"/>
      <c r="L73" s="368"/>
      <c r="M73" s="368"/>
      <c r="N73" s="366"/>
      <c r="O73" s="368"/>
      <c r="P73" s="368"/>
      <c r="Q73" s="368"/>
      <c r="R73" s="368"/>
      <c r="S73" s="366"/>
      <c r="T73" s="368"/>
      <c r="U73" s="368"/>
      <c r="V73" s="368"/>
      <c r="W73" s="368"/>
      <c r="X73" s="366"/>
      <c r="Y73" s="368"/>
      <c r="Z73" s="368"/>
      <c r="AA73" s="368"/>
      <c r="AB73" s="368"/>
      <c r="AC73" s="366"/>
      <c r="AD73" s="368"/>
      <c r="AE73" s="368"/>
      <c r="AF73" s="368"/>
      <c r="AG73" s="368"/>
      <c r="AH73" s="366"/>
      <c r="AI73" s="368"/>
      <c r="AJ73" s="368"/>
      <c r="AK73" s="368"/>
      <c r="AL73" s="368"/>
      <c r="AM73" s="366"/>
      <c r="AN73" s="368"/>
      <c r="AO73" s="368"/>
      <c r="AP73" s="368"/>
      <c r="AQ73" s="368"/>
      <c r="AR73" s="366"/>
      <c r="AS73" s="368"/>
      <c r="AT73" s="368"/>
      <c r="AU73" s="368"/>
      <c r="AV73" s="368"/>
      <c r="AW73" s="366"/>
      <c r="AX73" s="368"/>
      <c r="AY73" s="368"/>
      <c r="AZ73" s="368"/>
      <c r="BA73" s="368"/>
      <c r="BB73" s="366"/>
      <c r="BC73" s="453"/>
      <c r="BD73" s="368"/>
      <c r="BE73" s="368"/>
      <c r="BF73" s="368"/>
      <c r="BG73" s="366"/>
      <c r="BH73" s="368"/>
      <c r="BI73" s="368"/>
      <c r="BJ73" s="368"/>
      <c r="BK73" s="368"/>
      <c r="BL73" s="366"/>
      <c r="BM73" s="368"/>
      <c r="BN73" s="368"/>
      <c r="BO73" s="368"/>
      <c r="BP73" s="368"/>
      <c r="BQ73" s="366"/>
      <c r="BR73" s="368"/>
      <c r="BS73" s="368"/>
      <c r="BT73" s="368"/>
      <c r="BU73" s="368"/>
      <c r="BV73" s="366"/>
      <c r="BW73" s="368"/>
      <c r="BX73" s="368"/>
      <c r="BY73" s="368"/>
      <c r="BZ73" s="368"/>
      <c r="CA73" s="366"/>
      <c r="CB73" s="368"/>
      <c r="CC73" s="368"/>
      <c r="CD73" s="368"/>
      <c r="CE73" s="368" t="e">
        <f t="shared" ref="CE73" si="341">365/CE72</f>
        <v>#DIV/0!</v>
      </c>
      <c r="CF73" s="366"/>
      <c r="CG73" s="368"/>
      <c r="CH73" s="368">
        <f t="shared" ref="CH73:CK73" si="342">365/CH72</f>
        <v>62.33099968112473</v>
      </c>
      <c r="CI73" s="368">
        <f t="shared" ref="CI73" si="343">365/CI72</f>
        <v>60.833333333333336</v>
      </c>
      <c r="CJ73" s="368">
        <f t="shared" si="342"/>
        <v>55.312988221209309</v>
      </c>
      <c r="CK73" s="366">
        <f t="shared" si="342"/>
        <v>57.72392756004615</v>
      </c>
      <c r="CL73" s="368">
        <f t="shared" ref="CL73:CP73" si="344">365/CL72</f>
        <v>70.192307692307693</v>
      </c>
      <c r="CM73" s="368">
        <f t="shared" si="344"/>
        <v>59.842118121898089</v>
      </c>
      <c r="CN73" s="368">
        <f t="shared" si="344"/>
        <v>69.069036450322969</v>
      </c>
      <c r="CO73" s="368">
        <f t="shared" si="344"/>
        <v>60.195832749193883</v>
      </c>
      <c r="CP73" s="366">
        <f t="shared" si="344"/>
        <v>60.122458160381797</v>
      </c>
      <c r="CQ73" s="368">
        <f t="shared" ref="CQ73:CV73" si="345">365/CQ72</f>
        <v>69.13077291217995</v>
      </c>
      <c r="CR73" s="368">
        <f t="shared" si="345"/>
        <v>68.846700908731734</v>
      </c>
      <c r="CS73" s="368">
        <f t="shared" si="345"/>
        <v>65.713385285354121</v>
      </c>
      <c r="CT73" s="368">
        <f t="shared" si="345"/>
        <v>61.507968566392485</v>
      </c>
      <c r="CU73" s="366">
        <f t="shared" si="345"/>
        <v>64.550359365666608</v>
      </c>
      <c r="CV73" s="368">
        <f t="shared" si="345"/>
        <v>70.827726910828019</v>
      </c>
      <c r="CW73" s="368">
        <f t="shared" ref="CW73:CZ73" si="346">365/CW72</f>
        <v>71.986426571250774</v>
      </c>
      <c r="CX73" s="368">
        <f t="shared" si="346"/>
        <v>70.77567959001783</v>
      </c>
      <c r="CY73" s="368">
        <f t="shared" si="346"/>
        <v>66.694289549772819</v>
      </c>
      <c r="CZ73" s="366">
        <f t="shared" si="346"/>
        <v>72.561229075384787</v>
      </c>
      <c r="DA73" s="368">
        <f t="shared" ref="DA73:DE73" si="347">365/DA72</f>
        <v>75.74853426163429</v>
      </c>
      <c r="DB73" s="368">
        <f t="shared" si="347"/>
        <v>75.404756164760997</v>
      </c>
      <c r="DC73" s="368">
        <f t="shared" si="347"/>
        <v>86.240196078431367</v>
      </c>
      <c r="DD73" s="368">
        <f t="shared" si="347"/>
        <v>67.511700590526445</v>
      </c>
      <c r="DE73" s="366">
        <f t="shared" si="347"/>
        <v>75.638383980573991</v>
      </c>
      <c r="DF73" s="368">
        <f t="shared" ref="DF73:DI73" si="348">365/DF72</f>
        <v>71.787506351626021</v>
      </c>
      <c r="DG73" s="368">
        <f t="shared" si="348"/>
        <v>73.758673564215343</v>
      </c>
      <c r="DH73" s="368">
        <f t="shared" si="348"/>
        <v>76.529507941451257</v>
      </c>
      <c r="DI73" s="368">
        <f t="shared" si="348"/>
        <v>67.004830917874386</v>
      </c>
      <c r="DJ73" s="366">
        <f t="shared" ref="DJ73:DM73" si="349">365/DJ72</f>
        <v>71.337252020573118</v>
      </c>
      <c r="DK73" s="368">
        <f t="shared" si="349"/>
        <v>76.753705991352689</v>
      </c>
      <c r="DL73" s="368">
        <f t="shared" si="349"/>
        <v>74.315315315315317</v>
      </c>
      <c r="DM73" s="368">
        <f t="shared" si="349"/>
        <v>70.387613141133087</v>
      </c>
      <c r="DN73" s="368">
        <f t="shared" ref="DN73:DO73" si="350">365/DN72</f>
        <v>68.867924528301884</v>
      </c>
      <c r="DO73" s="366">
        <f t="shared" si="350"/>
        <v>71.28379558277868</v>
      </c>
      <c r="DP73" s="368">
        <f t="shared" ref="DP73" si="351">365/DP72</f>
        <v>68.867924528301884</v>
      </c>
      <c r="DQ73" s="368">
        <f t="shared" ref="DQ73:DT73" si="352">365/DQ72</f>
        <v>68.867924528301884</v>
      </c>
      <c r="DR73" s="368">
        <f t="shared" si="352"/>
        <v>68.867924528301884</v>
      </c>
      <c r="DS73" s="368">
        <f t="shared" si="352"/>
        <v>68.867924528301884</v>
      </c>
      <c r="DT73" s="366">
        <f t="shared" si="352"/>
        <v>72.309390074134072</v>
      </c>
      <c r="DU73" s="366">
        <f t="shared" ref="DU73:DV73" si="353">365/DU72</f>
        <v>66.36363636363636</v>
      </c>
      <c r="DV73" s="366">
        <f t="shared" si="353"/>
        <v>66.36363636363636</v>
      </c>
    </row>
    <row r="74" spans="2:126" s="32" customFormat="1">
      <c r="B74" s="32" t="s">
        <v>120</v>
      </c>
      <c r="C74" s="369"/>
      <c r="D74" s="366"/>
      <c r="E74" s="366"/>
      <c r="F74" s="366"/>
      <c r="G74" s="366"/>
      <c r="H74" s="366"/>
      <c r="I74" s="366"/>
      <c r="J74" s="368"/>
      <c r="K74" s="368"/>
      <c r="L74" s="368"/>
      <c r="M74" s="368"/>
      <c r="N74" s="366"/>
      <c r="O74" s="368"/>
      <c r="P74" s="368"/>
      <c r="Q74" s="368"/>
      <c r="R74" s="368"/>
      <c r="S74" s="366"/>
      <c r="T74" s="368"/>
      <c r="U74" s="368"/>
      <c r="V74" s="368"/>
      <c r="W74" s="368"/>
      <c r="X74" s="366"/>
      <c r="Y74" s="368"/>
      <c r="Z74" s="368"/>
      <c r="AA74" s="368"/>
      <c r="AB74" s="368"/>
      <c r="AC74" s="366"/>
      <c r="AD74" s="368"/>
      <c r="AE74" s="368"/>
      <c r="AF74" s="368"/>
      <c r="AG74" s="368"/>
      <c r="AH74" s="366"/>
      <c r="AI74" s="368"/>
      <c r="AJ74" s="368"/>
      <c r="AK74" s="368"/>
      <c r="AL74" s="368"/>
      <c r="AM74" s="366"/>
      <c r="AN74" s="368"/>
      <c r="AO74" s="368"/>
      <c r="AP74" s="368"/>
      <c r="AQ74" s="368"/>
      <c r="AR74" s="366"/>
      <c r="AS74" s="368"/>
      <c r="AT74" s="368"/>
      <c r="AU74" s="368"/>
      <c r="AV74" s="368"/>
      <c r="AW74" s="366"/>
      <c r="AX74" s="368"/>
      <c r="AY74" s="368"/>
      <c r="AZ74" s="368"/>
      <c r="BA74" s="368"/>
      <c r="BB74" s="366"/>
      <c r="BC74" s="453"/>
      <c r="BD74" s="368"/>
      <c r="BE74" s="368"/>
      <c r="BF74" s="368"/>
      <c r="BG74" s="366"/>
      <c r="BH74" s="368"/>
      <c r="BI74" s="368"/>
      <c r="BJ74" s="368"/>
      <c r="BK74" s="368"/>
      <c r="BL74" s="366"/>
      <c r="BM74" s="368"/>
      <c r="BN74" s="368"/>
      <c r="BO74" s="368"/>
      <c r="BP74" s="368"/>
      <c r="BQ74" s="366"/>
      <c r="BR74" s="368"/>
      <c r="BS74" s="368"/>
      <c r="BT74" s="368"/>
      <c r="BU74" s="368"/>
      <c r="BV74" s="366"/>
      <c r="BW74" s="368"/>
      <c r="BX74" s="368"/>
      <c r="BY74" s="368"/>
      <c r="BZ74" s="368"/>
      <c r="CA74" s="366"/>
      <c r="CB74" s="368"/>
      <c r="CC74" s="368"/>
      <c r="CD74" s="368"/>
      <c r="CE74" s="368" t="e">
        <f t="shared" ref="CE74" si="354">CE69+CE73-CE70</f>
        <v>#DIV/0!</v>
      </c>
      <c r="CF74" s="366"/>
      <c r="CG74" s="368"/>
      <c r="CH74" s="368">
        <f t="shared" ref="CH74:CK74" si="355">CH69+CH73-CH70</f>
        <v>50.299698548492117</v>
      </c>
      <c r="CI74" s="368">
        <f t="shared" ref="CI74" si="356">CI69+CI73-CI70</f>
        <v>47.833333333333343</v>
      </c>
      <c r="CJ74" s="368">
        <f t="shared" si="355"/>
        <v>47.293466555203814</v>
      </c>
      <c r="CK74" s="366">
        <f t="shared" si="355"/>
        <v>50.840916971095709</v>
      </c>
      <c r="CL74" s="368">
        <f t="shared" ref="CL74:CP74" si="357">CL69+CL73-CL70</f>
        <v>52.192307692307679</v>
      </c>
      <c r="CM74" s="368">
        <f t="shared" si="357"/>
        <v>77.770251405818755</v>
      </c>
      <c r="CN74" s="368">
        <f t="shared" si="357"/>
        <v>74.502671608082892</v>
      </c>
      <c r="CO74" s="368">
        <f t="shared" si="357"/>
        <v>56.378350268659744</v>
      </c>
      <c r="CP74" s="366">
        <f t="shared" si="357"/>
        <v>57.637018142838919</v>
      </c>
      <c r="CQ74" s="368">
        <f t="shared" ref="CQ74:CV74" si="358">CQ69+CQ73-CQ70</f>
        <v>62.372080939285354</v>
      </c>
      <c r="CR74" s="368">
        <f t="shared" si="358"/>
        <v>62.080850949485828</v>
      </c>
      <c r="CS74" s="368">
        <f t="shared" si="358"/>
        <v>58.991604763816412</v>
      </c>
      <c r="CT74" s="368">
        <f t="shared" si="358"/>
        <v>54.603550220539319</v>
      </c>
      <c r="CU74" s="366">
        <f t="shared" si="358"/>
        <v>57.769032628424107</v>
      </c>
      <c r="CV74" s="368">
        <f t="shared" si="358"/>
        <v>63.462291183029009</v>
      </c>
      <c r="CW74" s="368">
        <f t="shared" ref="CW74:CZ74" si="359">CW69+CW73-CW70</f>
        <v>61.077425601712307</v>
      </c>
      <c r="CX74" s="368">
        <f t="shared" si="359"/>
        <v>59.398477838178714</v>
      </c>
      <c r="CY74" s="368">
        <f t="shared" si="359"/>
        <v>50.508840068544842</v>
      </c>
      <c r="CZ74" s="366">
        <f t="shared" si="359"/>
        <v>54.491097069637917</v>
      </c>
      <c r="DA74" s="368">
        <f t="shared" ref="DA74:DE74" si="360">DA69+DA73-DA70</f>
        <v>61.886001238563381</v>
      </c>
      <c r="DB74" s="368">
        <f t="shared" si="360"/>
        <v>61.125726771556103</v>
      </c>
      <c r="DC74" s="368">
        <f t="shared" si="360"/>
        <v>80.599061200237657</v>
      </c>
      <c r="DD74" s="368">
        <f t="shared" si="360"/>
        <v>55.846940707719376</v>
      </c>
      <c r="DE74" s="366">
        <f t="shared" si="360"/>
        <v>64.327930285671613</v>
      </c>
      <c r="DF74" s="368">
        <f t="shared" ref="DF74:DI74" si="361">DF69+DF73-DF70</f>
        <v>59.4284726713271</v>
      </c>
      <c r="DG74" s="368">
        <f t="shared" si="361"/>
        <v>59.393122283819118</v>
      </c>
      <c r="DH74" s="368">
        <f t="shared" si="361"/>
        <v>55.192021013342085</v>
      </c>
      <c r="DI74" s="368">
        <f t="shared" si="361"/>
        <v>45.700749347458569</v>
      </c>
      <c r="DJ74" s="366">
        <f t="shared" ref="DJ74:DM74" si="362">DJ69+DJ73-DJ70</f>
        <v>48.899505552507009</v>
      </c>
      <c r="DK74" s="368">
        <f t="shared" si="362"/>
        <v>52.393160800955997</v>
      </c>
      <c r="DL74" s="368">
        <f t="shared" si="362"/>
        <v>55.489510937491019</v>
      </c>
      <c r="DM74" s="368">
        <f t="shared" si="362"/>
        <v>48.369252824064759</v>
      </c>
      <c r="DN74" s="368">
        <f t="shared" ref="DN74:DO74" si="363">DN69+DN73-DN70</f>
        <v>47.867924528301884</v>
      </c>
      <c r="DO74" s="366">
        <f t="shared" si="363"/>
        <v>49.933383853308825</v>
      </c>
      <c r="DP74" s="368">
        <f t="shared" ref="DP74" si="364">DP69+DP73-DP70</f>
        <v>51.867924528301884</v>
      </c>
      <c r="DQ74" s="368">
        <f t="shared" ref="DQ74:DT74" si="365">DQ69+DQ73-DQ70</f>
        <v>51.867924528301884</v>
      </c>
      <c r="DR74" s="368">
        <f t="shared" si="365"/>
        <v>51.867924528301884</v>
      </c>
      <c r="DS74" s="368">
        <f t="shared" si="365"/>
        <v>51.867924528301884</v>
      </c>
      <c r="DT74" s="366">
        <f t="shared" si="365"/>
        <v>54.687329246890016</v>
      </c>
      <c r="DU74" s="366">
        <f t="shared" ref="DU74:DV74" si="366">DU69+DU73-DU70</f>
        <v>51.36363636363636</v>
      </c>
      <c r="DV74" s="366">
        <f t="shared" si="366"/>
        <v>51.36363636363636</v>
      </c>
    </row>
    <row r="75" spans="2:126" s="32" customFormat="1">
      <c r="B75" s="32" t="s">
        <v>121</v>
      </c>
      <c r="C75" s="369"/>
      <c r="D75" s="377"/>
      <c r="E75" s="377"/>
      <c r="F75" s="377"/>
      <c r="G75" s="377"/>
      <c r="H75" s="377"/>
      <c r="I75" s="377"/>
      <c r="J75" s="378"/>
      <c r="K75" s="378"/>
      <c r="L75" s="378"/>
      <c r="M75" s="378"/>
      <c r="N75" s="377"/>
      <c r="O75" s="378"/>
      <c r="P75" s="378"/>
      <c r="Q75" s="378"/>
      <c r="R75" s="378"/>
      <c r="S75" s="377"/>
      <c r="T75" s="378"/>
      <c r="U75" s="378"/>
      <c r="V75" s="378"/>
      <c r="W75" s="378"/>
      <c r="X75" s="377"/>
      <c r="Y75" s="378"/>
      <c r="Z75" s="378"/>
      <c r="AA75" s="378"/>
      <c r="AB75" s="378"/>
      <c r="AC75" s="377"/>
      <c r="AD75" s="378"/>
      <c r="AE75" s="378"/>
      <c r="AF75" s="378"/>
      <c r="AG75" s="378"/>
      <c r="AH75" s="377"/>
      <c r="AI75" s="378"/>
      <c r="AJ75" s="378"/>
      <c r="AK75" s="378"/>
      <c r="AL75" s="378"/>
      <c r="AM75" s="377"/>
      <c r="AN75" s="378"/>
      <c r="AO75" s="378"/>
      <c r="AP75" s="378"/>
      <c r="AQ75" s="378"/>
      <c r="AR75" s="377"/>
      <c r="AS75" s="378"/>
      <c r="AT75" s="378"/>
      <c r="AU75" s="378"/>
      <c r="AV75" s="378"/>
      <c r="AW75" s="377"/>
      <c r="AX75" s="378"/>
      <c r="AY75" s="378"/>
      <c r="AZ75" s="378"/>
      <c r="BA75" s="378"/>
      <c r="BB75" s="377"/>
      <c r="BC75" s="454"/>
      <c r="BD75" s="378"/>
      <c r="BE75" s="378"/>
      <c r="BF75" s="378"/>
      <c r="BG75" s="377"/>
      <c r="BH75" s="378"/>
      <c r="BI75" s="378"/>
      <c r="BJ75" s="378"/>
      <c r="BK75" s="378"/>
      <c r="BL75" s="377"/>
      <c r="BM75" s="378"/>
      <c r="BN75" s="378"/>
      <c r="BO75" s="378"/>
      <c r="BP75" s="378"/>
      <c r="BQ75" s="377"/>
      <c r="BR75" s="378"/>
      <c r="BS75" s="378"/>
      <c r="BT75" s="378"/>
      <c r="BU75" s="378"/>
      <c r="BV75" s="377"/>
      <c r="BW75" s="378"/>
      <c r="BX75" s="378"/>
      <c r="BY75" s="378"/>
      <c r="BZ75" s="378"/>
      <c r="CA75" s="377"/>
      <c r="CB75" s="378"/>
      <c r="CC75" s="378"/>
      <c r="CD75" s="378"/>
      <c r="CE75" s="378">
        <f>IS!CE6*4/AVERAGE(BS!CD20:CE20)</f>
        <v>0</v>
      </c>
      <c r="CF75" s="377"/>
      <c r="CG75" s="378"/>
      <c r="CH75" s="378">
        <f>IS!CH6*4/AVERAGE(BS!CG20:CH20)</f>
        <v>0.51618563647593918</v>
      </c>
      <c r="CI75" s="378">
        <f>IS!CI6*4/AVERAGE(BS!CH20:CI20)</f>
        <v>0.40463318378097862</v>
      </c>
      <c r="CJ75" s="378">
        <f>IS!CJ6*4/AVERAGE(BS!CI20:CJ20)</f>
        <v>0.47956413367171319</v>
      </c>
      <c r="CK75" s="377">
        <f>IS!CK6/CK20</f>
        <v>0.53172653368191092</v>
      </c>
      <c r="CL75" s="378">
        <f>IS!CL6*4/AVERAGE(BS!CK20:CL20)</f>
        <v>0.50277966921865824</v>
      </c>
      <c r="CM75" s="378">
        <f>IS!CM6*4/AVERAGE(BS!CL20:CM20)</f>
        <v>0.3669261027879156</v>
      </c>
      <c r="CN75" s="378">
        <f>IS!CN6*4/AVERAGE(BS!CM20:CN20)</f>
        <v>0.36421788364884722</v>
      </c>
      <c r="CO75" s="378">
        <f>IS!CO6*4/AVERAGE(BS!CN20:CO20)</f>
        <v>0.40471788804259412</v>
      </c>
      <c r="CP75" s="377">
        <f>IS!CP6/AVERAGE(BS!CG20:CP20)</f>
        <v>0.41302900212744037</v>
      </c>
      <c r="CQ75" s="378">
        <f>IS!CQ6*4/AVERAGE(BS!CP20:CQ20)</f>
        <v>0.37801345267860736</v>
      </c>
      <c r="CR75" s="378">
        <f>IS!CR6*4/AVERAGE(BS!CQ20:CR20)</f>
        <v>0.39768849821253044</v>
      </c>
      <c r="CS75" s="378">
        <f>IS!CS6*4/AVERAGE(BS!CR20:CS20)</f>
        <v>0.40837505116337647</v>
      </c>
      <c r="CT75" s="378">
        <f>IS!CT6*4/AVERAGE(BS!CS20:CT20)</f>
        <v>0.42586577382439661</v>
      </c>
      <c r="CU75" s="377">
        <f>IS!CU6/AVERAGE(BS!CL20:CU20)</f>
        <v>0.40161753090582503</v>
      </c>
      <c r="CV75" s="378">
        <f>IS!CV6*4/AVERAGE(BS!CU20:CV20)</f>
        <v>0.39195685382049444</v>
      </c>
      <c r="CW75" s="378">
        <f>IS!CW6*4/AVERAGE(BS!CV20:CW20)</f>
        <v>0.40992138399349209</v>
      </c>
      <c r="CX75" s="378">
        <f>IS!CX6*4/AVERAGE(BS!CW20:CX20)</f>
        <v>0.42745916366685371</v>
      </c>
      <c r="CY75" s="378">
        <f>IS!CY6*4/AVERAGE(BS!CX20:CY20)</f>
        <v>0.45647751893001648</v>
      </c>
      <c r="CZ75" s="377">
        <f>IS!CZ6/AVERAGE(BS!CQ20:CZ20)</f>
        <v>0.42043122501350788</v>
      </c>
      <c r="DA75" s="378">
        <f>IS!DA6*4/AVERAGE(BS!CZ20:DA20)</f>
        <v>0.42967862714508581</v>
      </c>
      <c r="DB75" s="378">
        <f>IS!DB6*4/AVERAGE(BS!DA20:DB20)</f>
        <v>0.45250573661893101</v>
      </c>
      <c r="DC75" s="378">
        <f>IS!DC6*4/AVERAGE(BS!DB20:DC20)</f>
        <v>0.33182585550393712</v>
      </c>
      <c r="DD75" s="378">
        <f>IS!DD6*4/AVERAGE(BS!DC20:DD20)</f>
        <v>0.49155134561780012</v>
      </c>
      <c r="DE75" s="377">
        <f>IS!DE6/AVERAGE(BS!CV20:DE20)</f>
        <v>0.42959171334289925</v>
      </c>
      <c r="DF75" s="378">
        <f>IS!DF6*4/AVERAGE(BS!DE20:DF20)</f>
        <v>0.47954393024815561</v>
      </c>
      <c r="DG75" s="378">
        <f>IS!DG6*4/AVERAGE(BS!DF20:DG20)</f>
        <v>0.49094462216358181</v>
      </c>
      <c r="DH75" s="378">
        <f>IS!DH6*4/AVERAGE(BS!DG20:DH20)</f>
        <v>0.49299520538910585</v>
      </c>
      <c r="DI75" s="378">
        <f>IS!DI6*4/AVERAGE(BS!DH20:DI20)</f>
        <v>0.52790044036462069</v>
      </c>
      <c r="DJ75" s="377">
        <f>IS!DJ6/AVERAGE(BS!DA20:DJ20)</f>
        <v>0.49780563026318875</v>
      </c>
      <c r="DK75" s="378">
        <f>IS!DK6*4/AVERAGE(BS!DJ20:DK20)</f>
        <v>0.49568388130292168</v>
      </c>
      <c r="DL75" s="378">
        <f>IS!DL6*4/AVERAGE(BS!DK20:DL20)</f>
        <v>0.52001939741508363</v>
      </c>
      <c r="DM75" s="378">
        <f>IS!DM6*4/AVERAGE(BS!DL20:DM20)</f>
        <v>0.53549169026625099</v>
      </c>
      <c r="DN75" s="378">
        <f>IS!DN6*4/AVERAGE(BS!DM20:DN20)</f>
        <v>0.53235047136778069</v>
      </c>
      <c r="DO75" s="377">
        <f>IS!DO6/AVERAGE(BS!DF20:DO20)</f>
        <v>0.52563118133922049</v>
      </c>
      <c r="DP75" s="378">
        <f>IS!DP6*4/AVERAGE(BS!DO20:DP20)</f>
        <v>0.50632949660570847</v>
      </c>
      <c r="DQ75" s="378">
        <f>IS!DQ6*4/AVERAGE(BS!DP20:DQ20)</f>
        <v>0.53857632147391288</v>
      </c>
      <c r="DR75" s="378">
        <f>IS!DR6*4/AVERAGE(BS!DQ20:DR20)</f>
        <v>0.56058980447615558</v>
      </c>
      <c r="DS75" s="378">
        <f>IS!DS6*4/AVERAGE(BS!DR20:DS20)</f>
        <v>0.56019828361462864</v>
      </c>
      <c r="DT75" s="377">
        <f>IS!DT6/AVERAGE(BS!DK20:DT20)</f>
        <v>0.54239269285034497</v>
      </c>
      <c r="DU75" s="377">
        <f>IS!DU6/DU20</f>
        <v>0.5725550859958729</v>
      </c>
      <c r="DV75" s="377">
        <f>IS!DV6/DV20</f>
        <v>0.59540506950461869</v>
      </c>
    </row>
    <row r="76" spans="2:126" s="32" customFormat="1">
      <c r="C76" s="360"/>
      <c r="D76" s="360"/>
      <c r="E76" s="360"/>
      <c r="F76" s="360"/>
      <c r="G76" s="360"/>
      <c r="H76" s="360"/>
      <c r="I76" s="360"/>
      <c r="J76" s="183"/>
      <c r="K76" s="183"/>
      <c r="L76" s="183"/>
      <c r="M76" s="183"/>
      <c r="N76" s="360"/>
      <c r="O76" s="183"/>
      <c r="P76" s="183"/>
      <c r="Q76" s="183"/>
      <c r="R76" s="183"/>
      <c r="S76" s="360"/>
      <c r="T76" s="183"/>
      <c r="U76" s="183"/>
      <c r="V76" s="183"/>
      <c r="W76" s="183"/>
      <c r="X76" s="360"/>
      <c r="Y76" s="183"/>
      <c r="Z76" s="183"/>
      <c r="AA76" s="183"/>
      <c r="AB76" s="183"/>
      <c r="AC76" s="360"/>
      <c r="AD76" s="183"/>
      <c r="AE76" s="183"/>
      <c r="AF76" s="183"/>
      <c r="AG76" s="183"/>
      <c r="AH76" s="360"/>
      <c r="AI76" s="183"/>
      <c r="AJ76" s="183"/>
      <c r="AK76" s="183"/>
      <c r="AL76" s="183"/>
      <c r="AM76" s="360"/>
      <c r="AN76" s="183"/>
      <c r="AO76" s="183"/>
      <c r="AP76" s="183"/>
      <c r="AQ76" s="183"/>
      <c r="AR76" s="360"/>
      <c r="AS76" s="183"/>
      <c r="AT76" s="183"/>
      <c r="AU76" s="183"/>
      <c r="AV76" s="183"/>
      <c r="AW76" s="360"/>
      <c r="AX76" s="183"/>
      <c r="AY76" s="183"/>
      <c r="AZ76" s="183"/>
      <c r="BA76" s="183"/>
      <c r="BB76" s="360"/>
      <c r="BC76" s="200"/>
      <c r="BD76" s="183"/>
      <c r="BE76" s="183"/>
      <c r="BF76" s="183"/>
      <c r="BG76" s="360"/>
      <c r="BH76" s="183"/>
      <c r="BI76" s="183"/>
      <c r="BJ76" s="183"/>
      <c r="BK76" s="183"/>
      <c r="BL76" s="360"/>
      <c r="BM76" s="183"/>
      <c r="BN76" s="183"/>
      <c r="BO76" s="183"/>
      <c r="BP76" s="183"/>
      <c r="BQ76" s="360"/>
      <c r="BR76" s="183"/>
      <c r="BS76" s="183"/>
      <c r="BT76" s="183"/>
      <c r="BU76" s="183"/>
      <c r="BV76" s="360"/>
      <c r="BW76" s="183"/>
      <c r="BX76" s="183"/>
      <c r="BY76" s="183"/>
      <c r="BZ76" s="183"/>
      <c r="CA76" s="360"/>
      <c r="CB76" s="183"/>
      <c r="CC76" s="183"/>
      <c r="CD76" s="183"/>
      <c r="CE76" s="183"/>
      <c r="CF76" s="360"/>
      <c r="CG76" s="183"/>
      <c r="CH76" s="183"/>
      <c r="CI76" s="183"/>
      <c r="CJ76" s="183"/>
      <c r="CK76" s="360"/>
      <c r="CL76" s="183"/>
      <c r="CM76" s="183"/>
      <c r="CN76" s="183"/>
      <c r="CO76" s="183"/>
      <c r="CP76" s="360"/>
      <c r="CQ76" s="183"/>
      <c r="CR76" s="183"/>
      <c r="CS76" s="183"/>
      <c r="CT76" s="183"/>
      <c r="CU76" s="360"/>
      <c r="CV76" s="183"/>
      <c r="CW76" s="183"/>
      <c r="CX76" s="183"/>
      <c r="CY76" s="183"/>
      <c r="CZ76" s="360"/>
      <c r="DA76" s="183"/>
      <c r="DB76" s="183"/>
      <c r="DC76" s="183"/>
      <c r="DD76" s="183"/>
      <c r="DE76" s="360"/>
      <c r="DF76" s="183"/>
      <c r="DG76" s="183"/>
      <c r="DH76" s="183"/>
      <c r="DI76" s="183"/>
      <c r="DJ76" s="360"/>
      <c r="DK76" s="183"/>
      <c r="DL76" s="183"/>
      <c r="DM76" s="183"/>
      <c r="DN76" s="183"/>
      <c r="DO76" s="360"/>
      <c r="DP76" s="183"/>
      <c r="DQ76" s="183"/>
      <c r="DR76" s="183"/>
      <c r="DS76" s="183"/>
      <c r="DT76" s="360"/>
      <c r="DU76" s="360"/>
      <c r="DV76" s="360"/>
    </row>
    <row r="77" spans="2:126" s="32" customFormat="1">
      <c r="B77" s="33" t="s">
        <v>122</v>
      </c>
      <c r="C77" s="360"/>
      <c r="D77" s="360"/>
      <c r="E77" s="360"/>
      <c r="F77" s="360"/>
      <c r="G77" s="360"/>
      <c r="H77" s="360"/>
      <c r="I77" s="360"/>
      <c r="J77" s="183"/>
      <c r="K77" s="183"/>
      <c r="L77" s="183"/>
      <c r="M77" s="183"/>
      <c r="N77" s="360"/>
      <c r="O77" s="183"/>
      <c r="P77" s="183"/>
      <c r="Q77" s="183"/>
      <c r="R77" s="183"/>
      <c r="S77" s="360"/>
      <c r="T77" s="183"/>
      <c r="U77" s="183"/>
      <c r="V77" s="183"/>
      <c r="W77" s="183"/>
      <c r="X77" s="360"/>
      <c r="Y77" s="183"/>
      <c r="Z77" s="183"/>
      <c r="AA77" s="183"/>
      <c r="AB77" s="183"/>
      <c r="AC77" s="360"/>
      <c r="AD77" s="183"/>
      <c r="AE77" s="183"/>
      <c r="AF77" s="183"/>
      <c r="AG77" s="183"/>
      <c r="AH77" s="360"/>
      <c r="AI77" s="183"/>
      <c r="AJ77" s="183"/>
      <c r="AK77" s="183"/>
      <c r="AL77" s="183"/>
      <c r="AM77" s="360"/>
      <c r="AN77" s="183"/>
      <c r="AO77" s="183"/>
      <c r="AP77" s="183"/>
      <c r="AQ77" s="183"/>
      <c r="AR77" s="360"/>
      <c r="AS77" s="183"/>
      <c r="AT77" s="183"/>
      <c r="AU77" s="183"/>
      <c r="AV77" s="183"/>
      <c r="AW77" s="360"/>
      <c r="AX77" s="183"/>
      <c r="AY77" s="183"/>
      <c r="AZ77" s="183"/>
      <c r="BA77" s="183"/>
      <c r="BB77" s="360"/>
      <c r="BC77" s="200"/>
      <c r="BD77" s="183"/>
      <c r="BE77" s="183"/>
      <c r="BF77" s="183"/>
      <c r="BG77" s="360"/>
      <c r="BH77" s="183"/>
      <c r="BI77" s="183"/>
      <c r="BJ77" s="183"/>
      <c r="BK77" s="183"/>
      <c r="BL77" s="360"/>
      <c r="BM77" s="183"/>
      <c r="BN77" s="183"/>
      <c r="BO77" s="183"/>
      <c r="BP77" s="183"/>
      <c r="BQ77" s="360"/>
      <c r="BR77" s="183"/>
      <c r="BS77" s="183"/>
      <c r="BT77" s="183"/>
      <c r="BU77" s="183"/>
      <c r="BV77" s="360"/>
      <c r="BW77" s="183"/>
      <c r="BX77" s="183"/>
      <c r="BY77" s="183"/>
      <c r="BZ77" s="183"/>
      <c r="CA77" s="360"/>
      <c r="CB77" s="183"/>
      <c r="CC77" s="183"/>
      <c r="CD77" s="183"/>
      <c r="CE77" s="183"/>
      <c r="CF77" s="360"/>
      <c r="CG77" s="183"/>
      <c r="CH77" s="183"/>
      <c r="CI77" s="183"/>
      <c r="CJ77" s="183"/>
      <c r="CK77" s="360"/>
      <c r="CL77" s="183"/>
      <c r="CM77" s="183"/>
      <c r="CN77" s="183"/>
      <c r="CO77" s="183"/>
      <c r="CP77" s="360"/>
      <c r="CQ77" s="183"/>
      <c r="CR77" s="183"/>
      <c r="CS77" s="183"/>
      <c r="CT77" s="183"/>
      <c r="CU77" s="360"/>
      <c r="CV77" s="183"/>
      <c r="CW77" s="183"/>
      <c r="CX77" s="183"/>
      <c r="CY77" s="183"/>
      <c r="CZ77" s="360"/>
      <c r="DA77" s="183"/>
      <c r="DB77" s="183"/>
      <c r="DC77" s="183"/>
      <c r="DD77" s="183"/>
      <c r="DE77" s="360"/>
      <c r="DF77" s="183"/>
      <c r="DG77" s="183"/>
      <c r="DH77" s="183"/>
      <c r="DI77" s="183"/>
      <c r="DJ77" s="360"/>
      <c r="DK77" s="183"/>
      <c r="DL77" s="183"/>
      <c r="DM77" s="183"/>
      <c r="DN77" s="183"/>
      <c r="DO77" s="360"/>
      <c r="DP77" s="183"/>
      <c r="DQ77" s="183"/>
      <c r="DR77" s="183"/>
      <c r="DS77" s="183"/>
      <c r="DT77" s="360"/>
      <c r="DU77" s="360"/>
      <c r="DV77" s="360"/>
    </row>
    <row r="78" spans="2:126" s="183" customFormat="1">
      <c r="B78" s="183" t="s">
        <v>123</v>
      </c>
      <c r="C78" s="377"/>
      <c r="D78" s="377"/>
      <c r="E78" s="377"/>
      <c r="F78" s="377"/>
      <c r="G78" s="377"/>
      <c r="H78" s="377"/>
      <c r="I78" s="377"/>
      <c r="J78" s="378"/>
      <c r="K78" s="378"/>
      <c r="L78" s="378"/>
      <c r="M78" s="378"/>
      <c r="N78" s="377"/>
      <c r="O78" s="378"/>
      <c r="P78" s="378"/>
      <c r="Q78" s="378"/>
      <c r="R78" s="378"/>
      <c r="S78" s="377"/>
      <c r="T78" s="378"/>
      <c r="U78" s="378"/>
      <c r="V78" s="378"/>
      <c r="W78" s="378"/>
      <c r="X78" s="377"/>
      <c r="Y78" s="378"/>
      <c r="Z78" s="378"/>
      <c r="AA78" s="378"/>
      <c r="AB78" s="378"/>
      <c r="AC78" s="377"/>
      <c r="AD78" s="378"/>
      <c r="AE78" s="378"/>
      <c r="AF78" s="378"/>
      <c r="AG78" s="378"/>
      <c r="AH78" s="377"/>
      <c r="AI78" s="378"/>
      <c r="AJ78" s="378"/>
      <c r="AK78" s="378"/>
      <c r="AL78" s="378"/>
      <c r="AM78" s="377"/>
      <c r="AN78" s="378"/>
      <c r="AO78" s="378"/>
      <c r="AP78" s="378"/>
      <c r="AQ78" s="378"/>
      <c r="AR78" s="377"/>
      <c r="AS78" s="378"/>
      <c r="AT78" s="378"/>
      <c r="AU78" s="378"/>
      <c r="AV78" s="378"/>
      <c r="AW78" s="377"/>
      <c r="AX78" s="378"/>
      <c r="AY78" s="378"/>
      <c r="AZ78" s="378"/>
      <c r="BA78" s="378"/>
      <c r="BB78" s="377"/>
      <c r="BC78" s="454"/>
      <c r="BD78" s="378"/>
      <c r="BE78" s="378"/>
      <c r="BF78" s="378"/>
      <c r="BG78" s="377"/>
      <c r="BH78" s="378"/>
      <c r="BI78" s="378"/>
      <c r="BJ78" s="378"/>
      <c r="BK78" s="378"/>
      <c r="BL78" s="377"/>
      <c r="BM78" s="378"/>
      <c r="BN78" s="378"/>
      <c r="BO78" s="378"/>
      <c r="BP78" s="378"/>
      <c r="BQ78" s="377"/>
      <c r="BR78" s="378"/>
      <c r="BS78" s="378"/>
      <c r="BT78" s="378"/>
      <c r="BU78" s="378"/>
      <c r="BV78" s="377"/>
      <c r="BW78" s="378"/>
      <c r="BX78" s="378"/>
      <c r="BY78" s="378"/>
      <c r="BZ78" s="378"/>
      <c r="CA78" s="377"/>
      <c r="CB78" s="378"/>
      <c r="CC78" s="378"/>
      <c r="CD78" s="378"/>
      <c r="CE78" s="378" t="e">
        <f>CE12/CE30</f>
        <v>#DIV/0!</v>
      </c>
      <c r="CF78" s="377"/>
      <c r="CG78" s="378"/>
      <c r="CH78" s="378">
        <f t="shared" ref="CH78:CP78" si="367">CH12/CH30</f>
        <v>1.0453650057937427</v>
      </c>
      <c r="CI78" s="378">
        <f t="shared" si="367"/>
        <v>1.053946901480052</v>
      </c>
      <c r="CJ78" s="378">
        <f t="shared" si="367"/>
        <v>1.3215650083701764</v>
      </c>
      <c r="CK78" s="377">
        <f t="shared" si="367"/>
        <v>1.3215650083701764</v>
      </c>
      <c r="CL78" s="378">
        <f t="shared" si="367"/>
        <v>2.213214041970724</v>
      </c>
      <c r="CM78" s="378">
        <f t="shared" si="367"/>
        <v>1.1978691451078178</v>
      </c>
      <c r="CN78" s="378">
        <f t="shared" si="367"/>
        <v>1.2235251110736178</v>
      </c>
      <c r="CO78" s="378">
        <f t="shared" si="367"/>
        <v>1.2099977683552778</v>
      </c>
      <c r="CP78" s="377">
        <f t="shared" si="367"/>
        <v>1.2099977683552778</v>
      </c>
      <c r="CQ78" s="378">
        <f t="shared" ref="CQ78:CV78" si="368">CQ12/CQ30</f>
        <v>1.1703292169751642</v>
      </c>
      <c r="CR78" s="378">
        <f t="shared" si="368"/>
        <v>1.1748864746795424</v>
      </c>
      <c r="CS78" s="378">
        <f t="shared" si="368"/>
        <v>1.2303184788022619</v>
      </c>
      <c r="CT78" s="378">
        <f t="shared" si="368"/>
        <v>1.1862111766199328</v>
      </c>
      <c r="CU78" s="377">
        <f t="shared" si="368"/>
        <v>1.1862111766199328</v>
      </c>
      <c r="CV78" s="378">
        <f t="shared" si="368"/>
        <v>1.1621074250506318</v>
      </c>
      <c r="CW78" s="378">
        <f t="shared" ref="CW78:CZ78" si="369">CW12/CW30</f>
        <v>1.0972266327934794</v>
      </c>
      <c r="CX78" s="378">
        <f t="shared" si="369"/>
        <v>1.0898548458551587</v>
      </c>
      <c r="CY78" s="378">
        <f t="shared" si="369"/>
        <v>1.0851101907245488</v>
      </c>
      <c r="CZ78" s="377">
        <f t="shared" si="369"/>
        <v>1.0851101907245488</v>
      </c>
      <c r="DA78" s="378">
        <f t="shared" ref="DA78:DE78" si="370">DA12/DA30</f>
        <v>1.1339712918660287</v>
      </c>
      <c r="DB78" s="378">
        <f t="shared" si="370"/>
        <v>1.0994971264367817</v>
      </c>
      <c r="DC78" s="378">
        <f t="shared" si="370"/>
        <v>1.0336873916714813</v>
      </c>
      <c r="DD78" s="378">
        <f t="shared" si="370"/>
        <v>1.0354141271572463</v>
      </c>
      <c r="DE78" s="377">
        <f t="shared" si="370"/>
        <v>1.0354141271572463</v>
      </c>
      <c r="DF78" s="378">
        <f t="shared" ref="DF78:DI78" si="371">DF12/DF30</f>
        <v>1.0667273817721405</v>
      </c>
      <c r="DG78" s="378">
        <f t="shared" si="371"/>
        <v>0.99314032079088066</v>
      </c>
      <c r="DH78" s="378">
        <f t="shared" si="371"/>
        <v>0.99075545007368848</v>
      </c>
      <c r="DI78" s="378">
        <f t="shared" si="371"/>
        <v>0.99289306588477444</v>
      </c>
      <c r="DJ78" s="377">
        <f t="shared" ref="DJ78:DM78" si="372">DJ12/DJ30</f>
        <v>0.99289306588477444</v>
      </c>
      <c r="DK78" s="378">
        <f t="shared" si="372"/>
        <v>1.00554879902706</v>
      </c>
      <c r="DL78" s="378">
        <f t="shared" si="372"/>
        <v>1.0059817418832364</v>
      </c>
      <c r="DM78" s="378">
        <f t="shared" si="372"/>
        <v>1.0729608896569862</v>
      </c>
      <c r="DN78" s="378">
        <f t="shared" ref="DN78:DO78" si="373">DN12/DN30</f>
        <v>1.1100948588347475</v>
      </c>
      <c r="DO78" s="377">
        <f t="shared" si="373"/>
        <v>1.1100948588347475</v>
      </c>
      <c r="DP78" s="378">
        <f t="shared" ref="DP78" si="374">DP12/DP30</f>
        <v>1.0736583005466573</v>
      </c>
      <c r="DQ78" s="378">
        <f t="shared" ref="DQ78:DT78" si="375">DQ12/DQ30</f>
        <v>1.0960149418386869</v>
      </c>
      <c r="DR78" s="378">
        <f t="shared" si="375"/>
        <v>1.1265492674649686</v>
      </c>
      <c r="DS78" s="378">
        <f t="shared" si="375"/>
        <v>1.1685315975534516</v>
      </c>
      <c r="DT78" s="377">
        <f t="shared" si="375"/>
        <v>1.1685315975534516</v>
      </c>
      <c r="DU78" s="377">
        <f t="shared" ref="DU78:DV78" si="376">DU12/DU30</f>
        <v>1.1294009603154809</v>
      </c>
      <c r="DV78" s="377">
        <f t="shared" si="376"/>
        <v>1.1685762907325101</v>
      </c>
    </row>
    <row r="79" spans="2:126" s="32" customFormat="1" hidden="1">
      <c r="B79" s="32" t="s">
        <v>124</v>
      </c>
      <c r="C79" s="377"/>
      <c r="D79" s="377"/>
      <c r="E79" s="377"/>
      <c r="F79" s="377"/>
      <c r="G79" s="377"/>
      <c r="H79" s="377"/>
      <c r="I79" s="377"/>
      <c r="J79" s="378"/>
      <c r="K79" s="378"/>
      <c r="L79" s="378"/>
      <c r="M79" s="378"/>
      <c r="N79" s="377"/>
      <c r="O79" s="378"/>
      <c r="P79" s="378"/>
      <c r="Q79" s="378"/>
      <c r="R79" s="378"/>
      <c r="S79" s="377"/>
      <c r="T79" s="378"/>
      <c r="U79" s="378"/>
      <c r="V79" s="378"/>
      <c r="W79" s="378"/>
      <c r="X79" s="377"/>
      <c r="Y79" s="378"/>
      <c r="Z79" s="378"/>
      <c r="AA79" s="378"/>
      <c r="AB79" s="378"/>
      <c r="AC79" s="377"/>
      <c r="AD79" s="378"/>
      <c r="AE79" s="378"/>
      <c r="AF79" s="378"/>
      <c r="AG79" s="378"/>
      <c r="AH79" s="377"/>
      <c r="AI79" s="378"/>
      <c r="AJ79" s="378"/>
      <c r="AK79" s="378"/>
      <c r="AL79" s="378"/>
      <c r="AM79" s="377"/>
      <c r="AN79" s="378"/>
      <c r="AO79" s="378"/>
      <c r="AP79" s="378"/>
      <c r="AQ79" s="378"/>
      <c r="AR79" s="377"/>
      <c r="AS79" s="378"/>
      <c r="AT79" s="378"/>
      <c r="AU79" s="378"/>
      <c r="AV79" s="378"/>
      <c r="AW79" s="377"/>
      <c r="AX79" s="378"/>
      <c r="AY79" s="378"/>
      <c r="AZ79" s="378"/>
      <c r="BA79" s="378"/>
      <c r="BB79" s="377"/>
      <c r="BC79" s="454"/>
      <c r="BD79" s="378"/>
      <c r="BE79" s="378"/>
      <c r="BF79" s="378"/>
      <c r="BG79" s="377"/>
      <c r="BH79" s="378"/>
      <c r="BI79" s="378"/>
      <c r="BJ79" s="378"/>
      <c r="BK79" s="378"/>
      <c r="BL79" s="377"/>
      <c r="BM79" s="378"/>
      <c r="BN79" s="378"/>
      <c r="BO79" s="378"/>
      <c r="BP79" s="378"/>
      <c r="BQ79" s="377"/>
      <c r="BR79" s="378"/>
      <c r="BS79" s="378"/>
      <c r="BT79" s="378"/>
      <c r="BU79" s="378"/>
      <c r="BV79" s="377"/>
      <c r="BW79" s="378"/>
      <c r="BX79" s="378"/>
      <c r="BY79" s="378"/>
      <c r="BZ79" s="378"/>
      <c r="CA79" s="377"/>
      <c r="CB79" s="378"/>
      <c r="CC79" s="378"/>
      <c r="CD79" s="378"/>
      <c r="CE79" s="378"/>
      <c r="CF79" s="377"/>
      <c r="CG79" s="378"/>
      <c r="CH79" s="378"/>
      <c r="CI79" s="378"/>
      <c r="CJ79" s="378"/>
      <c r="CK79" s="377"/>
      <c r="CL79" s="378"/>
      <c r="CM79" s="378"/>
      <c r="CN79" s="378"/>
      <c r="CO79" s="378"/>
      <c r="CP79" s="377"/>
      <c r="CQ79" s="378"/>
      <c r="CR79" s="378"/>
      <c r="CS79" s="378"/>
      <c r="CT79" s="378"/>
      <c r="CU79" s="377"/>
      <c r="CV79" s="378"/>
      <c r="CW79" s="378"/>
      <c r="CX79" s="378"/>
      <c r="CY79" s="378"/>
      <c r="CZ79" s="377"/>
      <c r="DA79" s="378"/>
      <c r="DB79" s="378"/>
      <c r="DC79" s="378"/>
      <c r="DD79" s="378"/>
      <c r="DE79" s="377"/>
      <c r="DF79" s="378"/>
      <c r="DG79" s="378"/>
      <c r="DH79" s="378"/>
      <c r="DI79" s="378"/>
      <c r="DJ79" s="377"/>
      <c r="DK79" s="378"/>
      <c r="DL79" s="378"/>
      <c r="DM79" s="378"/>
      <c r="DN79" s="378"/>
      <c r="DO79" s="377"/>
      <c r="DP79" s="378"/>
      <c r="DQ79" s="378"/>
      <c r="DR79" s="378"/>
      <c r="DS79" s="378"/>
      <c r="DT79" s="377"/>
      <c r="DU79" s="377"/>
      <c r="DV79" s="377"/>
    </row>
    <row r="80" spans="2:126" s="32" customFormat="1">
      <c r="B80" s="32" t="s">
        <v>125</v>
      </c>
      <c r="C80" s="377"/>
      <c r="D80" s="377"/>
      <c r="E80" s="377"/>
      <c r="F80" s="377"/>
      <c r="G80" s="377"/>
      <c r="H80" s="377"/>
      <c r="I80" s="377"/>
      <c r="J80" s="378"/>
      <c r="K80" s="378"/>
      <c r="L80" s="378"/>
      <c r="M80" s="378"/>
      <c r="N80" s="377"/>
      <c r="O80" s="378"/>
      <c r="P80" s="378"/>
      <c r="Q80" s="378"/>
      <c r="R80" s="378"/>
      <c r="S80" s="377"/>
      <c r="T80" s="378"/>
      <c r="U80" s="378"/>
      <c r="V80" s="378"/>
      <c r="W80" s="378"/>
      <c r="X80" s="377"/>
      <c r="Y80" s="378"/>
      <c r="Z80" s="378"/>
      <c r="AA80" s="378"/>
      <c r="AB80" s="378"/>
      <c r="AC80" s="377"/>
      <c r="AD80" s="378"/>
      <c r="AE80" s="378"/>
      <c r="AF80" s="378"/>
      <c r="AG80" s="378"/>
      <c r="AH80" s="377"/>
      <c r="AI80" s="378"/>
      <c r="AJ80" s="378"/>
      <c r="AK80" s="378"/>
      <c r="AL80" s="378"/>
      <c r="AM80" s="377"/>
      <c r="AN80" s="378"/>
      <c r="AO80" s="378"/>
      <c r="AP80" s="378"/>
      <c r="AQ80" s="378"/>
      <c r="AR80" s="377"/>
      <c r="AS80" s="378"/>
      <c r="AT80" s="378"/>
      <c r="AU80" s="378"/>
      <c r="AV80" s="378"/>
      <c r="AW80" s="377"/>
      <c r="AX80" s="378"/>
      <c r="AY80" s="378"/>
      <c r="AZ80" s="378"/>
      <c r="BA80" s="378"/>
      <c r="BB80" s="377"/>
      <c r="BC80" s="378"/>
      <c r="BD80" s="378"/>
      <c r="BE80" s="378"/>
      <c r="BF80" s="378"/>
      <c r="BG80" s="377"/>
      <c r="BH80" s="378"/>
      <c r="BI80" s="378"/>
      <c r="BJ80" s="378"/>
      <c r="BK80" s="378"/>
      <c r="BL80" s="377"/>
      <c r="BM80" s="378"/>
      <c r="BN80" s="378"/>
      <c r="BO80" s="378"/>
      <c r="BP80" s="378"/>
      <c r="BQ80" s="377"/>
      <c r="BR80" s="378"/>
      <c r="BS80" s="378"/>
      <c r="BT80" s="378"/>
      <c r="BU80" s="378"/>
      <c r="BV80" s="377"/>
      <c r="BW80" s="378"/>
      <c r="BX80" s="378"/>
      <c r="BY80" s="378"/>
      <c r="BZ80" s="378"/>
      <c r="CA80" s="377"/>
      <c r="CB80" s="378"/>
      <c r="CC80" s="378"/>
      <c r="CD80" s="378"/>
      <c r="CE80" s="378" t="e">
        <f>CE57/SUM(IS!CB45:'IS'!CE45)</f>
        <v>#DIV/0!</v>
      </c>
      <c r="CF80" s="377"/>
      <c r="CG80" s="378"/>
      <c r="CH80" s="378">
        <f>CH57/SUM(IS!CD45:CE45,IS!CG45:'IS'!CH45)</f>
        <v>4.112398435148962</v>
      </c>
      <c r="CI80" s="378">
        <f>CI57/SUM(IS!CE45,IS!CG45:'IS'!CI45)</f>
        <v>2.6421090468896686</v>
      </c>
      <c r="CJ80" s="378">
        <f>CJ57/SUM(IS!CG45:'IS'!CJ45)</f>
        <v>2.8687481281820904</v>
      </c>
      <c r="CK80" s="377">
        <f>CK57/IS!CK45</f>
        <v>2.8687481281820904</v>
      </c>
      <c r="CL80" s="378">
        <f>CL57/SUM(IS!CH45:CJ45,IS!CL45)</f>
        <v>1.7258756568571032</v>
      </c>
      <c r="CM80" s="378">
        <f>CM57/SUM(IS!CI45:CJ45,IS!CL45:'IS'!CM45)</f>
        <v>2.2900281301005592</v>
      </c>
      <c r="CN80" s="378">
        <f>CN57/SUM(IS!CJ45,IS!CL45:'IS'!CN45)</f>
        <v>2.3433393942433791</v>
      </c>
      <c r="CO80" s="378">
        <f>CO57/SUM(IS!CL45:'IS'!CO45)</f>
        <v>2.7622990160787135</v>
      </c>
      <c r="CP80" s="377">
        <f>CP57/IS!CP45</f>
        <v>2.7622990160787135</v>
      </c>
      <c r="CQ80" s="378">
        <f>CQ57/SUM(IS!CM45:CO45,IS!CQ45)</f>
        <v>3.0145673958877359</v>
      </c>
      <c r="CR80" s="378">
        <f>CR57/SUM(IS!CN45:CO45,IS!CQ45:'IS'!CR45)</f>
        <v>2.7363485048885812</v>
      </c>
      <c r="CS80" s="378">
        <f>CS57/SUM(IS!CO45,IS!CQ45:'IS'!CS45)</f>
        <v>2.6147491394867934</v>
      </c>
      <c r="CT80" s="378">
        <f>CT57/SUM(IS!CQ45:'IS'!CT45)</f>
        <v>2.4148034711587543</v>
      </c>
      <c r="CU80" s="377">
        <f>CU57/IS!CU45</f>
        <v>2.4148034711587543</v>
      </c>
      <c r="CV80" s="378">
        <f>CV57/SUM(IS!CR45:CT45,IS!CV45)</f>
        <v>2.5512876571939187</v>
      </c>
      <c r="CW80" s="378">
        <f>CW57/SUM(IS!CS45:CT45,IS!CV45:'IS'!CW45)</f>
        <v>2.6801964725994751</v>
      </c>
      <c r="CX80" s="378">
        <f>CX57/SUM(IS!CT45,IS!CV45:'IS'!CX45)</f>
        <v>2.7885228072854775</v>
      </c>
      <c r="CY80" s="378">
        <f>CY57/SUM(IS!CV45:'IS'!CY45)</f>
        <v>2.5369273301737758</v>
      </c>
      <c r="CZ80" s="377">
        <f>CZ57/IS!CZ45</f>
        <v>2.5369273301737758</v>
      </c>
      <c r="DA80" s="378">
        <f>DA57/SUM(IS!CW45:CY45,IS!DA45)</f>
        <v>2.7567489394523719</v>
      </c>
      <c r="DB80" s="378">
        <f>DB57/SUM(IS!CX45:CY45,IS!DA45:'IS'!DB45)</f>
        <v>2.8004486400598188</v>
      </c>
      <c r="DC80" s="378">
        <f>DC57/SUM(IS!CY45,IS!DA45:'IS'!DC45)</f>
        <v>2.7360690351601948</v>
      </c>
      <c r="DD80" s="378">
        <f>DD57/SUM(IS!DA45:'IS'!DD45)</f>
        <v>3.3525387108390348</v>
      </c>
      <c r="DE80" s="377">
        <f>DE57/IS!DE45</f>
        <v>3.3525387108390348</v>
      </c>
      <c r="DF80" s="378">
        <f>DF57/SUM(IS!DB45:DD45,IS!DF45)</f>
        <v>3.3055481580115402</v>
      </c>
      <c r="DG80" s="378">
        <f>DG57/SUM(IS!DC45:DD45,IS!DF45:'IS'!DG45)</f>
        <v>2.9870237209686752</v>
      </c>
      <c r="DH80" s="378">
        <f>DH57/SUM(IS!DD45,IS!DF45:'IS'!DH45)</f>
        <v>2.7526965158687049</v>
      </c>
      <c r="DI80" s="378">
        <f>DI57/SUM(IS!DF45:'IS'!DI45)</f>
        <v>2.5402577062718019</v>
      </c>
      <c r="DJ80" s="377">
        <f>DJ57/IS!DJ45</f>
        <v>2.5402577062718019</v>
      </c>
      <c r="DK80" s="378">
        <f>DK57/SUM(IS!DG45:DI45,IS!DK45)</f>
        <v>2.5028045149227891</v>
      </c>
      <c r="DL80" s="378">
        <f>DL57/SUM(IS!DH45:DI45,IS!DK45:'IS'!DL45)</f>
        <v>2.6210978789373547</v>
      </c>
      <c r="DM80" s="378">
        <f>DM57/SUM(IS!DI45,IS!DK45:'IS'!DM45)</f>
        <v>2.3357566346696781</v>
      </c>
      <c r="DN80" s="378">
        <f>DN57/SUM(IS!DJ45:DK45,IS!DM45:'IS'!DN45)</f>
        <v>1.2576803591532162</v>
      </c>
      <c r="DO80" s="377">
        <f>DO57/IS!DO45</f>
        <v>2.2355641912287676</v>
      </c>
      <c r="DP80" s="378">
        <f>DP57/SUM(IS!DL45:DM45,IS!DO45:'IS'!DP45)</f>
        <v>1.302184090093603</v>
      </c>
      <c r="DQ80" s="378">
        <f>DQ57/SUM(IS!DM45:DN45,IS!DP45:'IS'!DQ45)</f>
        <v>2.2858080952867823</v>
      </c>
      <c r="DR80" s="378">
        <f>DR57/SUM(IS!DN45:DO45,IS!DQ45:'IS'!DR45)</f>
        <v>1.2813600783395636</v>
      </c>
      <c r="DS80" s="378">
        <f>DS57/SUM(IS!DO45:DP45,IS!DR45:'IS'!DS45)</f>
        <v>1.1979716611514741</v>
      </c>
      <c r="DT80" s="377">
        <f>DT57/IS!DT45</f>
        <v>2.0466513914173246</v>
      </c>
      <c r="DU80" s="377">
        <f>DU57/IS!DU45</f>
        <v>1.8555558097686387</v>
      </c>
      <c r="DV80" s="377">
        <f>DV57/IS!DV45</f>
        <v>1.6999183529894653</v>
      </c>
    </row>
    <row r="81" spans="1:126" s="32" customFormat="1">
      <c r="C81" s="360"/>
      <c r="D81" s="360"/>
      <c r="E81" s="360"/>
      <c r="F81" s="360"/>
      <c r="G81" s="360"/>
      <c r="H81" s="360"/>
      <c r="I81" s="360"/>
      <c r="J81" s="183"/>
      <c r="K81" s="183"/>
      <c r="L81" s="183"/>
      <c r="M81" s="183"/>
      <c r="N81" s="360"/>
      <c r="O81" s="183"/>
      <c r="P81" s="183"/>
      <c r="Q81" s="183"/>
      <c r="R81" s="183"/>
      <c r="S81" s="360"/>
      <c r="T81" s="183"/>
      <c r="U81" s="183"/>
      <c r="V81" s="183"/>
      <c r="W81" s="183"/>
      <c r="X81" s="360"/>
      <c r="Y81" s="183"/>
      <c r="Z81" s="183"/>
      <c r="AA81" s="183"/>
      <c r="AB81" s="183"/>
      <c r="AC81" s="360"/>
      <c r="AD81" s="183"/>
      <c r="AE81" s="183"/>
      <c r="AF81" s="183"/>
      <c r="AG81" s="183"/>
      <c r="AH81" s="360"/>
      <c r="AI81" s="183"/>
      <c r="AJ81" s="183"/>
      <c r="AK81" s="183"/>
      <c r="AL81" s="183"/>
      <c r="AM81" s="360"/>
      <c r="AN81" s="183"/>
      <c r="AO81" s="183"/>
      <c r="AP81" s="183"/>
      <c r="AQ81" s="183"/>
      <c r="AR81" s="360"/>
      <c r="AS81" s="183"/>
      <c r="AT81" s="183"/>
      <c r="AU81" s="183"/>
      <c r="AV81" s="183"/>
      <c r="AW81" s="360"/>
      <c r="AX81" s="183"/>
      <c r="AY81" s="183"/>
      <c r="AZ81" s="183"/>
      <c r="BA81" s="183"/>
      <c r="BB81" s="360"/>
      <c r="BC81" s="200"/>
      <c r="BD81" s="183"/>
      <c r="BE81" s="183"/>
      <c r="BF81" s="183"/>
      <c r="BG81" s="360"/>
      <c r="BH81" s="183"/>
      <c r="BI81" s="183"/>
      <c r="BJ81" s="183"/>
      <c r="BK81" s="183"/>
      <c r="BL81" s="360"/>
      <c r="BM81" s="183"/>
      <c r="BN81" s="183"/>
      <c r="BO81" s="183"/>
      <c r="BP81" s="183"/>
      <c r="BQ81" s="360"/>
      <c r="BR81" s="183"/>
      <c r="BS81" s="183"/>
      <c r="BT81" s="183"/>
      <c r="BU81" s="183"/>
      <c r="BV81" s="360"/>
      <c r="BW81" s="183"/>
      <c r="BX81" s="512"/>
      <c r="BY81" s="183"/>
      <c r="BZ81" s="183"/>
      <c r="CA81" s="360"/>
      <c r="CB81" s="183"/>
      <c r="CC81" s="183"/>
      <c r="CD81" s="183"/>
      <c r="CE81" s="183"/>
      <c r="CF81" s="360"/>
      <c r="CG81" s="183"/>
      <c r="CH81" s="183"/>
      <c r="CI81" s="183"/>
      <c r="CJ81" s="183"/>
      <c r="CK81" s="360"/>
      <c r="CL81" s="183"/>
      <c r="CM81" s="183"/>
      <c r="CN81" s="183"/>
      <c r="CO81" s="183"/>
      <c r="CP81" s="360"/>
      <c r="CQ81" s="183"/>
      <c r="CR81" s="183"/>
      <c r="CS81" s="183"/>
      <c r="CT81" s="183"/>
      <c r="CU81" s="360"/>
      <c r="CV81" s="183"/>
      <c r="CW81" s="183"/>
      <c r="CX81" s="183"/>
      <c r="CY81" s="183"/>
      <c r="CZ81" s="360"/>
      <c r="DA81" s="183"/>
      <c r="DB81" s="183"/>
      <c r="DC81" s="183"/>
      <c r="DD81" s="183"/>
      <c r="DE81" s="360"/>
      <c r="DF81" s="183"/>
      <c r="DG81" s="183"/>
      <c r="DH81" s="183"/>
      <c r="DI81" s="183"/>
      <c r="DJ81" s="360"/>
      <c r="DK81" s="183"/>
      <c r="DL81" s="183"/>
      <c r="DM81" s="183"/>
      <c r="DN81" s="183"/>
      <c r="DO81" s="360"/>
      <c r="DP81" s="183"/>
      <c r="DQ81" s="183"/>
      <c r="DR81" s="183"/>
      <c r="DS81" s="183"/>
      <c r="DT81" s="360"/>
      <c r="DU81" s="360"/>
      <c r="DV81" s="360"/>
    </row>
    <row r="82" spans="1:126" s="32" customFormat="1">
      <c r="B82" s="33" t="s">
        <v>126</v>
      </c>
      <c r="C82" s="360"/>
      <c r="D82" s="360"/>
      <c r="E82" s="360"/>
      <c r="F82" s="360"/>
      <c r="G82" s="360"/>
      <c r="H82" s="360"/>
      <c r="I82" s="360"/>
      <c r="J82" s="183"/>
      <c r="K82" s="183"/>
      <c r="L82" s="183"/>
      <c r="M82" s="183"/>
      <c r="N82" s="360"/>
      <c r="O82" s="183"/>
      <c r="P82" s="183"/>
      <c r="Q82" s="183"/>
      <c r="R82" s="183"/>
      <c r="S82" s="360"/>
      <c r="T82" s="183"/>
      <c r="U82" s="183"/>
      <c r="V82" s="183"/>
      <c r="W82" s="183"/>
      <c r="X82" s="360"/>
      <c r="Y82" s="183"/>
      <c r="Z82" s="183"/>
      <c r="AA82" s="183"/>
      <c r="AB82" s="183"/>
      <c r="AC82" s="360"/>
      <c r="AD82" s="183"/>
      <c r="AE82" s="183"/>
      <c r="AF82" s="183"/>
      <c r="AG82" s="183"/>
      <c r="AH82" s="360"/>
      <c r="AI82" s="183"/>
      <c r="AJ82" s="183"/>
      <c r="AK82" s="183"/>
      <c r="AL82" s="183"/>
      <c r="AM82" s="360"/>
      <c r="AN82" s="183"/>
      <c r="AO82" s="183"/>
      <c r="AP82" s="183"/>
      <c r="AQ82" s="183"/>
      <c r="AR82" s="360"/>
      <c r="AS82" s="183"/>
      <c r="AT82" s="183"/>
      <c r="AU82" s="183"/>
      <c r="AV82" s="183"/>
      <c r="AW82" s="360"/>
      <c r="AX82" s="183"/>
      <c r="AY82" s="183"/>
      <c r="AZ82" s="183"/>
      <c r="BA82" s="183"/>
      <c r="BB82" s="360"/>
      <c r="BC82" s="200"/>
      <c r="BD82" s="183"/>
      <c r="BE82" s="183"/>
      <c r="BF82" s="183"/>
      <c r="BG82" s="360"/>
      <c r="BH82" s="183"/>
      <c r="BI82" s="183"/>
      <c r="BJ82" s="183"/>
      <c r="BK82" s="183"/>
      <c r="BL82" s="360"/>
      <c r="BM82" s="183"/>
      <c r="BN82" s="183"/>
      <c r="BO82" s="183"/>
      <c r="BP82" s="183"/>
      <c r="BQ82" s="360"/>
      <c r="BR82" s="183"/>
      <c r="BS82" s="183"/>
      <c r="BT82" s="183"/>
      <c r="BU82" s="183"/>
      <c r="BV82" s="360"/>
      <c r="BW82" s="183"/>
      <c r="BX82" s="183"/>
      <c r="BY82" s="183"/>
      <c r="BZ82" s="183"/>
      <c r="CA82" s="360"/>
      <c r="CB82" s="183"/>
      <c r="CC82" s="183"/>
      <c r="CD82" s="183"/>
      <c r="CE82" s="183"/>
      <c r="CF82" s="360"/>
      <c r="CG82" s="183"/>
      <c r="CH82" s="183"/>
      <c r="CI82" s="183"/>
      <c r="CJ82" s="183"/>
      <c r="CK82" s="360"/>
      <c r="CL82" s="183"/>
      <c r="CM82" s="183"/>
      <c r="CN82" s="183"/>
      <c r="CO82" s="183"/>
      <c r="CP82" s="360"/>
      <c r="CQ82" s="183"/>
      <c r="CR82" s="183"/>
      <c r="CS82" s="183"/>
      <c r="CT82" s="183"/>
      <c r="CU82" s="360"/>
      <c r="CV82" s="183"/>
      <c r="CW82" s="183"/>
      <c r="CX82" s="183"/>
      <c r="CY82" s="183"/>
      <c r="CZ82" s="360"/>
      <c r="DA82" s="183"/>
      <c r="DB82" s="183"/>
      <c r="DC82" s="183"/>
      <c r="DD82" s="183"/>
      <c r="DE82" s="360"/>
      <c r="DF82" s="183"/>
      <c r="DG82" s="183"/>
      <c r="DH82" s="183"/>
      <c r="DI82" s="183"/>
      <c r="DJ82" s="360"/>
      <c r="DK82" s="183"/>
      <c r="DL82" s="183"/>
      <c r="DM82" s="183"/>
      <c r="DN82" s="183"/>
      <c r="DO82" s="360"/>
      <c r="DP82" s="183"/>
      <c r="DQ82" s="183"/>
      <c r="DR82" s="183"/>
      <c r="DS82" s="183"/>
      <c r="DT82" s="360"/>
      <c r="DU82" s="360"/>
      <c r="DV82" s="360"/>
    </row>
    <row r="83" spans="1:126" s="32" customFormat="1">
      <c r="B83" s="32" t="s">
        <v>127</v>
      </c>
      <c r="C83" s="380"/>
      <c r="D83" s="380"/>
      <c r="E83" s="380"/>
      <c r="F83" s="380"/>
      <c r="G83" s="380"/>
      <c r="H83" s="380"/>
      <c r="I83" s="380"/>
      <c r="J83" s="381"/>
      <c r="K83" s="381"/>
      <c r="L83" s="381"/>
      <c r="M83" s="381"/>
      <c r="N83" s="380"/>
      <c r="O83" s="381"/>
      <c r="P83" s="381"/>
      <c r="Q83" s="381"/>
      <c r="R83" s="381"/>
      <c r="S83" s="380"/>
      <c r="T83" s="381"/>
      <c r="U83" s="381"/>
      <c r="V83" s="381"/>
      <c r="W83" s="381"/>
      <c r="X83" s="380"/>
      <c r="Y83" s="381"/>
      <c r="Z83" s="381"/>
      <c r="AA83" s="381"/>
      <c r="AB83" s="381"/>
      <c r="AC83" s="380"/>
      <c r="AD83" s="381"/>
      <c r="AE83" s="381"/>
      <c r="AF83" s="381"/>
      <c r="AG83" s="381"/>
      <c r="AH83" s="380"/>
      <c r="AI83" s="381"/>
      <c r="AJ83" s="381"/>
      <c r="AK83" s="381"/>
      <c r="AL83" s="381"/>
      <c r="AM83" s="380"/>
      <c r="AN83" s="381"/>
      <c r="AO83" s="381"/>
      <c r="AP83" s="381"/>
      <c r="AQ83" s="381"/>
      <c r="AR83" s="380"/>
      <c r="AS83" s="381"/>
      <c r="AT83" s="381"/>
      <c r="AU83" s="381"/>
      <c r="AV83" s="381"/>
      <c r="AW83" s="380"/>
      <c r="AX83" s="381"/>
      <c r="AY83" s="381"/>
      <c r="AZ83" s="381"/>
      <c r="BA83" s="381"/>
      <c r="BB83" s="380"/>
      <c r="BC83" s="461"/>
      <c r="BD83" s="381"/>
      <c r="BE83" s="381"/>
      <c r="BF83" s="381"/>
      <c r="BG83" s="380"/>
      <c r="BH83" s="381"/>
      <c r="BI83" s="381"/>
      <c r="BJ83" s="381"/>
      <c r="BK83" s="381"/>
      <c r="BL83" s="380"/>
      <c r="BM83" s="381"/>
      <c r="BN83" s="381"/>
      <c r="BO83" s="381"/>
      <c r="BP83" s="381"/>
      <c r="BQ83" s="380"/>
      <c r="BR83" s="381"/>
      <c r="BS83" s="381"/>
      <c r="BT83" s="381"/>
      <c r="BU83" s="381"/>
      <c r="BV83" s="380"/>
      <c r="BW83" s="381"/>
      <c r="BX83" s="381"/>
      <c r="BY83" s="381"/>
      <c r="BZ83" s="381"/>
      <c r="CA83" s="380"/>
      <c r="CB83" s="381"/>
      <c r="CC83" s="381"/>
      <c r="CD83" s="381"/>
      <c r="CE83" s="381">
        <f>IS!CE19*4/AVERAGE(BS!CD20,BS!CE20)</f>
        <v>0</v>
      </c>
      <c r="CF83" s="380"/>
      <c r="CG83" s="381"/>
      <c r="CH83" s="381">
        <f>IS!CH19*4/AVERAGE(BS!CG20,BS!CH20)</f>
        <v>5.550143186029536E-2</v>
      </c>
      <c r="CI83" s="381">
        <f>IS!CI19*4/AVERAGE(BS!CH20,BS!CI20)</f>
        <v>4.2984908515416129E-2</v>
      </c>
      <c r="CJ83" s="381">
        <f>IS!CJ19*4/AVERAGE(BS!CI20,BS!CJ20)</f>
        <v>3.8443937774342088E-2</v>
      </c>
      <c r="CK83" s="380">
        <f>IS!CK19/AVERAGE(BS!CF20,BS!CK20)</f>
        <v>5.9961984118834209E-2</v>
      </c>
      <c r="CL83" s="381">
        <f>IS!CL19*4/AVERAGE(BS!CK20,BS!CL20)</f>
        <v>4.7095533507743544E-2</v>
      </c>
      <c r="CM83" s="381">
        <f>IS!CM19*4/AVERAGE(BS!CL20,BS!CM20)</f>
        <v>-9.3971070691630146E-2</v>
      </c>
      <c r="CN83" s="381">
        <f>IS!CN19*4/AVERAGE(BS!CM20,BS!CN20)</f>
        <v>3.7293619333407428E-3</v>
      </c>
      <c r="CO83" s="381">
        <f>IS!CO19*4/AVERAGE(BS!CN20,BS!CO20)</f>
        <v>3.5988069708398039E-3</v>
      </c>
      <c r="CP83" s="380">
        <f>IS!CP19/AVERAGE(BS!CK20,BS!CP20)</f>
        <v>-1.1137741499671273E-2</v>
      </c>
      <c r="CQ83" s="381">
        <f>IS!CQ19*4/AVERAGE(BS!CP20,BS!CQ20)</f>
        <v>1.9134901676472683E-2</v>
      </c>
      <c r="CR83" s="381">
        <f>IS!CR19*4/AVERAGE(BS!CQ20,BS!CR20)</f>
        <v>2.6045090563037259E-2</v>
      </c>
      <c r="CS83" s="381">
        <f>IS!CS19*4/AVERAGE(BS!CR20,BS!CS20)</f>
        <v>3.5263373319479867E-2</v>
      </c>
      <c r="CT83" s="381">
        <f>IS!CT19*4/AVERAGE(BS!CS20,BS!CT20)</f>
        <v>1.7115586427464895E-2</v>
      </c>
      <c r="CU83" s="380">
        <f>IS!CU19/AVERAGE(BS!CP20,BS!CU20)</f>
        <v>2.4088491363191029E-2</v>
      </c>
      <c r="CV83" s="381">
        <f>IS!CV19*4/AVERAGE(BS!CU20,BS!CV20)</f>
        <v>2.7508806933316705E-2</v>
      </c>
      <c r="CW83" s="381">
        <f>IS!CW19*4/AVERAGE(BS!CV20,BS!CW20)</f>
        <v>3.2765568513394246E-2</v>
      </c>
      <c r="CX83" s="381">
        <f>IS!CX19*4/AVERAGE(BS!CW20,BS!CX20)</f>
        <v>3.497645330693918E-2</v>
      </c>
      <c r="CY83" s="381">
        <f>IS!CY19*4/AVERAGE(BS!CX20,BS!CY20)</f>
        <v>3.5876362787734671E-2</v>
      </c>
      <c r="CZ83" s="380">
        <f>IS!CZ19/AVERAGE(BS!CU20,BS!CZ20)</f>
        <v>3.2572720346709633E-2</v>
      </c>
      <c r="DA83" s="381">
        <f>IS!DA19*4/AVERAGE(BS!CZ20,BS!DA20)</f>
        <v>3.5594383775351013E-2</v>
      </c>
      <c r="DB83" s="381">
        <f>IS!DB19*4/AVERAGE(BS!DA20,BS!DB20)</f>
        <v>3.278597392810928E-2</v>
      </c>
      <c r="DC83" s="381">
        <f>IS!DC19*4/AVERAGE(BS!DB20,BS!DC20)</f>
        <v>-2.4251087478897364E-2</v>
      </c>
      <c r="DD83" s="381">
        <f>IS!DD19*4/AVERAGE(BS!DC20,BS!DD20)</f>
        <v>3.517600335479415E-2</v>
      </c>
      <c r="DE83" s="380">
        <f>IS!DE19/AVERAGE(BS!CZ20,BS!DE20)</f>
        <v>1.9923113617869068E-2</v>
      </c>
      <c r="DF83" s="381">
        <f>IS!DF19*4/AVERAGE(BS!DE20,BS!DF20)</f>
        <v>4.24522443301786E-2</v>
      </c>
      <c r="DG83" s="381">
        <f>IS!DG19*4/AVERAGE(BS!DF20,BS!DG20)</f>
        <v>2.7632905562678151E-3</v>
      </c>
      <c r="DH83" s="381">
        <f>IS!DH19*4/AVERAGE(BS!DG20,BS!DH20)</f>
        <v>3.6123696666472388E-2</v>
      </c>
      <c r="DI83" s="381">
        <f>IS!DI19*4/AVERAGE(BS!DH20,BS!DI20)</f>
        <v>3.6181309375219343E-2</v>
      </c>
      <c r="DJ83" s="380">
        <f>IS!DJ19/AVERAGE(BS!DE20,BS!DJ20)</f>
        <v>2.9402888553567579E-2</v>
      </c>
      <c r="DK83" s="381">
        <f>IS!DK19*4/AVERAGE(BS!DJ20,BS!DK20)</f>
        <v>3.7470440155618276E-2</v>
      </c>
      <c r="DL83" s="381">
        <f>IS!DL19*4/AVERAGE(BS!DK20,BS!DL20)</f>
        <v>3.992735005406578E-2</v>
      </c>
      <c r="DM83" s="381">
        <f>IS!DM19*4/AVERAGE(BS!DL20,BS!DM20)</f>
        <v>4.5692368624017675E-2</v>
      </c>
      <c r="DN83" s="381">
        <f>IS!DN19*4/AVERAGE(BS!DM20,BS!DN20)</f>
        <v>3.7696231556611906E-2</v>
      </c>
      <c r="DO83" s="380">
        <f>IS!DO19/AVERAGE(BS!DJ20,BS!DO20)</f>
        <v>4.0203339480487224E-2</v>
      </c>
      <c r="DP83" s="381">
        <f>IS!DP19*4/AVERAGE(BS!DO20,BS!DP20)</f>
        <v>3.8386212794228554E-2</v>
      </c>
      <c r="DQ83" s="381">
        <f>IS!DQ19*4/AVERAGE(BS!DP20,BS!DQ20)</f>
        <v>4.2450698786730579E-2</v>
      </c>
      <c r="DR83" s="381">
        <f>IS!DR19*4/AVERAGE(BS!DQ20,BS!DR20)</f>
        <v>4.684027388537957E-2</v>
      </c>
      <c r="DS83" s="381">
        <f>IS!DS19*4/AVERAGE(BS!DR20,BS!DS20)</f>
        <v>4.6597284632252135E-2</v>
      </c>
      <c r="DT83" s="380">
        <f>IS!DT19/AVERAGE(BS!DO20,BS!DT20)</f>
        <v>4.2969716137422009E-2</v>
      </c>
      <c r="DU83" s="380">
        <f>IS!DU19/AVERAGE(BS!DT20,BS!DU20)</f>
        <v>4.721004678928499E-2</v>
      </c>
      <c r="DV83" s="380">
        <f>IS!DV19/AVERAGE(BS!DU20,BS!DV20)</f>
        <v>5.1770581121221987E-2</v>
      </c>
    </row>
    <row r="84" spans="1:126" s="32" customFormat="1">
      <c r="B84" s="32" t="s">
        <v>128</v>
      </c>
      <c r="C84" s="380"/>
      <c r="D84" s="380"/>
      <c r="E84" s="380"/>
      <c r="F84" s="380"/>
      <c r="G84" s="380"/>
      <c r="H84" s="380"/>
      <c r="I84" s="380"/>
      <c r="J84" s="381"/>
      <c r="K84" s="381"/>
      <c r="L84" s="381"/>
      <c r="M84" s="381"/>
      <c r="N84" s="380"/>
      <c r="O84" s="381"/>
      <c r="P84" s="381"/>
      <c r="Q84" s="381"/>
      <c r="R84" s="381"/>
      <c r="S84" s="380"/>
      <c r="T84" s="381"/>
      <c r="U84" s="381"/>
      <c r="V84" s="381"/>
      <c r="W84" s="381"/>
      <c r="X84" s="380"/>
      <c r="Y84" s="381"/>
      <c r="Z84" s="381"/>
      <c r="AA84" s="381"/>
      <c r="AB84" s="381"/>
      <c r="AC84" s="380"/>
      <c r="AD84" s="381"/>
      <c r="AE84" s="381"/>
      <c r="AF84" s="381"/>
      <c r="AG84" s="381"/>
      <c r="AH84" s="380"/>
      <c r="AI84" s="381"/>
      <c r="AJ84" s="381"/>
      <c r="AK84" s="381"/>
      <c r="AL84" s="381"/>
      <c r="AM84" s="380"/>
      <c r="AN84" s="381"/>
      <c r="AO84" s="381"/>
      <c r="AP84" s="381"/>
      <c r="AQ84" s="381"/>
      <c r="AR84" s="380"/>
      <c r="AS84" s="381"/>
      <c r="AT84" s="381"/>
      <c r="AU84" s="381"/>
      <c r="AV84" s="381"/>
      <c r="AW84" s="380"/>
      <c r="AX84" s="381"/>
      <c r="AY84" s="381"/>
      <c r="AZ84" s="381"/>
      <c r="BA84" s="381"/>
      <c r="BB84" s="380"/>
      <c r="BC84" s="461"/>
      <c r="BD84" s="381"/>
      <c r="BE84" s="381"/>
      <c r="BF84" s="381"/>
      <c r="BG84" s="380"/>
      <c r="BH84" s="381"/>
      <c r="BI84" s="381"/>
      <c r="BJ84" s="381"/>
      <c r="BK84" s="381"/>
      <c r="BL84" s="380"/>
      <c r="BM84" s="381"/>
      <c r="BN84" s="381"/>
      <c r="BO84" s="381"/>
      <c r="BP84" s="381"/>
      <c r="BQ84" s="380"/>
      <c r="BR84" s="381"/>
      <c r="BS84" s="381"/>
      <c r="BT84" s="381"/>
      <c r="BU84" s="381"/>
      <c r="BV84" s="380"/>
      <c r="BW84" s="381"/>
      <c r="BX84" s="381"/>
      <c r="BY84" s="381"/>
      <c r="BZ84" s="381"/>
      <c r="CA84" s="380"/>
      <c r="CB84" s="381"/>
      <c r="CC84" s="381"/>
      <c r="CD84" s="381"/>
      <c r="CE84" s="381"/>
      <c r="CF84" s="380"/>
      <c r="CG84" s="381"/>
      <c r="CH84" s="381"/>
      <c r="CI84" s="381"/>
      <c r="CJ84" s="381"/>
      <c r="CK84" s="380">
        <f>IS!CK45/AVERAGE(BS!CF61,BS!CK61)</f>
        <v>0.3189949604719482</v>
      </c>
      <c r="CL84" s="381"/>
      <c r="CM84" s="381"/>
      <c r="CN84" s="381"/>
      <c r="CO84" s="381"/>
      <c r="CP84" s="380">
        <f>IS!CP45/AVERAGE(BS!CK61,BS!CP61)</f>
        <v>0.1461284892691822</v>
      </c>
      <c r="CQ84" s="381"/>
      <c r="CR84" s="381"/>
      <c r="CS84" s="381"/>
      <c r="CT84" s="381"/>
      <c r="CU84" s="380">
        <f>IS!CU45/AVERAGE(BS!CP61,BS!CU61)</f>
        <v>0.13482635686657765</v>
      </c>
      <c r="CV84" s="381"/>
      <c r="CW84" s="381"/>
      <c r="CX84" s="381"/>
      <c r="CY84" s="381"/>
      <c r="CZ84" s="380">
        <f>IS!CZ45/AVERAGE(BS!CU61,BS!CZ61)</f>
        <v>0.13895768019702134</v>
      </c>
      <c r="DA84" s="381"/>
      <c r="DB84" s="381"/>
      <c r="DC84" s="381"/>
      <c r="DD84" s="381"/>
      <c r="DE84" s="380">
        <f>IS!DE45/AVERAGE(BS!CZ61,BS!DE61)</f>
        <v>0.16766665911955381</v>
      </c>
      <c r="DF84" s="381"/>
      <c r="DG84" s="381"/>
      <c r="DH84" s="381"/>
      <c r="DI84" s="381"/>
      <c r="DJ84" s="380">
        <f>IS!DJ45/AVERAGE(BS!DE61,BS!DJ61)</f>
        <v>0.23406985269612743</v>
      </c>
      <c r="DK84" s="381"/>
      <c r="DL84" s="381"/>
      <c r="DM84" s="381"/>
      <c r="DN84" s="381"/>
      <c r="DO84" s="380">
        <f>IS!DO45/AVERAGE(BS!DJ61,BS!DO61)</f>
        <v>0.2132926731264489</v>
      </c>
      <c r="DP84" s="381"/>
      <c r="DQ84" s="381"/>
      <c r="DR84" s="381"/>
      <c r="DS84" s="381"/>
      <c r="DT84" s="380">
        <f>IS!DT45/AVERAGE(BS!DO61,BS!DT61)</f>
        <v>0.20636719098425227</v>
      </c>
      <c r="DU84" s="380">
        <f>IS!DU45/AVERAGE(BS!DT61,BS!DU61)</f>
        <v>0.21857877506410095</v>
      </c>
      <c r="DV84" s="380">
        <f>IS!DV45/AVERAGE(BS!DU61,BS!DV61)</f>
        <v>0.23244023570091224</v>
      </c>
    </row>
    <row r="85" spans="1:126" s="32" customFormat="1">
      <c r="B85" s="32" t="s">
        <v>129</v>
      </c>
      <c r="C85" s="49"/>
      <c r="D85" s="49"/>
      <c r="E85" s="49"/>
      <c r="F85" s="49"/>
      <c r="G85" s="49"/>
      <c r="H85" s="49"/>
      <c r="I85" s="49"/>
      <c r="J85" s="50"/>
      <c r="K85" s="50"/>
      <c r="L85" s="50"/>
      <c r="M85" s="50"/>
      <c r="N85" s="49"/>
      <c r="O85" s="50"/>
      <c r="P85" s="50"/>
      <c r="Q85" s="50"/>
      <c r="R85" s="50"/>
      <c r="S85" s="49"/>
      <c r="T85" s="50"/>
      <c r="U85" s="50"/>
      <c r="V85" s="50"/>
      <c r="W85" s="50"/>
      <c r="X85" s="49"/>
      <c r="Y85" s="50"/>
      <c r="Z85" s="50"/>
      <c r="AA85" s="50"/>
      <c r="AB85" s="50"/>
      <c r="AC85" s="49"/>
      <c r="AD85" s="50"/>
      <c r="AE85" s="50"/>
      <c r="AF85" s="50"/>
      <c r="AG85" s="50"/>
      <c r="AH85" s="49"/>
      <c r="AI85" s="50"/>
      <c r="AJ85" s="50"/>
      <c r="AK85" s="50"/>
      <c r="AL85" s="50"/>
      <c r="AM85" s="49"/>
      <c r="AN85" s="50"/>
      <c r="AO85" s="50"/>
      <c r="AP85" s="50"/>
      <c r="AQ85" s="50"/>
      <c r="AR85" s="49"/>
      <c r="AS85" s="50"/>
      <c r="AT85" s="50"/>
      <c r="AU85" s="50"/>
      <c r="AV85" s="50"/>
      <c r="AW85" s="49"/>
      <c r="AX85" s="50"/>
      <c r="AY85" s="50"/>
      <c r="AZ85" s="50"/>
      <c r="BA85" s="50"/>
      <c r="BB85" s="49"/>
      <c r="BC85" s="199"/>
      <c r="BD85" s="50"/>
      <c r="BE85" s="50"/>
      <c r="BF85" s="50"/>
      <c r="BG85" s="49"/>
      <c r="BH85" s="50"/>
      <c r="BI85" s="50"/>
      <c r="BJ85" s="50"/>
      <c r="BK85" s="50"/>
      <c r="BL85" s="49"/>
      <c r="BM85" s="50"/>
      <c r="BN85" s="50"/>
      <c r="BO85" s="50"/>
      <c r="BP85" s="50"/>
      <c r="BQ85" s="49"/>
      <c r="BR85" s="50"/>
      <c r="BS85" s="50"/>
      <c r="BT85" s="50"/>
      <c r="BU85" s="50"/>
      <c r="BV85" s="49"/>
      <c r="BW85" s="50"/>
      <c r="BX85" s="50"/>
      <c r="BY85" s="50"/>
      <c r="BZ85" s="50"/>
      <c r="CA85" s="49"/>
      <c r="CB85" s="50"/>
      <c r="CC85" s="50"/>
      <c r="CD85" s="50"/>
      <c r="CE85" s="50">
        <f>IS!CE19*4/AVERAGE((BS!CE55+BS!CE56),(BS!CD56+BS!CD55))</f>
        <v>0</v>
      </c>
      <c r="CF85" s="49"/>
      <c r="CG85" s="50"/>
      <c r="CH85" s="50">
        <f>IS!CH19*4/AVERAGE((BS!CH55+BS!CH56),(BS!CG56+BS!CG55))</f>
        <v>0.12683498011035546</v>
      </c>
      <c r="CI85" s="50">
        <f>IS!CI19*4/AVERAGE((BS!CI55+BS!CI56),(BS!CH56+BS!CH55))</f>
        <v>6.3660624344742969E-2</v>
      </c>
      <c r="CJ85" s="50">
        <f>IS!CJ19*4/AVERAGE((BS!CJ55+BS!CJ56),(BS!CI56+BS!CI55))</f>
        <v>5.9410684047877901E-2</v>
      </c>
      <c r="CK85" s="49">
        <f>IS!CK19/AVERAGE((BS!CK55+BS!CK56),(BS!CF56+BS!CF55))</f>
        <v>0.1680666345555151</v>
      </c>
      <c r="CL85" s="50">
        <f>IS!CL19*4/AVERAGE((BS!CL55+BS!CL56),(BS!CK56+BS!CK55))</f>
        <v>7.042552927051822E-2</v>
      </c>
      <c r="CM85" s="50">
        <f>IS!CM19*4/AVERAGE((BS!CM55+BS!CM56),(BS!CL56+BS!CL55))</f>
        <v>-0.14036073582826511</v>
      </c>
      <c r="CN85" s="50">
        <f>IS!CN19*4/AVERAGE((BS!CN55+BS!CN56),(BS!CM56+BS!CM55))</f>
        <v>6.0039761431411529E-3</v>
      </c>
      <c r="CO85" s="50">
        <f>IS!CO19*4/AVERAGE((BS!CO55+BS!CO56),(BS!CN56+BS!CN55))</f>
        <v>5.6917858952867332E-3</v>
      </c>
      <c r="CP85" s="49">
        <f>IS!CP19/AVERAGE((BS!CP55+BS!CP56),(BS!CK56+BS!CK55))</f>
        <v>-1.7770073738746638E-2</v>
      </c>
      <c r="CQ85" s="50">
        <f>IS!CQ19*4/AVERAGE((BS!CQ55+BS!CQ56),(BS!CP56+BS!CP55))</f>
        <v>2.9792571152918477E-2</v>
      </c>
      <c r="CR85" s="50">
        <f>IS!CR19*4/AVERAGE((BS!CR55+BS!CR56),(BS!CQ56+BS!CQ55))</f>
        <v>4.040619885483393E-2</v>
      </c>
      <c r="CS85" s="50">
        <f>IS!CS19*4/AVERAGE((BS!CS55+BS!CS56),(BS!CR56+BS!CR55))</f>
        <v>5.4576907146163776E-2</v>
      </c>
      <c r="CT85" s="50">
        <f>IS!CT19*4/AVERAGE((BS!CT55+BS!CT56),(BS!CS56+BS!CS55))</f>
        <v>2.6450940263350969E-2</v>
      </c>
      <c r="CU85" s="49">
        <f>IS!CU19/AVERAGE((BS!CU55+BS!CU56),(BS!CP56+BS!CP55))</f>
        <v>3.7362300221470142E-2</v>
      </c>
      <c r="CV85" s="50">
        <f>IS!CV19*4/AVERAGE((BS!CV55+BS!CV56),(BS!CU56+BS!CU55))</f>
        <v>4.230957335609279E-2</v>
      </c>
      <c r="CW85" s="50">
        <f>IS!CW19*4/AVERAGE((BS!CW55+BS!CW56),(BS!CV56+BS!CV55))</f>
        <v>5.0674723844128591E-2</v>
      </c>
      <c r="CX85" s="50">
        <f>IS!CX19*4/AVERAGE((BS!CX55+BS!CX56),(BS!CW56+BS!CW55))</f>
        <v>5.3979636016909985E-2</v>
      </c>
      <c r="CY85" s="50">
        <f>IS!CY19*4/AVERAGE((BS!CY55+BS!CY56),(BS!CX56+BS!CX55))</f>
        <v>5.4626912974372027E-2</v>
      </c>
      <c r="CZ85" s="49">
        <f>IS!CZ19/AVERAGE((BS!CZ55+BS!CZ56),(BS!CU56+BS!CU55))</f>
        <v>4.9873308791891766E-2</v>
      </c>
      <c r="DA85" s="50">
        <f>IS!DA19*4/AVERAGE((BS!DA55+BS!DA56),(BS!CZ56+BS!CZ55))</f>
        <v>5.3836461366392793E-2</v>
      </c>
      <c r="DB85" s="50">
        <f>IS!DB19*4/AVERAGE((BS!DB55+BS!DB56),(BS!DA56+BS!DA55))</f>
        <v>4.9334752280616963E-2</v>
      </c>
      <c r="DC85" s="50">
        <f>IS!DC19*4/AVERAGE((BS!DC55+BS!DC56),(BS!DB56+BS!DB55))</f>
        <v>-3.7000653339788393E-2</v>
      </c>
      <c r="DD85" s="50">
        <f>IS!DD19*4/AVERAGE((BS!DD55+BS!DD56),(BS!DC56+BS!DC55))</f>
        <v>5.4701772724875211E-2</v>
      </c>
      <c r="DE85" s="49">
        <f>IS!DE19/AVERAGE((BS!DE55+BS!DE56),(BS!CZ56+BS!CZ55))</f>
        <v>3.0685452502377041E-2</v>
      </c>
      <c r="DF85" s="50">
        <f>IS!DF19*4/AVERAGE((BS!DF55+BS!DF56),(BS!DE56+BS!DE55))</f>
        <v>6.6040014297721064E-2</v>
      </c>
      <c r="DG85" s="50">
        <f>IS!DG19*4/AVERAGE((BS!DG55+BS!DG56),(BS!DF56+BS!DF55))</f>
        <v>4.3415976883925825E-3</v>
      </c>
      <c r="DH85" s="50">
        <f>IS!DH19*4/AVERAGE((BS!DH55+BS!DH56),(BS!DG56+BS!DG55))</f>
        <v>5.7592800899887511E-2</v>
      </c>
      <c r="DI85" s="50">
        <f>IS!DI19*4/AVERAGE((BS!DI55+BS!DI56),(BS!DH56+BS!DH55))</f>
        <v>5.7903347903592098E-2</v>
      </c>
      <c r="DJ85" s="49">
        <f>IS!DJ19/AVERAGE((BS!DJ55+BS!DJ56),(BS!DE56+BS!DE55))</f>
        <v>4.6550177464019654E-2</v>
      </c>
      <c r="DK85" s="50">
        <f>IS!DK19*4/AVERAGE((BS!DK55+BS!DK56),(BS!DJ56+BS!DJ55))</f>
        <v>6.010621374905166E-2</v>
      </c>
      <c r="DL85" s="50">
        <f>IS!DL19*4/AVERAGE((BS!DL55+BS!DL56),(BS!DK56+BS!DK55))</f>
        <v>6.3955227481063345E-2</v>
      </c>
      <c r="DM85" s="50">
        <f>IS!DM19*4/AVERAGE((BS!DM55+BS!DM56),(BS!DL56+BS!DL55))</f>
        <v>7.3760719916932657E-2</v>
      </c>
      <c r="DN85" s="50">
        <f>IS!DN19*4/AVERAGE((BS!DN55+BS!DN56),(BS!DM56+BS!DM55))</f>
        <v>6.1098002102701832E-2</v>
      </c>
      <c r="DO85" s="49">
        <f>IS!DO19/AVERAGE((BS!DO55+BS!DO56),(BS!DJ56+BS!DJ55))</f>
        <v>6.4712133529515145E-2</v>
      </c>
      <c r="DP85" s="50">
        <f>IS!DP19*4/AVERAGE((BS!DP55+BS!DP56),(BS!DO56+BS!DO55))</f>
        <v>6.1905591578863509E-2</v>
      </c>
      <c r="DQ85" s="50">
        <f>IS!DQ19*4/AVERAGE((BS!DQ55+BS!DQ56),(BS!DP56+BS!DP55))</f>
        <v>6.8405529475565288E-2</v>
      </c>
      <c r="DR85" s="50">
        <f>IS!DR19*4/AVERAGE((BS!DR55+BS!DR56),(BS!DQ56+BS!DQ55))</f>
        <v>7.5375573105437965E-2</v>
      </c>
      <c r="DS85" s="50">
        <f>IS!DS19*4/AVERAGE((BS!DS55+BS!DS56),(BS!DR56+BS!DR55))</f>
        <v>7.4599758262793789E-2</v>
      </c>
      <c r="DT85" s="49">
        <f>IS!DT19/AVERAGE((BS!DT55+BS!DT56),(BS!DO56+BS!DO55))</f>
        <v>6.8928867148816367E-2</v>
      </c>
      <c r="DU85" s="49">
        <f>IS!DU19/AVERAGE((BS!DU55+BS!DU56),(BS!DT56+BS!DT55))</f>
        <v>7.5330217360417839E-2</v>
      </c>
      <c r="DV85" s="49">
        <f>IS!DV19/AVERAGE((BS!DV55+BS!DV56),(BS!DU56+BS!DU55))</f>
        <v>8.2468744960914567E-2</v>
      </c>
    </row>
    <row r="86" spans="1:126" s="32" customFormat="1" ht="12" customHeight="1">
      <c r="A86" s="7"/>
      <c r="B86" s="7" t="s">
        <v>130</v>
      </c>
      <c r="C86" s="6"/>
      <c r="D86" s="6"/>
      <c r="E86" s="6"/>
      <c r="F86" s="6"/>
      <c r="G86" s="6"/>
      <c r="H86" s="6"/>
      <c r="I86" s="6"/>
      <c r="J86" s="5"/>
      <c r="K86" s="5"/>
      <c r="L86" s="5"/>
      <c r="M86" s="5"/>
      <c r="N86" s="6"/>
      <c r="O86" s="5"/>
      <c r="P86" s="5"/>
      <c r="Q86" s="5"/>
      <c r="R86" s="5"/>
      <c r="S86" s="6"/>
      <c r="T86" s="5"/>
      <c r="U86" s="5"/>
      <c r="V86" s="5"/>
      <c r="W86" s="5"/>
      <c r="X86" s="6"/>
      <c r="Y86" s="5"/>
      <c r="Z86" s="5"/>
      <c r="AA86" s="5"/>
      <c r="AB86" s="5"/>
      <c r="AC86" s="6"/>
      <c r="AD86" s="5"/>
      <c r="AE86" s="5"/>
      <c r="AF86" s="5"/>
      <c r="AG86" s="5"/>
      <c r="AH86" s="6"/>
      <c r="AI86" s="5"/>
      <c r="AJ86" s="5"/>
      <c r="AK86" s="5"/>
      <c r="AL86" s="5"/>
      <c r="AM86" s="6"/>
      <c r="AN86" s="5"/>
      <c r="AO86" s="5"/>
      <c r="AP86" s="5"/>
      <c r="AQ86" s="5"/>
      <c r="AR86" s="6"/>
      <c r="AS86" s="5"/>
      <c r="AT86" s="5"/>
      <c r="AU86" s="5"/>
      <c r="AV86" s="5"/>
      <c r="AW86" s="6"/>
      <c r="AX86" s="5"/>
      <c r="AY86" s="5"/>
      <c r="AZ86" s="5"/>
      <c r="BA86" s="5"/>
      <c r="BB86" s="6"/>
      <c r="BC86" s="462"/>
      <c r="BD86" s="5"/>
      <c r="BE86" s="5"/>
      <c r="BF86" s="5"/>
      <c r="BG86" s="6"/>
      <c r="BH86" s="5"/>
      <c r="BI86" s="5"/>
      <c r="BJ86" s="5"/>
      <c r="BK86" s="5"/>
      <c r="BL86" s="6"/>
      <c r="BM86" s="5"/>
      <c r="BN86" s="5"/>
      <c r="BO86" s="5"/>
      <c r="BP86" s="5"/>
      <c r="BQ86" s="6"/>
      <c r="BR86" s="5"/>
      <c r="BS86" s="5"/>
      <c r="BT86" s="5"/>
      <c r="BU86" s="5"/>
      <c r="BV86" s="6"/>
      <c r="BW86" s="5"/>
      <c r="BX86" s="5"/>
      <c r="BY86" s="5"/>
      <c r="BZ86" s="5"/>
      <c r="CA86" s="6"/>
      <c r="CB86" s="5"/>
      <c r="CC86" s="5"/>
      <c r="CD86" s="5"/>
      <c r="CE86" s="5">
        <f>IS!CE19*4/AVERAGE(BS!CD61,BS!CE61)</f>
        <v>0</v>
      </c>
      <c r="CF86" s="6"/>
      <c r="CG86" s="5"/>
      <c r="CH86" s="5">
        <f>IS!CH19*4/AVERAGE(BS!CG61,BS!CH61)</f>
        <v>8.7012115276692684E-2</v>
      </c>
      <c r="CI86" s="5">
        <f>IS!CI19*4/AVERAGE(BS!CH61,BS!CI61)</f>
        <v>8.6954137842239543E-2</v>
      </c>
      <c r="CJ86" s="5">
        <f>IS!CJ19*4/AVERAGE(BS!CI61,BS!CJ61)</f>
        <v>9.3296982618262553E-2</v>
      </c>
      <c r="CK86" s="6">
        <f>IS!CK19/AVERAGE(BS!CF55,BS!CK55)</f>
        <v>0.17084238935728105</v>
      </c>
      <c r="CL86" s="5">
        <f>IS!CL19*4/AVERAGE(BS!CK61,BS!CL61)</f>
        <v>0.11123769413689526</v>
      </c>
      <c r="CM86" s="5">
        <f>IS!CM19*4/AVERAGE(BS!CL61,BS!CM61)</f>
        <v>-0.19805585854738256</v>
      </c>
      <c r="CN86" s="5">
        <f>IS!CN19*4/AVERAGE(BS!CM61,BS!CN61)</f>
        <v>8.904023763719052E-3</v>
      </c>
      <c r="CO86" s="5">
        <f>IS!CO19*4/AVERAGE(BS!CN61,BS!CO61)</f>
        <v>8.3070182925094587E-3</v>
      </c>
      <c r="CP86" s="6">
        <f>IS!CP19/AVERAGE(BS!CK55,BS!CP55)</f>
        <v>-2.9466036408269045E-2</v>
      </c>
      <c r="CQ86" s="5">
        <f>IS!CQ19*4/AVERAGE(BS!CP61,BS!CQ61)</f>
        <v>4.2907064798282608E-2</v>
      </c>
      <c r="CR86" s="5">
        <f>IS!CR19*4/AVERAGE(BS!CQ61,BS!CR61)</f>
        <v>5.8227015375571248E-2</v>
      </c>
      <c r="CS86" s="5">
        <f>IS!CS19*4/AVERAGE(BS!CR61,BS!CS61)</f>
        <v>7.8604765413903224E-2</v>
      </c>
      <c r="CT86" s="5">
        <f>IS!CT19*4/AVERAGE(BS!CS61,BS!CT61)</f>
        <v>3.7938840926870804E-2</v>
      </c>
      <c r="CU86" s="6">
        <f>IS!CU19/AVERAGE(BS!CP55,BS!CU55)</f>
        <v>5.3641481644620022E-2</v>
      </c>
      <c r="CV86" s="5">
        <f>IS!CV19*4/AVERAGE(BS!CU61,BS!CV61)</f>
        <v>6.0603979368273567E-2</v>
      </c>
      <c r="CW86" s="5">
        <f>IS!CW19*4/AVERAGE(BS!CV61,BS!CW61)</f>
        <v>7.2962784224036029E-2</v>
      </c>
      <c r="CX86" s="5">
        <f>IS!CX19*4/AVERAGE(BS!CW61,BS!CX61)</f>
        <v>7.8863389220961061E-2</v>
      </c>
      <c r="CY86" s="5">
        <f>IS!CY19*4/AVERAGE(BS!CX61,BS!CY61)</f>
        <v>7.9614803202508258E-2</v>
      </c>
      <c r="CZ86" s="6">
        <f>IS!CZ19/AVERAGE(BS!CU55,BS!CZ55)</f>
        <v>7.1564302913473876E-2</v>
      </c>
      <c r="DA86" s="5">
        <f>IS!DA19*4/AVERAGE(BS!CZ61,BS!DA61)</f>
        <v>7.8404959416086481E-2</v>
      </c>
      <c r="DB86" s="5">
        <f>IS!DB19*4/AVERAGE(BS!DA61,BS!DB61)</f>
        <v>7.3040510788199037E-2</v>
      </c>
      <c r="DC86" s="5">
        <f>IS!DC19*4/AVERAGE(BS!DB61,BS!DC61)</f>
        <v>-5.5382017728999575E-2</v>
      </c>
      <c r="DD86" s="5">
        <f>IS!DD19*4/AVERAGE(BS!DC61,BS!DD61)</f>
        <v>8.8118521264927155E-2</v>
      </c>
      <c r="DE86" s="6">
        <f>IS!DE19/AVERAGE(BS!CZ55,BS!DE55)</f>
        <v>4.8226051124142459E-2</v>
      </c>
      <c r="DF86" s="5">
        <f>IS!DF19*4/AVERAGE(BS!DE61,BS!DF61)</f>
        <v>0.11359727472892693</v>
      </c>
      <c r="DG86" s="5">
        <f>IS!DG19*4/AVERAGE(BS!DF61,BS!DG61)</f>
        <v>7.4286001104251365E-3</v>
      </c>
      <c r="DH86" s="5">
        <f>IS!DH19*4/AVERAGE(BS!DG61,BS!DH61)</f>
        <v>9.8000216372760338E-2</v>
      </c>
      <c r="DI86" s="5">
        <f>IS!DI19*4/AVERAGE(BS!DH61,BS!DI61)</f>
        <v>9.7710527617069678E-2</v>
      </c>
      <c r="DJ86" s="6">
        <f>IS!DJ19/AVERAGE(BS!DE55,BS!DJ55)</f>
        <v>7.9550756515363599E-2</v>
      </c>
      <c r="DK86" s="5">
        <f>IS!DK19*4/AVERAGE(BS!DJ61,BS!DK61)</f>
        <v>0.10086739387567355</v>
      </c>
      <c r="DL86" s="5">
        <f>IS!DL19*4/AVERAGE(BS!DK61,BS!DL61)</f>
        <v>0.10691012323375702</v>
      </c>
      <c r="DM86" s="5">
        <f>IS!DM19*4/AVERAGE(BS!DL61,BS!DM61)</f>
        <v>0.1208312661926024</v>
      </c>
      <c r="DN86" s="5">
        <f>IS!DN19*4/AVERAGE(BS!DM61,BS!DN61)</f>
        <v>9.6860631505427189E-2</v>
      </c>
      <c r="DO86" s="6">
        <f>IS!DO19/AVERAGE(BS!DJ55,BS!DO55)</f>
        <v>0.10499618228900716</v>
      </c>
      <c r="DP86" s="5">
        <f>IS!DP19*4/AVERAGE(BS!DO61,BS!DP61)</f>
        <v>9.7524852788054575E-2</v>
      </c>
      <c r="DQ86" s="5">
        <f>IS!DQ19*4/AVERAGE(BS!DP61,BS!DQ61)</f>
        <v>0.10803184974223382</v>
      </c>
      <c r="DR86" s="5">
        <f>IS!DR19*4/AVERAGE(BS!DQ61,BS!DR61)</f>
        <v>0.11809288660290322</v>
      </c>
      <c r="DS86" s="5">
        <f>IS!DS19*4/AVERAGE(BS!DR61,BS!DS61)</f>
        <v>0.11556487942353005</v>
      </c>
      <c r="DT86" s="6">
        <f>IS!DT19/AVERAGE(BS!DO55,BS!DT55)</f>
        <v>0.10700693105412454</v>
      </c>
      <c r="DU86" s="6">
        <f>IS!DU19/AVERAGE(BS!DT55,BS!DU55)</f>
        <v>0.11645923466024664</v>
      </c>
      <c r="DV86" s="6">
        <f>IS!DV19/AVERAGE(BS!DU55,BS!DV55)</f>
        <v>0.12725430593384388</v>
      </c>
    </row>
    <row r="87" spans="1:126" s="32" customFormat="1" ht="12" customHeight="1" thickBot="1">
      <c r="C87" s="46"/>
      <c r="D87" s="46"/>
      <c r="E87" s="46"/>
      <c r="F87" s="46"/>
      <c r="G87" s="46"/>
      <c r="H87" s="46"/>
      <c r="I87" s="46"/>
      <c r="N87" s="46"/>
      <c r="S87" s="46"/>
      <c r="X87" s="46"/>
      <c r="AC87" s="46"/>
      <c r="AH87" s="46"/>
      <c r="AM87" s="46"/>
      <c r="AR87" s="46"/>
      <c r="AW87" s="46"/>
      <c r="BB87" s="46"/>
      <c r="BG87" s="46"/>
      <c r="BL87" s="46"/>
      <c r="BQ87" s="46"/>
      <c r="BV87" s="46"/>
      <c r="CA87" s="46"/>
      <c r="CF87" s="46"/>
      <c r="CK87" s="46"/>
      <c r="CP87" s="46"/>
      <c r="CU87" s="46"/>
      <c r="CZ87" s="46"/>
      <c r="DE87" s="46"/>
      <c r="DJ87" s="46"/>
      <c r="DO87" s="46"/>
      <c r="DT87" s="46"/>
      <c r="DU87" s="46"/>
      <c r="DV87" s="46"/>
    </row>
  </sheetData>
  <phoneticPr fontId="6" type="noConversion"/>
  <pageMargins left="0.44" right="0.3" top="0.7" bottom="0.5" header="0.5" footer="0.5"/>
  <pageSetup scale="25" orientation="portrait" r:id="rId1"/>
  <headerFooter alignWithMargins="0"/>
  <customProperties>
    <customPr name="Qube.Worksheet.Visibility" r:id="rId2"/>
  </customProperties>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pageSetUpPr autoPageBreaks="0" fitToPage="1"/>
  </sheetPr>
  <dimension ref="A1:DW69"/>
  <sheetViews>
    <sheetView showGridLines="0" zoomScaleNormal="100" workbookViewId="0">
      <pane xSplit="2" ySplit="4" topLeftCell="C5" activePane="bottomRight" state="frozen"/>
      <selection activeCell="BA22" sqref="BA22"/>
      <selection pane="topRight" activeCell="BA22" sqref="BA22"/>
      <selection pane="bottomLeft" activeCell="BA22" sqref="BA22"/>
      <selection pane="bottomRight"/>
    </sheetView>
  </sheetViews>
  <sheetFormatPr defaultColWidth="9.7109375" defaultRowHeight="12"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2" width="9.7109375" hidden="1" customWidth="1" outlineLevel="1"/>
    <col min="53" max="53" width="9.7109375" style="3"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hidden="1" customWidth="1" collapsed="1"/>
    <col min="65" max="68" width="9.7109375" hidden="1" customWidth="1" outlineLevel="1"/>
    <col min="69" max="69" width="9.7109375" hidden="1" customWidth="1" collapsed="1"/>
    <col min="70" max="73" width="9.7109375" hidden="1" customWidth="1" outlineLevel="1"/>
    <col min="74" max="74" width="0" hidden="1" customWidth="1" collapsed="1"/>
    <col min="75" max="78" width="9.7109375" hidden="1" customWidth="1" outlineLevel="1"/>
    <col min="79" max="79" width="0" hidden="1" customWidth="1" collapsed="1"/>
    <col min="80" max="83" width="9.7109375" hidden="1" customWidth="1" outlineLevel="1"/>
    <col min="84" max="84" width="9.7109375" collapsed="1"/>
    <col min="85" max="88" width="9.7109375" hidden="1" customWidth="1" outlineLevel="1"/>
    <col min="89" max="89" width="9.7109375" collapsed="1"/>
    <col min="90" max="93" width="9.7109375" hidden="1" customWidth="1" outlineLevel="1"/>
    <col min="94" max="94" width="9.7109375" collapsed="1"/>
    <col min="95" max="98" width="9.7109375" hidden="1" customWidth="1" outlineLevel="1"/>
    <col min="99" max="99" width="9.7109375" collapsed="1"/>
    <col min="100" max="103" width="9.7109375" hidden="1" customWidth="1" outlineLevel="1"/>
    <col min="104" max="104" width="9.7109375" collapsed="1"/>
    <col min="105" max="108" width="9.7109375" hidden="1" customWidth="1" outlineLevel="1"/>
    <col min="109" max="109" width="9.7109375" collapsed="1"/>
    <col min="110" max="113" width="9.7109375" hidden="1" customWidth="1" outlineLevel="1"/>
    <col min="114" max="114" width="9.7109375" collapsed="1"/>
    <col min="115" max="118" width="9.7109375" customWidth="1" outlineLevel="1"/>
    <col min="120" max="123" width="9.7109375" hidden="1" customWidth="1" outlineLevel="1"/>
    <col min="124" max="124" width="9.7109375" collapsed="1"/>
  </cols>
  <sheetData>
    <row r="1" spans="2:126" ht="12.75" thickBot="1">
      <c r="AW1" s="29"/>
      <c r="BA1" s="200"/>
      <c r="BB1" s="29"/>
      <c r="BC1" s="182"/>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row>
    <row r="2" spans="2:126" ht="6" customHeight="1">
      <c r="C2" s="19"/>
      <c r="D2" s="19"/>
      <c r="E2" s="19"/>
      <c r="F2" s="19"/>
      <c r="G2" s="19"/>
      <c r="H2" s="19"/>
      <c r="I2" s="19"/>
      <c r="N2" s="19"/>
      <c r="S2" s="19"/>
      <c r="X2" s="19"/>
      <c r="AC2" s="19"/>
      <c r="AH2" s="19"/>
      <c r="AM2" s="19"/>
      <c r="AR2" s="19"/>
      <c r="AW2" s="19"/>
      <c r="BB2" s="19"/>
      <c r="BG2" s="19"/>
      <c r="BL2" s="19"/>
      <c r="BQ2" s="19"/>
      <c r="BV2" s="19"/>
      <c r="CA2" s="19"/>
      <c r="CF2" s="19"/>
      <c r="CK2" s="19"/>
      <c r="CP2" s="19"/>
      <c r="CU2" s="19"/>
      <c r="CZ2" s="19"/>
      <c r="DE2" s="19"/>
      <c r="DJ2" s="19"/>
      <c r="DO2" s="19"/>
      <c r="DT2" s="19"/>
      <c r="DU2" s="19"/>
      <c r="DV2" s="19"/>
    </row>
    <row r="3" spans="2:126" ht="15.75">
      <c r="B3" s="23" t="s">
        <v>557</v>
      </c>
      <c r="C3" s="467">
        <v>1997</v>
      </c>
      <c r="D3" s="467">
        <v>1998</v>
      </c>
      <c r="E3" s="467">
        <v>1999</v>
      </c>
      <c r="F3" s="467">
        <v>2000</v>
      </c>
      <c r="G3" s="467">
        <v>2001</v>
      </c>
      <c r="H3" s="467">
        <v>2002</v>
      </c>
      <c r="I3" s="467">
        <v>2003</v>
      </c>
      <c r="J3" s="20" t="s">
        <v>0</v>
      </c>
      <c r="K3" s="20" t="s">
        <v>1</v>
      </c>
      <c r="L3" s="20" t="s">
        <v>2</v>
      </c>
      <c r="M3" s="20" t="s">
        <v>3</v>
      </c>
      <c r="N3" s="467">
        <v>2004</v>
      </c>
      <c r="O3" s="20" t="s">
        <v>4</v>
      </c>
      <c r="P3" s="20" t="s">
        <v>5</v>
      </c>
      <c r="Q3" s="20" t="s">
        <v>6</v>
      </c>
      <c r="R3" s="20" t="s">
        <v>7</v>
      </c>
      <c r="S3" s="467">
        <v>2005</v>
      </c>
      <c r="T3" s="20" t="s">
        <v>8</v>
      </c>
      <c r="U3" s="20" t="s">
        <v>9</v>
      </c>
      <c r="V3" s="20" t="s">
        <v>10</v>
      </c>
      <c r="W3" s="20" t="s">
        <v>11</v>
      </c>
      <c r="X3" s="467">
        <v>2006</v>
      </c>
      <c r="Y3" s="20" t="s">
        <v>12</v>
      </c>
      <c r="Z3" s="20" t="s">
        <v>13</v>
      </c>
      <c r="AA3" s="20" t="s">
        <v>14</v>
      </c>
      <c r="AB3" s="20" t="s">
        <v>15</v>
      </c>
      <c r="AC3" s="467">
        <v>2007</v>
      </c>
      <c r="AD3" s="20" t="s">
        <v>16</v>
      </c>
      <c r="AE3" s="20" t="s">
        <v>17</v>
      </c>
      <c r="AF3" s="20" t="s">
        <v>18</v>
      </c>
      <c r="AG3" s="20" t="s">
        <v>19</v>
      </c>
      <c r="AH3" s="467">
        <v>2008</v>
      </c>
      <c r="AI3" s="20" t="s">
        <v>20</v>
      </c>
      <c r="AJ3" s="20" t="s">
        <v>21</v>
      </c>
      <c r="AK3" s="20" t="s">
        <v>22</v>
      </c>
      <c r="AL3" s="20" t="s">
        <v>23</v>
      </c>
      <c r="AM3" s="467">
        <v>2009</v>
      </c>
      <c r="AN3" s="20" t="s">
        <v>24</v>
      </c>
      <c r="AO3" s="20" t="s">
        <v>25</v>
      </c>
      <c r="AP3" s="20" t="s">
        <v>174</v>
      </c>
      <c r="AQ3" s="20" t="s">
        <v>175</v>
      </c>
      <c r="AR3" s="467">
        <v>2010</v>
      </c>
      <c r="AS3" s="20" t="s">
        <v>176</v>
      </c>
      <c r="AT3" s="20" t="s">
        <v>177</v>
      </c>
      <c r="AU3" s="20" t="s">
        <v>178</v>
      </c>
      <c r="AV3" s="20" t="s">
        <v>179</v>
      </c>
      <c r="AW3" s="467">
        <v>2011</v>
      </c>
      <c r="AX3" s="20" t="s">
        <v>181</v>
      </c>
      <c r="AY3" s="20" t="s">
        <v>182</v>
      </c>
      <c r="AZ3" s="20" t="s">
        <v>242</v>
      </c>
      <c r="BA3" s="20" t="s">
        <v>183</v>
      </c>
      <c r="BB3" s="467">
        <v>2012</v>
      </c>
      <c r="BC3" s="20" t="s">
        <v>256</v>
      </c>
      <c r="BD3" s="20" t="s">
        <v>257</v>
      </c>
      <c r="BE3" s="20" t="s">
        <v>303</v>
      </c>
      <c r="BF3" s="20" t="s">
        <v>304</v>
      </c>
      <c r="BG3" s="467">
        <v>2013</v>
      </c>
      <c r="BH3" s="20" t="s">
        <v>305</v>
      </c>
      <c r="BI3" s="20" t="s">
        <v>306</v>
      </c>
      <c r="BJ3" s="20" t="s">
        <v>307</v>
      </c>
      <c r="BK3" s="20" t="s">
        <v>308</v>
      </c>
      <c r="BL3" s="467">
        <v>2014</v>
      </c>
      <c r="BM3" s="20" t="s">
        <v>313</v>
      </c>
      <c r="BN3" s="20" t="s">
        <v>314</v>
      </c>
      <c r="BO3" s="20" t="s">
        <v>315</v>
      </c>
      <c r="BP3" s="20" t="s">
        <v>316</v>
      </c>
      <c r="BQ3" s="467">
        <v>2015</v>
      </c>
      <c r="BR3" s="20" t="s">
        <v>319</v>
      </c>
      <c r="BS3" s="20" t="s">
        <v>320</v>
      </c>
      <c r="BT3" s="20" t="s">
        <v>321</v>
      </c>
      <c r="BU3" s="20" t="s">
        <v>322</v>
      </c>
      <c r="BV3" s="467">
        <v>2016</v>
      </c>
      <c r="BW3" s="20" t="s">
        <v>323</v>
      </c>
      <c r="BX3" s="20" t="s">
        <v>324</v>
      </c>
      <c r="BY3" s="20" t="s">
        <v>325</v>
      </c>
      <c r="BZ3" s="20" t="s">
        <v>326</v>
      </c>
      <c r="CA3" s="467">
        <v>2017</v>
      </c>
      <c r="CB3" s="20" t="s">
        <v>379</v>
      </c>
      <c r="CC3" s="20" t="s">
        <v>380</v>
      </c>
      <c r="CD3" s="20" t="s">
        <v>381</v>
      </c>
      <c r="CE3" s="20" t="s">
        <v>382</v>
      </c>
      <c r="CF3" s="467">
        <v>2018</v>
      </c>
      <c r="CG3" s="20" t="s">
        <v>461</v>
      </c>
      <c r="CH3" s="20" t="s">
        <v>462</v>
      </c>
      <c r="CI3" s="20" t="s">
        <v>463</v>
      </c>
      <c r="CJ3" s="20" t="s">
        <v>464</v>
      </c>
      <c r="CK3" s="467">
        <v>2019</v>
      </c>
      <c r="CL3" s="20" t="s">
        <v>470</v>
      </c>
      <c r="CM3" s="20" t="s">
        <v>469</v>
      </c>
      <c r="CN3" s="20" t="s">
        <v>468</v>
      </c>
      <c r="CO3" s="20" t="s">
        <v>467</v>
      </c>
      <c r="CP3" s="467">
        <v>2020</v>
      </c>
      <c r="CQ3" s="20" t="s">
        <v>597</v>
      </c>
      <c r="CR3" s="20" t="s">
        <v>598</v>
      </c>
      <c r="CS3" s="20" t="s">
        <v>599</v>
      </c>
      <c r="CT3" s="20" t="s">
        <v>600</v>
      </c>
      <c r="CU3" s="467">
        <v>2021</v>
      </c>
      <c r="CV3" s="20" t="s">
        <v>611</v>
      </c>
      <c r="CW3" s="20" t="s">
        <v>612</v>
      </c>
      <c r="CX3" s="20" t="s">
        <v>613</v>
      </c>
      <c r="CY3" s="20" t="s">
        <v>614</v>
      </c>
      <c r="CZ3" s="467">
        <v>2022</v>
      </c>
      <c r="DA3" s="20" t="s">
        <v>617</v>
      </c>
      <c r="DB3" s="20" t="s">
        <v>618</v>
      </c>
      <c r="DC3" s="20" t="s">
        <v>619</v>
      </c>
      <c r="DD3" s="20" t="s">
        <v>620</v>
      </c>
      <c r="DE3" s="467">
        <v>2023</v>
      </c>
      <c r="DF3" s="20" t="s">
        <v>625</v>
      </c>
      <c r="DG3" s="20" t="s">
        <v>626</v>
      </c>
      <c r="DH3" s="20" t="s">
        <v>627</v>
      </c>
      <c r="DI3" s="20" t="s">
        <v>628</v>
      </c>
      <c r="DJ3" s="467">
        <v>2024</v>
      </c>
      <c r="DK3" s="20" t="s">
        <v>642</v>
      </c>
      <c r="DL3" s="20" t="s">
        <v>643</v>
      </c>
      <c r="DM3" s="20" t="s">
        <v>644</v>
      </c>
      <c r="DN3" s="20" t="s">
        <v>635</v>
      </c>
      <c r="DO3" s="467" t="s">
        <v>404</v>
      </c>
      <c r="DP3" s="20" t="s">
        <v>651</v>
      </c>
      <c r="DQ3" s="20" t="s">
        <v>652</v>
      </c>
      <c r="DR3" s="20" t="s">
        <v>653</v>
      </c>
      <c r="DS3" s="20" t="s">
        <v>654</v>
      </c>
      <c r="DT3" s="467" t="s">
        <v>632</v>
      </c>
      <c r="DU3" s="467" t="s">
        <v>633</v>
      </c>
      <c r="DV3" s="467" t="s">
        <v>650</v>
      </c>
    </row>
    <row r="4" spans="2:126" ht="12.75">
      <c r="B4" s="24" t="s">
        <v>100</v>
      </c>
      <c r="C4" s="21">
        <v>35795</v>
      </c>
      <c r="D4" s="21">
        <v>36160</v>
      </c>
      <c r="E4" s="21">
        <v>36525</v>
      </c>
      <c r="F4" s="21">
        <v>36891</v>
      </c>
      <c r="G4" s="21">
        <v>37256</v>
      </c>
      <c r="H4" s="21">
        <v>37621</v>
      </c>
      <c r="I4" s="21">
        <v>37986</v>
      </c>
      <c r="J4" s="217">
        <v>38076</v>
      </c>
      <c r="K4" s="217">
        <v>38168</v>
      </c>
      <c r="L4" s="217">
        <v>38260</v>
      </c>
      <c r="M4" s="22">
        <v>38352</v>
      </c>
      <c r="N4" s="21">
        <v>38352</v>
      </c>
      <c r="O4" s="217">
        <v>38441</v>
      </c>
      <c r="P4" s="217">
        <v>38533</v>
      </c>
      <c r="Q4" s="217">
        <v>38625</v>
      </c>
      <c r="R4" s="22">
        <v>38717</v>
      </c>
      <c r="S4" s="21">
        <v>38717</v>
      </c>
      <c r="T4" s="217">
        <v>38806</v>
      </c>
      <c r="U4" s="217">
        <v>38898</v>
      </c>
      <c r="V4" s="217">
        <v>38990</v>
      </c>
      <c r="W4" s="22">
        <v>39082</v>
      </c>
      <c r="X4" s="21">
        <v>39082</v>
      </c>
      <c r="Y4" s="217">
        <v>39171</v>
      </c>
      <c r="Z4" s="217">
        <v>39263</v>
      </c>
      <c r="AA4" s="217">
        <v>39355</v>
      </c>
      <c r="AB4" s="22">
        <v>39447</v>
      </c>
      <c r="AC4" s="21">
        <v>39447</v>
      </c>
      <c r="AD4" s="217">
        <v>39537</v>
      </c>
      <c r="AE4" s="217">
        <v>39629</v>
      </c>
      <c r="AF4" s="217">
        <v>39721</v>
      </c>
      <c r="AG4" s="22">
        <v>39813</v>
      </c>
      <c r="AH4" s="21">
        <v>39813</v>
      </c>
      <c r="AI4" s="217">
        <v>39902</v>
      </c>
      <c r="AJ4" s="217">
        <v>39994</v>
      </c>
      <c r="AK4" s="217">
        <v>40086</v>
      </c>
      <c r="AL4" s="22">
        <v>40178</v>
      </c>
      <c r="AM4" s="21">
        <v>40178</v>
      </c>
      <c r="AN4" s="217">
        <v>40267</v>
      </c>
      <c r="AO4" s="217">
        <v>40359</v>
      </c>
      <c r="AP4" s="217">
        <v>40451</v>
      </c>
      <c r="AQ4" s="22">
        <v>40543</v>
      </c>
      <c r="AR4" s="21">
        <v>40543</v>
      </c>
      <c r="AS4" s="217">
        <v>40632</v>
      </c>
      <c r="AT4" s="217">
        <v>40724</v>
      </c>
      <c r="AU4" s="217">
        <v>40816</v>
      </c>
      <c r="AV4" s="22">
        <v>40908</v>
      </c>
      <c r="AW4" s="21">
        <v>40908</v>
      </c>
      <c r="AX4" s="217">
        <v>40998</v>
      </c>
      <c r="AY4" s="217">
        <v>41090</v>
      </c>
      <c r="AZ4" s="217">
        <v>41182</v>
      </c>
      <c r="BA4" s="217">
        <v>41274</v>
      </c>
      <c r="BB4" s="21">
        <v>41274</v>
      </c>
      <c r="BC4" s="217">
        <v>41363</v>
      </c>
      <c r="BD4" s="217">
        <v>41455</v>
      </c>
      <c r="BE4" s="217">
        <v>41547</v>
      </c>
      <c r="BF4" s="22">
        <v>41639</v>
      </c>
      <c r="BG4" s="21">
        <v>41639</v>
      </c>
      <c r="BH4" s="217">
        <v>41728</v>
      </c>
      <c r="BI4" s="217">
        <v>41820</v>
      </c>
      <c r="BJ4" s="217">
        <v>41912</v>
      </c>
      <c r="BK4" s="22">
        <v>42004</v>
      </c>
      <c r="BL4" s="21">
        <v>42004</v>
      </c>
      <c r="BM4" s="217">
        <v>42093</v>
      </c>
      <c r="BN4" s="217">
        <v>42185</v>
      </c>
      <c r="BO4" s="217">
        <v>42277</v>
      </c>
      <c r="BP4" s="22">
        <v>42369</v>
      </c>
      <c r="BQ4" s="21">
        <v>42369</v>
      </c>
      <c r="BR4" s="217">
        <v>42459</v>
      </c>
      <c r="BS4" s="217">
        <v>42551</v>
      </c>
      <c r="BT4" s="217">
        <v>42643</v>
      </c>
      <c r="BU4" s="22">
        <v>42735</v>
      </c>
      <c r="BV4" s="21">
        <v>42735</v>
      </c>
      <c r="BW4" s="217">
        <v>42824</v>
      </c>
      <c r="BX4" s="217">
        <v>42916</v>
      </c>
      <c r="BY4" s="217">
        <v>43008</v>
      </c>
      <c r="BZ4" s="22">
        <v>43100</v>
      </c>
      <c r="CA4" s="21">
        <v>43100</v>
      </c>
      <c r="CB4" s="217">
        <v>43189</v>
      </c>
      <c r="CC4" s="217">
        <v>43281</v>
      </c>
      <c r="CD4" s="217">
        <v>43373</v>
      </c>
      <c r="CE4" s="22">
        <v>43465</v>
      </c>
      <c r="CF4" s="21">
        <v>43465</v>
      </c>
      <c r="CG4" s="217">
        <v>43554</v>
      </c>
      <c r="CH4" s="217">
        <v>43646</v>
      </c>
      <c r="CI4" s="217">
        <v>43738</v>
      </c>
      <c r="CJ4" s="22">
        <v>43830</v>
      </c>
      <c r="CK4" s="21">
        <v>43830</v>
      </c>
      <c r="CL4" s="217">
        <v>43920</v>
      </c>
      <c r="CM4" s="217">
        <v>44012</v>
      </c>
      <c r="CN4" s="217">
        <v>44104</v>
      </c>
      <c r="CO4" s="22">
        <v>44196</v>
      </c>
      <c r="CP4" s="21">
        <v>44196</v>
      </c>
      <c r="CQ4" s="217">
        <v>44285</v>
      </c>
      <c r="CR4" s="217">
        <v>44377</v>
      </c>
      <c r="CS4" s="217">
        <v>44469</v>
      </c>
      <c r="CT4" s="22">
        <v>44561</v>
      </c>
      <c r="CU4" s="21">
        <v>44561</v>
      </c>
      <c r="CV4" s="217">
        <v>44650</v>
      </c>
      <c r="CW4" s="217">
        <v>44742</v>
      </c>
      <c r="CX4" s="217">
        <v>44834</v>
      </c>
      <c r="CY4" s="22">
        <v>44926</v>
      </c>
      <c r="CZ4" s="21">
        <v>44926</v>
      </c>
      <c r="DA4" s="217">
        <v>45015</v>
      </c>
      <c r="DB4" s="217">
        <v>45107</v>
      </c>
      <c r="DC4" s="217">
        <v>45199</v>
      </c>
      <c r="DD4" s="22">
        <v>45291</v>
      </c>
      <c r="DE4" s="21">
        <v>45291</v>
      </c>
      <c r="DF4" s="217">
        <v>45381</v>
      </c>
      <c r="DG4" s="217">
        <v>45473</v>
      </c>
      <c r="DH4" s="217">
        <v>45565</v>
      </c>
      <c r="DI4" s="22">
        <v>45657</v>
      </c>
      <c r="DJ4" s="21">
        <v>45657</v>
      </c>
      <c r="DK4" s="217">
        <v>45746</v>
      </c>
      <c r="DL4" s="217">
        <v>45838</v>
      </c>
      <c r="DM4" s="217">
        <v>45930</v>
      </c>
      <c r="DN4" s="22">
        <v>46022</v>
      </c>
      <c r="DO4" s="21">
        <v>46022</v>
      </c>
      <c r="DP4" s="217">
        <v>46111</v>
      </c>
      <c r="DQ4" s="217">
        <v>46203</v>
      </c>
      <c r="DR4" s="217">
        <v>46295</v>
      </c>
      <c r="DS4" s="22">
        <v>46387</v>
      </c>
      <c r="DT4" s="21">
        <v>46387</v>
      </c>
      <c r="DU4" s="21">
        <f>BS!DU4</f>
        <v>46752</v>
      </c>
      <c r="DV4" s="21">
        <f>BS!DV4</f>
        <v>47118</v>
      </c>
    </row>
    <row r="5" spans="2:126" s="32" customFormat="1">
      <c r="C5" s="34"/>
      <c r="D5" s="34"/>
      <c r="E5" s="34"/>
      <c r="F5" s="34"/>
      <c r="G5" s="34"/>
      <c r="H5" s="34"/>
      <c r="I5" s="34"/>
      <c r="N5" s="34"/>
      <c r="S5" s="34"/>
      <c r="X5" s="34"/>
      <c r="AC5" s="34"/>
      <c r="AH5" s="34"/>
      <c r="AM5" s="34"/>
      <c r="AR5" s="34"/>
      <c r="AW5" s="34"/>
      <c r="BA5" s="3"/>
      <c r="BB5" s="34"/>
      <c r="BG5" s="34"/>
      <c r="BL5" s="34"/>
      <c r="BQ5" s="34"/>
      <c r="BV5" s="34"/>
      <c r="BX5" s="3"/>
      <c r="CA5" s="34"/>
      <c r="CF5" s="34"/>
      <c r="CK5" s="34"/>
      <c r="CP5" s="34"/>
      <c r="CU5" s="34"/>
      <c r="CZ5" s="34"/>
      <c r="DE5" s="34"/>
      <c r="DJ5" s="34"/>
      <c r="DO5" s="34"/>
      <c r="DT5" s="34"/>
      <c r="DU5" s="34"/>
      <c r="DV5" s="34"/>
    </row>
    <row r="6" spans="2:126" s="32" customFormat="1">
      <c r="B6" s="41" t="s">
        <v>137</v>
      </c>
      <c r="C6" s="34"/>
      <c r="D6" s="34"/>
      <c r="E6" s="34"/>
      <c r="F6" s="34"/>
      <c r="G6" s="34"/>
      <c r="H6" s="34"/>
      <c r="I6" s="34"/>
      <c r="N6" s="34"/>
      <c r="S6" s="34"/>
      <c r="X6" s="34"/>
      <c r="AC6" s="34"/>
      <c r="AH6" s="34"/>
      <c r="AM6" s="34"/>
      <c r="AR6" s="34"/>
      <c r="AW6" s="34"/>
      <c r="BA6" s="3"/>
      <c r="BB6" s="34"/>
      <c r="BG6" s="34"/>
      <c r="BL6" s="34"/>
      <c r="BQ6" s="34"/>
      <c r="BV6" s="34"/>
      <c r="BX6" s="3"/>
      <c r="CA6" s="34"/>
      <c r="CF6" s="34"/>
      <c r="CK6" s="34"/>
      <c r="CP6" s="34"/>
      <c r="CU6" s="34"/>
      <c r="CZ6" s="34"/>
      <c r="DE6" s="34"/>
      <c r="DJ6" s="34"/>
      <c r="DO6" s="34"/>
      <c r="DT6" s="34"/>
      <c r="DU6" s="34"/>
      <c r="DV6" s="34"/>
    </row>
    <row r="7" spans="2:126" s="32" customFormat="1">
      <c r="B7" s="41" t="s">
        <v>224</v>
      </c>
      <c r="C7" s="176"/>
      <c r="D7" s="176"/>
      <c r="E7" s="176"/>
      <c r="F7" s="176"/>
      <c r="G7" s="176"/>
      <c r="H7" s="176"/>
      <c r="I7" s="176"/>
      <c r="J7" s="177"/>
      <c r="K7" s="177"/>
      <c r="L7" s="177"/>
      <c r="M7" s="177"/>
      <c r="N7" s="176"/>
      <c r="O7" s="177"/>
      <c r="P7" s="177"/>
      <c r="Q7" s="177"/>
      <c r="R7" s="177"/>
      <c r="S7" s="176"/>
      <c r="T7" s="177"/>
      <c r="U7" s="177"/>
      <c r="V7" s="177"/>
      <c r="W7" s="177"/>
      <c r="X7" s="176"/>
      <c r="Y7" s="177"/>
      <c r="Z7" s="177"/>
      <c r="AA7" s="177"/>
      <c r="AB7" s="177"/>
      <c r="AC7" s="176"/>
      <c r="AD7" s="177"/>
      <c r="AE7" s="177"/>
      <c r="AF7" s="177"/>
      <c r="AG7" s="177"/>
      <c r="AH7" s="176"/>
      <c r="AI7" s="177"/>
      <c r="AJ7" s="177"/>
      <c r="AK7" s="177"/>
      <c r="AL7" s="177"/>
      <c r="AM7" s="176"/>
      <c r="AN7" s="177"/>
      <c r="AO7" s="177"/>
      <c r="AP7" s="177"/>
      <c r="AQ7" s="177"/>
      <c r="AR7" s="176"/>
      <c r="AS7" s="177"/>
      <c r="AT7" s="177"/>
      <c r="AU7" s="177"/>
      <c r="AV7" s="177"/>
      <c r="AW7" s="176"/>
      <c r="AX7" s="177"/>
      <c r="AY7" s="177"/>
      <c r="AZ7" s="177"/>
      <c r="BA7" s="396"/>
      <c r="BB7" s="176"/>
      <c r="BC7" s="396"/>
      <c r="BD7" s="177"/>
      <c r="BE7" s="177"/>
      <c r="BF7" s="396"/>
      <c r="BG7" s="176"/>
      <c r="BH7" s="396"/>
      <c r="BI7" s="177"/>
      <c r="BJ7" s="177"/>
      <c r="BK7" s="396"/>
      <c r="BL7" s="176"/>
      <c r="BM7" s="396"/>
      <c r="BN7" s="177"/>
      <c r="BO7" s="177"/>
      <c r="BP7" s="396"/>
      <c r="BQ7" s="176"/>
      <c r="BR7" s="396"/>
      <c r="BS7" s="177"/>
      <c r="BT7" s="177"/>
      <c r="BU7" s="396"/>
      <c r="BV7" s="176"/>
      <c r="BW7" s="396"/>
      <c r="BX7" s="396"/>
      <c r="BY7" s="177"/>
      <c r="BZ7" s="396"/>
      <c r="CA7" s="176"/>
      <c r="CB7" s="396"/>
      <c r="CC7" s="396"/>
      <c r="CD7" s="177"/>
      <c r="CE7" s="396"/>
      <c r="CF7" s="662">
        <f>IS!CF19</f>
        <v>7370.0576280410805</v>
      </c>
      <c r="CG7" s="663">
        <f>IS!CG19</f>
        <v>1627.15</v>
      </c>
      <c r="CH7" s="663">
        <f>IS!CH19</f>
        <v>1976.8500000000001</v>
      </c>
      <c r="CI7" s="663">
        <f>IS!CI19</f>
        <v>1987.77</v>
      </c>
      <c r="CJ7" s="663">
        <f>IS!CJ19</f>
        <v>1561.23</v>
      </c>
      <c r="CK7" s="662">
        <f>IS!CK19</f>
        <v>7153</v>
      </c>
      <c r="CL7" s="663">
        <f>Data!CL92</f>
        <v>492</v>
      </c>
      <c r="CM7" s="663">
        <f>Data!CM92</f>
        <v>-3820</v>
      </c>
      <c r="CN7" s="663">
        <f>Data!CN92</f>
        <v>185</v>
      </c>
      <c r="CO7" s="663">
        <f>Data!CO92</f>
        <v>215</v>
      </c>
      <c r="CP7" s="662">
        <f t="shared" ref="CP7" si="0">SUM(CL7:CO7)</f>
        <v>-2928</v>
      </c>
      <c r="CQ7" s="663">
        <f>Data!CQ92</f>
        <v>813</v>
      </c>
      <c r="CR7" s="663">
        <f>Data!CR92</f>
        <v>1088</v>
      </c>
      <c r="CS7" s="663">
        <f>Data!CS92</f>
        <v>1473</v>
      </c>
      <c r="CT7" s="663">
        <f>Data!CT92</f>
        <v>771</v>
      </c>
      <c r="CU7" s="662">
        <f t="shared" ref="CU7" si="1">SUM(CQ7:CT7)</f>
        <v>4145</v>
      </c>
      <c r="CV7" s="663">
        <f>Data!CV92</f>
        <v>1126</v>
      </c>
      <c r="CW7" s="663">
        <f>Data!CW92</f>
        <v>1338</v>
      </c>
      <c r="CX7" s="663">
        <f>Data!CX92</f>
        <v>1395</v>
      </c>
      <c r="CY7" s="663">
        <f>Data!CY92</f>
        <v>1468</v>
      </c>
      <c r="CZ7" s="662">
        <f t="shared" ref="CZ7" si="2">SUM(CV7:CY7)</f>
        <v>5327</v>
      </c>
      <c r="DA7" s="663">
        <f>Data!DA92</f>
        <v>1481</v>
      </c>
      <c r="DB7" s="663">
        <f>Data!DB92</f>
        <v>1359</v>
      </c>
      <c r="DC7" s="663">
        <f>Data!DC92</f>
        <v>-933</v>
      </c>
      <c r="DD7" s="663">
        <f>Data!DD92</f>
        <v>1473</v>
      </c>
      <c r="DE7" s="662">
        <f t="shared" ref="DE7" si="3">SUM(DA7:DD7)</f>
        <v>3380</v>
      </c>
      <c r="DF7" s="663">
        <f>Data!DF92</f>
        <v>1743</v>
      </c>
      <c r="DG7" s="663">
        <f>Data!DG92</f>
        <v>175</v>
      </c>
      <c r="DH7" s="663">
        <f>Data!DH92</f>
        <v>1535</v>
      </c>
      <c r="DI7" s="663">
        <f>Data!DI92</f>
        <v>1560</v>
      </c>
      <c r="DJ7" s="662">
        <f t="shared" ref="DJ7" si="4">SUM(DF7:DI7)</f>
        <v>5013</v>
      </c>
      <c r="DK7" s="663">
        <f>Data!DK92</f>
        <v>1625</v>
      </c>
      <c r="DL7" s="663">
        <f>Data!DL92</f>
        <v>1725</v>
      </c>
      <c r="DM7" s="663">
        <f>Data!DM92</f>
        <v>2006</v>
      </c>
      <c r="DN7" s="664">
        <f>IS!DN19</f>
        <v>1600.3546878000002</v>
      </c>
      <c r="DO7" s="662">
        <f t="shared" ref="DO7" si="5">SUM(DK7:DN7)</f>
        <v>6956.3546877999997</v>
      </c>
      <c r="DP7" s="664">
        <f>IS!DP19</f>
        <v>1623.3086332500002</v>
      </c>
      <c r="DQ7" s="664">
        <f>IS!DQ19</f>
        <v>1786.0766792900004</v>
      </c>
      <c r="DR7" s="664">
        <f>IS!DR19</f>
        <v>1995.6816214199998</v>
      </c>
      <c r="DS7" s="664">
        <f>IS!DS19</f>
        <v>2015.5328049841596</v>
      </c>
      <c r="DT7" s="662">
        <f t="shared" ref="DT7" si="6">SUM(DP7:DS7)</f>
        <v>7420.59973894416</v>
      </c>
      <c r="DU7" s="665">
        <f>IS!DU19</f>
        <v>8171.3842804827327</v>
      </c>
      <c r="DV7" s="665">
        <f>IS!DV19</f>
        <v>8976.8644828737088</v>
      </c>
    </row>
    <row r="8" spans="2:126" s="32" customFormat="1">
      <c r="B8" s="41" t="s">
        <v>60</v>
      </c>
      <c r="C8" s="176"/>
      <c r="D8" s="176"/>
      <c r="E8" s="176"/>
      <c r="F8" s="176"/>
      <c r="G8" s="176"/>
      <c r="H8" s="176"/>
      <c r="I8" s="176"/>
      <c r="J8" s="16"/>
      <c r="K8" s="177"/>
      <c r="L8" s="177"/>
      <c r="M8" s="177"/>
      <c r="N8" s="176"/>
      <c r="O8" s="16"/>
      <c r="P8" s="177"/>
      <c r="Q8" s="177"/>
      <c r="R8" s="177"/>
      <c r="S8" s="176"/>
      <c r="T8" s="16"/>
      <c r="U8" s="16"/>
      <c r="V8" s="16"/>
      <c r="W8" s="16"/>
      <c r="X8" s="17"/>
      <c r="Y8" s="16"/>
      <c r="Z8" s="16"/>
      <c r="AA8" s="16"/>
      <c r="AB8" s="16"/>
      <c r="AC8" s="17"/>
      <c r="AD8" s="16"/>
      <c r="AE8" s="16"/>
      <c r="AF8" s="16"/>
      <c r="AG8" s="16"/>
      <c r="AH8" s="17"/>
      <c r="AI8" s="16"/>
      <c r="AJ8" s="16"/>
      <c r="AK8" s="16"/>
      <c r="AL8" s="16"/>
      <c r="AM8" s="17"/>
      <c r="AN8" s="16"/>
      <c r="AO8" s="16"/>
      <c r="AP8" s="16"/>
      <c r="AQ8" s="16"/>
      <c r="AR8" s="17"/>
      <c r="AS8" s="16"/>
      <c r="AT8" s="16"/>
      <c r="AU8" s="16"/>
      <c r="AV8" s="16"/>
      <c r="AW8" s="17"/>
      <c r="AX8" s="16"/>
      <c r="AY8" s="16"/>
      <c r="AZ8" s="16"/>
      <c r="BA8" s="198"/>
      <c r="BB8" s="17"/>
      <c r="BC8" s="198"/>
      <c r="BD8" s="16"/>
      <c r="BE8" s="16"/>
      <c r="BF8" s="198"/>
      <c r="BG8" s="17"/>
      <c r="BH8" s="198"/>
      <c r="BI8" s="16"/>
      <c r="BJ8" s="16"/>
      <c r="BK8" s="198"/>
      <c r="BL8" s="17"/>
      <c r="BM8" s="198"/>
      <c r="BN8" s="16"/>
      <c r="BO8" s="16"/>
      <c r="BP8" s="198"/>
      <c r="BQ8" s="17"/>
      <c r="BR8" s="198"/>
      <c r="BS8" s="16"/>
      <c r="BT8" s="16"/>
      <c r="BU8" s="198"/>
      <c r="BV8" s="17"/>
      <c r="BW8" s="198"/>
      <c r="BX8" s="198"/>
      <c r="BY8" s="16"/>
      <c r="BZ8" s="198"/>
      <c r="CA8" s="17"/>
      <c r="CB8" s="198"/>
      <c r="CC8" s="198"/>
      <c r="CD8" s="16"/>
      <c r="CE8" s="198"/>
      <c r="CF8" s="366">
        <f>3244-CF9</f>
        <v>2268</v>
      </c>
      <c r="CG8" s="355">
        <f>$CK$8/4</f>
        <v>507.5</v>
      </c>
      <c r="CH8" s="355">
        <f>$CK$8/4</f>
        <v>507.5</v>
      </c>
      <c r="CI8" s="355">
        <f>$CK$8/4</f>
        <v>507.5</v>
      </c>
      <c r="CJ8" s="355">
        <f>$CK$8/4</f>
        <v>507.5</v>
      </c>
      <c r="CK8" s="366">
        <f>3482-1452</f>
        <v>2030</v>
      </c>
      <c r="CL8" s="453">
        <f>Data!CL93-CL9</f>
        <v>84</v>
      </c>
      <c r="CM8" s="210">
        <f>Data!CM93-CM9</f>
        <v>566</v>
      </c>
      <c r="CN8" s="210">
        <f>Data!CN93-CN9</f>
        <v>641</v>
      </c>
      <c r="CO8" s="210">
        <f>Data!CO93-CO9</f>
        <v>592</v>
      </c>
      <c r="CP8" s="366">
        <f t="shared" ref="CP8:CP13" si="7">SUM(CL8:CO8)</f>
        <v>1883</v>
      </c>
      <c r="CQ8" s="210">
        <f>Data!CQ93-CQ9</f>
        <v>607</v>
      </c>
      <c r="CR8" s="210">
        <f>Data!CR93-CR9</f>
        <v>613</v>
      </c>
      <c r="CS8" s="210">
        <f>Data!CS93-CS9</f>
        <v>572</v>
      </c>
      <c r="CT8" s="210">
        <f>Data!CT93-CT9</f>
        <v>562</v>
      </c>
      <c r="CU8" s="366">
        <f t="shared" ref="CU8:CU13" si="8">SUM(CQ8:CT8)</f>
        <v>2354</v>
      </c>
      <c r="CV8" s="453">
        <f>Data!CV93-CV9</f>
        <v>530</v>
      </c>
      <c r="CW8" s="453">
        <f>Data!CW93-CW9</f>
        <v>551</v>
      </c>
      <c r="CX8" s="453">
        <f>Data!CX93-CX9</f>
        <v>565</v>
      </c>
      <c r="CY8" s="453">
        <f>Data!CY93-CY9</f>
        <v>569</v>
      </c>
      <c r="CZ8" s="366">
        <f t="shared" ref="CZ8:CZ13" si="9">SUM(CV8:CY8)</f>
        <v>2215</v>
      </c>
      <c r="DA8" s="453">
        <f>Data!DA93-DA9</f>
        <v>541</v>
      </c>
      <c r="DB8" s="453">
        <f>Data!DB93-DB9</f>
        <v>555</v>
      </c>
      <c r="DC8" s="453">
        <f>Data!DC93-DC9</f>
        <v>557</v>
      </c>
      <c r="DD8" s="453">
        <f>Data!DD93-DD9</f>
        <v>560</v>
      </c>
      <c r="DE8" s="366">
        <f t="shared" ref="DE8:DE13" si="10">SUM(DA8:DD8)</f>
        <v>2213</v>
      </c>
      <c r="DF8" s="453">
        <f>Data!DF93-DF9</f>
        <v>559</v>
      </c>
      <c r="DG8" s="453">
        <f>Data!DG93-DG9</f>
        <v>1072</v>
      </c>
      <c r="DH8" s="453">
        <f>Data!DH93-DH9</f>
        <v>1094</v>
      </c>
      <c r="DI8" s="453">
        <f>Data!DI93-DI9</f>
        <v>1139</v>
      </c>
      <c r="DJ8" s="366">
        <f t="shared" ref="DJ8:DJ13" si="11">SUM(DF8:DI8)</f>
        <v>3864</v>
      </c>
      <c r="DK8" s="453">
        <f>Data!DK93-DK9</f>
        <v>582</v>
      </c>
      <c r="DL8" s="453">
        <f>Data!DL93-DL9</f>
        <v>589</v>
      </c>
      <c r="DM8" s="453">
        <f>Data!DM93-DM9</f>
        <v>584</v>
      </c>
      <c r="DN8" s="355">
        <v>590</v>
      </c>
      <c r="DO8" s="366">
        <f t="shared" ref="DO8:DO13" si="12">SUM(DK8:DN8)</f>
        <v>2345</v>
      </c>
      <c r="DP8" s="355">
        <v>600</v>
      </c>
      <c r="DQ8" s="355">
        <v>600</v>
      </c>
      <c r="DR8" s="355">
        <v>600</v>
      </c>
      <c r="DS8" s="355">
        <v>600</v>
      </c>
      <c r="DT8" s="366">
        <f t="shared" ref="DT8:DT13" si="13">SUM(DP8:DS8)</f>
        <v>2400</v>
      </c>
      <c r="DU8" s="74">
        <v>2450</v>
      </c>
      <c r="DV8" s="74">
        <v>2500</v>
      </c>
    </row>
    <row r="9" spans="2:126" s="32" customFormat="1">
      <c r="B9" s="41" t="s">
        <v>542</v>
      </c>
      <c r="C9" s="176"/>
      <c r="D9" s="176"/>
      <c r="E9" s="176"/>
      <c r="F9" s="176"/>
      <c r="G9" s="176"/>
      <c r="H9" s="176"/>
      <c r="I9" s="176"/>
      <c r="J9" s="16"/>
      <c r="K9" s="177"/>
      <c r="L9" s="177"/>
      <c r="M9" s="177"/>
      <c r="N9" s="176"/>
      <c r="O9" s="16"/>
      <c r="P9" s="177"/>
      <c r="Q9" s="177"/>
      <c r="R9" s="177"/>
      <c r="S9" s="176"/>
      <c r="T9" s="16"/>
      <c r="U9" s="16"/>
      <c r="V9" s="16"/>
      <c r="W9" s="16"/>
      <c r="X9" s="17"/>
      <c r="Y9" s="16"/>
      <c r="Z9" s="16"/>
      <c r="AA9" s="16"/>
      <c r="AB9" s="16"/>
      <c r="AC9" s="17"/>
      <c r="AD9" s="16"/>
      <c r="AE9" s="16"/>
      <c r="AF9" s="16"/>
      <c r="AG9" s="16"/>
      <c r="AH9" s="17"/>
      <c r="AI9" s="16"/>
      <c r="AJ9" s="16"/>
      <c r="AK9" s="16"/>
      <c r="AL9" s="16"/>
      <c r="AM9" s="17"/>
      <c r="AN9" s="16"/>
      <c r="AO9" s="16"/>
      <c r="AP9" s="16"/>
      <c r="AQ9" s="16"/>
      <c r="AR9" s="17"/>
      <c r="AS9" s="16"/>
      <c r="AT9" s="16"/>
      <c r="AU9" s="16"/>
      <c r="AV9" s="16"/>
      <c r="AW9" s="17"/>
      <c r="AX9" s="16"/>
      <c r="AY9" s="16"/>
      <c r="AZ9" s="16"/>
      <c r="BA9" s="198"/>
      <c r="BB9" s="17"/>
      <c r="BC9" s="198"/>
      <c r="BD9" s="16"/>
      <c r="BE9" s="16"/>
      <c r="BF9" s="198"/>
      <c r="BG9" s="17"/>
      <c r="BH9" s="198"/>
      <c r="BI9" s="16"/>
      <c r="BJ9" s="16"/>
      <c r="BK9" s="198"/>
      <c r="BL9" s="17"/>
      <c r="BM9" s="198"/>
      <c r="BN9" s="16"/>
      <c r="BO9" s="16"/>
      <c r="BP9" s="198"/>
      <c r="BQ9" s="17"/>
      <c r="BR9" s="198"/>
      <c r="BS9" s="16"/>
      <c r="BT9" s="16"/>
      <c r="BU9" s="198"/>
      <c r="BV9" s="17"/>
      <c r="BW9" s="198"/>
      <c r="BX9" s="198"/>
      <c r="BY9" s="16"/>
      <c r="BZ9" s="198"/>
      <c r="CA9" s="17"/>
      <c r="CB9" s="198"/>
      <c r="CC9" s="198"/>
      <c r="CD9" s="16"/>
      <c r="CE9" s="198"/>
      <c r="CF9" s="366">
        <f>-Data!CF202</f>
        <v>976</v>
      </c>
      <c r="CG9" s="453">
        <f>-SEG!CG141</f>
        <v>588</v>
      </c>
      <c r="CH9" s="453">
        <f>-SEG!CH141</f>
        <v>571</v>
      </c>
      <c r="CI9" s="453">
        <f>-SEG!CI141</f>
        <v>581</v>
      </c>
      <c r="CJ9" s="453">
        <f>-SEG!CJ141</f>
        <v>594</v>
      </c>
      <c r="CK9" s="366">
        <f>SUM(CG9:CJ9)</f>
        <v>2334</v>
      </c>
      <c r="CL9" s="453">
        <f>-SEG!CL141</f>
        <v>644</v>
      </c>
      <c r="CM9" s="453">
        <f>-SEG!CM141</f>
        <v>545</v>
      </c>
      <c r="CN9" s="453">
        <f>-SEG!CN141</f>
        <v>523</v>
      </c>
      <c r="CO9" s="453">
        <f>-SEG!CO141</f>
        <v>561</v>
      </c>
      <c r="CP9" s="366">
        <f t="shared" si="7"/>
        <v>2273</v>
      </c>
      <c r="CQ9" s="453">
        <f>-SEG!CQ141</f>
        <v>516</v>
      </c>
      <c r="CR9" s="453">
        <f>-SEG!CR141</f>
        <v>519</v>
      </c>
      <c r="CS9" s="453">
        <f>-SEG!CS141</f>
        <v>586</v>
      </c>
      <c r="CT9" s="453">
        <f>-SEG!CT141</f>
        <v>582</v>
      </c>
      <c r="CU9" s="366">
        <f t="shared" si="8"/>
        <v>2203</v>
      </c>
      <c r="CV9" s="453">
        <f>-SEG!CV141</f>
        <v>484</v>
      </c>
      <c r="CW9" s="453">
        <f>-SEG!CW141</f>
        <v>448</v>
      </c>
      <c r="CX9" s="453">
        <f>-SEG!CX141</f>
        <v>482</v>
      </c>
      <c r="CY9" s="453">
        <f>-SEG!CY141</f>
        <v>479</v>
      </c>
      <c r="CZ9" s="366">
        <f t="shared" si="9"/>
        <v>1893</v>
      </c>
      <c r="DA9" s="453">
        <f>-SEG!DA141</f>
        <v>493</v>
      </c>
      <c r="DB9" s="453">
        <f>-SEG!DB141</f>
        <v>489</v>
      </c>
      <c r="DC9" s="453">
        <f>-SEG!DC141</f>
        <v>517</v>
      </c>
      <c r="DD9" s="453">
        <f>-SEG!DD141</f>
        <v>499</v>
      </c>
      <c r="DE9" s="366">
        <f t="shared" si="10"/>
        <v>1998</v>
      </c>
      <c r="DF9" s="453">
        <f>-SEG!DF141</f>
        <v>500</v>
      </c>
      <c r="DG9" s="453">
        <f>-SEG!DG141</f>
        <v>0</v>
      </c>
      <c r="DH9" s="453">
        <f>-SEG!DH141</f>
        <v>0</v>
      </c>
      <c r="DI9" s="453">
        <f>-SEG!DI141</f>
        <v>0</v>
      </c>
      <c r="DJ9" s="366">
        <f t="shared" si="11"/>
        <v>500</v>
      </c>
      <c r="DK9" s="453">
        <f>-SEG!DK141</f>
        <v>470</v>
      </c>
      <c r="DL9" s="453">
        <f>-SEG!DL141</f>
        <v>487</v>
      </c>
      <c r="DM9" s="453">
        <f>-SEG!DM141</f>
        <v>507</v>
      </c>
      <c r="DN9" s="355">
        <v>475</v>
      </c>
      <c r="DO9" s="366">
        <f t="shared" si="12"/>
        <v>1939</v>
      </c>
      <c r="DP9" s="355">
        <v>470</v>
      </c>
      <c r="DQ9" s="355">
        <v>470</v>
      </c>
      <c r="DR9" s="355">
        <v>470</v>
      </c>
      <c r="DS9" s="355">
        <v>470</v>
      </c>
      <c r="DT9" s="366">
        <f t="shared" si="13"/>
        <v>1880</v>
      </c>
      <c r="DU9" s="74">
        <v>1850</v>
      </c>
      <c r="DV9" s="74">
        <v>1850</v>
      </c>
    </row>
    <row r="10" spans="2:126" s="32" customFormat="1">
      <c r="B10" s="41" t="s">
        <v>45</v>
      </c>
      <c r="C10" s="176"/>
      <c r="D10" s="176"/>
      <c r="E10" s="176"/>
      <c r="F10" s="176"/>
      <c r="G10" s="176"/>
      <c r="H10" s="176"/>
      <c r="I10" s="176"/>
      <c r="J10" s="16"/>
      <c r="K10" s="177"/>
      <c r="L10" s="177"/>
      <c r="M10" s="177"/>
      <c r="N10" s="176"/>
      <c r="O10" s="16"/>
      <c r="P10" s="177"/>
      <c r="Q10" s="177"/>
      <c r="R10" s="177"/>
      <c r="S10" s="176"/>
      <c r="T10" s="16"/>
      <c r="U10" s="16"/>
      <c r="V10" s="16"/>
      <c r="W10" s="16"/>
      <c r="X10" s="17"/>
      <c r="Y10" s="16"/>
      <c r="Z10" s="16"/>
      <c r="AA10" s="16"/>
      <c r="AB10" s="16"/>
      <c r="AC10" s="17"/>
      <c r="AD10" s="16"/>
      <c r="AE10" s="16"/>
      <c r="AF10" s="16"/>
      <c r="AG10" s="16"/>
      <c r="AH10" s="17"/>
      <c r="AI10" s="16"/>
      <c r="AJ10" s="16"/>
      <c r="AK10" s="16"/>
      <c r="AL10" s="16"/>
      <c r="AM10" s="17"/>
      <c r="AN10" s="16"/>
      <c r="AO10" s="16"/>
      <c r="AP10" s="16"/>
      <c r="AQ10" s="16"/>
      <c r="AR10" s="17"/>
      <c r="AS10" s="16"/>
      <c r="AT10" s="16"/>
      <c r="AU10" s="16"/>
      <c r="AV10" s="16"/>
      <c r="AW10" s="17"/>
      <c r="AX10" s="16"/>
      <c r="AY10" s="16"/>
      <c r="AZ10" s="16"/>
      <c r="BA10" s="198"/>
      <c r="BB10" s="17"/>
      <c r="BC10" s="198"/>
      <c r="BD10" s="16"/>
      <c r="BE10" s="16"/>
      <c r="BF10" s="198"/>
      <c r="BG10" s="17"/>
      <c r="BH10" s="198"/>
      <c r="BI10" s="16"/>
      <c r="BJ10" s="16"/>
      <c r="BK10" s="198"/>
      <c r="BL10" s="17"/>
      <c r="BM10" s="198"/>
      <c r="BN10" s="16"/>
      <c r="BO10" s="16"/>
      <c r="BP10" s="198"/>
      <c r="BQ10" s="17"/>
      <c r="BR10" s="198"/>
      <c r="BS10" s="16"/>
      <c r="BT10" s="16"/>
      <c r="BU10" s="198"/>
      <c r="BV10" s="17"/>
      <c r="BW10" s="198"/>
      <c r="BX10" s="198"/>
      <c r="BY10" s="16"/>
      <c r="BZ10" s="198"/>
      <c r="CA10" s="17"/>
      <c r="CB10" s="198"/>
      <c r="CC10" s="198"/>
      <c r="CD10" s="16"/>
      <c r="CE10" s="198"/>
      <c r="CF10" s="74">
        <v>0</v>
      </c>
      <c r="CG10" s="73">
        <v>0</v>
      </c>
      <c r="CH10" s="73">
        <v>0</v>
      </c>
      <c r="CI10" s="73">
        <v>0</v>
      </c>
      <c r="CJ10" s="73">
        <v>0</v>
      </c>
      <c r="CK10" s="366">
        <f t="shared" ref="CK10" si="14">SUM(CG10:CJ10)</f>
        <v>0</v>
      </c>
      <c r="CL10" s="210">
        <f>Data!CL94</f>
        <v>392</v>
      </c>
      <c r="CM10" s="210">
        <f>Data!CM94</f>
        <v>-274</v>
      </c>
      <c r="CN10" s="210">
        <f>Data!CN94</f>
        <v>-152</v>
      </c>
      <c r="CO10" s="210">
        <f>Data!CO94</f>
        <v>-65</v>
      </c>
      <c r="CP10" s="366">
        <f t="shared" si="7"/>
        <v>-99</v>
      </c>
      <c r="CQ10" s="210">
        <f>Data!CQ94</f>
        <v>153</v>
      </c>
      <c r="CR10" s="210">
        <f>Data!CR94</f>
        <v>22</v>
      </c>
      <c r="CS10" s="210">
        <f>Data!CS94</f>
        <v>-317</v>
      </c>
      <c r="CT10" s="210">
        <f>Data!CT94</f>
        <v>54</v>
      </c>
      <c r="CU10" s="366">
        <f t="shared" si="8"/>
        <v>-88</v>
      </c>
      <c r="CV10" s="210">
        <f>Data!CV94</f>
        <v>-601</v>
      </c>
      <c r="CW10" s="210">
        <f>Data!CW94</f>
        <v>-546</v>
      </c>
      <c r="CX10" s="210">
        <f>Data!CX94</f>
        <v>-534</v>
      </c>
      <c r="CY10" s="210">
        <f>Data!CY94</f>
        <v>18</v>
      </c>
      <c r="CZ10" s="366">
        <f t="shared" si="9"/>
        <v>-1663</v>
      </c>
      <c r="DA10" s="210">
        <f>Data!DA94</f>
        <v>-329</v>
      </c>
      <c r="DB10" s="210">
        <f>Data!DB94</f>
        <v>-371</v>
      </c>
      <c r="DC10" s="210">
        <f>Data!DC94</f>
        <v>-28</v>
      </c>
      <c r="DD10" s="210">
        <f>Data!DD94</f>
        <v>326</v>
      </c>
      <c r="DE10" s="366">
        <f t="shared" si="10"/>
        <v>-402</v>
      </c>
      <c r="DF10" s="210">
        <f>Data!DF94</f>
        <v>-114</v>
      </c>
      <c r="DG10" s="210">
        <f>Data!DG94</f>
        <v>299</v>
      </c>
      <c r="DH10" s="210">
        <f>Data!DH94</f>
        <v>-304</v>
      </c>
      <c r="DI10" s="210">
        <f>Data!DI94</f>
        <v>72</v>
      </c>
      <c r="DJ10" s="366">
        <f t="shared" si="11"/>
        <v>-47</v>
      </c>
      <c r="DK10" s="210">
        <f>Data!DK94</f>
        <v>67</v>
      </c>
      <c r="DL10" s="210">
        <f>Data!DL94</f>
        <v>54</v>
      </c>
      <c r="DM10" s="210">
        <f>Data!DM94</f>
        <v>477</v>
      </c>
      <c r="DN10" s="73">
        <v>0</v>
      </c>
      <c r="DO10" s="366">
        <f t="shared" si="12"/>
        <v>598</v>
      </c>
      <c r="DP10" s="73">
        <v>0</v>
      </c>
      <c r="DQ10" s="73">
        <v>0</v>
      </c>
      <c r="DR10" s="73">
        <v>0</v>
      </c>
      <c r="DS10" s="73">
        <v>0</v>
      </c>
      <c r="DT10" s="366">
        <f t="shared" si="13"/>
        <v>0</v>
      </c>
      <c r="DU10" s="74">
        <v>0</v>
      </c>
      <c r="DV10" s="74">
        <v>0</v>
      </c>
    </row>
    <row r="11" spans="2:126" s="32" customFormat="1">
      <c r="B11" s="41" t="s">
        <v>61</v>
      </c>
      <c r="C11" s="176"/>
      <c r="D11" s="176"/>
      <c r="E11" s="176"/>
      <c r="F11" s="176"/>
      <c r="G11" s="176"/>
      <c r="H11" s="176"/>
      <c r="I11" s="176"/>
      <c r="J11" s="16"/>
      <c r="K11" s="177"/>
      <c r="L11" s="177"/>
      <c r="M11" s="177"/>
      <c r="N11" s="176"/>
      <c r="O11" s="16"/>
      <c r="P11" s="177"/>
      <c r="Q11" s="177"/>
      <c r="R11" s="177"/>
      <c r="S11" s="176"/>
      <c r="T11" s="16"/>
      <c r="U11" s="16"/>
      <c r="V11" s="16"/>
      <c r="W11" s="16"/>
      <c r="X11" s="17"/>
      <c r="Y11" s="16"/>
      <c r="Z11" s="16"/>
      <c r="AA11" s="16"/>
      <c r="AB11" s="16"/>
      <c r="AC11" s="17"/>
      <c r="AD11" s="16"/>
      <c r="AE11" s="16"/>
      <c r="AF11" s="16"/>
      <c r="AG11" s="16"/>
      <c r="AH11" s="17"/>
      <c r="AI11" s="16"/>
      <c r="AJ11" s="16"/>
      <c r="AK11" s="16"/>
      <c r="AL11" s="16"/>
      <c r="AM11" s="17"/>
      <c r="AN11" s="16"/>
      <c r="AO11" s="16"/>
      <c r="AP11" s="16"/>
      <c r="AQ11" s="16"/>
      <c r="AR11" s="17"/>
      <c r="AS11" s="16"/>
      <c r="AT11" s="16"/>
      <c r="AU11" s="16"/>
      <c r="AV11" s="16"/>
      <c r="AW11" s="17"/>
      <c r="AX11" s="16"/>
      <c r="AY11" s="16"/>
      <c r="AZ11" s="16"/>
      <c r="BA11" s="198"/>
      <c r="BB11" s="17"/>
      <c r="BC11" s="198"/>
      <c r="BD11" s="16"/>
      <c r="BE11" s="16"/>
      <c r="BF11" s="198"/>
      <c r="BG11" s="17"/>
      <c r="BH11" s="198"/>
      <c r="BI11" s="16"/>
      <c r="BJ11" s="16"/>
      <c r="BK11" s="198"/>
      <c r="BL11" s="17"/>
      <c r="BM11" s="198"/>
      <c r="BN11" s="16"/>
      <c r="BO11" s="16"/>
      <c r="BP11" s="198"/>
      <c r="BQ11" s="17"/>
      <c r="BR11" s="198"/>
      <c r="BS11" s="16"/>
      <c r="BT11" s="16"/>
      <c r="BU11" s="198"/>
      <c r="BV11" s="17"/>
      <c r="BW11" s="198"/>
      <c r="BX11" s="208"/>
      <c r="BY11" s="16"/>
      <c r="BZ11" s="198"/>
      <c r="CA11" s="17"/>
      <c r="CB11" s="198"/>
      <c r="CC11" s="208"/>
      <c r="CD11" s="16"/>
      <c r="CE11" s="198"/>
      <c r="CF11" s="74">
        <v>300</v>
      </c>
      <c r="CG11" s="73">
        <v>75</v>
      </c>
      <c r="CH11" s="73">
        <v>75</v>
      </c>
      <c r="CI11" s="73">
        <v>75</v>
      </c>
      <c r="CJ11" s="73">
        <v>75</v>
      </c>
      <c r="CK11" s="366">
        <f t="shared" ref="CK11" si="15">SUM(CG11:CJ11)</f>
        <v>300</v>
      </c>
      <c r="CL11" s="210">
        <f>Data!CL95</f>
        <v>63</v>
      </c>
      <c r="CM11" s="210">
        <f>Data!CM95</f>
        <v>72</v>
      </c>
      <c r="CN11" s="210">
        <f>Data!CN95</f>
        <v>118</v>
      </c>
      <c r="CO11" s="210">
        <f>Data!CO95</f>
        <v>77</v>
      </c>
      <c r="CP11" s="366">
        <f t="shared" si="7"/>
        <v>330</v>
      </c>
      <c r="CQ11" s="210">
        <f>Data!CQ95</f>
        <v>84</v>
      </c>
      <c r="CR11" s="210">
        <f>Data!CR95</f>
        <v>143</v>
      </c>
      <c r="CS11" s="210">
        <f>Data!CS95</f>
        <v>116</v>
      </c>
      <c r="CT11" s="210">
        <f>Data!CT95</f>
        <v>99</v>
      </c>
      <c r="CU11" s="366">
        <f t="shared" si="8"/>
        <v>442</v>
      </c>
      <c r="CV11" s="210">
        <f>Data!CV95</f>
        <v>103</v>
      </c>
      <c r="CW11" s="210">
        <f>Data!CW95</f>
        <v>109</v>
      </c>
      <c r="CX11" s="210">
        <f>Data!CX95</f>
        <v>106</v>
      </c>
      <c r="CY11" s="210">
        <f>Data!CY95</f>
        <v>102</v>
      </c>
      <c r="CZ11" s="366">
        <f t="shared" si="9"/>
        <v>420</v>
      </c>
      <c r="DA11" s="210">
        <f>Data!DA95</f>
        <v>100</v>
      </c>
      <c r="DB11" s="210">
        <f>Data!DB95</f>
        <v>112</v>
      </c>
      <c r="DC11" s="210">
        <f>Data!DC95</f>
        <v>107</v>
      </c>
      <c r="DD11" s="210">
        <f>Data!DD95</f>
        <v>106</v>
      </c>
      <c r="DE11" s="366">
        <f t="shared" si="10"/>
        <v>425</v>
      </c>
      <c r="DF11" s="210">
        <f>Data!DF95</f>
        <v>112</v>
      </c>
      <c r="DG11" s="210">
        <f>Data!DG95</f>
        <v>111</v>
      </c>
      <c r="DH11" s="210">
        <f>Data!DH95</f>
        <v>105</v>
      </c>
      <c r="DI11" s="210">
        <f>Data!DI95</f>
        <v>109</v>
      </c>
      <c r="DJ11" s="366">
        <f t="shared" si="11"/>
        <v>437</v>
      </c>
      <c r="DK11" s="210">
        <f>Data!DK95</f>
        <v>111</v>
      </c>
      <c r="DL11" s="210">
        <f>Data!DL95</f>
        <v>113</v>
      </c>
      <c r="DM11" s="210">
        <f>Data!DM95</f>
        <v>113</v>
      </c>
      <c r="DN11" s="73">
        <v>110</v>
      </c>
      <c r="DO11" s="366">
        <f t="shared" si="12"/>
        <v>447</v>
      </c>
      <c r="DP11" s="73">
        <v>110</v>
      </c>
      <c r="DQ11" s="73">
        <v>110</v>
      </c>
      <c r="DR11" s="73">
        <v>110</v>
      </c>
      <c r="DS11" s="73">
        <v>110</v>
      </c>
      <c r="DT11" s="366">
        <f t="shared" si="13"/>
        <v>440</v>
      </c>
      <c r="DU11" s="74">
        <v>450</v>
      </c>
      <c r="DV11" s="74">
        <v>460</v>
      </c>
    </row>
    <row r="12" spans="2:126" s="32" customFormat="1">
      <c r="B12" s="41" t="s">
        <v>585</v>
      </c>
      <c r="C12" s="176"/>
      <c r="D12" s="176"/>
      <c r="E12" s="176"/>
      <c r="F12" s="176"/>
      <c r="G12" s="176"/>
      <c r="H12" s="176"/>
      <c r="I12" s="176"/>
      <c r="J12" s="16"/>
      <c r="K12" s="177"/>
      <c r="L12" s="177"/>
      <c r="M12" s="177"/>
      <c r="N12" s="176"/>
      <c r="O12" s="16"/>
      <c r="P12" s="177"/>
      <c r="Q12" s="177"/>
      <c r="R12" s="177"/>
      <c r="S12" s="176"/>
      <c r="T12" s="16"/>
      <c r="U12" s="16"/>
      <c r="V12" s="16"/>
      <c r="W12" s="16"/>
      <c r="X12" s="17"/>
      <c r="Y12" s="16"/>
      <c r="Z12" s="16"/>
      <c r="AA12" s="16"/>
      <c r="AB12" s="16"/>
      <c r="AC12" s="17"/>
      <c r="AD12" s="16"/>
      <c r="AE12" s="16"/>
      <c r="AF12" s="16"/>
      <c r="AG12" s="16"/>
      <c r="AH12" s="17"/>
      <c r="AI12" s="16"/>
      <c r="AJ12" s="16"/>
      <c r="AK12" s="16"/>
      <c r="AL12" s="16"/>
      <c r="AM12" s="17"/>
      <c r="AN12" s="16"/>
      <c r="AO12" s="16"/>
      <c r="AP12" s="16"/>
      <c r="AQ12" s="16"/>
      <c r="AR12" s="17"/>
      <c r="AS12" s="16"/>
      <c r="AT12" s="16"/>
      <c r="AU12" s="16"/>
      <c r="AV12" s="16"/>
      <c r="AW12" s="17"/>
      <c r="AX12" s="16"/>
      <c r="AY12" s="16"/>
      <c r="AZ12" s="16"/>
      <c r="BA12" s="198"/>
      <c r="BB12" s="17"/>
      <c r="BC12" s="198"/>
      <c r="BD12" s="16"/>
      <c r="BE12" s="16"/>
      <c r="BF12" s="198"/>
      <c r="BG12" s="17"/>
      <c r="BH12" s="198"/>
      <c r="BI12" s="16"/>
      <c r="BJ12" s="16"/>
      <c r="BK12" s="198"/>
      <c r="BL12" s="17"/>
      <c r="BM12" s="198"/>
      <c r="BN12" s="16"/>
      <c r="BO12" s="16"/>
      <c r="BP12" s="198"/>
      <c r="BQ12" s="17"/>
      <c r="BR12" s="198"/>
      <c r="BS12" s="16"/>
      <c r="BT12" s="16"/>
      <c r="BU12" s="198"/>
      <c r="BV12" s="17"/>
      <c r="BW12" s="198"/>
      <c r="BX12" s="208"/>
      <c r="BY12" s="16"/>
      <c r="BZ12" s="198"/>
      <c r="CA12" s="17"/>
      <c r="CB12" s="198"/>
      <c r="CC12" s="208"/>
      <c r="CD12" s="16"/>
      <c r="CE12" s="198"/>
      <c r="CF12" s="74"/>
      <c r="CG12" s="73"/>
      <c r="CH12" s="73"/>
      <c r="CI12" s="73"/>
      <c r="CJ12" s="73"/>
      <c r="CK12" s="366"/>
      <c r="CL12" s="210">
        <f>Data!CL96</f>
        <v>-130</v>
      </c>
      <c r="CM12" s="210">
        <f>Data!CM96</f>
        <v>-93</v>
      </c>
      <c r="CN12" s="210">
        <f>Data!CN96</f>
        <v>-102</v>
      </c>
      <c r="CO12" s="210">
        <f>Data!CO96</f>
        <v>-88</v>
      </c>
      <c r="CP12" s="366">
        <f t="shared" si="7"/>
        <v>-413</v>
      </c>
      <c r="CQ12" s="210">
        <f>Data!CQ96</f>
        <v>-358</v>
      </c>
      <c r="CR12" s="210">
        <f>Data!CR96</f>
        <v>-357</v>
      </c>
      <c r="CS12" s="210">
        <f>Data!CS96</f>
        <v>-358</v>
      </c>
      <c r="CT12" s="210">
        <f>Data!CT96</f>
        <v>-341</v>
      </c>
      <c r="CU12" s="366">
        <f t="shared" si="8"/>
        <v>-1414</v>
      </c>
      <c r="CV12" s="210">
        <f>Data!CV96</f>
        <v>-360</v>
      </c>
      <c r="CW12" s="210">
        <f>Data!CW96</f>
        <v>-354</v>
      </c>
      <c r="CX12" s="210">
        <f>Data!CX96</f>
        <v>-348</v>
      </c>
      <c r="CY12" s="210">
        <f>Data!CY96</f>
        <v>-351</v>
      </c>
      <c r="CZ12" s="366">
        <f t="shared" si="9"/>
        <v>-1413</v>
      </c>
      <c r="DA12" s="210">
        <f>Data!DA96</f>
        <v>-388</v>
      </c>
      <c r="DB12" s="210">
        <f>Data!DB96</f>
        <v>-390</v>
      </c>
      <c r="DC12" s="210">
        <f>Data!DC96</f>
        <v>-386</v>
      </c>
      <c r="DD12" s="210">
        <f>Data!DD96</f>
        <v>-391</v>
      </c>
      <c r="DE12" s="366">
        <f t="shared" si="10"/>
        <v>-1555</v>
      </c>
      <c r="DF12" s="210">
        <f>Data!DF96</f>
        <v>-338</v>
      </c>
      <c r="DG12" s="210">
        <f>Data!DG96</f>
        <v>-328</v>
      </c>
      <c r="DH12" s="210">
        <f>Data!DH96</f>
        <v>-326</v>
      </c>
      <c r="DI12" s="210">
        <f>Data!DI96</f>
        <v>-334</v>
      </c>
      <c r="DJ12" s="366">
        <f t="shared" si="11"/>
        <v>-1326</v>
      </c>
      <c r="DK12" s="210">
        <f>Data!DK96</f>
        <v>-324</v>
      </c>
      <c r="DL12" s="210">
        <f>Data!DL96</f>
        <v>-312</v>
      </c>
      <c r="DM12" s="210">
        <f>Data!DM96</f>
        <v>-320</v>
      </c>
      <c r="DN12" s="73">
        <f>-IS!DN14*(1-IS!DN54)</f>
        <v>-266</v>
      </c>
      <c r="DO12" s="366">
        <f t="shared" si="12"/>
        <v>-1222</v>
      </c>
      <c r="DP12" s="73">
        <v>-265</v>
      </c>
      <c r="DQ12" s="73">
        <v>-265</v>
      </c>
      <c r="DR12" s="73">
        <v>-255</v>
      </c>
      <c r="DS12" s="73">
        <v>-262</v>
      </c>
      <c r="DT12" s="366">
        <f t="shared" si="13"/>
        <v>-1047</v>
      </c>
      <c r="DU12" s="74">
        <f>-IS!DU14*(1-IS!DU54)</f>
        <v>-972.00000000000011</v>
      </c>
      <c r="DV12" s="74">
        <f>-IS!DV14*(1-IS!DV54)</f>
        <v>-972.00000000000011</v>
      </c>
    </row>
    <row r="13" spans="2:126" s="32" customFormat="1">
      <c r="B13" s="41" t="s">
        <v>582</v>
      </c>
      <c r="C13" s="176"/>
      <c r="D13" s="176"/>
      <c r="E13" s="176"/>
      <c r="F13" s="176"/>
      <c r="G13" s="176"/>
      <c r="H13" s="176"/>
      <c r="I13" s="176"/>
      <c r="J13" s="16"/>
      <c r="K13" s="177"/>
      <c r="L13" s="177"/>
      <c r="M13" s="177"/>
      <c r="N13" s="176"/>
      <c r="O13" s="16"/>
      <c r="P13" s="177"/>
      <c r="Q13" s="177"/>
      <c r="R13" s="177"/>
      <c r="S13" s="176"/>
      <c r="T13" s="16"/>
      <c r="U13" s="16"/>
      <c r="V13" s="16"/>
      <c r="W13" s="16"/>
      <c r="X13" s="17"/>
      <c r="Y13" s="16"/>
      <c r="Z13" s="16"/>
      <c r="AA13" s="16"/>
      <c r="AB13" s="16"/>
      <c r="AC13" s="17"/>
      <c r="AD13" s="16"/>
      <c r="AE13" s="16"/>
      <c r="AF13" s="16"/>
      <c r="AG13" s="16"/>
      <c r="AH13" s="17"/>
      <c r="AI13" s="16"/>
      <c r="AJ13" s="16"/>
      <c r="AK13" s="16"/>
      <c r="AL13" s="16"/>
      <c r="AM13" s="17"/>
      <c r="AN13" s="16"/>
      <c r="AO13" s="16"/>
      <c r="AP13" s="16"/>
      <c r="AQ13" s="16"/>
      <c r="AR13" s="17"/>
      <c r="AS13" s="16"/>
      <c r="AT13" s="16"/>
      <c r="AU13" s="16"/>
      <c r="AV13" s="16"/>
      <c r="AW13" s="17"/>
      <c r="AX13" s="16"/>
      <c r="AY13" s="16"/>
      <c r="AZ13" s="16"/>
      <c r="BA13" s="198"/>
      <c r="BB13" s="17"/>
      <c r="BC13" s="198"/>
      <c r="BD13" s="16"/>
      <c r="BE13" s="16"/>
      <c r="BF13" s="198"/>
      <c r="BG13" s="17"/>
      <c r="BH13" s="198"/>
      <c r="BI13" s="16"/>
      <c r="BJ13" s="16"/>
      <c r="BK13" s="198"/>
      <c r="BL13" s="17"/>
      <c r="BM13" s="198"/>
      <c r="BN13" s="16"/>
      <c r="BO13" s="16"/>
      <c r="BP13" s="198"/>
      <c r="BQ13" s="17"/>
      <c r="BR13" s="198"/>
      <c r="BS13" s="16"/>
      <c r="BT13" s="16"/>
      <c r="BU13" s="198"/>
      <c r="BV13" s="17"/>
      <c r="BW13" s="198"/>
      <c r="BX13" s="208"/>
      <c r="BY13" s="16"/>
      <c r="BZ13" s="198"/>
      <c r="CA13" s="17"/>
      <c r="CB13" s="198"/>
      <c r="CC13" s="208"/>
      <c r="CD13" s="16"/>
      <c r="CE13" s="198"/>
      <c r="CF13" s="74"/>
      <c r="CG13" s="73"/>
      <c r="CH13" s="73"/>
      <c r="CI13" s="73"/>
      <c r="CJ13" s="73"/>
      <c r="CK13" s="366"/>
      <c r="CL13" s="210">
        <f>Data!CL97</f>
        <v>0</v>
      </c>
      <c r="CM13" s="210">
        <f>Data!CM97</f>
        <v>3183</v>
      </c>
      <c r="CN13" s="210">
        <f>Data!CN97</f>
        <v>0</v>
      </c>
      <c r="CO13" s="210">
        <f>Data!CO97</f>
        <v>0</v>
      </c>
      <c r="CP13" s="366">
        <f t="shared" si="7"/>
        <v>3183</v>
      </c>
      <c r="CQ13" s="210">
        <f>Data!CQ97</f>
        <v>0</v>
      </c>
      <c r="CR13" s="210">
        <f>Data!CR97</f>
        <v>0</v>
      </c>
      <c r="CS13" s="210">
        <f>Data!CS97</f>
        <v>0</v>
      </c>
      <c r="CT13" s="210">
        <f>Data!CT97</f>
        <v>617</v>
      </c>
      <c r="CU13" s="366">
        <f t="shared" si="8"/>
        <v>617</v>
      </c>
      <c r="CV13" s="210">
        <f>Data!CV97</f>
        <v>0</v>
      </c>
      <c r="CW13" s="210">
        <f>Data!CW97</f>
        <v>0</v>
      </c>
      <c r="CX13" s="210">
        <f>Data!CX97</f>
        <v>0</v>
      </c>
      <c r="CY13" s="210">
        <f>Data!CY97</f>
        <v>0</v>
      </c>
      <c r="CZ13" s="366">
        <f t="shared" si="9"/>
        <v>0</v>
      </c>
      <c r="DA13" s="210">
        <f>Data!DA97</f>
        <v>0</v>
      </c>
      <c r="DB13" s="210">
        <f>Data!DB97</f>
        <v>0</v>
      </c>
      <c r="DC13" s="210">
        <f>Data!DC97</f>
        <v>0</v>
      </c>
      <c r="DD13" s="210">
        <f>Data!DD97</f>
        <v>0</v>
      </c>
      <c r="DE13" s="366">
        <f t="shared" si="10"/>
        <v>0</v>
      </c>
      <c r="DF13" s="210">
        <f>Data!DF97</f>
        <v>-415</v>
      </c>
      <c r="DG13" s="210">
        <f>Data!DG97</f>
        <v>0</v>
      </c>
      <c r="DH13" s="210">
        <f>Data!DH97</f>
        <v>0</v>
      </c>
      <c r="DI13" s="210">
        <f>Data!DI97</f>
        <v>0</v>
      </c>
      <c r="DJ13" s="366">
        <f t="shared" si="11"/>
        <v>-415</v>
      </c>
      <c r="DK13" s="210">
        <f>Data!DK97</f>
        <v>0</v>
      </c>
      <c r="DL13" s="210">
        <f>Data!DL97</f>
        <v>140</v>
      </c>
      <c r="DM13" s="210">
        <f>Data!DM97</f>
        <v>128</v>
      </c>
      <c r="DN13" s="73">
        <v>0</v>
      </c>
      <c r="DO13" s="366">
        <f t="shared" si="12"/>
        <v>268</v>
      </c>
      <c r="DP13" s="73">
        <v>0</v>
      </c>
      <c r="DQ13" s="73">
        <v>0</v>
      </c>
      <c r="DR13" s="73">
        <v>0</v>
      </c>
      <c r="DS13" s="73">
        <v>0</v>
      </c>
      <c r="DT13" s="366">
        <f t="shared" si="13"/>
        <v>0</v>
      </c>
      <c r="DU13" s="74">
        <v>0</v>
      </c>
      <c r="DV13" s="74">
        <v>0</v>
      </c>
    </row>
    <row r="14" spans="2:126" s="183" customFormat="1">
      <c r="B14" s="233" t="s">
        <v>69</v>
      </c>
      <c r="C14" s="662"/>
      <c r="D14" s="662"/>
      <c r="E14" s="662"/>
      <c r="F14" s="662"/>
      <c r="G14" s="662"/>
      <c r="H14" s="662"/>
      <c r="I14" s="662"/>
      <c r="J14" s="368"/>
      <c r="K14" s="368"/>
      <c r="L14" s="368"/>
      <c r="M14" s="368"/>
      <c r="N14" s="662"/>
      <c r="O14" s="368"/>
      <c r="P14" s="368"/>
      <c r="Q14" s="368"/>
      <c r="R14" s="368"/>
      <c r="S14" s="662"/>
      <c r="T14" s="368"/>
      <c r="U14" s="368"/>
      <c r="V14" s="368"/>
      <c r="W14" s="368"/>
      <c r="X14" s="366"/>
      <c r="Y14" s="368"/>
      <c r="Z14" s="368"/>
      <c r="AA14" s="368"/>
      <c r="AB14" s="368"/>
      <c r="AC14" s="366"/>
      <c r="AD14" s="368"/>
      <c r="AE14" s="368"/>
      <c r="AF14" s="368"/>
      <c r="AG14" s="368"/>
      <c r="AH14" s="366"/>
      <c r="AI14" s="368"/>
      <c r="AJ14" s="368"/>
      <c r="AK14" s="368"/>
      <c r="AL14" s="368"/>
      <c r="AM14" s="366"/>
      <c r="AN14" s="368"/>
      <c r="AO14" s="368"/>
      <c r="AP14" s="368"/>
      <c r="AQ14" s="368"/>
      <c r="AR14" s="366"/>
      <c r="AS14" s="368"/>
      <c r="AT14" s="368"/>
      <c r="AU14" s="368"/>
      <c r="AV14" s="368"/>
      <c r="AW14" s="366"/>
      <c r="AX14" s="368"/>
      <c r="AY14" s="368"/>
      <c r="AZ14" s="368"/>
      <c r="BA14" s="453"/>
      <c r="BB14" s="671"/>
      <c r="BC14" s="676"/>
      <c r="BD14" s="676"/>
      <c r="BE14" s="676"/>
      <c r="BF14" s="676"/>
      <c r="BG14" s="671"/>
      <c r="BH14" s="676"/>
      <c r="BI14" s="676"/>
      <c r="BJ14" s="676"/>
      <c r="BK14" s="676"/>
      <c r="BL14" s="671"/>
      <c r="BM14" s="676"/>
      <c r="BN14" s="676"/>
      <c r="BO14" s="676"/>
      <c r="BP14" s="676"/>
      <c r="BQ14" s="671"/>
      <c r="BR14" s="676"/>
      <c r="BS14" s="676"/>
      <c r="BT14" s="676"/>
      <c r="BU14" s="676"/>
      <c r="BV14" s="671"/>
      <c r="BW14" s="676"/>
      <c r="BX14" s="676"/>
      <c r="BY14" s="676"/>
      <c r="BZ14" s="676"/>
      <c r="CA14" s="671"/>
      <c r="CB14" s="1"/>
      <c r="CC14" s="676"/>
      <c r="CD14" s="676"/>
      <c r="CE14" s="1"/>
      <c r="CF14" s="671">
        <f t="shared" ref="CF14:CK14" si="16">SUM(CF15:CF19)</f>
        <v>0</v>
      </c>
      <c r="CG14" s="1">
        <f t="shared" si="16"/>
        <v>0</v>
      </c>
      <c r="CH14" s="1">
        <f t="shared" si="16"/>
        <v>0</v>
      </c>
      <c r="CI14" s="1">
        <f t="shared" ref="CI14:CJ14" si="17">SUM(CI15:CI19)</f>
        <v>-336.17611721611502</v>
      </c>
      <c r="CJ14" s="1">
        <f t="shared" si="17"/>
        <v>-26520.823882783887</v>
      </c>
      <c r="CK14" s="671">
        <f t="shared" si="16"/>
        <v>-26857</v>
      </c>
      <c r="CL14" s="1">
        <f>SUM(CL15:CL20)</f>
        <v>-51</v>
      </c>
      <c r="CM14" s="1">
        <f>SUM(CM15:CM20)</f>
        <v>-334</v>
      </c>
      <c r="CN14" s="1">
        <f>SUM(CN15:CN20)</f>
        <v>647</v>
      </c>
      <c r="CO14" s="1">
        <f>SUM(CO15:CO20)</f>
        <v>549</v>
      </c>
      <c r="CP14" s="671">
        <f t="shared" ref="CP14" si="18">SUM(CP15:CP20)</f>
        <v>811</v>
      </c>
      <c r="CQ14" s="1">
        <f>SUM(CQ15:CQ20)</f>
        <v>-934</v>
      </c>
      <c r="CR14" s="1">
        <f>SUM(CR15:CR20)</f>
        <v>-499</v>
      </c>
      <c r="CS14" s="1">
        <f>SUM(CS15:CS20)</f>
        <v>95</v>
      </c>
      <c r="CT14" s="1">
        <f>SUM(CT15:CT20)</f>
        <v>1060</v>
      </c>
      <c r="CU14" s="671">
        <f t="shared" ref="CU14" si="19">SUM(CU15:CU20)</f>
        <v>-278</v>
      </c>
      <c r="CV14" s="1">
        <f>SUM(CV15:CV20)</f>
        <v>-897</v>
      </c>
      <c r="CW14" s="1">
        <f>SUM(CW15:CW20)</f>
        <v>-4</v>
      </c>
      <c r="CX14" s="1">
        <f>SUM(CX15:CX20)</f>
        <v>-781</v>
      </c>
      <c r="CY14" s="1">
        <f>SUM(CY15:CY20)</f>
        <v>2204</v>
      </c>
      <c r="CZ14" s="671">
        <f t="shared" ref="CZ14" si="20">SUM(CZ15:CZ20)</f>
        <v>522</v>
      </c>
      <c r="DA14" s="1">
        <f t="shared" ref="DA14:DE14" si="21">SUM(DA15:DA20)</f>
        <v>-2693</v>
      </c>
      <c r="DB14" s="1">
        <f>SUM(DB15:DB20)</f>
        <v>-1286</v>
      </c>
      <c r="DC14" s="1">
        <f>SUM(DC15:DC20)</f>
        <v>3446</v>
      </c>
      <c r="DD14" s="1">
        <f>SUM(DD15:DD20)</f>
        <v>2048</v>
      </c>
      <c r="DE14" s="671">
        <f t="shared" si="21"/>
        <v>1515</v>
      </c>
      <c r="DF14" s="1">
        <f t="shared" ref="DF14" si="22">SUM(DF15:DF20)</f>
        <v>-1690</v>
      </c>
      <c r="DG14" s="1">
        <f>SUM(DG15:DG20)</f>
        <v>1433</v>
      </c>
      <c r="DH14" s="1">
        <f>SUM(DH15:DH20)</f>
        <v>316</v>
      </c>
      <c r="DI14" s="1">
        <f>SUM(DI15:DI20)</f>
        <v>-1144</v>
      </c>
      <c r="DJ14" s="671">
        <f t="shared" ref="DJ14:DK14" si="23">SUM(DJ15:DJ20)</f>
        <v>-1085</v>
      </c>
      <c r="DK14" s="1">
        <f t="shared" si="23"/>
        <v>-1246</v>
      </c>
      <c r="DL14" s="1">
        <f>SUM(DL15:DL20)</f>
        <v>-2176</v>
      </c>
      <c r="DM14" s="1">
        <f>SUM(DM15:DM20)</f>
        <v>1241</v>
      </c>
      <c r="DN14" s="1">
        <f t="shared" ref="DN14:DP14" si="24">SUM(DN15:DN20)</f>
        <v>-103.31922818090425</v>
      </c>
      <c r="DO14" s="671">
        <f t="shared" si="24"/>
        <v>-2284.3192281809042</v>
      </c>
      <c r="DP14" s="1">
        <f t="shared" si="24"/>
        <v>1476.2106252136382</v>
      </c>
      <c r="DQ14" s="1">
        <f t="shared" ref="DQ14:DT14" si="25">SUM(DQ15:DQ20)</f>
        <v>-1514.6932235031181</v>
      </c>
      <c r="DR14" s="1">
        <f t="shared" si="25"/>
        <v>-1438.8055521690076</v>
      </c>
      <c r="DS14" s="1">
        <f t="shared" si="25"/>
        <v>-451.75779272365253</v>
      </c>
      <c r="DT14" s="671">
        <f t="shared" si="25"/>
        <v>-1929.04594318214</v>
      </c>
      <c r="DU14" s="671">
        <f t="shared" ref="DU14:DV14" si="26">SUM(DU15:DU20)</f>
        <v>3028.9169848618621</v>
      </c>
      <c r="DV14" s="671">
        <f t="shared" si="26"/>
        <v>-1592.9970827838843</v>
      </c>
    </row>
    <row r="15" spans="2:126" s="32" customFormat="1">
      <c r="B15" s="40" t="s">
        <v>166</v>
      </c>
      <c r="C15" s="176"/>
      <c r="D15" s="176"/>
      <c r="E15" s="176"/>
      <c r="F15" s="176"/>
      <c r="G15" s="176"/>
      <c r="H15" s="176"/>
      <c r="I15" s="176"/>
      <c r="J15" s="16"/>
      <c r="K15" s="16"/>
      <c r="L15" s="16"/>
      <c r="M15" s="177"/>
      <c r="N15" s="176"/>
      <c r="O15" s="16"/>
      <c r="P15" s="16"/>
      <c r="Q15" s="16"/>
      <c r="R15" s="177"/>
      <c r="S15" s="176"/>
      <c r="T15" s="16"/>
      <c r="U15" s="16"/>
      <c r="V15" s="16"/>
      <c r="W15" s="16"/>
      <c r="X15" s="17"/>
      <c r="Y15" s="16"/>
      <c r="Z15" s="16"/>
      <c r="AA15" s="16"/>
      <c r="AB15" s="16"/>
      <c r="AC15" s="17"/>
      <c r="AD15" s="16"/>
      <c r="AE15" s="16"/>
      <c r="AF15" s="16"/>
      <c r="AG15" s="16"/>
      <c r="AH15" s="17"/>
      <c r="AI15" s="16"/>
      <c r="AJ15" s="16"/>
      <c r="AK15" s="16"/>
      <c r="AL15" s="16"/>
      <c r="AM15" s="17"/>
      <c r="AN15" s="16"/>
      <c r="AO15" s="16"/>
      <c r="AP15" s="16"/>
      <c r="AQ15" s="16"/>
      <c r="AR15" s="17"/>
      <c r="AS15" s="16"/>
      <c r="AT15" s="16"/>
      <c r="AU15" s="16"/>
      <c r="AV15" s="16"/>
      <c r="AW15" s="17"/>
      <c r="AX15" s="16"/>
      <c r="AY15" s="16"/>
      <c r="AZ15" s="16"/>
      <c r="BA15" s="198"/>
      <c r="BB15" s="17"/>
      <c r="BC15" s="208"/>
      <c r="BD15" s="16"/>
      <c r="BE15" s="16"/>
      <c r="BF15" s="198"/>
      <c r="BG15" s="17"/>
      <c r="BH15" s="208"/>
      <c r="BI15" s="16"/>
      <c r="BJ15" s="16"/>
      <c r="BK15" s="198"/>
      <c r="BL15" s="17"/>
      <c r="BM15" s="208"/>
      <c r="BN15" s="16"/>
      <c r="BO15" s="16"/>
      <c r="BP15" s="198"/>
      <c r="BQ15" s="17"/>
      <c r="BR15" s="208"/>
      <c r="BS15" s="16"/>
      <c r="BT15" s="16"/>
      <c r="BU15" s="198"/>
      <c r="BV15" s="17"/>
      <c r="BW15" s="208"/>
      <c r="BX15" s="198"/>
      <c r="BY15" s="16"/>
      <c r="BZ15" s="198"/>
      <c r="CA15" s="17"/>
      <c r="CB15" s="208"/>
      <c r="CC15" s="198"/>
      <c r="CD15" s="16"/>
      <c r="CE15" s="198"/>
      <c r="CF15" s="74">
        <v>0</v>
      </c>
      <c r="CG15" s="73">
        <v>0</v>
      </c>
      <c r="CH15" s="73">
        <v>0</v>
      </c>
      <c r="CI15" s="687">
        <f>BS!CH8-BS!CI8</f>
        <v>-31.248461538460106</v>
      </c>
      <c r="CJ15" s="687">
        <f>BS!CI8-BS!CJ8</f>
        <v>921.24846153846011</v>
      </c>
      <c r="CK15" s="366">
        <f t="shared" ref="CK15:CK19" si="27">SUM(CG15:CJ15)</f>
        <v>890</v>
      </c>
      <c r="CL15" s="210">
        <f>Data!CL100</f>
        <v>390</v>
      </c>
      <c r="CM15" s="210">
        <f>Data!CM100</f>
        <v>773</v>
      </c>
      <c r="CN15" s="210">
        <f>Data!CN100</f>
        <v>-596</v>
      </c>
      <c r="CO15" s="210">
        <f>Data!CO100</f>
        <v>751</v>
      </c>
      <c r="CP15" s="366">
        <f t="shared" ref="CP15:CP20" si="28">SUM(CL15:CO15)</f>
        <v>1318</v>
      </c>
      <c r="CQ15" s="210">
        <f>Data!CQ100</f>
        <v>-799</v>
      </c>
      <c r="CR15" s="210">
        <f>Data!CR100</f>
        <v>1092</v>
      </c>
      <c r="CS15" s="210">
        <f>Data!CS100</f>
        <v>-690</v>
      </c>
      <c r="CT15" s="210">
        <f>Data!CT100</f>
        <v>-173</v>
      </c>
      <c r="CU15" s="366">
        <f t="shared" ref="CU15:CU20" si="29">SUM(CQ15:CT15)</f>
        <v>-570</v>
      </c>
      <c r="CV15" s="210">
        <f>Data!CV100</f>
        <v>556</v>
      </c>
      <c r="CW15" s="210">
        <f>Data!CW100</f>
        <v>-1346</v>
      </c>
      <c r="CX15" s="210">
        <f>Data!CX100</f>
        <v>1111</v>
      </c>
      <c r="CY15" s="210">
        <f>Data!CY100</f>
        <v>116</v>
      </c>
      <c r="CZ15" s="366">
        <f t="shared" ref="CZ15:CZ20" si="30">SUM(CV15:CY15)</f>
        <v>437</v>
      </c>
      <c r="DA15" s="210">
        <f>Data!DA100</f>
        <v>-962</v>
      </c>
      <c r="DB15" s="210">
        <f>Data!DB100</f>
        <v>263</v>
      </c>
      <c r="DC15" s="210">
        <f>Data!DC100</f>
        <v>-214</v>
      </c>
      <c r="DD15" s="210">
        <f>Data!DD100</f>
        <v>-892</v>
      </c>
      <c r="DE15" s="366">
        <f t="shared" ref="DE15:DE20" si="31">SUM(DA15:DD15)</f>
        <v>-1805</v>
      </c>
      <c r="DF15" s="210">
        <f>Data!DF100</f>
        <v>431</v>
      </c>
      <c r="DG15" s="210">
        <f>Data!DG100</f>
        <v>156</v>
      </c>
      <c r="DH15" s="210">
        <f>Data!DH100</f>
        <v>349</v>
      </c>
      <c r="DI15" s="210">
        <f>Data!DI100</f>
        <v>-1111</v>
      </c>
      <c r="DJ15" s="366">
        <f t="shared" ref="DJ15:DJ20" si="32">SUM(DF15:DI15)</f>
        <v>-175</v>
      </c>
      <c r="DK15" s="210">
        <f>Data!DK100</f>
        <v>-372</v>
      </c>
      <c r="DL15" s="210">
        <f>Data!DL100</f>
        <v>-765</v>
      </c>
      <c r="DM15" s="210">
        <f>Data!DM100</f>
        <v>-351</v>
      </c>
      <c r="DN15" s="687">
        <f>BS!DM8-BS!DN8</f>
        <v>-325.86508791208871</v>
      </c>
      <c r="DO15" s="366">
        <f t="shared" ref="DO15:DO20" si="33">SUM(DK15:DN15)</f>
        <v>-1813.8650879120887</v>
      </c>
      <c r="DP15" s="687">
        <f>BS!DO8-BS!DP8</f>
        <v>692.08739560439608</v>
      </c>
      <c r="DQ15" s="687">
        <f>BS!DP8-BS!DQ8</f>
        <v>-726.88393406593423</v>
      </c>
      <c r="DR15" s="687">
        <f>BS!DQ8-BS!DR8</f>
        <v>-713.11907692307614</v>
      </c>
      <c r="DS15" s="687">
        <f>BS!DR8-BS!DS8</f>
        <v>-201.76991204395745</v>
      </c>
      <c r="DT15" s="366">
        <f t="shared" ref="DT15:DT20" si="34">SUM(DP15:DS15)</f>
        <v>-949.68552742857173</v>
      </c>
      <c r="DU15" s="367">
        <f>BS!DT8-BS!DU8</f>
        <v>642.30977457134395</v>
      </c>
      <c r="DV15" s="367">
        <f>BS!DU8-BS!DV8</f>
        <v>-807.27002330823598</v>
      </c>
    </row>
    <row r="16" spans="2:126" s="32" customFormat="1">
      <c r="B16" s="40" t="s">
        <v>483</v>
      </c>
      <c r="C16" s="176"/>
      <c r="D16" s="176"/>
      <c r="E16" s="176"/>
      <c r="F16" s="176"/>
      <c r="G16" s="176"/>
      <c r="H16" s="176"/>
      <c r="I16" s="176"/>
      <c r="J16" s="16"/>
      <c r="K16" s="16"/>
      <c r="L16" s="16"/>
      <c r="M16" s="177"/>
      <c r="N16" s="176"/>
      <c r="O16" s="16"/>
      <c r="P16" s="16"/>
      <c r="Q16" s="16"/>
      <c r="R16" s="177"/>
      <c r="S16" s="176"/>
      <c r="T16" s="16"/>
      <c r="U16" s="16"/>
      <c r="V16" s="16"/>
      <c r="W16" s="16"/>
      <c r="X16" s="17"/>
      <c r="Y16" s="16"/>
      <c r="Z16" s="16"/>
      <c r="AA16" s="16"/>
      <c r="AB16" s="16"/>
      <c r="AC16" s="17"/>
      <c r="AD16" s="16"/>
      <c r="AE16" s="16"/>
      <c r="AF16" s="16"/>
      <c r="AG16" s="16"/>
      <c r="AH16" s="17"/>
      <c r="AI16" s="16"/>
      <c r="AJ16" s="16"/>
      <c r="AK16" s="16"/>
      <c r="AL16" s="16"/>
      <c r="AM16" s="17"/>
      <c r="AN16" s="16"/>
      <c r="AO16" s="16"/>
      <c r="AP16" s="16"/>
      <c r="AQ16" s="16"/>
      <c r="AR16" s="17"/>
      <c r="AS16" s="16"/>
      <c r="AT16" s="16"/>
      <c r="AU16" s="16"/>
      <c r="AV16" s="16"/>
      <c r="AW16" s="17"/>
      <c r="AX16" s="16"/>
      <c r="AY16" s="16"/>
      <c r="AZ16" s="16"/>
      <c r="BA16" s="198"/>
      <c r="BB16" s="17"/>
      <c r="BC16" s="208"/>
      <c r="BD16" s="16"/>
      <c r="BE16" s="16"/>
      <c r="BF16" s="198"/>
      <c r="BG16" s="17"/>
      <c r="BH16" s="208"/>
      <c r="BI16" s="16"/>
      <c r="BJ16" s="16"/>
      <c r="BK16" s="198"/>
      <c r="BL16" s="17"/>
      <c r="BM16" s="208"/>
      <c r="BN16" s="16"/>
      <c r="BO16" s="16"/>
      <c r="BP16" s="198"/>
      <c r="BQ16" s="17"/>
      <c r="BR16" s="208"/>
      <c r="BS16" s="16"/>
      <c r="BT16" s="16"/>
      <c r="BU16" s="198"/>
      <c r="BV16" s="17"/>
      <c r="BW16" s="208"/>
      <c r="BX16" s="198"/>
      <c r="BY16" s="16"/>
      <c r="BZ16" s="198"/>
      <c r="CA16" s="17"/>
      <c r="CB16" s="208"/>
      <c r="CC16" s="198"/>
      <c r="CD16" s="16"/>
      <c r="CE16" s="198"/>
      <c r="CF16" s="74">
        <v>0</v>
      </c>
      <c r="CG16" s="73">
        <v>0</v>
      </c>
      <c r="CH16" s="73">
        <v>0</v>
      </c>
      <c r="CI16" s="687">
        <f>BS!CH9-BS!CI9</f>
        <v>-530.79349816849572</v>
      </c>
      <c r="CJ16" s="687">
        <f>BS!CI9-BS!CJ9</f>
        <v>5037.7934981684957</v>
      </c>
      <c r="CK16" s="366">
        <f t="shared" ref="CK16" si="35">SUM(CG16:CJ16)</f>
        <v>4507</v>
      </c>
      <c r="CL16" s="210">
        <f>Data!CL101</f>
        <v>-349</v>
      </c>
      <c r="CM16" s="210">
        <f>Data!CM101</f>
        <v>725</v>
      </c>
      <c r="CN16" s="210">
        <f>Data!CN101</f>
        <v>323</v>
      </c>
      <c r="CO16" s="210">
        <f>Data!CO101</f>
        <v>-636</v>
      </c>
      <c r="CP16" s="366">
        <f t="shared" ref="CP16" si="36">SUM(CL16:CO16)</f>
        <v>63</v>
      </c>
      <c r="CQ16" s="210">
        <f>Data!CQ101</f>
        <v>-311</v>
      </c>
      <c r="CR16" s="210">
        <f>Data!CR101</f>
        <v>-246</v>
      </c>
      <c r="CS16" s="210">
        <f>Data!CS101</f>
        <v>-560</v>
      </c>
      <c r="CT16" s="210">
        <f>Data!CT101</f>
        <v>-477</v>
      </c>
      <c r="CU16" s="366">
        <f t="shared" si="29"/>
        <v>-1594</v>
      </c>
      <c r="CV16" s="210">
        <f>Data!CV101</f>
        <v>-219</v>
      </c>
      <c r="CW16" s="210">
        <f>Data!CW101</f>
        <v>-306</v>
      </c>
      <c r="CX16" s="210">
        <f>Data!CX101</f>
        <v>-474</v>
      </c>
      <c r="CY16" s="210">
        <f>Data!CY101</f>
        <v>765</v>
      </c>
      <c r="CZ16" s="366">
        <f t="shared" si="30"/>
        <v>-234</v>
      </c>
      <c r="DA16" s="210">
        <f>Data!DA101</f>
        <v>-1198</v>
      </c>
      <c r="DB16" s="210">
        <f>Data!DB101</f>
        <v>-232</v>
      </c>
      <c r="DC16" s="210">
        <f>Data!DC101</f>
        <v>267</v>
      </c>
      <c r="DD16" s="210">
        <f>Data!DD101</f>
        <v>410</v>
      </c>
      <c r="DE16" s="366">
        <f t="shared" si="31"/>
        <v>-753</v>
      </c>
      <c r="DF16" s="210">
        <f>Data!DF101</f>
        <v>-978</v>
      </c>
      <c r="DG16" s="210">
        <f>Data!DG101</f>
        <v>-479</v>
      </c>
      <c r="DH16" s="210">
        <f>Data!DH101</f>
        <v>-996</v>
      </c>
      <c r="DI16" s="210">
        <f>Data!DI101</f>
        <v>39</v>
      </c>
      <c r="DJ16" s="366">
        <f t="shared" si="32"/>
        <v>-2414</v>
      </c>
      <c r="DK16" s="210">
        <f>Data!DK101</f>
        <v>-706</v>
      </c>
      <c r="DL16" s="210">
        <f>Data!DL101</f>
        <v>-484</v>
      </c>
      <c r="DM16" s="210">
        <f>Data!DM101</f>
        <v>-934</v>
      </c>
      <c r="DN16" s="687">
        <f>BS!DM9-BS!DN9</f>
        <v>-37.606806095067441</v>
      </c>
      <c r="DO16" s="366">
        <f t="shared" si="33"/>
        <v>-2161.6068060950674</v>
      </c>
      <c r="DP16" s="687">
        <f>BS!DO9-BS!DP9</f>
        <v>1580.0604644589257</v>
      </c>
      <c r="DQ16" s="687">
        <f>BS!DP9-BS!DQ9</f>
        <v>-798.96045631257766</v>
      </c>
      <c r="DR16" s="687">
        <f>BS!DQ9-BS!DR9</f>
        <v>-735.95831526251095</v>
      </c>
      <c r="DS16" s="687">
        <f>BS!DR9-BS!DS9</f>
        <v>-253.52637230662003</v>
      </c>
      <c r="DT16" s="366">
        <f t="shared" si="34"/>
        <v>-208.38467942278294</v>
      </c>
      <c r="DU16" s="367">
        <f>BS!DT9-BS!DU9</f>
        <v>2908.2581131899842</v>
      </c>
      <c r="DV16" s="367">
        <f>BS!DU9-BS!DV9</f>
        <v>-769.90705156674449</v>
      </c>
    </row>
    <row r="17" spans="2:126" s="32" customFormat="1">
      <c r="B17" s="40" t="s">
        <v>167</v>
      </c>
      <c r="C17" s="176"/>
      <c r="D17" s="176"/>
      <c r="E17" s="176"/>
      <c r="F17" s="176"/>
      <c r="G17" s="176"/>
      <c r="H17" s="176"/>
      <c r="I17" s="176"/>
      <c r="J17" s="16"/>
      <c r="K17" s="16"/>
      <c r="L17" s="16"/>
      <c r="M17" s="177"/>
      <c r="N17" s="176"/>
      <c r="O17" s="16"/>
      <c r="P17" s="16"/>
      <c r="Q17" s="16"/>
      <c r="R17" s="177"/>
      <c r="S17" s="176"/>
      <c r="T17" s="16"/>
      <c r="U17" s="16"/>
      <c r="V17" s="16"/>
      <c r="W17" s="16"/>
      <c r="X17" s="17"/>
      <c r="Y17" s="16"/>
      <c r="Z17" s="16"/>
      <c r="AA17" s="16"/>
      <c r="AB17" s="16"/>
      <c r="AC17" s="17"/>
      <c r="AD17" s="16"/>
      <c r="AE17" s="16"/>
      <c r="AF17" s="16"/>
      <c r="AG17" s="16"/>
      <c r="AH17" s="17"/>
      <c r="AI17" s="16"/>
      <c r="AJ17" s="16"/>
      <c r="AK17" s="16"/>
      <c r="AL17" s="16"/>
      <c r="AM17" s="17"/>
      <c r="AN17" s="16"/>
      <c r="AO17" s="16"/>
      <c r="AP17" s="16"/>
      <c r="AQ17" s="16"/>
      <c r="AR17" s="17"/>
      <c r="AS17" s="16"/>
      <c r="AT17" s="16"/>
      <c r="AU17" s="16"/>
      <c r="AV17" s="16"/>
      <c r="AW17" s="17"/>
      <c r="AX17" s="16"/>
      <c r="AY17" s="16"/>
      <c r="AZ17" s="16"/>
      <c r="BA17" s="198"/>
      <c r="BB17" s="17"/>
      <c r="BC17" s="208"/>
      <c r="BD17" s="16"/>
      <c r="BE17" s="16"/>
      <c r="BF17" s="198"/>
      <c r="BG17" s="17"/>
      <c r="BH17" s="208"/>
      <c r="BI17" s="16"/>
      <c r="BJ17" s="16"/>
      <c r="BK17" s="198"/>
      <c r="BL17" s="17"/>
      <c r="BM17" s="208"/>
      <c r="BN17" s="16"/>
      <c r="BO17" s="16"/>
      <c r="BP17" s="198"/>
      <c r="BQ17" s="17"/>
      <c r="BR17" s="208"/>
      <c r="BS17" s="16"/>
      <c r="BT17" s="16"/>
      <c r="BU17" s="198"/>
      <c r="BV17" s="17"/>
      <c r="BW17" s="208"/>
      <c r="BX17" s="198"/>
      <c r="BY17" s="16"/>
      <c r="BZ17" s="198"/>
      <c r="CA17" s="17"/>
      <c r="CB17" s="208"/>
      <c r="CC17" s="198"/>
      <c r="CD17" s="16"/>
      <c r="CE17" s="198"/>
      <c r="CF17" s="74">
        <v>0</v>
      </c>
      <c r="CG17" s="73">
        <v>0</v>
      </c>
      <c r="CH17" s="73">
        <v>0</v>
      </c>
      <c r="CI17" s="687">
        <f>BS!CH10-BS!CI10</f>
        <v>54.206501831502464</v>
      </c>
      <c r="CJ17" s="687">
        <f>BS!CI10-BS!CJ10</f>
        <v>452.79349816849754</v>
      </c>
      <c r="CK17" s="366">
        <f t="shared" si="27"/>
        <v>507</v>
      </c>
      <c r="CL17" s="210">
        <f>Data!CL102</f>
        <v>-395</v>
      </c>
      <c r="CM17" s="210">
        <f>Data!CM102</f>
        <v>-155</v>
      </c>
      <c r="CN17" s="210">
        <f>Data!CN102</f>
        <v>439</v>
      </c>
      <c r="CO17" s="210">
        <f>Data!CO102</f>
        <v>523</v>
      </c>
      <c r="CP17" s="366">
        <f t="shared" si="28"/>
        <v>412</v>
      </c>
      <c r="CQ17" s="210">
        <f>Data!CQ102</f>
        <v>-113</v>
      </c>
      <c r="CR17" s="210">
        <f>Data!CR102</f>
        <v>-20</v>
      </c>
      <c r="CS17" s="210">
        <f>Data!CS102</f>
        <v>76</v>
      </c>
      <c r="CT17" s="210">
        <f>Data!CT102</f>
        <v>220</v>
      </c>
      <c r="CU17" s="366">
        <f t="shared" si="29"/>
        <v>163</v>
      </c>
      <c r="CV17" s="210">
        <f>Data!CV102</f>
        <v>-587</v>
      </c>
      <c r="CW17" s="210">
        <f>Data!CW102</f>
        <v>-446</v>
      </c>
      <c r="CX17" s="210">
        <f>Data!CX102</f>
        <v>-401</v>
      </c>
      <c r="CY17" s="210">
        <f>Data!CY102</f>
        <v>-141</v>
      </c>
      <c r="CZ17" s="366">
        <f t="shared" si="30"/>
        <v>-1575</v>
      </c>
      <c r="DA17" s="210">
        <f>Data!DA102</f>
        <v>-720</v>
      </c>
      <c r="DB17" s="210">
        <f>Data!DB102</f>
        <v>-602</v>
      </c>
      <c r="DC17" s="210">
        <f>Data!DC102</f>
        <v>-108</v>
      </c>
      <c r="DD17" s="210">
        <f>Data!DD102</f>
        <v>326</v>
      </c>
      <c r="DE17" s="366">
        <f t="shared" si="31"/>
        <v>-1104</v>
      </c>
      <c r="DF17" s="210">
        <f>Data!DF102</f>
        <v>-646</v>
      </c>
      <c r="DG17" s="210">
        <f>Data!DG102</f>
        <v>-715</v>
      </c>
      <c r="DH17" s="210">
        <f>Data!DH102</f>
        <v>-344</v>
      </c>
      <c r="DI17" s="210">
        <f>Data!DI102</f>
        <v>231</v>
      </c>
      <c r="DJ17" s="366">
        <f t="shared" si="32"/>
        <v>-1474</v>
      </c>
      <c r="DK17" s="210">
        <f>Data!DK102</f>
        <v>-813</v>
      </c>
      <c r="DL17" s="210">
        <f>Data!DL102</f>
        <v>-384</v>
      </c>
      <c r="DM17" s="210">
        <f>Data!DM102</f>
        <v>182</v>
      </c>
      <c r="DN17" s="687">
        <f>BS!DM10-BS!DN10</f>
        <v>304.31900637569925</v>
      </c>
      <c r="DO17" s="366">
        <f t="shared" si="33"/>
        <v>-710.68099362430075</v>
      </c>
      <c r="DP17" s="687">
        <f>BS!DO10-BS!DP10</f>
        <v>713.57560921625554</v>
      </c>
      <c r="DQ17" s="687">
        <f>BS!DP10-BS!DQ10</f>
        <v>-678.36265158614879</v>
      </c>
      <c r="DR17" s="687">
        <f>BS!DQ10-BS!DR10</f>
        <v>-624.87026767572024</v>
      </c>
      <c r="DS17" s="687">
        <f>BS!DR10-BS!DS10</f>
        <v>-215.25824063769687</v>
      </c>
      <c r="DT17" s="366">
        <f t="shared" si="34"/>
        <v>-804.91555068331036</v>
      </c>
      <c r="DU17" s="367">
        <f>BS!DT10-BS!DU10</f>
        <v>364.86317197974495</v>
      </c>
      <c r="DV17" s="367">
        <f>BS!DU10-BS!DV10</f>
        <v>-769.90705156674449</v>
      </c>
    </row>
    <row r="18" spans="2:126" s="32" customFormat="1">
      <c r="B18" s="40" t="s">
        <v>460</v>
      </c>
      <c r="C18" s="176"/>
      <c r="D18" s="176"/>
      <c r="E18" s="176"/>
      <c r="F18" s="176"/>
      <c r="G18" s="176"/>
      <c r="H18" s="176"/>
      <c r="I18" s="176"/>
      <c r="J18" s="16"/>
      <c r="K18" s="16"/>
      <c r="L18" s="16"/>
      <c r="M18" s="177"/>
      <c r="N18" s="176"/>
      <c r="O18" s="16"/>
      <c r="P18" s="16"/>
      <c r="Q18" s="16"/>
      <c r="R18" s="177"/>
      <c r="S18" s="176"/>
      <c r="T18" s="16"/>
      <c r="U18" s="16"/>
      <c r="V18" s="16"/>
      <c r="W18" s="16"/>
      <c r="X18" s="17"/>
      <c r="Y18" s="16"/>
      <c r="Z18" s="16"/>
      <c r="AA18" s="16"/>
      <c r="AB18" s="16"/>
      <c r="AC18" s="17"/>
      <c r="AD18" s="16"/>
      <c r="AE18" s="16"/>
      <c r="AF18" s="16"/>
      <c r="AG18" s="16"/>
      <c r="AH18" s="17"/>
      <c r="AI18" s="16"/>
      <c r="AJ18" s="16"/>
      <c r="AK18" s="16"/>
      <c r="AL18" s="16"/>
      <c r="AM18" s="17"/>
      <c r="AN18" s="16"/>
      <c r="AO18" s="16"/>
      <c r="AP18" s="16"/>
      <c r="AQ18" s="16"/>
      <c r="AR18" s="17"/>
      <c r="AS18" s="16"/>
      <c r="AT18" s="16"/>
      <c r="AU18" s="16"/>
      <c r="AV18" s="16"/>
      <c r="AW18" s="17"/>
      <c r="AX18" s="16"/>
      <c r="AY18" s="16"/>
      <c r="AZ18" s="16"/>
      <c r="BA18" s="208"/>
      <c r="BB18" s="17"/>
      <c r="BC18" s="208"/>
      <c r="BD18" s="16"/>
      <c r="BE18" s="16"/>
      <c r="BF18" s="208"/>
      <c r="BG18" s="17"/>
      <c r="BH18" s="208"/>
      <c r="BI18" s="16"/>
      <c r="BJ18" s="16"/>
      <c r="BK18" s="208"/>
      <c r="BL18" s="17"/>
      <c r="BM18" s="208"/>
      <c r="BN18" s="16"/>
      <c r="BO18" s="16"/>
      <c r="BP18" s="208"/>
      <c r="BQ18" s="17"/>
      <c r="BR18" s="208"/>
      <c r="BS18" s="16"/>
      <c r="BT18" s="16"/>
      <c r="BU18" s="447"/>
      <c r="BV18" s="17"/>
      <c r="BW18" s="208"/>
      <c r="BX18" s="208"/>
      <c r="BY18" s="16"/>
      <c r="BZ18" s="447"/>
      <c r="CA18" s="17"/>
      <c r="CB18" s="208"/>
      <c r="CC18" s="208"/>
      <c r="CD18" s="16"/>
      <c r="CE18" s="447"/>
      <c r="CF18" s="74">
        <v>0</v>
      </c>
      <c r="CG18" s="73">
        <v>0</v>
      </c>
      <c r="CH18" s="73">
        <v>0</v>
      </c>
      <c r="CI18" s="691">
        <f>BS!CH11-BS!CI11</f>
        <v>0</v>
      </c>
      <c r="CJ18" s="691">
        <f>BS!CI11-BS!CJ11</f>
        <v>-32938</v>
      </c>
      <c r="CK18" s="366">
        <f t="shared" si="27"/>
        <v>-32938</v>
      </c>
      <c r="CL18" s="210">
        <f>Data!CL103</f>
        <v>-208</v>
      </c>
      <c r="CM18" s="210">
        <f>Data!CM103</f>
        <v>28</v>
      </c>
      <c r="CN18" s="210">
        <f>Data!CN103</f>
        <v>-201</v>
      </c>
      <c r="CO18" s="210">
        <f>Data!CO103</f>
        <v>-64</v>
      </c>
      <c r="CP18" s="366">
        <f t="shared" si="28"/>
        <v>-445</v>
      </c>
      <c r="CQ18" s="210">
        <f>Data!CQ103</f>
        <v>-193</v>
      </c>
      <c r="CR18" s="210">
        <f>Data!CR103</f>
        <v>-65</v>
      </c>
      <c r="CS18" s="210">
        <f>Data!CS103</f>
        <v>-17</v>
      </c>
      <c r="CT18" s="210">
        <f>Data!CT103</f>
        <v>-291</v>
      </c>
      <c r="CU18" s="366">
        <f t="shared" si="29"/>
        <v>-566</v>
      </c>
      <c r="CV18" s="210">
        <f>Data!CV103</f>
        <v>-281</v>
      </c>
      <c r="CW18" s="210">
        <f>Data!CW103</f>
        <v>-72</v>
      </c>
      <c r="CX18" s="210">
        <f>Data!CX103</f>
        <v>-231</v>
      </c>
      <c r="CY18" s="210">
        <f>Data!CY103</f>
        <v>-443</v>
      </c>
      <c r="CZ18" s="366">
        <f t="shared" si="30"/>
        <v>-1027</v>
      </c>
      <c r="DA18" s="210">
        <f>Data!DA103</f>
        <v>-526</v>
      </c>
      <c r="DB18" s="210">
        <f>Data!DB103</f>
        <v>-108</v>
      </c>
      <c r="DC18" s="210">
        <f>Data!DC103</f>
        <v>-244</v>
      </c>
      <c r="DD18" s="210">
        <f>Data!DD103</f>
        <v>-283</v>
      </c>
      <c r="DE18" s="366">
        <f t="shared" si="31"/>
        <v>-1161</v>
      </c>
      <c r="DF18" s="210">
        <f>Data!DF103</f>
        <v>-225</v>
      </c>
      <c r="DG18" s="210">
        <f>Data!DG103</f>
        <v>442</v>
      </c>
      <c r="DH18" s="210">
        <f>Data!DH103</f>
        <v>-459</v>
      </c>
      <c r="DI18" s="210">
        <f>Data!DI103</f>
        <v>-160</v>
      </c>
      <c r="DJ18" s="366">
        <f t="shared" si="32"/>
        <v>-402</v>
      </c>
      <c r="DK18" s="210">
        <f>Data!DK103</f>
        <v>-125</v>
      </c>
      <c r="DL18" s="210">
        <f>Data!DL103</f>
        <v>25</v>
      </c>
      <c r="DM18" s="210">
        <f>Data!DM103</f>
        <v>-879</v>
      </c>
      <c r="DN18" s="691">
        <f>BS!DM11-BS!DN11</f>
        <v>0</v>
      </c>
      <c r="DO18" s="366">
        <f t="shared" si="33"/>
        <v>-979</v>
      </c>
      <c r="DP18" s="691">
        <f>BS!DO11-BS!DP11</f>
        <v>0</v>
      </c>
      <c r="DQ18" s="691">
        <f>BS!DP11-BS!DQ11</f>
        <v>0</v>
      </c>
      <c r="DR18" s="691">
        <f>BS!DQ11-BS!DR11</f>
        <v>0</v>
      </c>
      <c r="DS18" s="691">
        <f>BS!DR11-BS!DS11</f>
        <v>0</v>
      </c>
      <c r="DT18" s="366">
        <f t="shared" si="34"/>
        <v>0</v>
      </c>
      <c r="DU18" s="692">
        <f>BS!DT11-BS!DU11</f>
        <v>0</v>
      </c>
      <c r="DV18" s="692">
        <f>BS!DU11-BS!DV11</f>
        <v>0</v>
      </c>
    </row>
    <row r="19" spans="2:126" s="32" customFormat="1">
      <c r="B19" s="40" t="s">
        <v>205</v>
      </c>
      <c r="C19" s="176"/>
      <c r="D19" s="176"/>
      <c r="E19" s="176"/>
      <c r="F19" s="176"/>
      <c r="G19" s="176"/>
      <c r="H19" s="176"/>
      <c r="I19" s="176"/>
      <c r="J19" s="16"/>
      <c r="K19" s="16"/>
      <c r="L19" s="16"/>
      <c r="M19" s="177"/>
      <c r="N19" s="176"/>
      <c r="O19" s="16"/>
      <c r="P19" s="16"/>
      <c r="Q19" s="16"/>
      <c r="R19" s="177"/>
      <c r="S19" s="176"/>
      <c r="T19" s="16"/>
      <c r="U19" s="16"/>
      <c r="V19" s="16"/>
      <c r="W19" s="16"/>
      <c r="X19" s="17"/>
      <c r="Y19" s="16"/>
      <c r="Z19" s="16"/>
      <c r="AA19" s="16"/>
      <c r="AB19" s="16"/>
      <c r="AC19" s="17"/>
      <c r="AD19" s="16"/>
      <c r="AE19" s="16"/>
      <c r="AF19" s="16"/>
      <c r="AG19" s="16"/>
      <c r="AH19" s="17"/>
      <c r="AI19" s="16"/>
      <c r="AJ19" s="16"/>
      <c r="AK19" s="16"/>
      <c r="AL19" s="16"/>
      <c r="AM19" s="17"/>
      <c r="AN19" s="16"/>
      <c r="AO19" s="16"/>
      <c r="AP19" s="16"/>
      <c r="AQ19" s="16"/>
      <c r="AR19" s="17"/>
      <c r="AS19" s="16"/>
      <c r="AT19" s="16"/>
      <c r="AU19" s="16"/>
      <c r="AV19" s="16"/>
      <c r="AW19" s="17"/>
      <c r="AX19" s="16"/>
      <c r="AY19" s="16"/>
      <c r="AZ19" s="16"/>
      <c r="BA19" s="198"/>
      <c r="BB19" s="17"/>
      <c r="BC19" s="208"/>
      <c r="BD19" s="16"/>
      <c r="BE19" s="16"/>
      <c r="BF19" s="198"/>
      <c r="BG19" s="17"/>
      <c r="BH19" s="208"/>
      <c r="BI19" s="16"/>
      <c r="BJ19" s="16"/>
      <c r="BK19" s="198"/>
      <c r="BL19" s="17"/>
      <c r="BM19" s="208"/>
      <c r="BN19" s="16"/>
      <c r="BO19" s="16"/>
      <c r="BP19" s="198"/>
      <c r="BQ19" s="17"/>
      <c r="BR19" s="208"/>
      <c r="BS19" s="16"/>
      <c r="BT19" s="16"/>
      <c r="BU19" s="198"/>
      <c r="BV19" s="17"/>
      <c r="BW19" s="208"/>
      <c r="BX19" s="198"/>
      <c r="BY19" s="16"/>
      <c r="BZ19" s="198"/>
      <c r="CA19" s="17"/>
      <c r="CB19" s="208"/>
      <c r="CC19" s="198"/>
      <c r="CD19" s="16"/>
      <c r="CE19" s="198"/>
      <c r="CF19" s="74">
        <v>0</v>
      </c>
      <c r="CG19" s="73">
        <v>0</v>
      </c>
      <c r="CH19" s="73">
        <v>0</v>
      </c>
      <c r="CI19" s="687">
        <f>SUM(BS!CI24:CI27)-SUM(BS!CH24:CH27)</f>
        <v>171.65934065933834</v>
      </c>
      <c r="CJ19" s="687">
        <f>SUM(BS!CJ24:CJ27)-SUM(BS!CI24:CI27)</f>
        <v>5.3406593406616594</v>
      </c>
      <c r="CK19" s="366">
        <f t="shared" si="27"/>
        <v>177</v>
      </c>
      <c r="CL19" s="210">
        <f>Data!CL104</f>
        <v>612</v>
      </c>
      <c r="CM19" s="210">
        <f>Data!CM104</f>
        <v>-2007</v>
      </c>
      <c r="CN19" s="210">
        <f>Data!CN104</f>
        <v>529</v>
      </c>
      <c r="CO19" s="210">
        <f>Data!CO104</f>
        <v>-800</v>
      </c>
      <c r="CP19" s="366">
        <f t="shared" si="28"/>
        <v>-1666</v>
      </c>
      <c r="CQ19" s="210">
        <f>Data!CQ104</f>
        <v>538</v>
      </c>
      <c r="CR19" s="210">
        <f>Data!CR104</f>
        <v>-1271</v>
      </c>
      <c r="CS19" s="210">
        <f>Data!CS104</f>
        <v>1158</v>
      </c>
      <c r="CT19" s="210">
        <f>Data!CT104</f>
        <v>492</v>
      </c>
      <c r="CU19" s="366">
        <f t="shared" si="29"/>
        <v>917</v>
      </c>
      <c r="CV19" s="210">
        <f>Data!CV104</f>
        <v>-316</v>
      </c>
      <c r="CW19" s="210">
        <f>Data!CW104</f>
        <v>2425</v>
      </c>
      <c r="CX19" s="210">
        <f>Data!CX104</f>
        <v>-811</v>
      </c>
      <c r="CY19" s="210">
        <f>Data!CY104</f>
        <v>777</v>
      </c>
      <c r="CZ19" s="366">
        <f t="shared" si="30"/>
        <v>2075</v>
      </c>
      <c r="DA19" s="210">
        <f>Data!DA104</f>
        <v>490</v>
      </c>
      <c r="DB19" s="210">
        <f>Data!DB104</f>
        <v>-639</v>
      </c>
      <c r="DC19" s="210">
        <f>Data!DC104</f>
        <v>3571</v>
      </c>
      <c r="DD19" s="210">
        <f>Data!DD104</f>
        <v>594</v>
      </c>
      <c r="DE19" s="366">
        <f t="shared" si="31"/>
        <v>4016</v>
      </c>
      <c r="DF19" s="210">
        <f>Data!DF104</f>
        <v>-218</v>
      </c>
      <c r="DG19" s="210">
        <f>Data!DG104</f>
        <v>1463</v>
      </c>
      <c r="DH19" s="210">
        <f>Data!DH104</f>
        <v>1082</v>
      </c>
      <c r="DI19" s="210">
        <f>Data!DI104</f>
        <v>-819</v>
      </c>
      <c r="DJ19" s="366">
        <f t="shared" si="32"/>
        <v>1508</v>
      </c>
      <c r="DK19" s="210">
        <f>Data!DK104</f>
        <v>397</v>
      </c>
      <c r="DL19" s="210">
        <f>Data!DL104</f>
        <v>-538</v>
      </c>
      <c r="DM19" s="210">
        <f>Data!DM104</f>
        <v>2237</v>
      </c>
      <c r="DN19" s="687">
        <f>SUM(BS!DN24:DN27)-SUM(BS!DM24:DM27)</f>
        <v>-44.166340549447341</v>
      </c>
      <c r="DO19" s="366">
        <f t="shared" si="33"/>
        <v>2051.8336594505527</v>
      </c>
      <c r="DP19" s="687">
        <f>SUM(BS!DP24:DP27)-SUM(BS!DO24:DO27)</f>
        <v>-1509.5128440659391</v>
      </c>
      <c r="DQ19" s="687">
        <f>SUM(BS!DQ24:DQ27)-SUM(BS!DP24:DP27)</f>
        <v>689.51381846154254</v>
      </c>
      <c r="DR19" s="687">
        <f>SUM(BS!DR24:DR27)-SUM(BS!DQ24:DQ27)</f>
        <v>635.14210769229976</v>
      </c>
      <c r="DS19" s="687">
        <f>SUM(BS!DS24:DS27)-SUM(BS!DR24:DR27)</f>
        <v>218.79673226462182</v>
      </c>
      <c r="DT19" s="366">
        <f t="shared" si="34"/>
        <v>33.939814352524991</v>
      </c>
      <c r="DU19" s="367">
        <f>SUM(BS!DU24:DU27)-SUM(BS!DT24:DT27)</f>
        <v>-886.51407487921097</v>
      </c>
      <c r="DV19" s="367">
        <f>SUM(BS!DV24:DV27)-SUM(BS!DU24:DU27)</f>
        <v>754.0870436578407</v>
      </c>
    </row>
    <row r="20" spans="2:126" s="32" customFormat="1">
      <c r="B20" s="40" t="s">
        <v>586</v>
      </c>
      <c r="C20" s="176"/>
      <c r="D20" s="176"/>
      <c r="E20" s="176"/>
      <c r="F20" s="176"/>
      <c r="G20" s="176"/>
      <c r="H20" s="176"/>
      <c r="I20" s="176"/>
      <c r="J20" s="16"/>
      <c r="K20" s="16"/>
      <c r="L20" s="16"/>
      <c r="M20" s="177"/>
      <c r="N20" s="176"/>
      <c r="O20" s="16"/>
      <c r="P20" s="16"/>
      <c r="Q20" s="16"/>
      <c r="R20" s="177"/>
      <c r="S20" s="176"/>
      <c r="T20" s="16"/>
      <c r="U20" s="16"/>
      <c r="V20" s="16"/>
      <c r="W20" s="16"/>
      <c r="X20" s="17"/>
      <c r="Y20" s="16"/>
      <c r="Z20" s="16"/>
      <c r="AA20" s="16"/>
      <c r="AB20" s="16"/>
      <c r="AC20" s="17"/>
      <c r="AD20" s="16"/>
      <c r="AE20" s="16"/>
      <c r="AF20" s="16"/>
      <c r="AG20" s="16"/>
      <c r="AH20" s="17"/>
      <c r="AI20" s="16"/>
      <c r="AJ20" s="16"/>
      <c r="AK20" s="16"/>
      <c r="AL20" s="16"/>
      <c r="AM20" s="17"/>
      <c r="AN20" s="16"/>
      <c r="AO20" s="16"/>
      <c r="AP20" s="16"/>
      <c r="AQ20" s="16"/>
      <c r="AR20" s="17"/>
      <c r="AS20" s="16"/>
      <c r="AT20" s="16"/>
      <c r="AU20" s="16"/>
      <c r="AV20" s="16"/>
      <c r="AW20" s="17"/>
      <c r="AX20" s="16"/>
      <c r="AY20" s="16"/>
      <c r="AZ20" s="16"/>
      <c r="BA20" s="198"/>
      <c r="BB20" s="17"/>
      <c r="BC20" s="208"/>
      <c r="BD20" s="16"/>
      <c r="BE20" s="16"/>
      <c r="BF20" s="198"/>
      <c r="BG20" s="17"/>
      <c r="BH20" s="208"/>
      <c r="BI20" s="16"/>
      <c r="BJ20" s="16"/>
      <c r="BK20" s="198"/>
      <c r="BL20" s="17"/>
      <c r="BM20" s="208"/>
      <c r="BN20" s="16"/>
      <c r="BO20" s="16"/>
      <c r="BP20" s="198"/>
      <c r="BQ20" s="17"/>
      <c r="BR20" s="208"/>
      <c r="BS20" s="16"/>
      <c r="BT20" s="16"/>
      <c r="BU20" s="198"/>
      <c r="BV20" s="17"/>
      <c r="BW20" s="208"/>
      <c r="BX20" s="198"/>
      <c r="BY20" s="16"/>
      <c r="BZ20" s="198"/>
      <c r="CA20" s="17"/>
      <c r="CB20" s="208"/>
      <c r="CC20" s="198"/>
      <c r="CD20" s="16"/>
      <c r="CE20" s="198"/>
      <c r="CF20" s="74"/>
      <c r="CG20" s="73"/>
      <c r="CH20" s="73"/>
      <c r="CI20" s="687"/>
      <c r="CJ20" s="687"/>
      <c r="CK20" s="366"/>
      <c r="CL20" s="210">
        <f>Data!CL105</f>
        <v>-101</v>
      </c>
      <c r="CM20" s="210">
        <f>Data!CM105</f>
        <v>302</v>
      </c>
      <c r="CN20" s="210">
        <f>Data!CN105</f>
        <v>153</v>
      </c>
      <c r="CO20" s="210">
        <f>Data!CO105</f>
        <v>775</v>
      </c>
      <c r="CP20" s="366">
        <f t="shared" si="28"/>
        <v>1129</v>
      </c>
      <c r="CQ20" s="210">
        <f>Data!CQ105</f>
        <v>-56</v>
      </c>
      <c r="CR20" s="210">
        <f>Data!CR105</f>
        <v>11</v>
      </c>
      <c r="CS20" s="210">
        <f>Data!CS105</f>
        <v>128</v>
      </c>
      <c r="CT20" s="210">
        <f>Data!CT105</f>
        <v>1289</v>
      </c>
      <c r="CU20" s="366">
        <f t="shared" si="29"/>
        <v>1372</v>
      </c>
      <c r="CV20" s="210">
        <f>Data!CV105</f>
        <v>-50</v>
      </c>
      <c r="CW20" s="210">
        <f>Data!CW105</f>
        <v>-259</v>
      </c>
      <c r="CX20" s="210">
        <f>Data!CX105</f>
        <v>25</v>
      </c>
      <c r="CY20" s="210">
        <f>Data!CY105</f>
        <v>1130</v>
      </c>
      <c r="CZ20" s="366">
        <f t="shared" si="30"/>
        <v>846</v>
      </c>
      <c r="DA20" s="210">
        <f>Data!DA105</f>
        <v>223</v>
      </c>
      <c r="DB20" s="210">
        <f>Data!DB105</f>
        <v>32</v>
      </c>
      <c r="DC20" s="210">
        <f>Data!DC105</f>
        <v>174</v>
      </c>
      <c r="DD20" s="210">
        <f>Data!DD105</f>
        <v>1893</v>
      </c>
      <c r="DE20" s="366">
        <f t="shared" si="31"/>
        <v>2322</v>
      </c>
      <c r="DF20" s="210">
        <f>Data!DF105</f>
        <v>-54</v>
      </c>
      <c r="DG20" s="210">
        <f>Data!DG105</f>
        <v>566</v>
      </c>
      <c r="DH20" s="210">
        <f>Data!DH105</f>
        <v>684</v>
      </c>
      <c r="DI20" s="210">
        <f>Data!DI105</f>
        <v>676</v>
      </c>
      <c r="DJ20" s="366">
        <f t="shared" si="32"/>
        <v>1872</v>
      </c>
      <c r="DK20" s="210">
        <f>Data!DK105</f>
        <v>373</v>
      </c>
      <c r="DL20" s="210">
        <f>Data!DL105</f>
        <v>-30</v>
      </c>
      <c r="DM20" s="210">
        <f>Data!DM105</f>
        <v>986</v>
      </c>
      <c r="DN20" s="687">
        <f>BS!DM27-BS!DN27</f>
        <v>0</v>
      </c>
      <c r="DO20" s="366">
        <f t="shared" si="33"/>
        <v>1329</v>
      </c>
      <c r="DP20" s="687">
        <f>BS!DO27-BS!DP27</f>
        <v>0</v>
      </c>
      <c r="DQ20" s="687">
        <f>BS!DP27-BS!DQ27</f>
        <v>0</v>
      </c>
      <c r="DR20" s="687">
        <f>BS!DQ27-BS!DR27</f>
        <v>0</v>
      </c>
      <c r="DS20" s="687">
        <f>BS!DR27-BS!DS27</f>
        <v>0</v>
      </c>
      <c r="DT20" s="366">
        <f t="shared" si="34"/>
        <v>0</v>
      </c>
      <c r="DU20" s="367">
        <f>BS!DT27-BS!DU27</f>
        <v>0</v>
      </c>
      <c r="DV20" s="367">
        <f>BS!DU27-BS!DV27</f>
        <v>0</v>
      </c>
    </row>
    <row r="21" spans="2:126" s="32" customFormat="1">
      <c r="B21" s="41" t="s">
        <v>206</v>
      </c>
      <c r="C21" s="176"/>
      <c r="D21" s="176"/>
      <c r="E21" s="176"/>
      <c r="F21" s="176"/>
      <c r="G21" s="176"/>
      <c r="H21" s="176"/>
      <c r="I21" s="176"/>
      <c r="J21" s="16"/>
      <c r="K21" s="16"/>
      <c r="L21" s="16"/>
      <c r="M21" s="177"/>
      <c r="N21" s="176"/>
      <c r="O21" s="16"/>
      <c r="P21" s="16"/>
      <c r="Q21" s="16"/>
      <c r="R21" s="177"/>
      <c r="S21" s="176"/>
      <c r="T21" s="16"/>
      <c r="U21" s="16"/>
      <c r="V21" s="16"/>
      <c r="W21" s="16"/>
      <c r="X21" s="17"/>
      <c r="Y21" s="16"/>
      <c r="Z21" s="16"/>
      <c r="AA21" s="16"/>
      <c r="AB21" s="16"/>
      <c r="AC21" s="17"/>
      <c r="AD21" s="16"/>
      <c r="AE21" s="16"/>
      <c r="AF21" s="16"/>
      <c r="AG21" s="16"/>
      <c r="AH21" s="17"/>
      <c r="AI21" s="16"/>
      <c r="AJ21" s="16"/>
      <c r="AK21" s="16"/>
      <c r="AL21" s="16"/>
      <c r="AM21" s="17"/>
      <c r="AN21" s="16"/>
      <c r="AO21" s="16"/>
      <c r="AP21" s="16"/>
      <c r="AQ21" s="16"/>
      <c r="AR21" s="17"/>
      <c r="AS21" s="16"/>
      <c r="AT21" s="16"/>
      <c r="AU21" s="16"/>
      <c r="AV21" s="16"/>
      <c r="AW21" s="17"/>
      <c r="AX21" s="16"/>
      <c r="AY21" s="16"/>
      <c r="AZ21" s="16"/>
      <c r="BA21" s="198"/>
      <c r="BB21" s="17"/>
      <c r="BC21" s="208"/>
      <c r="BD21" s="16"/>
      <c r="BE21" s="16"/>
      <c r="BF21" s="198"/>
      <c r="BG21" s="17"/>
      <c r="BH21" s="208"/>
      <c r="BI21" s="16"/>
      <c r="BJ21" s="16"/>
      <c r="BK21" s="198"/>
      <c r="BL21" s="17"/>
      <c r="BM21" s="208"/>
      <c r="BN21" s="16"/>
      <c r="BO21" s="16"/>
      <c r="BP21" s="198"/>
      <c r="BQ21" s="17"/>
      <c r="BR21" s="208"/>
      <c r="BS21" s="16"/>
      <c r="BT21" s="16"/>
      <c r="BU21" s="198"/>
      <c r="BV21" s="17"/>
      <c r="BW21" s="208"/>
      <c r="BX21" s="198"/>
      <c r="BY21" s="16"/>
      <c r="BZ21" s="198"/>
      <c r="CA21" s="17"/>
      <c r="CB21" s="208"/>
      <c r="CC21" s="198"/>
      <c r="CD21" s="16"/>
      <c r="CE21" s="198"/>
      <c r="CF21" s="74"/>
      <c r="CG21" s="73"/>
      <c r="CH21" s="73"/>
      <c r="CI21" s="687"/>
      <c r="CJ21" s="687"/>
      <c r="CK21" s="366"/>
      <c r="CL21" s="210">
        <f>Data!CL106</f>
        <v>-8</v>
      </c>
      <c r="CM21" s="210">
        <f>Data!CM106</f>
        <v>-34</v>
      </c>
      <c r="CN21" s="210">
        <f>Data!CN106</f>
        <v>-22</v>
      </c>
      <c r="CO21" s="210">
        <f>Data!CO106</f>
        <v>-961</v>
      </c>
      <c r="CP21" s="366">
        <f t="shared" ref="CP21" si="37">SUM(CL21:CO21)</f>
        <v>-1025</v>
      </c>
      <c r="CQ21" s="210">
        <f>Data!CQ106</f>
        <v>-7</v>
      </c>
      <c r="CR21" s="210">
        <f>Data!CR106</f>
        <v>-18</v>
      </c>
      <c r="CS21" s="210">
        <f>Data!CS106</f>
        <v>-13</v>
      </c>
      <c r="CT21" s="210">
        <f>Data!CT106</f>
        <v>-21</v>
      </c>
      <c r="CU21" s="366">
        <f t="shared" ref="CU21" si="38">SUM(CQ21:CT21)</f>
        <v>-59</v>
      </c>
      <c r="CV21" s="210">
        <f>Data!CV106</f>
        <v>0</v>
      </c>
      <c r="CW21" s="210">
        <f>Data!CW106</f>
        <v>0</v>
      </c>
      <c r="CX21" s="210">
        <f>Data!CX106</f>
        <v>0</v>
      </c>
      <c r="CY21" s="210">
        <f>Data!CY106</f>
        <v>0</v>
      </c>
      <c r="CZ21" s="366">
        <f t="shared" ref="CZ21" si="39">SUM(CV21:CY21)</f>
        <v>0</v>
      </c>
      <c r="DA21" s="210">
        <f>Data!DA106</f>
        <v>0</v>
      </c>
      <c r="DB21" s="210">
        <f>Data!DB106</f>
        <v>0</v>
      </c>
      <c r="DC21" s="210">
        <f>Data!DC106</f>
        <v>0</v>
      </c>
      <c r="DD21" s="210">
        <f>Data!DD106</f>
        <v>0</v>
      </c>
      <c r="DE21" s="366">
        <f t="shared" ref="DE21" si="40">SUM(DA21:DD21)</f>
        <v>0</v>
      </c>
      <c r="DF21" s="210">
        <f>Data!DF106</f>
        <v>0</v>
      </c>
      <c r="DG21" s="210">
        <f>Data!DG106</f>
        <v>0</v>
      </c>
      <c r="DH21" s="210">
        <f>Data!DH106</f>
        <v>0</v>
      </c>
      <c r="DI21" s="210">
        <f>Data!DI106</f>
        <v>0</v>
      </c>
      <c r="DJ21" s="366">
        <f t="shared" ref="DJ21" si="41">SUM(DF21:DI21)</f>
        <v>0</v>
      </c>
      <c r="DK21" s="210">
        <f>Data!DK106</f>
        <v>0</v>
      </c>
      <c r="DL21" s="210">
        <f>Data!DL106</f>
        <v>0</v>
      </c>
      <c r="DM21" s="210">
        <f>Data!DM106</f>
        <v>0</v>
      </c>
      <c r="DN21" s="73">
        <v>0</v>
      </c>
      <c r="DO21" s="366">
        <f t="shared" ref="DO21" si="42">SUM(DK21:DN21)</f>
        <v>0</v>
      </c>
      <c r="DP21" s="73">
        <v>0</v>
      </c>
      <c r="DQ21" s="73">
        <v>0</v>
      </c>
      <c r="DR21" s="73">
        <v>0</v>
      </c>
      <c r="DS21" s="73">
        <v>0</v>
      </c>
      <c r="DT21" s="366">
        <f t="shared" ref="DT21" si="43">SUM(DP21:DS21)</f>
        <v>0</v>
      </c>
      <c r="DU21" s="74">
        <v>0</v>
      </c>
      <c r="DV21" s="74">
        <v>0</v>
      </c>
    </row>
    <row r="22" spans="2:126" s="32" customFormat="1">
      <c r="B22" s="41" t="s">
        <v>207</v>
      </c>
      <c r="C22" s="176"/>
      <c r="D22" s="176"/>
      <c r="E22" s="176"/>
      <c r="F22" s="176"/>
      <c r="G22" s="176"/>
      <c r="H22" s="176"/>
      <c r="I22" s="176"/>
      <c r="J22" s="16"/>
      <c r="K22" s="16"/>
      <c r="L22" s="16"/>
      <c r="M22" s="177"/>
      <c r="N22" s="176"/>
      <c r="O22" s="16"/>
      <c r="P22" s="16"/>
      <c r="Q22" s="16"/>
      <c r="R22" s="177"/>
      <c r="S22" s="176"/>
      <c r="T22" s="16"/>
      <c r="U22" s="16"/>
      <c r="V22" s="16"/>
      <c r="W22" s="16"/>
      <c r="X22" s="17"/>
      <c r="Y22" s="16"/>
      <c r="Z22" s="16"/>
      <c r="AA22" s="16"/>
      <c r="AB22" s="16"/>
      <c r="AC22" s="17"/>
      <c r="AD22" s="16"/>
      <c r="AE22" s="16"/>
      <c r="AF22" s="16"/>
      <c r="AG22" s="16"/>
      <c r="AH22" s="17"/>
      <c r="AI22" s="16"/>
      <c r="AJ22" s="16"/>
      <c r="AK22" s="16"/>
      <c r="AL22" s="16"/>
      <c r="AM22" s="17"/>
      <c r="AN22" s="16"/>
      <c r="AO22" s="16"/>
      <c r="AP22" s="16"/>
      <c r="AQ22" s="16"/>
      <c r="AR22" s="17"/>
      <c r="AS22" s="16"/>
      <c r="AT22" s="16"/>
      <c r="AU22" s="16"/>
      <c r="AV22" s="16"/>
      <c r="AW22" s="17"/>
      <c r="AX22" s="16"/>
      <c r="AY22" s="16"/>
      <c r="AZ22" s="16"/>
      <c r="BA22" s="198"/>
      <c r="BB22" s="17"/>
      <c r="BC22" s="198"/>
      <c r="BD22" s="16"/>
      <c r="BE22" s="16"/>
      <c r="BF22" s="198"/>
      <c r="BG22" s="17"/>
      <c r="BH22" s="198"/>
      <c r="BI22" s="16"/>
      <c r="BJ22" s="16"/>
      <c r="BK22" s="198"/>
      <c r="BL22" s="17"/>
      <c r="BM22" s="198"/>
      <c r="BN22" s="16"/>
      <c r="BO22" s="16"/>
      <c r="BP22" s="198"/>
      <c r="BQ22" s="17"/>
      <c r="BR22" s="198"/>
      <c r="BS22" s="16"/>
      <c r="BT22" s="16"/>
      <c r="BU22" s="198"/>
      <c r="BV22" s="17"/>
      <c r="BW22" s="198"/>
      <c r="BX22" s="198"/>
      <c r="BY22" s="16"/>
      <c r="BZ22" s="198"/>
      <c r="CA22" s="17"/>
      <c r="CB22" s="198"/>
      <c r="CC22" s="198"/>
      <c r="CD22" s="16"/>
      <c r="CE22" s="198"/>
      <c r="CF22" s="367">
        <f>CF23-SUM(CF7:CF11)-CF14</f>
        <v>-3298.0576280410805</v>
      </c>
      <c r="CG22" s="608">
        <f>CG23-SUM(CG7:CG11)-CG14</f>
        <v>-403.90000000000009</v>
      </c>
      <c r="CH22" s="608">
        <f>CH23-SUM(CH7:CH11)-CH14</f>
        <v>-736.60000000000036</v>
      </c>
      <c r="CI22" s="608">
        <f>CI23-SUM(CI7:CI11)-CI14</f>
        <v>-421.34388278388496</v>
      </c>
      <c r="CJ22" s="608">
        <f>CJ23-SUM(CJ7:CJ11)-CJ14</f>
        <v>26176.843882783887</v>
      </c>
      <c r="CK22" s="366">
        <f>SUM(CG22:CJ22)</f>
        <v>24615</v>
      </c>
      <c r="CL22" s="453">
        <f>Data!CL107</f>
        <v>-354</v>
      </c>
      <c r="CM22" s="210">
        <f>Data!CM107</f>
        <v>399</v>
      </c>
      <c r="CN22" s="210">
        <f>Data!CN107</f>
        <v>-216</v>
      </c>
      <c r="CO22" s="210">
        <f>Data!CO107</f>
        <v>490</v>
      </c>
      <c r="CP22" s="366">
        <f>SUM(CL22:CO22)</f>
        <v>319</v>
      </c>
      <c r="CQ22" s="210">
        <f>Data!CQ107</f>
        <v>-151</v>
      </c>
      <c r="CR22" s="453">
        <f>Data!CR107</f>
        <v>-185</v>
      </c>
      <c r="CS22" s="453">
        <f>Data!CS107</f>
        <v>-222</v>
      </c>
      <c r="CT22" s="453">
        <f>Data!CT107</f>
        <v>-222</v>
      </c>
      <c r="CU22" s="366">
        <f>SUM(CQ22:CT22)</f>
        <v>-780</v>
      </c>
      <c r="CV22" s="453">
        <f>Data!CV107</f>
        <v>91</v>
      </c>
      <c r="CW22" s="453">
        <f>Data!CW107</f>
        <v>-256</v>
      </c>
      <c r="CX22" s="453">
        <f>Data!CX107</f>
        <v>-107</v>
      </c>
      <c r="CY22" s="453">
        <f>Data!CY107</f>
        <v>139</v>
      </c>
      <c r="CZ22" s="366">
        <f>SUM(CV22:CY22)</f>
        <v>-133</v>
      </c>
      <c r="DA22" s="453">
        <f>Data!DA107</f>
        <v>-68</v>
      </c>
      <c r="DB22" s="453">
        <f>Data!DB107</f>
        <v>251</v>
      </c>
      <c r="DC22" s="453">
        <f>Data!DC107</f>
        <v>36</v>
      </c>
      <c r="DD22" s="453">
        <f>Data!DD107</f>
        <v>90</v>
      </c>
      <c r="DE22" s="366">
        <f>SUM(DA22:DD22)</f>
        <v>309</v>
      </c>
      <c r="DF22" s="453">
        <f>Data!DF107</f>
        <v>-15</v>
      </c>
      <c r="DG22" s="453">
        <f>Data!DG107</f>
        <v>-29</v>
      </c>
      <c r="DH22" s="453">
        <f>Data!DH107</f>
        <v>103</v>
      </c>
      <c r="DI22" s="453">
        <f>Data!DI107</f>
        <v>159</v>
      </c>
      <c r="DJ22" s="366">
        <f>SUM(DF22:DI22)</f>
        <v>218</v>
      </c>
      <c r="DK22" s="453">
        <f>Data!DK107</f>
        <v>20</v>
      </c>
      <c r="DL22" s="453">
        <f>Data!DL107</f>
        <v>-162</v>
      </c>
      <c r="DM22" s="453">
        <f>Data!DM107</f>
        <v>-97</v>
      </c>
      <c r="DN22" s="608">
        <f t="shared" ref="DN22" si="44">DN23-SUM(DN7:DN13)-DN14</f>
        <v>1321.9645403809041</v>
      </c>
      <c r="DO22" s="366">
        <f>SUM(DK22:DN22)</f>
        <v>1082.9645403809041</v>
      </c>
      <c r="DP22" s="608">
        <f t="shared" ref="DP22" si="45">DP23-SUM(DP7:DP13)-DP14</f>
        <v>-2614.5192584636384</v>
      </c>
      <c r="DQ22" s="608">
        <f t="shared" ref="DQ22:DS22" si="46">DQ23-SUM(DQ7:DQ13)-DQ14</f>
        <v>613.61654421311778</v>
      </c>
      <c r="DR22" s="608">
        <f t="shared" si="46"/>
        <v>1418.1239307490077</v>
      </c>
      <c r="DS22" s="608">
        <f t="shared" si="46"/>
        <v>2274.2249877394929</v>
      </c>
      <c r="DT22" s="366">
        <f>SUM(DP22:DS22)</f>
        <v>1691.4462042379801</v>
      </c>
      <c r="DU22" s="367">
        <f t="shared" ref="DU22:DV22" si="47">DU23-SUM(DU7:DU13)-DU14</f>
        <v>-2982.3012653445949</v>
      </c>
      <c r="DV22" s="367">
        <f t="shared" si="47"/>
        <v>1448.1325999101755</v>
      </c>
    </row>
    <row r="23" spans="2:126" s="32" customFormat="1" ht="12.6" customHeight="1">
      <c r="B23" s="47" t="s">
        <v>142</v>
      </c>
      <c r="C23" s="154"/>
      <c r="D23" s="154"/>
      <c r="E23" s="154"/>
      <c r="F23" s="154"/>
      <c r="G23" s="154"/>
      <c r="H23" s="154"/>
      <c r="I23" s="154"/>
      <c r="J23" s="155"/>
      <c r="K23" s="155"/>
      <c r="L23" s="155"/>
      <c r="M23" s="155"/>
      <c r="N23" s="154"/>
      <c r="O23" s="155"/>
      <c r="P23" s="155"/>
      <c r="Q23" s="155"/>
      <c r="R23" s="155"/>
      <c r="S23" s="154"/>
      <c r="T23" s="155"/>
      <c r="U23" s="155"/>
      <c r="V23" s="155"/>
      <c r="W23" s="155"/>
      <c r="X23" s="154"/>
      <c r="Y23" s="155"/>
      <c r="Z23" s="155"/>
      <c r="AA23" s="155"/>
      <c r="AB23" s="155"/>
      <c r="AC23" s="154"/>
      <c r="AD23" s="155"/>
      <c r="AE23" s="155"/>
      <c r="AF23" s="155"/>
      <c r="AG23" s="155"/>
      <c r="AH23" s="154"/>
      <c r="AI23" s="155"/>
      <c r="AJ23" s="155"/>
      <c r="AK23" s="155"/>
      <c r="AL23" s="155"/>
      <c r="AM23" s="154"/>
      <c r="AN23" s="155"/>
      <c r="AO23" s="155"/>
      <c r="AP23" s="155"/>
      <c r="AQ23" s="155"/>
      <c r="AR23" s="154"/>
      <c r="AS23" s="155"/>
      <c r="AT23" s="155"/>
      <c r="AU23" s="155"/>
      <c r="AV23" s="155"/>
      <c r="AW23" s="154"/>
      <c r="AX23" s="155"/>
      <c r="AY23" s="155"/>
      <c r="AZ23" s="155"/>
      <c r="BA23" s="155"/>
      <c r="BB23" s="154"/>
      <c r="BC23" s="155"/>
      <c r="BD23" s="155"/>
      <c r="BE23" s="155"/>
      <c r="BF23" s="155"/>
      <c r="BG23" s="154"/>
      <c r="BH23" s="155"/>
      <c r="BI23" s="155"/>
      <c r="BJ23" s="155"/>
      <c r="BK23" s="155"/>
      <c r="BL23" s="154"/>
      <c r="BM23" s="155"/>
      <c r="BN23" s="155"/>
      <c r="BO23" s="155"/>
      <c r="BP23" s="155"/>
      <c r="BQ23" s="154"/>
      <c r="BR23" s="155"/>
      <c r="BS23" s="155"/>
      <c r="BT23" s="155"/>
      <c r="BU23" s="155"/>
      <c r="BV23" s="154"/>
      <c r="BW23" s="155"/>
      <c r="BX23" s="155"/>
      <c r="BY23" s="155"/>
      <c r="BZ23" s="155"/>
      <c r="CA23" s="154"/>
      <c r="CB23" s="155"/>
      <c r="CC23" s="155"/>
      <c r="CD23" s="155"/>
      <c r="CE23" s="155"/>
      <c r="CF23" s="163">
        <v>7616</v>
      </c>
      <c r="CG23" s="162">
        <f>9575/4</f>
        <v>2393.75</v>
      </c>
      <c r="CH23" s="162">
        <f>9575/4</f>
        <v>2393.75</v>
      </c>
      <c r="CI23" s="162">
        <f>9575/4</f>
        <v>2393.75</v>
      </c>
      <c r="CJ23" s="162">
        <f>9575/4</f>
        <v>2393.75</v>
      </c>
      <c r="CK23" s="154">
        <f>SUM(CK8:CK14)+CK22+CK7</f>
        <v>9575</v>
      </c>
      <c r="CL23" s="155">
        <f>SUM(CL7:CL14,CL21:CL22)</f>
        <v>1132</v>
      </c>
      <c r="CM23" s="155">
        <f>SUM(CM7:CM14,CM21:CM22)</f>
        <v>210</v>
      </c>
      <c r="CN23" s="155">
        <f>SUM(CN7:CN14,CN21:CN22)</f>
        <v>1622</v>
      </c>
      <c r="CO23" s="155">
        <f>SUM(CO7:CO14,CO21:CO22)</f>
        <v>1370</v>
      </c>
      <c r="CP23" s="154">
        <f>SUM(CP8:CP14)+CP22+CP7+CP21</f>
        <v>4334</v>
      </c>
      <c r="CQ23" s="155">
        <f>SUM(CQ7:CQ14,CQ21:CQ22)</f>
        <v>723</v>
      </c>
      <c r="CR23" s="155">
        <f>SUM(CR7:CR14,CR21:CR22)</f>
        <v>1326</v>
      </c>
      <c r="CS23" s="155">
        <f>SUM(CS7:CS14,CS21:CS22)</f>
        <v>1932</v>
      </c>
      <c r="CT23" s="155">
        <f>SUM(CT7:CT14,CT21:CT22)</f>
        <v>3161</v>
      </c>
      <c r="CU23" s="154">
        <f>SUM(CU8:CU14)+CU22+CU7+CU21</f>
        <v>7142</v>
      </c>
      <c r="CV23" s="155">
        <f>SUM(CV7:CV14,CV21:CV22)</f>
        <v>476</v>
      </c>
      <c r="CW23" s="155">
        <f>SUM(CW7:CW14,CW21:CW22)</f>
        <v>1286</v>
      </c>
      <c r="CX23" s="155">
        <f>SUM(CX7:CX14,CX21:CX22)</f>
        <v>778</v>
      </c>
      <c r="CY23" s="155">
        <f>SUM(CY7:CY14,CY21:CY22)</f>
        <v>4628</v>
      </c>
      <c r="CZ23" s="154">
        <f>SUM(CZ8:CZ14)+CZ22+CZ7+CZ21</f>
        <v>7168</v>
      </c>
      <c r="DA23" s="155">
        <f>SUM(DA7:DA14,DA21:DA22)</f>
        <v>-863</v>
      </c>
      <c r="DB23" s="155">
        <f>SUM(DB7:DB14,DB21:DB22)</f>
        <v>719</v>
      </c>
      <c r="DC23" s="155">
        <f>SUM(DC7:DC14,DC21:DC22)</f>
        <v>3316</v>
      </c>
      <c r="DD23" s="155">
        <f>SUM(DD7:DD14,DD21:DD22)</f>
        <v>4711</v>
      </c>
      <c r="DE23" s="154">
        <f>SUM(DE8:DE14)+DE22+DE7+DE21</f>
        <v>7883</v>
      </c>
      <c r="DF23" s="155">
        <f>SUM(DF7:DF14,DF21:DF22)</f>
        <v>342</v>
      </c>
      <c r="DG23" s="155">
        <f>SUM(DG7:DG14,DG21:DG22)</f>
        <v>2733</v>
      </c>
      <c r="DH23" s="155">
        <f>SUM(DH7:DH14,DH21:DH22)</f>
        <v>2523</v>
      </c>
      <c r="DI23" s="155">
        <f>SUM(DI7:DI14,DI21:DI22)</f>
        <v>1561</v>
      </c>
      <c r="DJ23" s="154">
        <f>SUM(DJ8:DJ14)+DJ22+DJ7+DJ21</f>
        <v>7159</v>
      </c>
      <c r="DK23" s="155">
        <f>SUM(DK7:DK14,DK21:DK22)</f>
        <v>1305</v>
      </c>
      <c r="DL23" s="155">
        <f>SUM(DL7:DL14,DL21:DL22)</f>
        <v>458</v>
      </c>
      <c r="DM23" s="155">
        <f>SUM(DM7:DM14,DM21:DM22)</f>
        <v>4639</v>
      </c>
      <c r="DN23" s="162">
        <v>3728</v>
      </c>
      <c r="DO23" s="154">
        <f>SUM(DO8:DO14)+DO22+DO7+DO21</f>
        <v>10130</v>
      </c>
      <c r="DP23" s="162">
        <v>1400</v>
      </c>
      <c r="DQ23" s="162">
        <v>1800</v>
      </c>
      <c r="DR23" s="162">
        <v>2900</v>
      </c>
      <c r="DS23" s="162">
        <v>4756</v>
      </c>
      <c r="DT23" s="154">
        <f>SUM(DT8:DT14)+DT22+DT7+DT21</f>
        <v>10856</v>
      </c>
      <c r="DU23" s="163">
        <v>11996</v>
      </c>
      <c r="DV23" s="163">
        <v>12670</v>
      </c>
    </row>
    <row r="24" spans="2:126" s="32" customFormat="1">
      <c r="B24" s="41" t="s">
        <v>62</v>
      </c>
      <c r="C24" s="17"/>
      <c r="D24" s="17"/>
      <c r="E24" s="17"/>
      <c r="F24" s="17"/>
      <c r="G24" s="17"/>
      <c r="H24" s="17"/>
      <c r="I24" s="17"/>
      <c r="J24" s="16"/>
      <c r="K24" s="16"/>
      <c r="L24" s="16"/>
      <c r="M24" s="177"/>
      <c r="N24" s="17"/>
      <c r="O24" s="16"/>
      <c r="P24" s="16"/>
      <c r="Q24" s="16"/>
      <c r="R24" s="177"/>
      <c r="S24" s="17"/>
      <c r="T24" s="16"/>
      <c r="U24" s="16"/>
      <c r="V24" s="16"/>
      <c r="W24" s="16"/>
      <c r="X24" s="17"/>
      <c r="Y24" s="16"/>
      <c r="Z24" s="16"/>
      <c r="AA24" s="16"/>
      <c r="AB24" s="16"/>
      <c r="AC24" s="17"/>
      <c r="AD24" s="16"/>
      <c r="AE24" s="16"/>
      <c r="AF24" s="16"/>
      <c r="AG24" s="16"/>
      <c r="AH24" s="17"/>
      <c r="AI24" s="16"/>
      <c r="AJ24" s="16"/>
      <c r="AK24" s="16"/>
      <c r="AL24" s="16"/>
      <c r="AM24" s="17"/>
      <c r="AN24" s="16"/>
      <c r="AO24" s="16"/>
      <c r="AP24" s="16"/>
      <c r="AQ24" s="16"/>
      <c r="AR24" s="17"/>
      <c r="AS24" s="16"/>
      <c r="AT24" s="16"/>
      <c r="AU24" s="16"/>
      <c r="AV24" s="16"/>
      <c r="AW24" s="17"/>
      <c r="AX24" s="16"/>
      <c r="AY24" s="16"/>
      <c r="AZ24" s="16"/>
      <c r="BA24" s="198"/>
      <c r="BB24" s="17"/>
      <c r="BC24" s="198"/>
      <c r="BD24" s="16"/>
      <c r="BE24" s="16"/>
      <c r="BF24" s="198"/>
      <c r="BG24" s="17"/>
      <c r="BH24" s="198"/>
      <c r="BI24" s="16"/>
      <c r="BJ24" s="16"/>
      <c r="BK24" s="198"/>
      <c r="BL24" s="17"/>
      <c r="BM24" s="198"/>
      <c r="BN24" s="16"/>
      <c r="BO24" s="16"/>
      <c r="BP24" s="198"/>
      <c r="BQ24" s="17"/>
      <c r="BR24" s="198"/>
      <c r="BS24" s="16"/>
      <c r="BT24" s="16"/>
      <c r="BU24" s="198"/>
      <c r="BV24" s="17"/>
      <c r="BW24" s="198"/>
      <c r="BX24" s="198"/>
      <c r="BY24" s="16"/>
      <c r="BZ24" s="198"/>
      <c r="CA24" s="17"/>
      <c r="CB24" s="198"/>
      <c r="CC24" s="198"/>
      <c r="CD24" s="16"/>
      <c r="CE24" s="198"/>
      <c r="CF24" s="74">
        <f>-1715-821</f>
        <v>-2536</v>
      </c>
      <c r="CG24" s="355">
        <f>-1868/4-284</f>
        <v>-751</v>
      </c>
      <c r="CH24" s="355">
        <f>-1868/4-179</f>
        <v>-646</v>
      </c>
      <c r="CI24" s="355">
        <f>-1868/4-236</f>
        <v>-703</v>
      </c>
      <c r="CJ24" s="355">
        <f>-1868/4-308</f>
        <v>-775</v>
      </c>
      <c r="CK24" s="366">
        <f>SUM(CG24:CJ24)</f>
        <v>-2875</v>
      </c>
      <c r="CL24" s="453">
        <f>Data!CL109</f>
        <v>-325</v>
      </c>
      <c r="CM24" s="453">
        <f>Data!CM109</f>
        <v>-458</v>
      </c>
      <c r="CN24" s="453">
        <f>Data!CN109</f>
        <v>-389</v>
      </c>
      <c r="CO24" s="453">
        <f>Data!CO109</f>
        <v>-623</v>
      </c>
      <c r="CP24" s="366">
        <f t="shared" ref="CP24:CP29" si="48">SUM(CL24:CO24)</f>
        <v>-1795</v>
      </c>
      <c r="CQ24" s="453">
        <f>Data!CQ109</f>
        <v>-387</v>
      </c>
      <c r="CR24" s="453">
        <f>Data!CR109</f>
        <v>-360</v>
      </c>
      <c r="CS24" s="453">
        <f>Data!CS109</f>
        <v>-433</v>
      </c>
      <c r="CT24" s="453">
        <f>Data!CT109</f>
        <v>-954</v>
      </c>
      <c r="CU24" s="366">
        <f t="shared" ref="CU24:CU29" si="49">SUM(CQ24:CT24)</f>
        <v>-2134</v>
      </c>
      <c r="CV24" s="453">
        <f>Data!CV109</f>
        <v>-439</v>
      </c>
      <c r="CW24" s="453">
        <f>Data!CW109</f>
        <v>-479</v>
      </c>
      <c r="CX24" s="453">
        <f>Data!CX109</f>
        <v>-515</v>
      </c>
      <c r="CY24" s="453">
        <f>Data!CY109</f>
        <v>-855</v>
      </c>
      <c r="CZ24" s="366">
        <f t="shared" ref="CZ24:CZ29" si="50">SUM(CV24:CY24)</f>
        <v>-2288</v>
      </c>
      <c r="DA24" s="453">
        <f>Data!DA109</f>
        <v>-520</v>
      </c>
      <c r="DB24" s="453">
        <f>Data!DB109</f>
        <v>-526</v>
      </c>
      <c r="DC24" s="453">
        <f>Data!DC109</f>
        <v>-564</v>
      </c>
      <c r="DD24" s="453">
        <f>Data!DD109</f>
        <v>-805</v>
      </c>
      <c r="DE24" s="366">
        <f t="shared" ref="DE24:DE29" si="51">SUM(DA24:DD24)</f>
        <v>-2415</v>
      </c>
      <c r="DF24" s="453">
        <f>Data!DF109</f>
        <v>-467</v>
      </c>
      <c r="DG24" s="453">
        <f>Data!DG109</f>
        <v>-537</v>
      </c>
      <c r="DH24" s="453">
        <f>Data!DH109</f>
        <v>-552</v>
      </c>
      <c r="DI24" s="453">
        <f>Data!DI109</f>
        <v>-1069</v>
      </c>
      <c r="DJ24" s="366">
        <f t="shared" ref="DJ24:DJ29" si="52">SUM(DF24:DI24)</f>
        <v>-2625</v>
      </c>
      <c r="DK24" s="453">
        <f>Data!DK109</f>
        <v>-513</v>
      </c>
      <c r="DL24" s="453">
        <f>Data!DL109</f>
        <v>-530</v>
      </c>
      <c r="DM24" s="453">
        <f>Data!DM109</f>
        <v>-614</v>
      </c>
      <c r="DN24" s="355">
        <v>-950</v>
      </c>
      <c r="DO24" s="366">
        <f t="shared" ref="DO24:DO29" si="53">SUM(DK24:DN24)</f>
        <v>-2607</v>
      </c>
      <c r="DP24" s="355">
        <v>-550</v>
      </c>
      <c r="DQ24" s="355">
        <v>-580</v>
      </c>
      <c r="DR24" s="355">
        <v>-650</v>
      </c>
      <c r="DS24" s="355">
        <v>-940</v>
      </c>
      <c r="DT24" s="366">
        <f t="shared" ref="DT24:DT29" si="54">SUM(DP24:DS24)</f>
        <v>-2720</v>
      </c>
      <c r="DU24" s="74">
        <v>-2850</v>
      </c>
      <c r="DV24" s="74">
        <v>-2875</v>
      </c>
    </row>
    <row r="25" spans="2:126" s="32" customFormat="1" ht="12.6" customHeight="1">
      <c r="B25" s="41" t="s">
        <v>228</v>
      </c>
      <c r="C25" s="17"/>
      <c r="D25" s="17"/>
      <c r="E25" s="17"/>
      <c r="F25" s="17"/>
      <c r="G25" s="17"/>
      <c r="H25" s="17"/>
      <c r="I25" s="17"/>
      <c r="J25" s="16"/>
      <c r="K25" s="16"/>
      <c r="L25" s="16"/>
      <c r="M25" s="177"/>
      <c r="N25" s="17"/>
      <c r="O25" s="16"/>
      <c r="P25" s="16"/>
      <c r="Q25" s="16"/>
      <c r="R25" s="177"/>
      <c r="S25" s="17"/>
      <c r="T25" s="16"/>
      <c r="U25" s="16"/>
      <c r="V25" s="16"/>
      <c r="W25" s="16"/>
      <c r="X25" s="17"/>
      <c r="Y25" s="16"/>
      <c r="Z25" s="16"/>
      <c r="AA25" s="16"/>
      <c r="AB25" s="16"/>
      <c r="AC25" s="17"/>
      <c r="AD25" s="16"/>
      <c r="AE25" s="16"/>
      <c r="AF25" s="16"/>
      <c r="AG25" s="16"/>
      <c r="AH25" s="17"/>
      <c r="AI25" s="16"/>
      <c r="AJ25" s="16"/>
      <c r="AK25" s="16"/>
      <c r="AL25" s="16"/>
      <c r="AM25" s="17"/>
      <c r="AN25" s="16"/>
      <c r="AO25" s="16"/>
      <c r="AP25" s="16"/>
      <c r="AQ25" s="16"/>
      <c r="AR25" s="17"/>
      <c r="AS25" s="16"/>
      <c r="AT25" s="16"/>
      <c r="AU25" s="16"/>
      <c r="AV25" s="16"/>
      <c r="AW25" s="17"/>
      <c r="AX25" s="16"/>
      <c r="AY25" s="16"/>
      <c r="AZ25" s="16"/>
      <c r="BA25" s="198"/>
      <c r="BB25" s="17"/>
      <c r="BC25" s="198"/>
      <c r="BD25" s="16"/>
      <c r="BE25" s="16"/>
      <c r="BF25" s="198"/>
      <c r="BG25" s="17"/>
      <c r="BH25" s="198"/>
      <c r="BI25" s="16"/>
      <c r="BJ25" s="16"/>
      <c r="BK25" s="198"/>
      <c r="BL25" s="17"/>
      <c r="BM25" s="198"/>
      <c r="BN25" s="16"/>
      <c r="BO25" s="16"/>
      <c r="BP25" s="198"/>
      <c r="BQ25" s="17"/>
      <c r="BR25" s="198"/>
      <c r="BS25" s="16"/>
      <c r="BT25" s="16"/>
      <c r="BU25" s="198"/>
      <c r="BV25" s="17"/>
      <c r="BW25" s="198"/>
      <c r="BX25" s="198"/>
      <c r="BY25" s="16"/>
      <c r="BZ25" s="198"/>
      <c r="CA25" s="17"/>
      <c r="CB25" s="198"/>
      <c r="CC25" s="198"/>
      <c r="CD25" s="16"/>
      <c r="CE25" s="198"/>
      <c r="CF25" s="366">
        <f>SUM(CB25:CE25)</f>
        <v>0</v>
      </c>
      <c r="CG25" s="355">
        <v>0</v>
      </c>
      <c r="CH25" s="355">
        <v>0</v>
      </c>
      <c r="CI25" s="355">
        <v>0</v>
      </c>
      <c r="CJ25" s="355">
        <v>0</v>
      </c>
      <c r="CK25" s="366">
        <f>SUM(CG25:CJ25)</f>
        <v>0</v>
      </c>
      <c r="CL25" s="453">
        <f>Data!CL110</f>
        <v>-2575</v>
      </c>
      <c r="CM25" s="453">
        <f>Data!CM110</f>
        <v>234</v>
      </c>
      <c r="CN25" s="453">
        <f>Data!CN110</f>
        <v>2341</v>
      </c>
      <c r="CO25" s="453">
        <f>Data!CO110</f>
        <v>-419</v>
      </c>
      <c r="CP25" s="366">
        <f t="shared" si="48"/>
        <v>-419</v>
      </c>
      <c r="CQ25" s="453">
        <f>Data!CQ110</f>
        <v>-6</v>
      </c>
      <c r="CR25" s="453">
        <f>Data!CR110</f>
        <v>25</v>
      </c>
      <c r="CS25" s="453">
        <f>Data!CS110</f>
        <v>0</v>
      </c>
      <c r="CT25" s="453">
        <f>Data!CT110</f>
        <v>-277</v>
      </c>
      <c r="CU25" s="366">
        <f t="shared" si="49"/>
        <v>-258</v>
      </c>
      <c r="CV25" s="453">
        <f>Data!CV110</f>
        <v>0</v>
      </c>
      <c r="CW25" s="453">
        <f>Data!CW110</f>
        <v>0</v>
      </c>
      <c r="CX25" s="453">
        <f>Data!CX110</f>
        <v>-60</v>
      </c>
      <c r="CY25" s="453">
        <f>Data!CY110</f>
        <v>0</v>
      </c>
      <c r="CZ25" s="366">
        <f t="shared" si="50"/>
        <v>-60</v>
      </c>
      <c r="DA25" s="453">
        <f>Data!DA110</f>
        <v>0</v>
      </c>
      <c r="DB25" s="453">
        <f>Data!DB110</f>
        <v>0</v>
      </c>
      <c r="DC25" s="453">
        <f>Data!DC110</f>
        <v>6</v>
      </c>
      <c r="DD25" s="453">
        <f>Data!DD110</f>
        <v>0</v>
      </c>
      <c r="DE25" s="366">
        <f t="shared" si="51"/>
        <v>6</v>
      </c>
      <c r="DF25" s="453">
        <f>Data!DF110</f>
        <v>1283</v>
      </c>
      <c r="DG25" s="453">
        <f>Data!DG110</f>
        <v>0</v>
      </c>
      <c r="DH25" s="453">
        <f>Data!DH110</f>
        <v>0</v>
      </c>
      <c r="DI25" s="453">
        <f>Data!DI110</f>
        <v>512</v>
      </c>
      <c r="DJ25" s="366">
        <f t="shared" si="52"/>
        <v>1795</v>
      </c>
      <c r="DK25" s="453">
        <f>Data!DK110</f>
        <v>0</v>
      </c>
      <c r="DL25" s="453">
        <f>Data!DL110</f>
        <v>0</v>
      </c>
      <c r="DM25" s="453">
        <f>Data!DM110</f>
        <v>1188</v>
      </c>
      <c r="DN25" s="355">
        <v>765</v>
      </c>
      <c r="DO25" s="366">
        <f t="shared" si="53"/>
        <v>1953</v>
      </c>
      <c r="DP25" s="355">
        <v>0</v>
      </c>
      <c r="DQ25" s="355">
        <v>0</v>
      </c>
      <c r="DR25" s="355">
        <v>0</v>
      </c>
      <c r="DS25" s="355">
        <v>0</v>
      </c>
      <c r="DT25" s="366">
        <f t="shared" si="54"/>
        <v>0</v>
      </c>
      <c r="DU25" s="74">
        <v>0</v>
      </c>
      <c r="DV25" s="74">
        <v>0</v>
      </c>
    </row>
    <row r="26" spans="2:126" s="32" customFormat="1" ht="12.6" customHeight="1">
      <c r="B26" s="41" t="s">
        <v>588</v>
      </c>
      <c r="C26" s="17"/>
      <c r="D26" s="17"/>
      <c r="E26" s="17"/>
      <c r="F26" s="17"/>
      <c r="G26" s="17"/>
      <c r="H26" s="17"/>
      <c r="I26" s="17"/>
      <c r="J26" s="16"/>
      <c r="K26" s="16"/>
      <c r="L26" s="16"/>
      <c r="M26" s="177"/>
      <c r="N26" s="17"/>
      <c r="O26" s="16"/>
      <c r="P26" s="16"/>
      <c r="Q26" s="16"/>
      <c r="R26" s="177"/>
      <c r="S26" s="17"/>
      <c r="T26" s="16"/>
      <c r="U26" s="16"/>
      <c r="V26" s="16"/>
      <c r="W26" s="16"/>
      <c r="X26" s="17"/>
      <c r="Y26" s="16"/>
      <c r="Z26" s="16"/>
      <c r="AA26" s="16"/>
      <c r="AB26" s="16"/>
      <c r="AC26" s="17"/>
      <c r="AD26" s="16"/>
      <c r="AE26" s="16"/>
      <c r="AF26" s="16"/>
      <c r="AG26" s="16"/>
      <c r="AH26" s="17"/>
      <c r="AI26" s="16"/>
      <c r="AJ26" s="16"/>
      <c r="AK26" s="16"/>
      <c r="AL26" s="16"/>
      <c r="AM26" s="17"/>
      <c r="AN26" s="16"/>
      <c r="AO26" s="16"/>
      <c r="AP26" s="16"/>
      <c r="AQ26" s="16"/>
      <c r="AR26" s="17"/>
      <c r="AS26" s="16"/>
      <c r="AT26" s="16"/>
      <c r="AU26" s="16"/>
      <c r="AV26" s="16"/>
      <c r="AW26" s="17"/>
      <c r="AX26" s="16"/>
      <c r="AY26" s="16"/>
      <c r="AZ26" s="16"/>
      <c r="BA26" s="198"/>
      <c r="BB26" s="17"/>
      <c r="BC26" s="198"/>
      <c r="BD26" s="16"/>
      <c r="BE26" s="16"/>
      <c r="BF26" s="198"/>
      <c r="BG26" s="17"/>
      <c r="BH26" s="198"/>
      <c r="BI26" s="16"/>
      <c r="BJ26" s="16"/>
      <c r="BK26" s="198"/>
      <c r="BL26" s="17"/>
      <c r="BM26" s="198"/>
      <c r="BN26" s="16"/>
      <c r="BO26" s="16"/>
      <c r="BP26" s="198"/>
      <c r="BQ26" s="17"/>
      <c r="BR26" s="198"/>
      <c r="BS26" s="16"/>
      <c r="BT26" s="16"/>
      <c r="BU26" s="198"/>
      <c r="BV26" s="17"/>
      <c r="BW26" s="198"/>
      <c r="BX26" s="198"/>
      <c r="BY26" s="16"/>
      <c r="BZ26" s="198"/>
      <c r="CA26" s="17"/>
      <c r="CB26" s="198"/>
      <c r="CC26" s="198"/>
      <c r="CD26" s="16"/>
      <c r="CE26" s="198"/>
      <c r="CF26" s="366">
        <f>SUM(CB26:CE26)</f>
        <v>0</v>
      </c>
      <c r="CG26" s="355">
        <v>-173</v>
      </c>
      <c r="CH26" s="355">
        <v>4</v>
      </c>
      <c r="CI26" s="355">
        <v>-275</v>
      </c>
      <c r="CJ26" s="355">
        <v>-214</v>
      </c>
      <c r="CK26" s="366">
        <f>SUM(CG26:CJ26)</f>
        <v>-658</v>
      </c>
      <c r="CL26" s="453">
        <f>Data!CL111</f>
        <v>-88</v>
      </c>
      <c r="CM26" s="453">
        <f>Data!CM111</f>
        <v>-41</v>
      </c>
      <c r="CN26" s="453">
        <f>Data!CN111</f>
        <v>-9</v>
      </c>
      <c r="CO26" s="453">
        <f>Data!CO111</f>
        <v>226</v>
      </c>
      <c r="CP26" s="366">
        <f t="shared" si="48"/>
        <v>88</v>
      </c>
      <c r="CQ26" s="453">
        <f>Data!CQ111</f>
        <v>-81</v>
      </c>
      <c r="CR26" s="453">
        <f>Data!CR111</f>
        <v>-21</v>
      </c>
      <c r="CS26" s="453">
        <f>Data!CS111</f>
        <v>126</v>
      </c>
      <c r="CT26" s="453">
        <f>Data!CT111</f>
        <v>134</v>
      </c>
      <c r="CU26" s="366">
        <f t="shared" si="49"/>
        <v>158</v>
      </c>
      <c r="CV26" s="453">
        <f>Data!CV111</f>
        <v>-19</v>
      </c>
      <c r="CW26" s="453">
        <f>Data!CW111</f>
        <v>12</v>
      </c>
      <c r="CX26" s="453">
        <f>Data!CX111</f>
        <v>32</v>
      </c>
      <c r="CY26" s="453">
        <f>Data!CY111</f>
        <v>53</v>
      </c>
      <c r="CZ26" s="366">
        <f t="shared" si="50"/>
        <v>78</v>
      </c>
      <c r="DA26" s="453">
        <f>Data!DA111</f>
        <v>28</v>
      </c>
      <c r="DB26" s="453">
        <f>Data!DB111</f>
        <v>14</v>
      </c>
      <c r="DC26" s="453">
        <f>Data!DC111</f>
        <v>-1</v>
      </c>
      <c r="DD26" s="453">
        <f>Data!DD111</f>
        <v>88</v>
      </c>
      <c r="DE26" s="366">
        <f t="shared" si="51"/>
        <v>129</v>
      </c>
      <c r="DF26" s="453">
        <f>Data!DF111</f>
        <v>0</v>
      </c>
      <c r="DG26" s="453">
        <f>Data!DG111</f>
        <v>0</v>
      </c>
      <c r="DH26" s="453">
        <f>Data!DH111</f>
        <v>0</v>
      </c>
      <c r="DI26" s="453">
        <f>Data!DI111</f>
        <v>0</v>
      </c>
      <c r="DJ26" s="366">
        <f t="shared" si="52"/>
        <v>0</v>
      </c>
      <c r="DK26" s="453">
        <f>Data!DK111</f>
        <v>0</v>
      </c>
      <c r="DL26" s="453">
        <f>Data!DL111</f>
        <v>0</v>
      </c>
      <c r="DM26" s="453">
        <f>Data!DM111</f>
        <v>0</v>
      </c>
      <c r="DN26" s="355">
        <v>0</v>
      </c>
      <c r="DO26" s="366">
        <f t="shared" si="53"/>
        <v>0</v>
      </c>
      <c r="DP26" s="355">
        <v>0</v>
      </c>
      <c r="DQ26" s="355">
        <v>0</v>
      </c>
      <c r="DR26" s="355">
        <v>0</v>
      </c>
      <c r="DS26" s="355">
        <v>0</v>
      </c>
      <c r="DT26" s="366">
        <f t="shared" si="54"/>
        <v>0</v>
      </c>
      <c r="DU26" s="74">
        <v>0</v>
      </c>
      <c r="DV26" s="74">
        <v>0</v>
      </c>
    </row>
    <row r="27" spans="2:126" s="32" customFormat="1" ht="12.6" customHeight="1">
      <c r="B27" s="41" t="s">
        <v>589</v>
      </c>
      <c r="C27" s="17"/>
      <c r="D27" s="17"/>
      <c r="E27" s="17"/>
      <c r="F27" s="17"/>
      <c r="G27" s="17"/>
      <c r="H27" s="17"/>
      <c r="I27" s="17"/>
      <c r="J27" s="16"/>
      <c r="K27" s="16"/>
      <c r="L27" s="16"/>
      <c r="M27" s="177"/>
      <c r="N27" s="17"/>
      <c r="O27" s="16"/>
      <c r="P27" s="16"/>
      <c r="Q27" s="16"/>
      <c r="R27" s="177"/>
      <c r="S27" s="17"/>
      <c r="T27" s="16"/>
      <c r="U27" s="16"/>
      <c r="V27" s="16"/>
      <c r="W27" s="16"/>
      <c r="X27" s="17"/>
      <c r="Y27" s="16"/>
      <c r="Z27" s="16"/>
      <c r="AA27" s="16"/>
      <c r="AB27" s="16"/>
      <c r="AC27" s="17"/>
      <c r="AD27" s="16"/>
      <c r="AE27" s="16"/>
      <c r="AF27" s="16"/>
      <c r="AG27" s="16"/>
      <c r="AH27" s="17"/>
      <c r="AI27" s="16"/>
      <c r="AJ27" s="16"/>
      <c r="AK27" s="16"/>
      <c r="AL27" s="16"/>
      <c r="AM27" s="17"/>
      <c r="AN27" s="16"/>
      <c r="AO27" s="16"/>
      <c r="AP27" s="16"/>
      <c r="AQ27" s="16"/>
      <c r="AR27" s="17"/>
      <c r="AS27" s="16"/>
      <c r="AT27" s="16"/>
      <c r="AU27" s="16"/>
      <c r="AV27" s="16"/>
      <c r="AW27" s="17"/>
      <c r="AX27" s="16"/>
      <c r="AY27" s="16"/>
      <c r="AZ27" s="16"/>
      <c r="BA27" s="198"/>
      <c r="BB27" s="17"/>
      <c r="BC27" s="198"/>
      <c r="BD27" s="16"/>
      <c r="BE27" s="16"/>
      <c r="BF27" s="198"/>
      <c r="BG27" s="17"/>
      <c r="BH27" s="198"/>
      <c r="BI27" s="16"/>
      <c r="BJ27" s="16"/>
      <c r="BK27" s="198"/>
      <c r="BL27" s="17"/>
      <c r="BM27" s="198"/>
      <c r="BN27" s="16"/>
      <c r="BO27" s="16"/>
      <c r="BP27" s="198"/>
      <c r="BQ27" s="17"/>
      <c r="BR27" s="198"/>
      <c r="BS27" s="16"/>
      <c r="BT27" s="16"/>
      <c r="BU27" s="198"/>
      <c r="BV27" s="17"/>
      <c r="BW27" s="198"/>
      <c r="BX27" s="198"/>
      <c r="BY27" s="16"/>
      <c r="BZ27" s="198"/>
      <c r="CA27" s="17"/>
      <c r="CB27" s="198"/>
      <c r="CC27" s="198"/>
      <c r="CD27" s="16"/>
      <c r="CE27" s="198"/>
      <c r="CF27" s="366"/>
      <c r="CG27" s="355"/>
      <c r="CH27" s="355"/>
      <c r="CI27" s="355"/>
      <c r="CJ27" s="355"/>
      <c r="CK27" s="366"/>
      <c r="CL27" s="453">
        <f>Data!CL112</f>
        <v>-78</v>
      </c>
      <c r="CM27" s="453">
        <f>Data!CM112</f>
        <v>-28</v>
      </c>
      <c r="CN27" s="453">
        <f>Data!CN112</f>
        <v>-30</v>
      </c>
      <c r="CO27" s="453">
        <f>Data!CO112</f>
        <v>-36</v>
      </c>
      <c r="CP27" s="366">
        <f t="shared" si="48"/>
        <v>-172</v>
      </c>
      <c r="CQ27" s="453">
        <f>Data!CQ112</f>
        <v>-32</v>
      </c>
      <c r="CR27" s="453">
        <f>Data!CR112</f>
        <v>-28</v>
      </c>
      <c r="CS27" s="453">
        <f>Data!CS112</f>
        <v>-78</v>
      </c>
      <c r="CT27" s="453">
        <f>Data!CT112</f>
        <v>-50</v>
      </c>
      <c r="CU27" s="366">
        <f t="shared" si="49"/>
        <v>-188</v>
      </c>
      <c r="CV27" s="453">
        <f>Data!CV112</f>
        <v>-50</v>
      </c>
      <c r="CW27" s="453">
        <f>Data!CW112</f>
        <v>-41</v>
      </c>
      <c r="CX27" s="453">
        <f>Data!CX112</f>
        <v>-78</v>
      </c>
      <c r="CY27" s="453">
        <f>Data!CY112</f>
        <v>-49</v>
      </c>
      <c r="CZ27" s="366">
        <f t="shared" si="50"/>
        <v>-218</v>
      </c>
      <c r="DA27" s="453">
        <f>Data!DA112</f>
        <v>-154</v>
      </c>
      <c r="DB27" s="453">
        <f>Data!DB112</f>
        <v>-160</v>
      </c>
      <c r="DC27" s="453">
        <f>Data!DC112</f>
        <v>-222</v>
      </c>
      <c r="DD27" s="453">
        <f>Data!DD112</f>
        <v>-34</v>
      </c>
      <c r="DE27" s="366">
        <f t="shared" si="51"/>
        <v>-570</v>
      </c>
      <c r="DF27" s="453">
        <f>Data!DF112</f>
        <v>-163</v>
      </c>
      <c r="DG27" s="453">
        <f>Data!DG112</f>
        <v>-155</v>
      </c>
      <c r="DH27" s="453">
        <f>Data!DH112</f>
        <v>-129</v>
      </c>
      <c r="DI27" s="453">
        <f>Data!DI112</f>
        <v>-164</v>
      </c>
      <c r="DJ27" s="366">
        <f t="shared" si="52"/>
        <v>-611</v>
      </c>
      <c r="DK27" s="453">
        <f>Data!DK112</f>
        <v>-104</v>
      </c>
      <c r="DL27" s="453">
        <f>Data!DL112</f>
        <v>-122</v>
      </c>
      <c r="DM27" s="453">
        <f>Data!DM112</f>
        <v>-121</v>
      </c>
      <c r="DN27" s="355">
        <v>0</v>
      </c>
      <c r="DO27" s="366">
        <f t="shared" si="53"/>
        <v>-347</v>
      </c>
      <c r="DP27" s="355">
        <v>0</v>
      </c>
      <c r="DQ27" s="355">
        <v>0</v>
      </c>
      <c r="DR27" s="355">
        <v>0</v>
      </c>
      <c r="DS27" s="355">
        <v>0</v>
      </c>
      <c r="DT27" s="366">
        <f t="shared" si="54"/>
        <v>0</v>
      </c>
      <c r="DU27" s="74">
        <v>0</v>
      </c>
      <c r="DV27" s="74">
        <v>0</v>
      </c>
    </row>
    <row r="28" spans="2:126" s="32" customFormat="1" ht="12.6" customHeight="1">
      <c r="B28" s="41" t="s">
        <v>593</v>
      </c>
      <c r="C28" s="17"/>
      <c r="D28" s="17"/>
      <c r="E28" s="17"/>
      <c r="F28" s="17"/>
      <c r="G28" s="17"/>
      <c r="H28" s="17"/>
      <c r="I28" s="17"/>
      <c r="J28" s="16"/>
      <c r="K28" s="16"/>
      <c r="L28" s="16"/>
      <c r="M28" s="177"/>
      <c r="N28" s="17"/>
      <c r="O28" s="16"/>
      <c r="P28" s="16"/>
      <c r="Q28" s="16"/>
      <c r="R28" s="177"/>
      <c r="S28" s="17"/>
      <c r="T28" s="16"/>
      <c r="U28" s="16"/>
      <c r="V28" s="16"/>
      <c r="W28" s="16"/>
      <c r="X28" s="17"/>
      <c r="Y28" s="16"/>
      <c r="Z28" s="16"/>
      <c r="AA28" s="16"/>
      <c r="AB28" s="16"/>
      <c r="AC28" s="17"/>
      <c r="AD28" s="16"/>
      <c r="AE28" s="16"/>
      <c r="AF28" s="16"/>
      <c r="AG28" s="16"/>
      <c r="AH28" s="17"/>
      <c r="AI28" s="16"/>
      <c r="AJ28" s="16"/>
      <c r="AK28" s="16"/>
      <c r="AL28" s="16"/>
      <c r="AM28" s="17"/>
      <c r="AN28" s="16"/>
      <c r="AO28" s="16"/>
      <c r="AP28" s="16"/>
      <c r="AQ28" s="16"/>
      <c r="AR28" s="17"/>
      <c r="AS28" s="16"/>
      <c r="AT28" s="16"/>
      <c r="AU28" s="16"/>
      <c r="AV28" s="16"/>
      <c r="AW28" s="17"/>
      <c r="AX28" s="16"/>
      <c r="AY28" s="16"/>
      <c r="AZ28" s="16"/>
      <c r="BA28" s="198"/>
      <c r="BB28" s="17"/>
      <c r="BC28" s="198"/>
      <c r="BD28" s="16"/>
      <c r="BE28" s="16"/>
      <c r="BF28" s="198"/>
      <c r="BG28" s="17"/>
      <c r="BH28" s="198"/>
      <c r="BI28" s="16"/>
      <c r="BJ28" s="16"/>
      <c r="BK28" s="198"/>
      <c r="BL28" s="17"/>
      <c r="BM28" s="198"/>
      <c r="BN28" s="16"/>
      <c r="BO28" s="16"/>
      <c r="BP28" s="198"/>
      <c r="BQ28" s="17"/>
      <c r="BR28" s="198"/>
      <c r="BS28" s="16"/>
      <c r="BT28" s="16"/>
      <c r="BU28" s="198"/>
      <c r="BV28" s="17"/>
      <c r="BW28" s="198"/>
      <c r="BX28" s="198"/>
      <c r="BY28" s="16"/>
      <c r="BZ28" s="198"/>
      <c r="CA28" s="17"/>
      <c r="CB28" s="198"/>
      <c r="CC28" s="198"/>
      <c r="CD28" s="16"/>
      <c r="CE28" s="198"/>
      <c r="CF28" s="366"/>
      <c r="CG28" s="355"/>
      <c r="CH28" s="355"/>
      <c r="CI28" s="355"/>
      <c r="CJ28" s="355"/>
      <c r="CK28" s="366"/>
      <c r="CL28" s="453">
        <f>Data!CL113</f>
        <v>-524</v>
      </c>
      <c r="CM28" s="453">
        <f>Data!CM113</f>
        <v>238</v>
      </c>
      <c r="CN28" s="453">
        <f>Data!CN113</f>
        <v>171</v>
      </c>
      <c r="CO28" s="453">
        <f>Data!CO113</f>
        <v>83</v>
      </c>
      <c r="CP28" s="366">
        <f t="shared" si="48"/>
        <v>-32</v>
      </c>
      <c r="CQ28" s="453">
        <f>Data!CQ113</f>
        <v>49</v>
      </c>
      <c r="CR28" s="453">
        <f>Data!CR113</f>
        <v>1</v>
      </c>
      <c r="CS28" s="453">
        <f>Data!CS113</f>
        <v>-8</v>
      </c>
      <c r="CT28" s="453">
        <f>Data!CT113</f>
        <v>-58</v>
      </c>
      <c r="CU28" s="366">
        <f t="shared" si="49"/>
        <v>-16</v>
      </c>
      <c r="CV28" s="453">
        <f>Data!CV113</f>
        <v>-33</v>
      </c>
      <c r="CW28" s="453">
        <f>Data!CW113</f>
        <v>-118</v>
      </c>
      <c r="CX28" s="453">
        <f>Data!CX113</f>
        <v>-108</v>
      </c>
      <c r="CY28" s="453">
        <f>Data!CY113</f>
        <v>-169</v>
      </c>
      <c r="CZ28" s="366">
        <f t="shared" si="50"/>
        <v>-428</v>
      </c>
      <c r="DA28" s="453">
        <f>Data!DA113</f>
        <v>-13</v>
      </c>
      <c r="DB28" s="453">
        <f>Data!DB113</f>
        <v>58</v>
      </c>
      <c r="DC28" s="453">
        <f>Data!DC113</f>
        <v>-63</v>
      </c>
      <c r="DD28" s="453">
        <f>Data!DD113</f>
        <v>-215</v>
      </c>
      <c r="DE28" s="366">
        <f t="shared" si="51"/>
        <v>-233</v>
      </c>
      <c r="DF28" s="453">
        <f>Data!DF113</f>
        <v>-1</v>
      </c>
      <c r="DG28" s="453">
        <f>Data!DG113</f>
        <v>-28</v>
      </c>
      <c r="DH28" s="453">
        <f>Data!DH113</f>
        <v>32</v>
      </c>
      <c r="DI28" s="453">
        <f>Data!DI113</f>
        <v>-145</v>
      </c>
      <c r="DJ28" s="366">
        <f t="shared" si="52"/>
        <v>-142</v>
      </c>
      <c r="DK28" s="453">
        <f>Data!DK113</f>
        <v>-47</v>
      </c>
      <c r="DL28" s="453">
        <f>Data!DL113</f>
        <v>192</v>
      </c>
      <c r="DM28" s="453">
        <f>Data!DM113</f>
        <v>42</v>
      </c>
      <c r="DN28" s="355">
        <v>0</v>
      </c>
      <c r="DO28" s="366">
        <f t="shared" si="53"/>
        <v>187</v>
      </c>
      <c r="DP28" s="355">
        <v>0</v>
      </c>
      <c r="DQ28" s="355">
        <v>0</v>
      </c>
      <c r="DR28" s="355">
        <v>0</v>
      </c>
      <c r="DS28" s="355">
        <v>0</v>
      </c>
      <c r="DT28" s="366">
        <f t="shared" si="54"/>
        <v>0</v>
      </c>
      <c r="DU28" s="74">
        <v>0</v>
      </c>
      <c r="DV28" s="74">
        <v>0</v>
      </c>
    </row>
    <row r="29" spans="2:126" s="32" customFormat="1" ht="12.6" customHeight="1">
      <c r="B29" s="41" t="s">
        <v>327</v>
      </c>
      <c r="C29" s="17"/>
      <c r="D29" s="17"/>
      <c r="E29" s="17"/>
      <c r="F29" s="17"/>
      <c r="G29" s="17"/>
      <c r="H29" s="17"/>
      <c r="I29" s="17"/>
      <c r="J29" s="16"/>
      <c r="K29" s="16"/>
      <c r="L29" s="16"/>
      <c r="M29" s="177"/>
      <c r="N29" s="17"/>
      <c r="O29" s="16"/>
      <c r="P29" s="16"/>
      <c r="Q29" s="16"/>
      <c r="R29" s="177"/>
      <c r="S29" s="17"/>
      <c r="T29" s="16"/>
      <c r="U29" s="16"/>
      <c r="V29" s="16"/>
      <c r="W29" s="16"/>
      <c r="X29" s="17"/>
      <c r="Y29" s="16"/>
      <c r="Z29" s="16"/>
      <c r="AA29" s="16"/>
      <c r="AB29" s="16"/>
      <c r="AC29" s="17"/>
      <c r="AD29" s="16"/>
      <c r="AE29" s="16"/>
      <c r="AF29" s="16"/>
      <c r="AG29" s="16"/>
      <c r="AH29" s="17"/>
      <c r="AI29" s="16"/>
      <c r="AJ29" s="16"/>
      <c r="AK29" s="16"/>
      <c r="AL29" s="16"/>
      <c r="AM29" s="17"/>
      <c r="AN29" s="16"/>
      <c r="AO29" s="16"/>
      <c r="AP29" s="16"/>
      <c r="AQ29" s="16"/>
      <c r="AR29" s="17"/>
      <c r="AS29" s="16"/>
      <c r="AT29" s="16"/>
      <c r="AU29" s="16"/>
      <c r="AV29" s="16"/>
      <c r="AW29" s="17"/>
      <c r="AX29" s="16"/>
      <c r="AY29" s="16"/>
      <c r="AZ29" s="16"/>
      <c r="BA29" s="198"/>
      <c r="BB29" s="17"/>
      <c r="BC29" s="198"/>
      <c r="BD29" s="16"/>
      <c r="BE29" s="16"/>
      <c r="BF29" s="198"/>
      <c r="BG29" s="17"/>
      <c r="BH29" s="198"/>
      <c r="BI29" s="16"/>
      <c r="BJ29" s="16"/>
      <c r="BK29" s="198"/>
      <c r="BL29" s="17"/>
      <c r="BM29" s="198"/>
      <c r="BN29" s="16"/>
      <c r="BO29" s="16"/>
      <c r="BP29" s="198"/>
      <c r="BQ29" s="17"/>
      <c r="BR29" s="198"/>
      <c r="BS29" s="16"/>
      <c r="BT29" s="16"/>
      <c r="BU29" s="198"/>
      <c r="BV29" s="17"/>
      <c r="BW29" s="198"/>
      <c r="BX29" s="198"/>
      <c r="BY29" s="16"/>
      <c r="BZ29" s="198"/>
      <c r="CA29" s="17"/>
      <c r="CB29" s="198"/>
      <c r="CC29" s="198"/>
      <c r="CD29" s="16"/>
      <c r="CE29" s="198"/>
      <c r="CF29" s="74">
        <v>-400</v>
      </c>
      <c r="CG29" s="355">
        <v>-100</v>
      </c>
      <c r="CH29" s="355">
        <v>-100</v>
      </c>
      <c r="CI29" s="355">
        <v>-100</v>
      </c>
      <c r="CJ29" s="355">
        <v>-100</v>
      </c>
      <c r="CK29" s="366">
        <f>SUM(CG29:CJ29)</f>
        <v>-400</v>
      </c>
      <c r="CL29" s="453">
        <f>Data!CL114</f>
        <v>2550</v>
      </c>
      <c r="CM29" s="453">
        <f>Data!CM114</f>
        <v>3151</v>
      </c>
      <c r="CN29" s="453">
        <f>Data!CN114</f>
        <v>12</v>
      </c>
      <c r="CO29" s="453">
        <f>Data!CO114</f>
        <v>-40</v>
      </c>
      <c r="CP29" s="366">
        <f t="shared" si="48"/>
        <v>5673</v>
      </c>
      <c r="CQ29" s="453">
        <f>Data!CQ114</f>
        <v>1039</v>
      </c>
      <c r="CR29" s="453">
        <f>Data!CR114</f>
        <v>40</v>
      </c>
      <c r="CS29" s="453">
        <f>Data!CS114</f>
        <v>15</v>
      </c>
      <c r="CT29" s="453">
        <f>Data!CT114</f>
        <v>-20</v>
      </c>
      <c r="CU29" s="366">
        <f t="shared" si="49"/>
        <v>1074</v>
      </c>
      <c r="CV29" s="453">
        <f>Data!CV114</f>
        <v>23</v>
      </c>
      <c r="CW29" s="453">
        <f>Data!CW114</f>
        <v>8</v>
      </c>
      <c r="CX29" s="453">
        <f>Data!CX114</f>
        <v>-26</v>
      </c>
      <c r="CY29" s="453">
        <f>Data!CY114</f>
        <v>82</v>
      </c>
      <c r="CZ29" s="366">
        <f t="shared" si="50"/>
        <v>87</v>
      </c>
      <c r="DA29" s="453">
        <f>Data!DA114</f>
        <v>80</v>
      </c>
      <c r="DB29" s="453">
        <f>Data!DB114</f>
        <v>-9</v>
      </c>
      <c r="DC29" s="453">
        <f>Data!DC114</f>
        <v>-15</v>
      </c>
      <c r="DD29" s="453">
        <f>Data!DD114</f>
        <v>-12</v>
      </c>
      <c r="DE29" s="366">
        <f t="shared" si="51"/>
        <v>44</v>
      </c>
      <c r="DF29" s="453">
        <f>Data!DF114</f>
        <v>41</v>
      </c>
      <c r="DG29" s="453">
        <f>Data!DG114</f>
        <v>-13</v>
      </c>
      <c r="DH29" s="453">
        <f>Data!DH114</f>
        <v>-66</v>
      </c>
      <c r="DI29" s="453">
        <f>Data!DI114</f>
        <v>87</v>
      </c>
      <c r="DJ29" s="366">
        <f t="shared" si="52"/>
        <v>49</v>
      </c>
      <c r="DK29" s="453">
        <f>Data!DK114</f>
        <v>-14</v>
      </c>
      <c r="DL29" s="453">
        <f>Data!DL114</f>
        <v>-49</v>
      </c>
      <c r="DM29" s="453">
        <f>Data!DM114</f>
        <v>-24</v>
      </c>
      <c r="DN29" s="355">
        <v>0</v>
      </c>
      <c r="DO29" s="366">
        <f t="shared" si="53"/>
        <v>-87</v>
      </c>
      <c r="DP29" s="355">
        <v>0</v>
      </c>
      <c r="DQ29" s="355">
        <v>0</v>
      </c>
      <c r="DR29" s="355">
        <v>0</v>
      </c>
      <c r="DS29" s="355">
        <v>0</v>
      </c>
      <c r="DT29" s="366">
        <f t="shared" si="54"/>
        <v>0</v>
      </c>
      <c r="DU29" s="74">
        <v>0</v>
      </c>
      <c r="DV29" s="74">
        <v>0</v>
      </c>
    </row>
    <row r="30" spans="2:126" s="32" customFormat="1" ht="12.6" customHeight="1">
      <c r="B30" s="47" t="s">
        <v>144</v>
      </c>
      <c r="C30" s="154"/>
      <c r="D30" s="154"/>
      <c r="E30" s="154"/>
      <c r="F30" s="154"/>
      <c r="G30" s="154"/>
      <c r="H30" s="154"/>
      <c r="I30" s="154"/>
      <c r="J30" s="155"/>
      <c r="K30" s="155"/>
      <c r="L30" s="155"/>
      <c r="M30" s="155"/>
      <c r="N30" s="154"/>
      <c r="O30" s="155"/>
      <c r="P30" s="155"/>
      <c r="Q30" s="155"/>
      <c r="R30" s="155"/>
      <c r="S30" s="154"/>
      <c r="T30" s="155"/>
      <c r="U30" s="155"/>
      <c r="V30" s="155"/>
      <c r="W30" s="155"/>
      <c r="X30" s="154"/>
      <c r="Y30" s="155"/>
      <c r="Z30" s="155"/>
      <c r="AA30" s="155"/>
      <c r="AB30" s="155"/>
      <c r="AC30" s="154"/>
      <c r="AD30" s="155"/>
      <c r="AE30" s="155"/>
      <c r="AF30" s="155"/>
      <c r="AG30" s="155"/>
      <c r="AH30" s="154"/>
      <c r="AI30" s="155"/>
      <c r="AJ30" s="155"/>
      <c r="AK30" s="155"/>
      <c r="AL30" s="155"/>
      <c r="AM30" s="154"/>
      <c r="AN30" s="155"/>
      <c r="AO30" s="155"/>
      <c r="AP30" s="155"/>
      <c r="AQ30" s="155"/>
      <c r="AR30" s="154"/>
      <c r="AS30" s="155"/>
      <c r="AT30" s="155"/>
      <c r="AU30" s="155"/>
      <c r="AV30" s="155"/>
      <c r="AW30" s="154"/>
      <c r="AX30" s="155"/>
      <c r="AY30" s="155"/>
      <c r="AZ30" s="155"/>
      <c r="BA30" s="155"/>
      <c r="BB30" s="154"/>
      <c r="BC30" s="155"/>
      <c r="BD30" s="155"/>
      <c r="BE30" s="155"/>
      <c r="BF30" s="155"/>
      <c r="BG30" s="154"/>
      <c r="BH30" s="155"/>
      <c r="BI30" s="155"/>
      <c r="BJ30" s="155"/>
      <c r="BK30" s="155"/>
      <c r="BL30" s="154"/>
      <c r="BM30" s="155"/>
      <c r="BN30" s="155"/>
      <c r="BO30" s="155"/>
      <c r="BP30" s="155"/>
      <c r="BQ30" s="154"/>
      <c r="BR30" s="155"/>
      <c r="BS30" s="155"/>
      <c r="BT30" s="155"/>
      <c r="BU30" s="155"/>
      <c r="BV30" s="154"/>
      <c r="BW30" s="155"/>
      <c r="BX30" s="155"/>
      <c r="BY30" s="155"/>
      <c r="BZ30" s="155"/>
      <c r="CA30" s="154"/>
      <c r="CB30" s="155"/>
      <c r="CC30" s="155"/>
      <c r="CD30" s="155"/>
      <c r="CE30" s="155"/>
      <c r="CF30" s="154">
        <f t="shared" ref="CF30:CQ30" si="55">SUM(CF24:CF29)</f>
        <v>-2936</v>
      </c>
      <c r="CG30" s="155">
        <f t="shared" si="55"/>
        <v>-1024</v>
      </c>
      <c r="CH30" s="155">
        <f t="shared" si="55"/>
        <v>-742</v>
      </c>
      <c r="CI30" s="155">
        <f t="shared" si="55"/>
        <v>-1078</v>
      </c>
      <c r="CJ30" s="155">
        <f t="shared" si="55"/>
        <v>-1089</v>
      </c>
      <c r="CK30" s="154">
        <f t="shared" si="55"/>
        <v>-3933</v>
      </c>
      <c r="CL30" s="155">
        <f t="shared" ref="CL30" si="56">SUM(CL24:CL29)</f>
        <v>-1040</v>
      </c>
      <c r="CM30" s="155">
        <f t="shared" si="55"/>
        <v>3096</v>
      </c>
      <c r="CN30" s="155">
        <f t="shared" ref="CN30:CO30" si="57">SUM(CN24:CN29)</f>
        <v>2096</v>
      </c>
      <c r="CO30" s="155">
        <f t="shared" si="57"/>
        <v>-809</v>
      </c>
      <c r="CP30" s="154">
        <f t="shared" si="55"/>
        <v>3343</v>
      </c>
      <c r="CQ30" s="155">
        <f t="shared" si="55"/>
        <v>582</v>
      </c>
      <c r="CR30" s="155">
        <f t="shared" ref="CR30" si="58">SUM(CR24:CR29)</f>
        <v>-343</v>
      </c>
      <c r="CS30" s="155">
        <f t="shared" ref="CS30:CT30" si="59">SUM(CS24:CS29)</f>
        <v>-378</v>
      </c>
      <c r="CT30" s="155">
        <f t="shared" si="59"/>
        <v>-1225</v>
      </c>
      <c r="CU30" s="154">
        <f t="shared" ref="CU30:CV30" si="60">SUM(CU24:CU29)</f>
        <v>-1364</v>
      </c>
      <c r="CV30" s="155">
        <f t="shared" si="60"/>
        <v>-518</v>
      </c>
      <c r="CW30" s="155">
        <f t="shared" ref="CW30:CX30" si="61">SUM(CW24:CW29)</f>
        <v>-618</v>
      </c>
      <c r="CX30" s="155">
        <f t="shared" si="61"/>
        <v>-755</v>
      </c>
      <c r="CY30" s="155">
        <f t="shared" ref="CY30" si="62">SUM(CY24:CY29)</f>
        <v>-938</v>
      </c>
      <c r="CZ30" s="154">
        <f t="shared" ref="CZ30" si="63">SUM(CZ24:CZ29)</f>
        <v>-2829</v>
      </c>
      <c r="DA30" s="155">
        <f t="shared" ref="DA30:DE30" si="64">SUM(DA24:DA29)</f>
        <v>-579</v>
      </c>
      <c r="DB30" s="155">
        <f t="shared" si="64"/>
        <v>-623</v>
      </c>
      <c r="DC30" s="155">
        <f t="shared" si="64"/>
        <v>-859</v>
      </c>
      <c r="DD30" s="155">
        <f t="shared" si="64"/>
        <v>-978</v>
      </c>
      <c r="DE30" s="154">
        <f t="shared" si="64"/>
        <v>-3039</v>
      </c>
      <c r="DF30" s="155">
        <f t="shared" ref="DF30:DI30" si="65">SUM(DF24:DF29)</f>
        <v>693</v>
      </c>
      <c r="DG30" s="155">
        <f t="shared" si="65"/>
        <v>-733</v>
      </c>
      <c r="DH30" s="155">
        <f t="shared" si="65"/>
        <v>-715</v>
      </c>
      <c r="DI30" s="155">
        <f t="shared" si="65"/>
        <v>-779</v>
      </c>
      <c r="DJ30" s="154">
        <f t="shared" ref="DJ30:DM30" si="66">SUM(DJ24:DJ29)</f>
        <v>-1534</v>
      </c>
      <c r="DK30" s="155">
        <f t="shared" si="66"/>
        <v>-678</v>
      </c>
      <c r="DL30" s="155">
        <f t="shared" si="66"/>
        <v>-509</v>
      </c>
      <c r="DM30" s="155">
        <f t="shared" si="66"/>
        <v>471</v>
      </c>
      <c r="DN30" s="155">
        <f t="shared" ref="DN30:DP30" si="67">SUM(DN24:DN29)</f>
        <v>-185</v>
      </c>
      <c r="DO30" s="154">
        <f t="shared" si="67"/>
        <v>-901</v>
      </c>
      <c r="DP30" s="155">
        <f t="shared" si="67"/>
        <v>-550</v>
      </c>
      <c r="DQ30" s="155">
        <f t="shared" ref="DQ30:DT30" si="68">SUM(DQ24:DQ29)</f>
        <v>-580</v>
      </c>
      <c r="DR30" s="155">
        <f t="shared" si="68"/>
        <v>-650</v>
      </c>
      <c r="DS30" s="155">
        <f t="shared" si="68"/>
        <v>-940</v>
      </c>
      <c r="DT30" s="154">
        <f t="shared" si="68"/>
        <v>-2720</v>
      </c>
      <c r="DU30" s="154">
        <f t="shared" ref="DU30:DV30" si="69">SUM(DU24:DU29)</f>
        <v>-2850</v>
      </c>
      <c r="DV30" s="154">
        <f t="shared" si="69"/>
        <v>-2875</v>
      </c>
    </row>
    <row r="31" spans="2:126" s="32" customFormat="1" ht="12.6" customHeight="1">
      <c r="B31" s="41" t="s">
        <v>591</v>
      </c>
      <c r="C31" s="17"/>
      <c r="D31" s="17"/>
      <c r="E31" s="17"/>
      <c r="F31" s="17"/>
      <c r="G31" s="17"/>
      <c r="H31" s="17"/>
      <c r="I31" s="17"/>
      <c r="J31" s="16"/>
      <c r="K31" s="16"/>
      <c r="L31" s="16"/>
      <c r="M31" s="177"/>
      <c r="N31" s="17"/>
      <c r="O31" s="16"/>
      <c r="P31" s="16"/>
      <c r="Q31" s="16"/>
      <c r="R31" s="177"/>
      <c r="S31" s="17"/>
      <c r="T31" s="16"/>
      <c r="U31" s="16"/>
      <c r="V31" s="16"/>
      <c r="W31" s="16"/>
      <c r="X31" s="17"/>
      <c r="Y31" s="16"/>
      <c r="Z31" s="16"/>
      <c r="AA31" s="16"/>
      <c r="AB31" s="16"/>
      <c r="AC31" s="17"/>
      <c r="AD31" s="16"/>
      <c r="AE31" s="16"/>
      <c r="AF31" s="16"/>
      <c r="AG31" s="16"/>
      <c r="AH31" s="17"/>
      <c r="AI31" s="16"/>
      <c r="AJ31" s="16"/>
      <c r="AK31" s="16"/>
      <c r="AL31" s="16"/>
      <c r="AM31" s="17"/>
      <c r="AN31" s="16"/>
      <c r="AO31" s="16"/>
      <c r="AP31" s="16"/>
      <c r="AQ31" s="16"/>
      <c r="AR31" s="17"/>
      <c r="AS31" s="16"/>
      <c r="AT31" s="16"/>
      <c r="AU31" s="16"/>
      <c r="AV31" s="16"/>
      <c r="AW31" s="17"/>
      <c r="AX31" s="16"/>
      <c r="AY31" s="16"/>
      <c r="AZ31" s="16"/>
      <c r="BA31" s="198"/>
      <c r="BB31" s="17"/>
      <c r="BC31" s="198"/>
      <c r="BD31" s="16"/>
      <c r="BE31" s="16"/>
      <c r="BF31" s="198"/>
      <c r="BG31" s="17"/>
      <c r="BH31" s="198"/>
      <c r="BI31" s="16"/>
      <c r="BJ31" s="16"/>
      <c r="BK31" s="198"/>
      <c r="BL31" s="17"/>
      <c r="BM31" s="198"/>
      <c r="BN31" s="16"/>
      <c r="BO31" s="16"/>
      <c r="BP31" s="198"/>
      <c r="BQ31" s="17"/>
      <c r="BR31" s="198"/>
      <c r="BS31" s="16"/>
      <c r="BT31" s="16"/>
      <c r="BU31" s="198"/>
      <c r="BV31" s="17"/>
      <c r="BW31" s="198"/>
      <c r="BX31" s="198"/>
      <c r="BY31" s="16"/>
      <c r="BZ31" s="198"/>
      <c r="CA31" s="17"/>
      <c r="CB31" s="198"/>
      <c r="CC31" s="198"/>
      <c r="CD31" s="16"/>
      <c r="CE31" s="198"/>
      <c r="CF31" s="366">
        <f t="shared" ref="CF31:CF32" si="70">SUM(CB31:CE31)</f>
        <v>0</v>
      </c>
      <c r="CG31" s="355">
        <v>0</v>
      </c>
      <c r="CH31" s="355">
        <v>0</v>
      </c>
      <c r="CI31" s="355">
        <v>-629</v>
      </c>
      <c r="CJ31" s="355">
        <v>-2104</v>
      </c>
      <c r="CK31" s="366">
        <f t="shared" ref="CK31:CK36" si="71">SUM(CG31:CJ31)</f>
        <v>-2733</v>
      </c>
      <c r="CL31" s="453">
        <f>Data!CL116</f>
        <v>-13810</v>
      </c>
      <c r="CM31" s="453">
        <f>Data!CM116</f>
        <v>756</v>
      </c>
      <c r="CN31" s="453">
        <f>Data!CN116</f>
        <v>1</v>
      </c>
      <c r="CO31" s="453">
        <f>Data!CO116</f>
        <v>-1025</v>
      </c>
      <c r="CP31" s="366">
        <f t="shared" ref="CP31:CP36" si="72">SUM(CL31:CO31)</f>
        <v>-14078</v>
      </c>
      <c r="CQ31" s="453">
        <f>Data!CQ116</f>
        <v>-286</v>
      </c>
      <c r="CR31" s="453">
        <f>Data!CR116</f>
        <v>-21</v>
      </c>
      <c r="CS31" s="453">
        <f>Data!CS116</f>
        <v>-259</v>
      </c>
      <c r="CT31" s="453">
        <f>Data!CT116</f>
        <v>334</v>
      </c>
      <c r="CU31" s="366">
        <f t="shared" ref="CU31:CU36" si="73">SUM(CQ31:CT31)</f>
        <v>-232</v>
      </c>
      <c r="CV31" s="453">
        <f>Data!CV116</f>
        <v>0</v>
      </c>
      <c r="CW31" s="453">
        <f>Data!CW116</f>
        <v>-2</v>
      </c>
      <c r="CX31" s="453">
        <f>Data!CX116</f>
        <v>0</v>
      </c>
      <c r="CY31" s="453">
        <f>Data!CY116</f>
        <v>0</v>
      </c>
      <c r="CZ31" s="366">
        <f t="shared" ref="CZ31:CZ33" si="74">SUM(CV31:CY31)</f>
        <v>-2</v>
      </c>
      <c r="DA31" s="453">
        <f>Data!DA116</f>
        <v>2971</v>
      </c>
      <c r="DB31" s="453">
        <f>Data!DB116</f>
        <v>0</v>
      </c>
      <c r="DC31" s="453">
        <f>Data!DC116</f>
        <v>-172</v>
      </c>
      <c r="DD31" s="453">
        <f>Data!DD116</f>
        <v>9537</v>
      </c>
      <c r="DE31" s="366">
        <f t="shared" ref="DE31:DE33" si="75">SUM(DA31:DD31)</f>
        <v>12336</v>
      </c>
      <c r="DF31" s="453">
        <f>Data!DF116</f>
        <v>-950</v>
      </c>
      <c r="DG31" s="453">
        <f>Data!DG116</f>
        <v>-750</v>
      </c>
      <c r="DH31" s="453">
        <f>Data!DH116</f>
        <v>0</v>
      </c>
      <c r="DI31" s="453">
        <f>Data!DI116</f>
        <v>-800</v>
      </c>
      <c r="DJ31" s="366">
        <f t="shared" ref="DJ31:DJ33" si="76">SUM(DF31:DI31)</f>
        <v>-2500</v>
      </c>
      <c r="DK31" s="453">
        <f>Data!DK116</f>
        <v>-9</v>
      </c>
      <c r="DL31" s="453">
        <f>Data!DL116</f>
        <v>-780</v>
      </c>
      <c r="DM31" s="453">
        <f>Data!DM116</f>
        <v>-1500</v>
      </c>
      <c r="DN31" s="355">
        <v>-750</v>
      </c>
      <c r="DO31" s="366">
        <f t="shared" ref="DO31:DO33" si="77">SUM(DK31:DN31)</f>
        <v>-3039</v>
      </c>
      <c r="DP31" s="355">
        <v>0</v>
      </c>
      <c r="DQ31" s="355">
        <v>0</v>
      </c>
      <c r="DR31" s="355">
        <v>0</v>
      </c>
      <c r="DS31" s="355">
        <v>0</v>
      </c>
      <c r="DT31" s="366">
        <f t="shared" ref="DT31:DT33" si="78">SUM(DP31:DS31)</f>
        <v>0</v>
      </c>
      <c r="DU31" s="74">
        <v>0</v>
      </c>
      <c r="DV31" s="74">
        <v>0</v>
      </c>
    </row>
    <row r="32" spans="2:126" s="32" customFormat="1" ht="12.6" customHeight="1">
      <c r="B32" s="41" t="s">
        <v>208</v>
      </c>
      <c r="C32" s="17"/>
      <c r="D32" s="17"/>
      <c r="E32" s="17"/>
      <c r="F32" s="17"/>
      <c r="G32" s="17"/>
      <c r="H32" s="17"/>
      <c r="I32" s="17"/>
      <c r="J32" s="16"/>
      <c r="K32" s="16"/>
      <c r="L32" s="16"/>
      <c r="M32" s="177"/>
      <c r="N32" s="17"/>
      <c r="O32" s="16"/>
      <c r="P32" s="16"/>
      <c r="Q32" s="16"/>
      <c r="R32" s="177"/>
      <c r="S32" s="17"/>
      <c r="T32" s="16"/>
      <c r="U32" s="16"/>
      <c r="V32" s="16"/>
      <c r="W32" s="16"/>
      <c r="X32" s="17"/>
      <c r="Y32" s="16"/>
      <c r="Z32" s="16"/>
      <c r="AA32" s="16"/>
      <c r="AB32" s="16"/>
      <c r="AC32" s="17"/>
      <c r="AD32" s="16"/>
      <c r="AE32" s="16"/>
      <c r="AF32" s="16"/>
      <c r="AG32" s="16"/>
      <c r="AH32" s="17"/>
      <c r="AI32" s="16"/>
      <c r="AJ32" s="16"/>
      <c r="AK32" s="16"/>
      <c r="AL32" s="16"/>
      <c r="AM32" s="17"/>
      <c r="AN32" s="16"/>
      <c r="AO32" s="16"/>
      <c r="AP32" s="16"/>
      <c r="AQ32" s="16"/>
      <c r="AR32" s="17"/>
      <c r="AS32" s="16"/>
      <c r="AT32" s="16"/>
      <c r="AU32" s="16"/>
      <c r="AV32" s="16"/>
      <c r="AW32" s="17"/>
      <c r="AX32" s="16"/>
      <c r="AY32" s="16"/>
      <c r="AZ32" s="16"/>
      <c r="BA32" s="198"/>
      <c r="BB32" s="17"/>
      <c r="BC32" s="198"/>
      <c r="BD32" s="16"/>
      <c r="BE32" s="16"/>
      <c r="BF32" s="198"/>
      <c r="BG32" s="17"/>
      <c r="BH32" s="198"/>
      <c r="BI32" s="16"/>
      <c r="BJ32" s="16"/>
      <c r="BK32" s="198"/>
      <c r="BL32" s="17"/>
      <c r="BM32" s="198"/>
      <c r="BN32" s="16"/>
      <c r="BO32" s="16"/>
      <c r="BP32" s="198"/>
      <c r="BQ32" s="17"/>
      <c r="BR32" s="198"/>
      <c r="BS32" s="16"/>
      <c r="BT32" s="16"/>
      <c r="BU32" s="198"/>
      <c r="BV32" s="17"/>
      <c r="BW32" s="198"/>
      <c r="BX32" s="198"/>
      <c r="BY32" s="16"/>
      <c r="BZ32" s="198"/>
      <c r="CA32" s="17"/>
      <c r="CB32" s="198"/>
      <c r="CC32" s="198"/>
      <c r="CD32" s="16"/>
      <c r="CE32" s="198"/>
      <c r="CF32" s="366">
        <f t="shared" si="70"/>
        <v>0</v>
      </c>
      <c r="CG32" s="355">
        <v>0</v>
      </c>
      <c r="CH32" s="355">
        <v>0</v>
      </c>
      <c r="CI32" s="355">
        <f>-300+223</f>
        <v>-77</v>
      </c>
      <c r="CJ32" s="355">
        <v>1031</v>
      </c>
      <c r="CK32" s="366">
        <f t="shared" si="71"/>
        <v>954</v>
      </c>
      <c r="CL32" s="453">
        <f>Data!CL117</f>
        <v>-663</v>
      </c>
      <c r="CM32" s="453">
        <f>Data!CM117</f>
        <v>-1382</v>
      </c>
      <c r="CN32" s="453">
        <f>Data!CN117</f>
        <v>-15</v>
      </c>
      <c r="CO32" s="453">
        <f>Data!CO117</f>
        <v>19</v>
      </c>
      <c r="CP32" s="366">
        <f t="shared" si="72"/>
        <v>-2041</v>
      </c>
      <c r="CQ32" s="453">
        <f>Data!CQ117</f>
        <v>-13</v>
      </c>
      <c r="CR32" s="453">
        <f>Data!CR117</f>
        <v>-38</v>
      </c>
      <c r="CS32" s="453">
        <f>Data!CS117</f>
        <v>10</v>
      </c>
      <c r="CT32" s="453">
        <f>Data!CT117</f>
        <v>-72</v>
      </c>
      <c r="CU32" s="366">
        <f t="shared" si="73"/>
        <v>-113</v>
      </c>
      <c r="CV32" s="453">
        <f>Data!CV117</f>
        <v>6</v>
      </c>
      <c r="CW32" s="453">
        <f>Data!CW117</f>
        <v>-23</v>
      </c>
      <c r="CX32" s="453">
        <f>Data!CX117</f>
        <v>2070</v>
      </c>
      <c r="CY32" s="453">
        <f>Data!CY117</f>
        <v>-1564</v>
      </c>
      <c r="CZ32" s="366">
        <f t="shared" si="74"/>
        <v>489</v>
      </c>
      <c r="DA32" s="453">
        <f>Data!DA117</f>
        <v>-405</v>
      </c>
      <c r="DB32" s="453">
        <f>Data!DB117</f>
        <v>-46</v>
      </c>
      <c r="DC32" s="453">
        <f>Data!DC117</f>
        <v>92</v>
      </c>
      <c r="DD32" s="453">
        <f>Data!DD117</f>
        <v>-978</v>
      </c>
      <c r="DE32" s="366">
        <f t="shared" si="75"/>
        <v>-1337</v>
      </c>
      <c r="DF32" s="453">
        <f>Data!DF117</f>
        <v>-22</v>
      </c>
      <c r="DG32" s="453">
        <f>Data!DG117</f>
        <v>65</v>
      </c>
      <c r="DH32" s="453">
        <f>Data!DH117</f>
        <v>-12</v>
      </c>
      <c r="DI32" s="453">
        <f>Data!DI117</f>
        <v>-35</v>
      </c>
      <c r="DJ32" s="366">
        <f t="shared" si="76"/>
        <v>-4</v>
      </c>
      <c r="DK32" s="453">
        <f>Data!DK117</f>
        <v>28</v>
      </c>
      <c r="DL32" s="453">
        <f>Data!DL117</f>
        <v>-10</v>
      </c>
      <c r="DM32" s="453">
        <f>Data!DM117</f>
        <v>-1444</v>
      </c>
      <c r="DN32" s="355">
        <v>0</v>
      </c>
      <c r="DO32" s="366">
        <f t="shared" si="77"/>
        <v>-1426</v>
      </c>
      <c r="DP32" s="355">
        <v>0</v>
      </c>
      <c r="DQ32" s="355">
        <v>0</v>
      </c>
      <c r="DR32" s="355">
        <v>0</v>
      </c>
      <c r="DS32" s="355">
        <v>0</v>
      </c>
      <c r="DT32" s="366">
        <f t="shared" si="78"/>
        <v>0</v>
      </c>
      <c r="DU32" s="74">
        <v>0</v>
      </c>
      <c r="DV32" s="74">
        <v>0</v>
      </c>
    </row>
    <row r="33" spans="1:126" s="183" customFormat="1" ht="12.6" customHeight="1">
      <c r="B33" s="233" t="s">
        <v>594</v>
      </c>
      <c r="C33" s="366"/>
      <c r="D33" s="366"/>
      <c r="E33" s="366"/>
      <c r="F33" s="366"/>
      <c r="G33" s="366"/>
      <c r="H33" s="366"/>
      <c r="I33" s="366"/>
      <c r="J33" s="368"/>
      <c r="K33" s="368"/>
      <c r="L33" s="368"/>
      <c r="M33" s="696"/>
      <c r="N33" s="366"/>
      <c r="O33" s="368"/>
      <c r="P33" s="368"/>
      <c r="Q33" s="368"/>
      <c r="R33" s="696"/>
      <c r="S33" s="366"/>
      <c r="T33" s="368"/>
      <c r="U33" s="368"/>
      <c r="V33" s="368"/>
      <c r="W33" s="368"/>
      <c r="X33" s="366"/>
      <c r="Y33" s="368"/>
      <c r="Z33" s="368"/>
      <c r="AA33" s="368"/>
      <c r="AB33" s="368"/>
      <c r="AC33" s="366"/>
      <c r="AD33" s="368"/>
      <c r="AE33" s="368"/>
      <c r="AF33" s="368"/>
      <c r="AG33" s="368"/>
      <c r="AH33" s="366"/>
      <c r="AI33" s="368"/>
      <c r="AJ33" s="368"/>
      <c r="AK33" s="368"/>
      <c r="AL33" s="368"/>
      <c r="AM33" s="366"/>
      <c r="AN33" s="368"/>
      <c r="AO33" s="368"/>
      <c r="AP33" s="368"/>
      <c r="AQ33" s="368"/>
      <c r="AR33" s="366"/>
      <c r="AS33" s="368"/>
      <c r="AT33" s="368"/>
      <c r="AU33" s="368"/>
      <c r="AV33" s="368"/>
      <c r="AW33" s="366"/>
      <c r="AX33" s="368"/>
      <c r="AY33" s="368"/>
      <c r="AZ33" s="368"/>
      <c r="BA33" s="453"/>
      <c r="BB33" s="366"/>
      <c r="BC33" s="453"/>
      <c r="BD33" s="368"/>
      <c r="BE33" s="368"/>
      <c r="BF33" s="453"/>
      <c r="BG33" s="366"/>
      <c r="BH33" s="453"/>
      <c r="BI33" s="368"/>
      <c r="BJ33" s="368"/>
      <c r="BK33" s="453"/>
      <c r="BL33" s="366"/>
      <c r="BM33" s="453"/>
      <c r="BN33" s="368"/>
      <c r="BO33" s="368"/>
      <c r="BP33" s="453"/>
      <c r="BQ33" s="366"/>
      <c r="BR33" s="453"/>
      <c r="BS33" s="368"/>
      <c r="BT33" s="368"/>
      <c r="BU33" s="453"/>
      <c r="BV33" s="366"/>
      <c r="BW33" s="453"/>
      <c r="BX33" s="453"/>
      <c r="BY33" s="368"/>
      <c r="BZ33" s="453"/>
      <c r="CA33" s="366"/>
      <c r="CB33" s="453"/>
      <c r="CC33" s="453"/>
      <c r="CD33" s="368"/>
      <c r="CE33" s="453"/>
      <c r="CF33" s="74">
        <v>0</v>
      </c>
      <c r="CG33" s="355">
        <v>0</v>
      </c>
      <c r="CH33" s="355">
        <v>0</v>
      </c>
      <c r="CI33" s="355">
        <v>0</v>
      </c>
      <c r="CJ33" s="355">
        <v>0</v>
      </c>
      <c r="CK33" s="366">
        <f t="shared" si="71"/>
        <v>0</v>
      </c>
      <c r="CL33" s="453">
        <f>Data!CL118</f>
        <v>6</v>
      </c>
      <c r="CM33" s="453">
        <f>Data!CM118</f>
        <v>4</v>
      </c>
      <c r="CN33" s="453">
        <f>Data!CN118</f>
        <v>-4</v>
      </c>
      <c r="CO33" s="453">
        <f>Data!CO118</f>
        <v>9</v>
      </c>
      <c r="CP33" s="366">
        <f t="shared" si="72"/>
        <v>15</v>
      </c>
      <c r="CQ33" s="453">
        <f>Data!CQ118</f>
        <v>1</v>
      </c>
      <c r="CR33" s="453">
        <f>Data!CR118</f>
        <v>1</v>
      </c>
      <c r="CS33" s="453">
        <f>Data!CS118</f>
        <v>1</v>
      </c>
      <c r="CT33" s="453">
        <f>Data!CT118</f>
        <v>4</v>
      </c>
      <c r="CU33" s="366">
        <f t="shared" si="73"/>
        <v>7</v>
      </c>
      <c r="CV33" s="453">
        <f>Data!CV118</f>
        <v>0</v>
      </c>
      <c r="CW33" s="453">
        <f>Data!CW118</f>
        <v>0</v>
      </c>
      <c r="CX33" s="453">
        <f>Data!CX118</f>
        <v>0</v>
      </c>
      <c r="CY33" s="453">
        <f>Data!CY118</f>
        <v>0</v>
      </c>
      <c r="CZ33" s="366">
        <f t="shared" si="74"/>
        <v>0</v>
      </c>
      <c r="DA33" s="453">
        <f>Data!DA118</f>
        <v>0</v>
      </c>
      <c r="DB33" s="453">
        <f>Data!DB118</f>
        <v>0</v>
      </c>
      <c r="DC33" s="453">
        <f>Data!DC118</f>
        <v>0</v>
      </c>
      <c r="DD33" s="453">
        <f>Data!DD118</f>
        <v>0</v>
      </c>
      <c r="DE33" s="366">
        <f t="shared" si="75"/>
        <v>0</v>
      </c>
      <c r="DF33" s="453">
        <f>Data!DF118</f>
        <v>0</v>
      </c>
      <c r="DG33" s="453">
        <f>Data!DG118</f>
        <v>0</v>
      </c>
      <c r="DH33" s="453">
        <f>Data!DH118</f>
        <v>0</v>
      </c>
      <c r="DI33" s="453">
        <f>Data!DI118</f>
        <v>0</v>
      </c>
      <c r="DJ33" s="366">
        <f t="shared" si="76"/>
        <v>0</v>
      </c>
      <c r="DK33" s="453">
        <f>Data!DK118</f>
        <v>0</v>
      </c>
      <c r="DL33" s="453">
        <f>Data!DL118</f>
        <v>0</v>
      </c>
      <c r="DM33" s="453">
        <f>Data!DM118</f>
        <v>0</v>
      </c>
      <c r="DN33" s="355">
        <v>0</v>
      </c>
      <c r="DO33" s="366">
        <f t="shared" si="77"/>
        <v>0</v>
      </c>
      <c r="DP33" s="355">
        <v>0</v>
      </c>
      <c r="DQ33" s="355">
        <v>0</v>
      </c>
      <c r="DR33" s="355">
        <v>0</v>
      </c>
      <c r="DS33" s="355">
        <v>0</v>
      </c>
      <c r="DT33" s="366">
        <f t="shared" si="78"/>
        <v>0</v>
      </c>
      <c r="DU33" s="74">
        <v>0</v>
      </c>
      <c r="DV33" s="74">
        <v>0</v>
      </c>
    </row>
    <row r="34" spans="1:126" s="32" customFormat="1" ht="12.6" customHeight="1">
      <c r="B34" s="41" t="s">
        <v>226</v>
      </c>
      <c r="C34" s="17"/>
      <c r="D34" s="17"/>
      <c r="E34" s="17"/>
      <c r="F34" s="17"/>
      <c r="G34" s="17"/>
      <c r="H34" s="17"/>
      <c r="I34" s="17"/>
      <c r="J34" s="16"/>
      <c r="K34" s="16"/>
      <c r="L34" s="16"/>
      <c r="M34" s="177"/>
      <c r="N34" s="17"/>
      <c r="O34" s="16"/>
      <c r="P34" s="16"/>
      <c r="Q34" s="16"/>
      <c r="R34" s="177"/>
      <c r="S34" s="17"/>
      <c r="T34" s="16"/>
      <c r="U34" s="16"/>
      <c r="V34" s="16"/>
      <c r="W34" s="16"/>
      <c r="X34" s="17"/>
      <c r="Y34" s="16"/>
      <c r="Z34" s="16"/>
      <c r="AA34" s="16"/>
      <c r="AB34" s="16"/>
      <c r="AC34" s="17"/>
      <c r="AD34" s="16"/>
      <c r="AE34" s="16"/>
      <c r="AF34" s="16"/>
      <c r="AG34" s="16"/>
      <c r="AH34" s="17"/>
      <c r="AI34" s="16"/>
      <c r="AJ34" s="16"/>
      <c r="AK34" s="16"/>
      <c r="AL34" s="16"/>
      <c r="AM34" s="17"/>
      <c r="AN34" s="16"/>
      <c r="AO34" s="16"/>
      <c r="AP34" s="16"/>
      <c r="AQ34" s="16"/>
      <c r="AR34" s="17"/>
      <c r="AS34" s="16"/>
      <c r="AT34" s="16"/>
      <c r="AU34" s="16"/>
      <c r="AV34" s="16"/>
      <c r="AW34" s="17"/>
      <c r="AX34" s="16"/>
      <c r="AY34" s="16"/>
      <c r="AZ34" s="16"/>
      <c r="BA34" s="198"/>
      <c r="BB34" s="17"/>
      <c r="BC34" s="198"/>
      <c r="BD34" s="16"/>
      <c r="BE34" s="16"/>
      <c r="BF34" s="198"/>
      <c r="BG34" s="17"/>
      <c r="BH34" s="198"/>
      <c r="BI34" s="16"/>
      <c r="BJ34" s="16"/>
      <c r="BK34" s="198"/>
      <c r="BL34" s="17"/>
      <c r="BM34" s="198"/>
      <c r="BN34" s="16"/>
      <c r="BO34" s="16"/>
      <c r="BP34" s="198"/>
      <c r="BQ34" s="17"/>
      <c r="BR34" s="198"/>
      <c r="BS34" s="16"/>
      <c r="BT34" s="16"/>
      <c r="BU34" s="198"/>
      <c r="BV34" s="17"/>
      <c r="BW34" s="198"/>
      <c r="BX34" s="198"/>
      <c r="BY34" s="16"/>
      <c r="BZ34" s="198"/>
      <c r="CA34" s="17"/>
      <c r="CB34" s="198"/>
      <c r="CC34" s="198"/>
      <c r="CD34" s="16"/>
      <c r="CE34" s="198"/>
      <c r="CF34" s="367">
        <f>-IS!CF35*IS!CF33</f>
        <v>-2495.232</v>
      </c>
      <c r="CG34" s="608">
        <f>-IS!CG35*IS!CG33</f>
        <v>-718.4375</v>
      </c>
      <c r="CH34" s="608">
        <f>-IS!CH35*IS!CH33</f>
        <v>-718.4375</v>
      </c>
      <c r="CI34" s="608">
        <f>-IS!CI35*IS!CI33</f>
        <v>-721.57249999999988</v>
      </c>
      <c r="CJ34" s="608">
        <f>-IS!CJ35*IS!CJ33</f>
        <v>-721.57249999999988</v>
      </c>
      <c r="CK34" s="366">
        <f>SUM(CG34:CJ34)</f>
        <v>-2880.0199999999995</v>
      </c>
      <c r="CL34" s="453">
        <f>Data!CL119</f>
        <v>-614</v>
      </c>
      <c r="CM34" s="453">
        <f>Data!CM119</f>
        <v>-724</v>
      </c>
      <c r="CN34" s="453">
        <f>Data!CN119</f>
        <v>-688</v>
      </c>
      <c r="CO34" s="453">
        <f>Data!CO119</f>
        <v>-706</v>
      </c>
      <c r="CP34" s="366">
        <f>SUM(CL34:CO34)</f>
        <v>-2732</v>
      </c>
      <c r="CQ34" s="453">
        <f>Data!CQ119</f>
        <v>-705</v>
      </c>
      <c r="CR34" s="453">
        <f>Data!CR119</f>
        <v>-756</v>
      </c>
      <c r="CS34" s="453">
        <f>Data!CS119</f>
        <v>-751</v>
      </c>
      <c r="CT34" s="453">
        <f>Data!CT119</f>
        <v>-745</v>
      </c>
      <c r="CU34" s="366">
        <f>SUM(CQ34:CT34)</f>
        <v>-2957</v>
      </c>
      <c r="CV34" s="453">
        <f>Data!CV119</f>
        <v>-745</v>
      </c>
      <c r="CW34" s="453">
        <f>Data!CW119</f>
        <v>-798</v>
      </c>
      <c r="CX34" s="453">
        <f>Data!CX119</f>
        <v>-794</v>
      </c>
      <c r="CY34" s="453">
        <f>Data!CY119</f>
        <v>-791</v>
      </c>
      <c r="CZ34" s="366">
        <f>SUM(CV34:CY34)</f>
        <v>-3128</v>
      </c>
      <c r="DA34" s="453">
        <f>Data!DA119</f>
        <v>-790</v>
      </c>
      <c r="DB34" s="453">
        <f>Data!DB119</f>
        <v>-844</v>
      </c>
      <c r="DC34" s="453">
        <f>Data!DC119</f>
        <v>-838</v>
      </c>
      <c r="DD34" s="453">
        <f>Data!DD119</f>
        <v>-767</v>
      </c>
      <c r="DE34" s="366">
        <f>SUM(DA34:DD34)</f>
        <v>-3239</v>
      </c>
      <c r="DF34" s="453">
        <f>Data!DF119</f>
        <v>-769</v>
      </c>
      <c r="DG34" s="453">
        <f>Data!DG119</f>
        <v>-823</v>
      </c>
      <c r="DH34" s="453">
        <f>Data!DH119</f>
        <v>-823</v>
      </c>
      <c r="DI34" s="453">
        <f>Data!DI119</f>
        <v>-802</v>
      </c>
      <c r="DJ34" s="366">
        <f>SUM(DF34:DI34)</f>
        <v>-3217</v>
      </c>
      <c r="DK34" s="453">
        <f>Data!DK119</f>
        <v>-840</v>
      </c>
      <c r="DL34" s="453">
        <f>Data!DL119</f>
        <v>-910</v>
      </c>
      <c r="DM34" s="453">
        <f>Data!DM119</f>
        <v>-910</v>
      </c>
      <c r="DN34" s="608">
        <f>-IS!DN35*IS!DN33</f>
        <v>-924.39200000000017</v>
      </c>
      <c r="DO34" s="366">
        <f>SUM(DK34:DN34)</f>
        <v>-3584.3920000000003</v>
      </c>
      <c r="DP34" s="608">
        <f>-IS!DP35*IS!DP33</f>
        <v>-923.03200000000015</v>
      </c>
      <c r="DQ34" s="608">
        <f>-IS!DQ35*IS!DQ33</f>
        <v>-1013.0912000000002</v>
      </c>
      <c r="DR34" s="608">
        <f>-IS!DR35*IS!DR33</f>
        <v>-1009.3512000000002</v>
      </c>
      <c r="DS34" s="608">
        <f>-IS!DS35*IS!DS33</f>
        <v>-1005.6112000000002</v>
      </c>
      <c r="DT34" s="366">
        <f>SUM(DP34:DS34)</f>
        <v>-3951.0856000000008</v>
      </c>
      <c r="DU34" s="367">
        <f>-IS!DU35*IS!DU33</f>
        <v>-4314.4789600000013</v>
      </c>
      <c r="DV34" s="367">
        <f>-IS!DV35*IS!DV33</f>
        <v>-4710.5464560000019</v>
      </c>
    </row>
    <row r="35" spans="1:126" s="32" customFormat="1" ht="12.6" customHeight="1">
      <c r="B35" s="41" t="s">
        <v>210</v>
      </c>
      <c r="C35" s="17"/>
      <c r="D35" s="17"/>
      <c r="E35" s="17"/>
      <c r="F35" s="17"/>
      <c r="G35" s="17"/>
      <c r="H35" s="17"/>
      <c r="I35" s="17"/>
      <c r="J35" s="16"/>
      <c r="K35" s="16"/>
      <c r="L35" s="16"/>
      <c r="M35" s="177"/>
      <c r="N35" s="17"/>
      <c r="O35" s="16"/>
      <c r="P35" s="16"/>
      <c r="Q35" s="16"/>
      <c r="R35" s="177"/>
      <c r="S35" s="17"/>
      <c r="T35" s="16"/>
      <c r="U35" s="16"/>
      <c r="V35" s="16"/>
      <c r="W35" s="16"/>
      <c r="X35" s="17"/>
      <c r="Y35" s="16"/>
      <c r="Z35" s="16"/>
      <c r="AA35" s="16"/>
      <c r="AB35" s="16"/>
      <c r="AC35" s="17"/>
      <c r="AD35" s="16"/>
      <c r="AE35" s="16"/>
      <c r="AF35" s="16"/>
      <c r="AG35" s="16"/>
      <c r="AH35" s="17"/>
      <c r="AI35" s="16"/>
      <c r="AJ35" s="16"/>
      <c r="AK35" s="16"/>
      <c r="AL35" s="16"/>
      <c r="AM35" s="17"/>
      <c r="AN35" s="16"/>
      <c r="AO35" s="16"/>
      <c r="AP35" s="16"/>
      <c r="AQ35" s="16"/>
      <c r="AR35" s="17"/>
      <c r="AS35" s="16"/>
      <c r="AT35" s="16"/>
      <c r="AU35" s="16"/>
      <c r="AV35" s="16"/>
      <c r="AW35" s="17"/>
      <c r="AX35" s="16"/>
      <c r="AY35" s="16"/>
      <c r="AZ35" s="16"/>
      <c r="BA35" s="198"/>
      <c r="BB35" s="17"/>
      <c r="BC35" s="198"/>
      <c r="BD35" s="16"/>
      <c r="BE35" s="16"/>
      <c r="BF35" s="198"/>
      <c r="BG35" s="17"/>
      <c r="BH35" s="198"/>
      <c r="BI35" s="198"/>
      <c r="BJ35" s="16"/>
      <c r="BK35" s="198"/>
      <c r="BL35" s="17"/>
      <c r="BM35" s="198"/>
      <c r="BN35" s="198"/>
      <c r="BO35" s="16"/>
      <c r="BP35" s="198"/>
      <c r="BQ35" s="17"/>
      <c r="BR35" s="198"/>
      <c r="BS35" s="198"/>
      <c r="BT35" s="16"/>
      <c r="BU35" s="198"/>
      <c r="BV35" s="17"/>
      <c r="BW35" s="198"/>
      <c r="BX35" s="198"/>
      <c r="BY35" s="16"/>
      <c r="BZ35" s="198"/>
      <c r="CA35" s="195"/>
      <c r="CB35" s="198"/>
      <c r="CC35" s="198"/>
      <c r="CD35" s="16"/>
      <c r="CE35" s="198"/>
      <c r="CF35" s="74">
        <v>-1325</v>
      </c>
      <c r="CG35" s="355">
        <v>-500</v>
      </c>
      <c r="CH35" s="355">
        <v>-300</v>
      </c>
      <c r="CI35" s="355">
        <v>0</v>
      </c>
      <c r="CJ35" s="355">
        <v>0</v>
      </c>
      <c r="CK35" s="495">
        <f t="shared" si="71"/>
        <v>-800</v>
      </c>
      <c r="CL35" s="453">
        <f>Data!CL120</f>
        <v>-47</v>
      </c>
      <c r="CM35" s="453">
        <f>Data!CM120</f>
        <v>0</v>
      </c>
      <c r="CN35" s="453">
        <f>Data!CN120</f>
        <v>0</v>
      </c>
      <c r="CO35" s="453">
        <f>Data!CO120</f>
        <v>0</v>
      </c>
      <c r="CP35" s="495">
        <f t="shared" si="72"/>
        <v>-47</v>
      </c>
      <c r="CQ35" s="453">
        <f>Data!CQ120</f>
        <v>-375</v>
      </c>
      <c r="CR35" s="453">
        <f>Data!CR120</f>
        <v>-632</v>
      </c>
      <c r="CS35" s="453">
        <f>Data!CS120</f>
        <v>-993</v>
      </c>
      <c r="CT35" s="453">
        <f>Data!CT120</f>
        <v>-327</v>
      </c>
      <c r="CU35" s="495">
        <f t="shared" si="73"/>
        <v>-2327</v>
      </c>
      <c r="CV35" s="453">
        <f>Data!CV120</f>
        <v>-743</v>
      </c>
      <c r="CW35" s="453">
        <f>Data!CW120</f>
        <v>-1036</v>
      </c>
      <c r="CX35" s="453">
        <f>Data!CX120</f>
        <v>-616</v>
      </c>
      <c r="CY35" s="453">
        <f>Data!CY120</f>
        <v>-408</v>
      </c>
      <c r="CZ35" s="495">
        <f t="shared" ref="CZ35:CZ36" si="79">SUM(CV35:CY35)</f>
        <v>-2803</v>
      </c>
      <c r="DA35" s="453">
        <f>Data!DA120</f>
        <v>-562</v>
      </c>
      <c r="DB35" s="453">
        <f>Data!DB120</f>
        <v>-596</v>
      </c>
      <c r="DC35" s="453">
        <f>Data!DC120</f>
        <v>-1429</v>
      </c>
      <c r="DD35" s="453">
        <f>Data!DD120</f>
        <v>-10283</v>
      </c>
      <c r="DE35" s="495">
        <f t="shared" ref="DE35:DE36" si="80">SUM(DA35:DD35)</f>
        <v>-12870</v>
      </c>
      <c r="DF35" s="453">
        <f>Data!DF120</f>
        <v>-56</v>
      </c>
      <c r="DG35" s="453">
        <f>Data!DG120</f>
        <v>-44</v>
      </c>
      <c r="DH35" s="453">
        <f>Data!DH120</f>
        <v>-294</v>
      </c>
      <c r="DI35" s="453">
        <f>Data!DI120</f>
        <v>-50</v>
      </c>
      <c r="DJ35" s="495">
        <f t="shared" ref="DJ35:DJ36" si="81">SUM(DF35:DI35)</f>
        <v>-444</v>
      </c>
      <c r="DK35" s="453">
        <f>Data!DK120</f>
        <v>-50</v>
      </c>
      <c r="DL35" s="453">
        <f>Data!DL120</f>
        <v>0</v>
      </c>
      <c r="DM35" s="453">
        <f>Data!DM120</f>
        <v>0</v>
      </c>
      <c r="DN35" s="355">
        <v>0</v>
      </c>
      <c r="DO35" s="495">
        <f t="shared" ref="DO35:DO36" si="82">SUM(DK35:DN35)</f>
        <v>-50</v>
      </c>
      <c r="DP35" s="355">
        <v>-500</v>
      </c>
      <c r="DQ35" s="355">
        <v>-500</v>
      </c>
      <c r="DR35" s="355">
        <v>-1000</v>
      </c>
      <c r="DS35" s="355">
        <v>-1000</v>
      </c>
      <c r="DT35" s="495">
        <f t="shared" ref="DT35:DT36" si="83">SUM(DP35:DS35)</f>
        <v>-3000</v>
      </c>
      <c r="DU35" s="74">
        <v>-4000</v>
      </c>
      <c r="DV35" s="74">
        <v>-4500</v>
      </c>
    </row>
    <row r="36" spans="1:126" s="32" customFormat="1" ht="12.6" customHeight="1">
      <c r="B36" s="41" t="s">
        <v>63</v>
      </c>
      <c r="C36" s="17"/>
      <c r="D36" s="17"/>
      <c r="E36" s="17"/>
      <c r="F36" s="17"/>
      <c r="G36" s="17"/>
      <c r="H36" s="17"/>
      <c r="I36" s="17"/>
      <c r="J36" s="16"/>
      <c r="K36" s="16"/>
      <c r="L36" s="16"/>
      <c r="M36" s="177"/>
      <c r="N36" s="17"/>
      <c r="O36" s="16"/>
      <c r="P36" s="16"/>
      <c r="Q36" s="16"/>
      <c r="R36" s="177"/>
      <c r="S36" s="17"/>
      <c r="T36" s="16"/>
      <c r="U36" s="16"/>
      <c r="V36" s="16"/>
      <c r="W36" s="16"/>
      <c r="X36" s="17"/>
      <c r="Y36" s="16"/>
      <c r="Z36" s="16"/>
      <c r="AA36" s="16"/>
      <c r="AB36" s="16"/>
      <c r="AC36" s="17"/>
      <c r="AD36" s="16"/>
      <c r="AE36" s="16"/>
      <c r="AF36" s="16"/>
      <c r="AG36" s="16"/>
      <c r="AH36" s="17"/>
      <c r="AI36" s="16"/>
      <c r="AJ36" s="16"/>
      <c r="AK36" s="16"/>
      <c r="AL36" s="16"/>
      <c r="AM36" s="17"/>
      <c r="AN36" s="16"/>
      <c r="AO36" s="16"/>
      <c r="AP36" s="16"/>
      <c r="AQ36" s="16"/>
      <c r="AR36" s="17"/>
      <c r="AS36" s="16"/>
      <c r="AT36" s="16"/>
      <c r="AU36" s="16"/>
      <c r="AV36" s="16"/>
      <c r="AW36" s="17"/>
      <c r="AX36" s="16"/>
      <c r="AY36" s="16"/>
      <c r="AZ36" s="16"/>
      <c r="BA36" s="198"/>
      <c r="BB36" s="17"/>
      <c r="BC36" s="198"/>
      <c r="BD36" s="16"/>
      <c r="BE36" s="16"/>
      <c r="BF36" s="198"/>
      <c r="BG36" s="17"/>
      <c r="BH36" s="198"/>
      <c r="BI36" s="16"/>
      <c r="BJ36" s="16"/>
      <c r="BK36" s="198"/>
      <c r="BL36" s="17"/>
      <c r="BM36" s="198"/>
      <c r="BN36" s="16"/>
      <c r="BO36" s="16"/>
      <c r="BP36" s="198"/>
      <c r="BQ36" s="17"/>
      <c r="BR36" s="198"/>
      <c r="BS36" s="16"/>
      <c r="BT36" s="16"/>
      <c r="BU36" s="198"/>
      <c r="BV36" s="17"/>
      <c r="BW36" s="198"/>
      <c r="BX36" s="198"/>
      <c r="BY36" s="16"/>
      <c r="BZ36" s="198"/>
      <c r="CA36" s="17"/>
      <c r="CB36" s="198"/>
      <c r="CC36" s="198"/>
      <c r="CD36" s="16"/>
      <c r="CE36" s="198"/>
      <c r="CF36" s="74">
        <v>0</v>
      </c>
      <c r="CG36" s="355">
        <v>0</v>
      </c>
      <c r="CH36" s="355">
        <v>0</v>
      </c>
      <c r="CI36" s="355">
        <v>0</v>
      </c>
      <c r="CJ36" s="355">
        <v>0</v>
      </c>
      <c r="CK36" s="366">
        <f t="shared" si="71"/>
        <v>0</v>
      </c>
      <c r="CL36" s="453">
        <f>Data!CL121</f>
        <v>16168</v>
      </c>
      <c r="CM36" s="453">
        <f>Data!CM121</f>
        <v>-1026</v>
      </c>
      <c r="CN36" s="453">
        <f>Data!CN121</f>
        <v>-18</v>
      </c>
      <c r="CO36" s="453">
        <f>Data!CO121</f>
        <v>-101</v>
      </c>
      <c r="CP36" s="366">
        <f t="shared" si="72"/>
        <v>15023</v>
      </c>
      <c r="CQ36" s="453">
        <f>Data!CQ121</f>
        <v>-166</v>
      </c>
      <c r="CR36" s="453">
        <f>Data!CR121</f>
        <v>-129</v>
      </c>
      <c r="CS36" s="453">
        <f>Data!CS121</f>
        <v>-71</v>
      </c>
      <c r="CT36" s="453">
        <f>Data!CT121</f>
        <v>-768</v>
      </c>
      <c r="CU36" s="366">
        <f t="shared" si="73"/>
        <v>-1134</v>
      </c>
      <c r="CV36" s="453">
        <f>Data!CV121</f>
        <v>-263</v>
      </c>
      <c r="CW36" s="453">
        <f>Data!CW121</f>
        <v>-23</v>
      </c>
      <c r="CX36" s="453">
        <f>Data!CX121</f>
        <v>-43</v>
      </c>
      <c r="CY36" s="453">
        <f>Data!CY121</f>
        <v>-86</v>
      </c>
      <c r="CZ36" s="366">
        <f t="shared" si="79"/>
        <v>-415</v>
      </c>
      <c r="DA36" s="453">
        <f>Data!DA121</f>
        <v>-118</v>
      </c>
      <c r="DB36" s="453">
        <f>Data!DB121</f>
        <v>858</v>
      </c>
      <c r="DC36" s="453">
        <f>Data!DC121</f>
        <v>-30</v>
      </c>
      <c r="DD36" s="453">
        <f>Data!DD121</f>
        <v>-127</v>
      </c>
      <c r="DE36" s="366">
        <f t="shared" si="80"/>
        <v>583</v>
      </c>
      <c r="DF36" s="453">
        <f>Data!DF121</f>
        <v>-210</v>
      </c>
      <c r="DG36" s="453">
        <f>Data!DG121</f>
        <v>-32</v>
      </c>
      <c r="DH36" s="453">
        <f>Data!DH121</f>
        <v>-29</v>
      </c>
      <c r="DI36" s="453">
        <f>Data!DI121</f>
        <v>-181</v>
      </c>
      <c r="DJ36" s="366">
        <f t="shared" si="81"/>
        <v>-452</v>
      </c>
      <c r="DK36" s="453">
        <f>Data!DK121</f>
        <v>-185</v>
      </c>
      <c r="DL36" s="453">
        <f>Data!DL121</f>
        <v>1347</v>
      </c>
      <c r="DM36" s="453">
        <f>Data!DM121</f>
        <v>-69</v>
      </c>
      <c r="DN36" s="355">
        <v>0</v>
      </c>
      <c r="DO36" s="366">
        <f t="shared" si="82"/>
        <v>1093</v>
      </c>
      <c r="DP36" s="355">
        <v>0</v>
      </c>
      <c r="DQ36" s="355">
        <v>0</v>
      </c>
      <c r="DR36" s="355">
        <v>0</v>
      </c>
      <c r="DS36" s="355">
        <v>0</v>
      </c>
      <c r="DT36" s="366">
        <f t="shared" si="83"/>
        <v>0</v>
      </c>
      <c r="DU36" s="74">
        <v>0</v>
      </c>
      <c r="DV36" s="74">
        <v>0</v>
      </c>
    </row>
    <row r="37" spans="1:126" s="32" customFormat="1" ht="12.6" customHeight="1">
      <c r="B37" s="47" t="s">
        <v>143</v>
      </c>
      <c r="C37" s="154"/>
      <c r="D37" s="154"/>
      <c r="E37" s="154"/>
      <c r="F37" s="154"/>
      <c r="G37" s="154"/>
      <c r="H37" s="154"/>
      <c r="I37" s="154"/>
      <c r="J37" s="155"/>
      <c r="K37" s="155"/>
      <c r="L37" s="155"/>
      <c r="M37" s="155"/>
      <c r="N37" s="154"/>
      <c r="O37" s="155"/>
      <c r="P37" s="155"/>
      <c r="Q37" s="155"/>
      <c r="R37" s="155"/>
      <c r="S37" s="154"/>
      <c r="T37" s="155"/>
      <c r="U37" s="155"/>
      <c r="V37" s="155"/>
      <c r="W37" s="155"/>
      <c r="X37" s="154"/>
      <c r="Y37" s="155"/>
      <c r="Z37" s="155"/>
      <c r="AA37" s="155"/>
      <c r="AB37" s="155"/>
      <c r="AC37" s="154"/>
      <c r="AD37" s="155"/>
      <c r="AE37" s="155"/>
      <c r="AF37" s="155"/>
      <c r="AG37" s="155"/>
      <c r="AH37" s="154"/>
      <c r="AI37" s="155"/>
      <c r="AJ37" s="155"/>
      <c r="AK37" s="155"/>
      <c r="AL37" s="155"/>
      <c r="AM37" s="154"/>
      <c r="AN37" s="155"/>
      <c r="AO37" s="155"/>
      <c r="AP37" s="155"/>
      <c r="AQ37" s="155"/>
      <c r="AR37" s="154"/>
      <c r="AS37" s="155"/>
      <c r="AT37" s="155"/>
      <c r="AU37" s="155"/>
      <c r="AV37" s="155"/>
      <c r="AW37" s="154"/>
      <c r="AX37" s="155"/>
      <c r="AY37" s="155"/>
      <c r="AZ37" s="155"/>
      <c r="BA37" s="155"/>
      <c r="BB37" s="154"/>
      <c r="BC37" s="155"/>
      <c r="BD37" s="155"/>
      <c r="BE37" s="155"/>
      <c r="BF37" s="155"/>
      <c r="BG37" s="154"/>
      <c r="BH37" s="155"/>
      <c r="BI37" s="155"/>
      <c r="BJ37" s="155"/>
      <c r="BK37" s="155"/>
      <c r="BL37" s="154"/>
      <c r="BM37" s="155"/>
      <c r="BN37" s="155"/>
      <c r="BO37" s="155"/>
      <c r="BP37" s="155"/>
      <c r="BQ37" s="154"/>
      <c r="BR37" s="155"/>
      <c r="BS37" s="155"/>
      <c r="BT37" s="155"/>
      <c r="BU37" s="155"/>
      <c r="BV37" s="154"/>
      <c r="BW37" s="155"/>
      <c r="BX37" s="155"/>
      <c r="BY37" s="155"/>
      <c r="BZ37" s="155"/>
      <c r="CA37" s="154"/>
      <c r="CB37" s="155"/>
      <c r="CC37" s="155"/>
      <c r="CD37" s="155"/>
      <c r="CE37" s="155"/>
      <c r="CF37" s="154">
        <f t="shared" ref="CF37:CP37" si="84">SUM(CF31:CF36)</f>
        <v>-3820.232</v>
      </c>
      <c r="CG37" s="155">
        <f t="shared" si="84"/>
        <v>-1218.4375</v>
      </c>
      <c r="CH37" s="155">
        <f t="shared" si="84"/>
        <v>-1018.4375</v>
      </c>
      <c r="CI37" s="155">
        <f t="shared" si="84"/>
        <v>-1427.5724999999998</v>
      </c>
      <c r="CJ37" s="155">
        <f t="shared" si="84"/>
        <v>-1794.5724999999998</v>
      </c>
      <c r="CK37" s="154">
        <f t="shared" si="84"/>
        <v>-5459.0199999999995</v>
      </c>
      <c r="CL37" s="155">
        <f t="shared" ref="CL37" si="85">SUM(CL31:CL36)</f>
        <v>1040</v>
      </c>
      <c r="CM37" s="155">
        <f t="shared" si="84"/>
        <v>-2372</v>
      </c>
      <c r="CN37" s="155">
        <f t="shared" ref="CN37:CO37" si="86">SUM(CN31:CN36)</f>
        <v>-724</v>
      </c>
      <c r="CO37" s="155">
        <f t="shared" si="86"/>
        <v>-1804</v>
      </c>
      <c r="CP37" s="154">
        <f t="shared" si="84"/>
        <v>-3860</v>
      </c>
      <c r="CQ37" s="155">
        <f t="shared" ref="CQ37:CR37" si="87">SUM(CQ31:CQ36)</f>
        <v>-1544</v>
      </c>
      <c r="CR37" s="155">
        <f t="shared" si="87"/>
        <v>-1575</v>
      </c>
      <c r="CS37" s="155">
        <f t="shared" ref="CS37:CT37" si="88">SUM(CS31:CS36)</f>
        <v>-2063</v>
      </c>
      <c r="CT37" s="155">
        <f t="shared" si="88"/>
        <v>-1574</v>
      </c>
      <c r="CU37" s="154">
        <f t="shared" ref="CU37:CV37" si="89">SUM(CU31:CU36)</f>
        <v>-6756</v>
      </c>
      <c r="CV37" s="155">
        <f t="shared" si="89"/>
        <v>-1745</v>
      </c>
      <c r="CW37" s="155">
        <f t="shared" ref="CW37:CX37" si="90">SUM(CW31:CW36)</f>
        <v>-1882</v>
      </c>
      <c r="CX37" s="155">
        <f t="shared" si="90"/>
        <v>617</v>
      </c>
      <c r="CY37" s="155">
        <f t="shared" ref="CY37" si="91">SUM(CY31:CY36)</f>
        <v>-2849</v>
      </c>
      <c r="CZ37" s="154">
        <f t="shared" ref="CZ37" si="92">SUM(CZ31:CZ36)</f>
        <v>-5859</v>
      </c>
      <c r="DA37" s="155">
        <f t="shared" ref="DA37:DE37" si="93">SUM(DA31:DA36)</f>
        <v>1096</v>
      </c>
      <c r="DB37" s="155">
        <f t="shared" si="93"/>
        <v>-628</v>
      </c>
      <c r="DC37" s="155">
        <f t="shared" si="93"/>
        <v>-2377</v>
      </c>
      <c r="DD37" s="155">
        <f t="shared" si="93"/>
        <v>-2618</v>
      </c>
      <c r="DE37" s="154">
        <f t="shared" si="93"/>
        <v>-4527</v>
      </c>
      <c r="DF37" s="155">
        <f t="shared" ref="DF37:DI37" si="94">SUM(DF31:DF36)</f>
        <v>-2007</v>
      </c>
      <c r="DG37" s="155">
        <f t="shared" si="94"/>
        <v>-1584</v>
      </c>
      <c r="DH37" s="155">
        <f t="shared" si="94"/>
        <v>-1158</v>
      </c>
      <c r="DI37" s="155">
        <f t="shared" si="94"/>
        <v>-1868</v>
      </c>
      <c r="DJ37" s="154">
        <f t="shared" ref="DJ37:DM37" si="95">SUM(DJ31:DJ36)</f>
        <v>-6617</v>
      </c>
      <c r="DK37" s="155">
        <f t="shared" si="95"/>
        <v>-1056</v>
      </c>
      <c r="DL37" s="155">
        <f t="shared" si="95"/>
        <v>-353</v>
      </c>
      <c r="DM37" s="155">
        <f t="shared" si="95"/>
        <v>-3923</v>
      </c>
      <c r="DN37" s="155">
        <f t="shared" ref="DN37:DP37" si="96">SUM(DN31:DN36)</f>
        <v>-1674.3920000000003</v>
      </c>
      <c r="DO37" s="154">
        <f t="shared" si="96"/>
        <v>-7006.3919999999998</v>
      </c>
      <c r="DP37" s="155">
        <f t="shared" si="96"/>
        <v>-1423.0320000000002</v>
      </c>
      <c r="DQ37" s="155">
        <f t="shared" ref="DQ37:DT37" si="97">SUM(DQ31:DQ36)</f>
        <v>-1513.0912000000003</v>
      </c>
      <c r="DR37" s="155">
        <f t="shared" si="97"/>
        <v>-2009.3512000000001</v>
      </c>
      <c r="DS37" s="155">
        <f t="shared" si="97"/>
        <v>-2005.6112000000003</v>
      </c>
      <c r="DT37" s="154">
        <f t="shared" si="97"/>
        <v>-6951.0856000000003</v>
      </c>
      <c r="DU37" s="154">
        <f t="shared" ref="DU37:DV37" si="98">SUM(DU31:DU36)</f>
        <v>-8314.4789600000004</v>
      </c>
      <c r="DV37" s="154">
        <f t="shared" si="98"/>
        <v>-9210.5464560000019</v>
      </c>
    </row>
    <row r="38" spans="1:126" s="32" customFormat="1" ht="12.6" customHeight="1">
      <c r="B38" s="41" t="s">
        <v>211</v>
      </c>
      <c r="C38" s="17"/>
      <c r="D38" s="17"/>
      <c r="E38" s="17"/>
      <c r="F38" s="17"/>
      <c r="G38" s="17"/>
      <c r="H38" s="17"/>
      <c r="I38" s="17"/>
      <c r="J38" s="16"/>
      <c r="K38" s="16"/>
      <c r="L38" s="16"/>
      <c r="M38" s="177"/>
      <c r="N38" s="17"/>
      <c r="O38" s="16"/>
      <c r="P38" s="16"/>
      <c r="Q38" s="16"/>
      <c r="R38" s="177"/>
      <c r="S38" s="17"/>
      <c r="T38" s="16"/>
      <c r="U38" s="16"/>
      <c r="V38" s="16"/>
      <c r="W38" s="16"/>
      <c r="X38" s="17"/>
      <c r="Y38" s="16"/>
      <c r="Z38" s="16"/>
      <c r="AA38" s="16"/>
      <c r="AB38" s="16"/>
      <c r="AC38" s="17"/>
      <c r="AD38" s="16"/>
      <c r="AE38" s="16"/>
      <c r="AF38" s="16"/>
      <c r="AG38" s="16"/>
      <c r="AH38" s="17"/>
      <c r="AI38" s="16"/>
      <c r="AJ38" s="16"/>
      <c r="AK38" s="16"/>
      <c r="AL38" s="16"/>
      <c r="AM38" s="17"/>
      <c r="AN38" s="16"/>
      <c r="AO38" s="16"/>
      <c r="AP38" s="16"/>
      <c r="AQ38" s="16"/>
      <c r="AR38" s="17"/>
      <c r="AS38" s="16"/>
      <c r="AT38" s="16"/>
      <c r="AU38" s="16"/>
      <c r="AV38" s="16"/>
      <c r="AW38" s="17"/>
      <c r="AX38" s="16"/>
      <c r="AY38" s="16"/>
      <c r="AZ38" s="16"/>
      <c r="BA38" s="198"/>
      <c r="BB38" s="17"/>
      <c r="BC38" s="198"/>
      <c r="BD38" s="16"/>
      <c r="BE38" s="16"/>
      <c r="BF38" s="198"/>
      <c r="BG38" s="17"/>
      <c r="BH38" s="198"/>
      <c r="BI38" s="16"/>
      <c r="BJ38" s="16"/>
      <c r="BK38" s="198"/>
      <c r="BL38" s="17"/>
      <c r="BM38" s="198"/>
      <c r="BN38" s="16"/>
      <c r="BO38" s="16"/>
      <c r="BP38" s="198"/>
      <c r="BQ38" s="17"/>
      <c r="BR38" s="198"/>
      <c r="BS38" s="16"/>
      <c r="BT38" s="16"/>
      <c r="BU38" s="198"/>
      <c r="BV38" s="17"/>
      <c r="BW38" s="198"/>
      <c r="BX38" s="198"/>
      <c r="BY38" s="198"/>
      <c r="BZ38" s="198"/>
      <c r="CA38" s="17"/>
      <c r="CB38" s="198"/>
      <c r="CC38" s="198"/>
      <c r="CD38" s="198"/>
      <c r="CE38" s="198"/>
      <c r="CF38" s="17">
        <f>SUM(CB38:CE38)</f>
        <v>0</v>
      </c>
      <c r="CG38" s="198">
        <f>+Data!CG123</f>
        <v>0</v>
      </c>
      <c r="CH38" s="198">
        <f>+Data!CH123-CG38</f>
        <v>0</v>
      </c>
      <c r="CI38" s="198">
        <f>+Data!CI123-CH38-CG38</f>
        <v>0</v>
      </c>
      <c r="CJ38" s="198">
        <f>+Data!CJ123-CI38-CH38-CG38</f>
        <v>0</v>
      </c>
      <c r="CK38" s="17">
        <f>SUM(CG38:CJ38)</f>
        <v>0</v>
      </c>
      <c r="CL38" s="198">
        <f>Data!CL123</f>
        <v>192.26278300000013</v>
      </c>
      <c r="CM38" s="198">
        <f>Data!CM123</f>
        <v>-2575.2627830000001</v>
      </c>
      <c r="CN38" s="198">
        <f>Data!CN123</f>
        <v>0</v>
      </c>
      <c r="CO38" s="198">
        <f>Data!CO123</f>
        <v>0</v>
      </c>
      <c r="CP38" s="17">
        <f>SUM(CL38:CO38)</f>
        <v>-2383</v>
      </c>
      <c r="CQ38" s="198">
        <f>Data!CQ123</f>
        <v>0</v>
      </c>
      <c r="CR38" s="198">
        <f>Data!CR123</f>
        <v>0</v>
      </c>
      <c r="CS38" s="198">
        <f>Data!CS123</f>
        <v>0</v>
      </c>
      <c r="CT38" s="198">
        <f>Data!CT123</f>
        <v>0</v>
      </c>
      <c r="CU38" s="17">
        <f>SUM(CQ38:CT38)</f>
        <v>0</v>
      </c>
      <c r="CV38" s="198">
        <f>Data!CV123</f>
        <v>0</v>
      </c>
      <c r="CW38" s="198">
        <f>Data!CW123</f>
        <v>0</v>
      </c>
      <c r="CX38" s="198">
        <f>Data!CX123</f>
        <v>0</v>
      </c>
      <c r="CY38" s="198">
        <f>Data!CY123</f>
        <v>0</v>
      </c>
      <c r="CZ38" s="17">
        <f>SUM(CV38:CY38)</f>
        <v>0</v>
      </c>
      <c r="DA38" s="198">
        <f>Data!DA123</f>
        <v>0</v>
      </c>
      <c r="DB38" s="198">
        <f>Data!DB123</f>
        <v>0</v>
      </c>
      <c r="DC38" s="198">
        <f>Data!DC123</f>
        <v>0</v>
      </c>
      <c r="DD38" s="198">
        <f>Data!DD123</f>
        <v>0</v>
      </c>
      <c r="DE38" s="17">
        <f>SUM(DA38:DD38)</f>
        <v>0</v>
      </c>
      <c r="DF38" s="198">
        <f>Data!DF123</f>
        <v>0</v>
      </c>
      <c r="DG38" s="198">
        <f>Data!DG123</f>
        <v>0</v>
      </c>
      <c r="DH38" s="198">
        <f>Data!DH123</f>
        <v>0</v>
      </c>
      <c r="DI38" s="198">
        <f>Data!DI123</f>
        <v>0</v>
      </c>
      <c r="DJ38" s="17">
        <f>SUM(DF38:DI38)</f>
        <v>0</v>
      </c>
      <c r="DK38" s="198">
        <f>Data!DK123</f>
        <v>0</v>
      </c>
      <c r="DL38" s="198">
        <f>Data!DL123</f>
        <v>0</v>
      </c>
      <c r="DM38" s="198">
        <f>Data!DM123</f>
        <v>0</v>
      </c>
      <c r="DN38" s="198">
        <f>Data!DN123</f>
        <v>0</v>
      </c>
      <c r="DO38" s="17">
        <f>SUM(DK38:DN38)</f>
        <v>0</v>
      </c>
      <c r="DP38" s="198">
        <f>Data!DP123</f>
        <v>0</v>
      </c>
      <c r="DQ38" s="198">
        <f>Data!DQ123</f>
        <v>0</v>
      </c>
      <c r="DR38" s="198">
        <f>Data!DR123</f>
        <v>0</v>
      </c>
      <c r="DS38" s="198">
        <f>Data!DS123</f>
        <v>0</v>
      </c>
      <c r="DT38" s="17">
        <f>SUM(DP38:DS38)</f>
        <v>0</v>
      </c>
      <c r="DU38" s="195">
        <f>Data!DU123</f>
        <v>0</v>
      </c>
      <c r="DV38" s="195">
        <f>Data!DV123</f>
        <v>0</v>
      </c>
    </row>
    <row r="39" spans="1:126" s="32" customFormat="1" ht="12.6" customHeight="1">
      <c r="B39" s="41" t="s">
        <v>624</v>
      </c>
      <c r="C39" s="17"/>
      <c r="D39" s="17"/>
      <c r="E39" s="17"/>
      <c r="F39" s="17"/>
      <c r="G39" s="17"/>
      <c r="H39" s="17"/>
      <c r="I39" s="17"/>
      <c r="J39" s="16"/>
      <c r="K39" s="16"/>
      <c r="L39" s="16"/>
      <c r="M39" s="177"/>
      <c r="N39" s="17"/>
      <c r="O39" s="16"/>
      <c r="P39" s="16"/>
      <c r="Q39" s="16"/>
      <c r="R39" s="177"/>
      <c r="S39" s="17"/>
      <c r="T39" s="16"/>
      <c r="U39" s="16"/>
      <c r="V39" s="16"/>
      <c r="W39" s="16"/>
      <c r="X39" s="17"/>
      <c r="Y39" s="16"/>
      <c r="Z39" s="16"/>
      <c r="AA39" s="16"/>
      <c r="AB39" s="16"/>
      <c r="AC39" s="17"/>
      <c r="AD39" s="16"/>
      <c r="AE39" s="16"/>
      <c r="AF39" s="16"/>
      <c r="AG39" s="16"/>
      <c r="AH39" s="17"/>
      <c r="AI39" s="16"/>
      <c r="AJ39" s="16"/>
      <c r="AK39" s="16"/>
      <c r="AL39" s="16"/>
      <c r="AM39" s="17"/>
      <c r="AN39" s="16"/>
      <c r="AO39" s="16"/>
      <c r="AP39" s="16"/>
      <c r="AQ39" s="16"/>
      <c r="AR39" s="17"/>
      <c r="AS39" s="16"/>
      <c r="AT39" s="16"/>
      <c r="AU39" s="16"/>
      <c r="AV39" s="16"/>
      <c r="AW39" s="17"/>
      <c r="AX39" s="16"/>
      <c r="AY39" s="16"/>
      <c r="AZ39" s="16"/>
      <c r="BA39" s="198"/>
      <c r="BB39" s="17"/>
      <c r="BC39" s="198"/>
      <c r="BD39" s="16"/>
      <c r="BE39" s="16"/>
      <c r="BF39" s="198"/>
      <c r="BG39" s="17"/>
      <c r="BH39" s="198"/>
      <c r="BI39" s="16"/>
      <c r="BJ39" s="16"/>
      <c r="BK39" s="198"/>
      <c r="BL39" s="17"/>
      <c r="BM39" s="198"/>
      <c r="BN39" s="16"/>
      <c r="BO39" s="16"/>
      <c r="BP39" s="198"/>
      <c r="BQ39" s="17"/>
      <c r="BR39" s="198"/>
      <c r="BS39" s="16"/>
      <c r="BT39" s="16"/>
      <c r="BU39" s="198"/>
      <c r="BV39" s="17"/>
      <c r="BW39" s="198"/>
      <c r="BX39" s="198"/>
      <c r="BY39" s="198"/>
      <c r="BZ39" s="198"/>
      <c r="CA39" s="17"/>
      <c r="CB39" s="198"/>
      <c r="CC39" s="198"/>
      <c r="CD39" s="198"/>
      <c r="CE39" s="198"/>
      <c r="CF39" s="17"/>
      <c r="CG39" s="198"/>
      <c r="CH39" s="198"/>
      <c r="CI39" s="198"/>
      <c r="CJ39" s="198"/>
      <c r="CK39" s="17"/>
      <c r="CL39" s="198"/>
      <c r="CM39" s="198"/>
      <c r="CN39" s="198"/>
      <c r="CO39" s="198"/>
      <c r="CP39" s="17"/>
      <c r="CQ39" s="198"/>
      <c r="CR39" s="198"/>
      <c r="CS39" s="198"/>
      <c r="CT39" s="198"/>
      <c r="CU39" s="17"/>
      <c r="CV39" s="198"/>
      <c r="CW39" s="198"/>
      <c r="CX39" s="198"/>
      <c r="CY39" s="198"/>
      <c r="CZ39" s="17"/>
      <c r="DA39" s="198">
        <f>(6291-BS!CY7)-53</f>
        <v>18</v>
      </c>
      <c r="DB39" s="198">
        <f>(5946-BS!DA7)-41</f>
        <v>12</v>
      </c>
      <c r="DC39" s="198">
        <v>0</v>
      </c>
      <c r="DD39" s="198">
        <v>0</v>
      </c>
      <c r="DE39" s="17">
        <f>SUM(DA39:DD39)</f>
        <v>30</v>
      </c>
      <c r="DF39" s="198">
        <v>0</v>
      </c>
      <c r="DG39" s="198">
        <f>39-47</f>
        <v>-8</v>
      </c>
      <c r="DH39" s="198">
        <v>-2</v>
      </c>
      <c r="DI39" s="198">
        <v>0</v>
      </c>
      <c r="DJ39" s="17">
        <f>SUM(DF39:DI39)</f>
        <v>-10</v>
      </c>
      <c r="DK39" s="198">
        <v>0</v>
      </c>
      <c r="DL39" s="198">
        <f>39-47</f>
        <v>-8</v>
      </c>
      <c r="DM39" s="198">
        <v>-2</v>
      </c>
      <c r="DN39" s="198">
        <v>0</v>
      </c>
      <c r="DO39" s="17">
        <f>SUM(DK39:DN39)</f>
        <v>-10</v>
      </c>
      <c r="DP39" s="198">
        <v>0</v>
      </c>
      <c r="DQ39" s="198">
        <v>0</v>
      </c>
      <c r="DR39" s="198">
        <v>0</v>
      </c>
      <c r="DS39" s="198">
        <v>0</v>
      </c>
      <c r="DT39" s="17">
        <f>SUM(DP39:DS39)</f>
        <v>0</v>
      </c>
      <c r="DU39" s="195"/>
      <c r="DV39" s="195"/>
    </row>
    <row r="40" spans="1:126" s="32" customFormat="1" ht="12.6" customHeight="1">
      <c r="B40" s="41" t="s">
        <v>141</v>
      </c>
      <c r="C40" s="17"/>
      <c r="D40" s="17"/>
      <c r="E40" s="17"/>
      <c r="F40" s="17"/>
      <c r="G40" s="17"/>
      <c r="H40" s="17"/>
      <c r="I40" s="17"/>
      <c r="J40" s="16"/>
      <c r="K40" s="16"/>
      <c r="L40" s="16"/>
      <c r="M40" s="177"/>
      <c r="N40" s="17"/>
      <c r="O40" s="16"/>
      <c r="P40" s="16"/>
      <c r="Q40" s="16"/>
      <c r="R40" s="177"/>
      <c r="S40" s="17"/>
      <c r="T40" s="16"/>
      <c r="U40" s="16"/>
      <c r="V40" s="16"/>
      <c r="W40" s="16"/>
      <c r="X40" s="17"/>
      <c r="Y40" s="16"/>
      <c r="Z40" s="16"/>
      <c r="AA40" s="16"/>
      <c r="AB40" s="16"/>
      <c r="AC40" s="17"/>
      <c r="AD40" s="16"/>
      <c r="AE40" s="16"/>
      <c r="AF40" s="16"/>
      <c r="AG40" s="16"/>
      <c r="AH40" s="17"/>
      <c r="AI40" s="16"/>
      <c r="AJ40" s="16"/>
      <c r="AK40" s="16"/>
      <c r="AL40" s="16"/>
      <c r="AM40" s="17"/>
      <c r="AN40" s="16"/>
      <c r="AO40" s="16"/>
      <c r="AP40" s="16"/>
      <c r="AQ40" s="16"/>
      <c r="AR40" s="17"/>
      <c r="AS40" s="16"/>
      <c r="AT40" s="16"/>
      <c r="AU40" s="16"/>
      <c r="AV40" s="16"/>
      <c r="AW40" s="17"/>
      <c r="AX40" s="16"/>
      <c r="AY40" s="16"/>
      <c r="AZ40" s="16"/>
      <c r="BA40" s="198"/>
      <c r="BB40" s="17"/>
      <c r="BC40" s="198"/>
      <c r="BD40" s="16"/>
      <c r="BE40" s="16"/>
      <c r="BF40" s="198"/>
      <c r="BG40" s="17"/>
      <c r="BH40" s="198"/>
      <c r="BI40" s="16"/>
      <c r="BJ40" s="16"/>
      <c r="BK40" s="198"/>
      <c r="BL40" s="17"/>
      <c r="BM40" s="198"/>
      <c r="BN40" s="16"/>
      <c r="BO40" s="16"/>
      <c r="BP40" s="198"/>
      <c r="BQ40" s="17"/>
      <c r="BR40" s="198"/>
      <c r="BS40" s="16"/>
      <c r="BT40" s="16"/>
      <c r="BU40" s="198"/>
      <c r="BV40" s="17"/>
      <c r="BW40" s="198"/>
      <c r="BX40" s="198"/>
      <c r="BY40" s="16"/>
      <c r="BZ40" s="198"/>
      <c r="CA40" s="17"/>
      <c r="CB40" s="198"/>
      <c r="CC40" s="198"/>
      <c r="CD40" s="16"/>
      <c r="CE40" s="198"/>
      <c r="CF40" s="17">
        <f>SUM(CB40:CE40)</f>
        <v>0</v>
      </c>
      <c r="CG40" s="198">
        <f>+Data!CG124</f>
        <v>0</v>
      </c>
      <c r="CH40" s="198">
        <f>+Data!CH124-CG40</f>
        <v>0</v>
      </c>
      <c r="CI40" s="198">
        <f>+Data!CI124-CH40-CG40</f>
        <v>0</v>
      </c>
      <c r="CJ40" s="198">
        <f>+Data!CJ124-CI40-CH40-CG40</f>
        <v>0</v>
      </c>
      <c r="CK40" s="17">
        <f>SUM(CG40:CJ40)</f>
        <v>0</v>
      </c>
      <c r="CL40" s="198">
        <f>Data!CL124</f>
        <v>-95</v>
      </c>
      <c r="CM40" s="198">
        <f>Data!CM124</f>
        <v>9</v>
      </c>
      <c r="CN40" s="198">
        <f>Data!CN124</f>
        <v>21</v>
      </c>
      <c r="CO40" s="198">
        <f>Data!CO124</f>
        <v>43</v>
      </c>
      <c r="CP40" s="17">
        <f>SUM(CL40:CO40)</f>
        <v>-22</v>
      </c>
      <c r="CQ40" s="198">
        <f>Data!CQ124</f>
        <v>23</v>
      </c>
      <c r="CR40" s="198">
        <f>Data!CR124</f>
        <v>56</v>
      </c>
      <c r="CS40" s="198">
        <f>Data!CS124</f>
        <v>-65</v>
      </c>
      <c r="CT40" s="198">
        <f>Data!CT124</f>
        <v>-11</v>
      </c>
      <c r="CU40" s="17">
        <f>SUM(CQ40:CT40)</f>
        <v>3</v>
      </c>
      <c r="CV40" s="198">
        <f>Data!CV124</f>
        <v>15</v>
      </c>
      <c r="CW40" s="198">
        <f>Data!CW124</f>
        <v>-79</v>
      </c>
      <c r="CX40" s="198">
        <f>Data!CX124</f>
        <v>-37</v>
      </c>
      <c r="CY40" s="198">
        <f>Data!CY124</f>
        <v>15</v>
      </c>
      <c r="CZ40" s="17">
        <f>SUM(CV40:CY40)</f>
        <v>-86</v>
      </c>
      <c r="DA40" s="198">
        <f>Data!DA124</f>
        <v>1</v>
      </c>
      <c r="DB40" s="198">
        <f>Data!DB124</f>
        <v>18</v>
      </c>
      <c r="DC40" s="198">
        <f>Data!DC124</f>
        <v>-15</v>
      </c>
      <c r="DD40" s="198">
        <f>Data!DD124</f>
        <v>14</v>
      </c>
      <c r="DE40" s="17">
        <f>SUM(DA40:DD40)</f>
        <v>18</v>
      </c>
      <c r="DF40" s="198">
        <f>Data!DF124</f>
        <v>-8</v>
      </c>
      <c r="DG40" s="198">
        <f>Data!DG124</f>
        <v>-4</v>
      </c>
      <c r="DH40" s="198">
        <f>Data!DH124</f>
        <v>23</v>
      </c>
      <c r="DI40" s="198">
        <f>Data!DI124</f>
        <v>-39</v>
      </c>
      <c r="DJ40" s="17">
        <f>SUM(DF40:DI40)</f>
        <v>-28</v>
      </c>
      <c r="DK40" s="198">
        <f>Data!DK124</f>
        <v>16</v>
      </c>
      <c r="DL40" s="198">
        <f>Data!DL124</f>
        <v>38</v>
      </c>
      <c r="DM40" s="198">
        <f>Data!DM124</f>
        <v>-10</v>
      </c>
      <c r="DN40" s="198">
        <f>Data!DN124</f>
        <v>0</v>
      </c>
      <c r="DO40" s="17">
        <f>SUM(DK40:DN40)</f>
        <v>44</v>
      </c>
      <c r="DP40" s="198">
        <f>Data!DP124</f>
        <v>0</v>
      </c>
      <c r="DQ40" s="198">
        <f>Data!DQ124</f>
        <v>0</v>
      </c>
      <c r="DR40" s="198">
        <f>Data!DR124</f>
        <v>0</v>
      </c>
      <c r="DS40" s="198">
        <f>Data!DS124</f>
        <v>0</v>
      </c>
      <c r="DT40" s="17">
        <f>SUM(DP40:DS40)</f>
        <v>0</v>
      </c>
      <c r="DU40" s="195">
        <f>Data!DU124</f>
        <v>0</v>
      </c>
      <c r="DV40" s="195">
        <f>Data!DV124</f>
        <v>0</v>
      </c>
    </row>
    <row r="41" spans="1:126" s="32" customFormat="1" ht="12.6" customHeight="1">
      <c r="B41" s="37" t="s">
        <v>64</v>
      </c>
      <c r="C41" s="75"/>
      <c r="D41" s="75"/>
      <c r="E41" s="75"/>
      <c r="F41" s="75"/>
      <c r="G41" s="75"/>
      <c r="H41" s="75"/>
      <c r="I41" s="75"/>
      <c r="J41" s="76"/>
      <c r="K41" s="76"/>
      <c r="L41" s="76"/>
      <c r="M41" s="76"/>
      <c r="N41" s="75"/>
      <c r="O41" s="76"/>
      <c r="P41" s="76"/>
      <c r="Q41" s="76"/>
      <c r="R41" s="76"/>
      <c r="S41" s="75"/>
      <c r="T41" s="76"/>
      <c r="U41" s="76"/>
      <c r="V41" s="76"/>
      <c r="W41" s="76"/>
      <c r="X41" s="75"/>
      <c r="Y41" s="76"/>
      <c r="Z41" s="76"/>
      <c r="AA41" s="76"/>
      <c r="AB41" s="76"/>
      <c r="AC41" s="75"/>
      <c r="AD41" s="76"/>
      <c r="AE41" s="76"/>
      <c r="AF41" s="76"/>
      <c r="AG41" s="76"/>
      <c r="AH41" s="75"/>
      <c r="AI41" s="76"/>
      <c r="AJ41" s="76"/>
      <c r="AK41" s="76"/>
      <c r="AL41" s="76"/>
      <c r="AM41" s="75"/>
      <c r="AN41" s="76"/>
      <c r="AO41" s="76"/>
      <c r="AP41" s="76"/>
      <c r="AQ41" s="76"/>
      <c r="AR41" s="75"/>
      <c r="AS41" s="76"/>
      <c r="AT41" s="76"/>
      <c r="AU41" s="76"/>
      <c r="AV41" s="76"/>
      <c r="AW41" s="75"/>
      <c r="AX41" s="76"/>
      <c r="AY41" s="76"/>
      <c r="AZ41" s="76"/>
      <c r="BA41" s="76"/>
      <c r="BB41" s="75"/>
      <c r="BC41" s="76"/>
      <c r="BD41" s="76"/>
      <c r="BE41" s="76"/>
      <c r="BF41" s="76"/>
      <c r="BG41" s="75"/>
      <c r="BH41" s="76"/>
      <c r="BI41" s="76"/>
      <c r="BJ41" s="76"/>
      <c r="BK41" s="76"/>
      <c r="BL41" s="75"/>
      <c r="BM41" s="76"/>
      <c r="BN41" s="76"/>
      <c r="BO41" s="76"/>
      <c r="BP41" s="76"/>
      <c r="BQ41" s="75"/>
      <c r="BR41" s="76"/>
      <c r="BS41" s="76"/>
      <c r="BT41" s="76"/>
      <c r="BU41" s="76"/>
      <c r="BV41" s="75"/>
      <c r="BW41" s="76"/>
      <c r="BX41" s="76"/>
      <c r="BY41" s="76"/>
      <c r="BZ41" s="76"/>
      <c r="CA41" s="75"/>
      <c r="CB41" s="76"/>
      <c r="CC41" s="76"/>
      <c r="CD41" s="76"/>
      <c r="CE41" s="76"/>
      <c r="CF41" s="75">
        <f>CF23+CF30+CF37+CF38+CF40</f>
        <v>859.76800000000003</v>
      </c>
      <c r="CG41" s="76">
        <f>CG23+CG30+CG37+CG38+CG40</f>
        <v>151.3125</v>
      </c>
      <c r="CH41" s="76">
        <f>CH23+CH30+CH37+CH38+CH40</f>
        <v>633.3125</v>
      </c>
      <c r="CI41" s="76">
        <f>CI23+CI30+CI37+CI38+CI40</f>
        <v>-111.82249999999976</v>
      </c>
      <c r="CJ41" s="76">
        <f>CJ23+CJ30+CJ37+CJ38+CJ40</f>
        <v>-489.82249999999976</v>
      </c>
      <c r="CK41" s="75">
        <f>SUM(CI23:CJ23,CI30:CJ30,CI37:CJ37)</f>
        <v>-601.64499999999953</v>
      </c>
      <c r="CL41" s="76">
        <f t="shared" ref="CL41:CZ41" si="99">CL23+CL30+CL37+CL38+CL40</f>
        <v>1229.2627830000001</v>
      </c>
      <c r="CM41" s="76">
        <f t="shared" si="99"/>
        <v>-1632.2627830000001</v>
      </c>
      <c r="CN41" s="76">
        <f t="shared" si="99"/>
        <v>3015</v>
      </c>
      <c r="CO41" s="76">
        <f t="shared" si="99"/>
        <v>-1200</v>
      </c>
      <c r="CP41" s="75">
        <f t="shared" si="99"/>
        <v>1412</v>
      </c>
      <c r="CQ41" s="76">
        <f t="shared" si="99"/>
        <v>-216</v>
      </c>
      <c r="CR41" s="76">
        <f t="shared" si="99"/>
        <v>-536</v>
      </c>
      <c r="CS41" s="76">
        <f t="shared" si="99"/>
        <v>-574</v>
      </c>
      <c r="CT41" s="76">
        <f t="shared" si="99"/>
        <v>351</v>
      </c>
      <c r="CU41" s="75">
        <f t="shared" si="99"/>
        <v>-975</v>
      </c>
      <c r="CV41" s="76">
        <f t="shared" si="99"/>
        <v>-1772</v>
      </c>
      <c r="CW41" s="76">
        <f t="shared" si="99"/>
        <v>-1293</v>
      </c>
      <c r="CX41" s="76">
        <f t="shared" si="99"/>
        <v>603</v>
      </c>
      <c r="CY41" s="76">
        <f t="shared" si="99"/>
        <v>856</v>
      </c>
      <c r="CZ41" s="75">
        <f t="shared" si="99"/>
        <v>-1606</v>
      </c>
      <c r="DA41" s="76">
        <f>DA23+DA30+DA37+DA38+DA40+DA39</f>
        <v>-327</v>
      </c>
      <c r="DB41" s="76">
        <f t="shared" ref="DB41:DD41" si="100">DB23+DB30+DB37+DB38+DB40+DB39</f>
        <v>-502</v>
      </c>
      <c r="DC41" s="76">
        <f t="shared" si="100"/>
        <v>65</v>
      </c>
      <c r="DD41" s="76">
        <f t="shared" si="100"/>
        <v>1129</v>
      </c>
      <c r="DE41" s="75">
        <f>DE23+DE30+DE37+DE38+DE40+DE39</f>
        <v>365</v>
      </c>
      <c r="DF41" s="76">
        <f>DF23+DF30+DF37+DF38+DF40+DF39</f>
        <v>-980</v>
      </c>
      <c r="DG41" s="76">
        <f t="shared" ref="DG41:DI41" si="101">DG23+DG30+DG37+DG38+DG40+DG39</f>
        <v>404</v>
      </c>
      <c r="DH41" s="76">
        <f t="shared" si="101"/>
        <v>671</v>
      </c>
      <c r="DI41" s="76">
        <f t="shared" si="101"/>
        <v>-1125</v>
      </c>
      <c r="DJ41" s="75">
        <f>DJ23+DJ30+DJ37+DJ38+DJ40+DJ39</f>
        <v>-1030</v>
      </c>
      <c r="DK41" s="76">
        <f>DK23+DK30+DK37+DK38+DK40+DK39</f>
        <v>-413</v>
      </c>
      <c r="DL41" s="76">
        <f t="shared" ref="DL41:DM41" si="102">DL23+DL30+DL37+DL38+DL40+DL39</f>
        <v>-374</v>
      </c>
      <c r="DM41" s="76">
        <f t="shared" si="102"/>
        <v>1175</v>
      </c>
      <c r="DN41" s="76">
        <f t="shared" ref="DN41" si="103">DN23+DN30+DN37+DN38+DN40+DN39</f>
        <v>1868.6079999999997</v>
      </c>
      <c r="DO41" s="75">
        <f>DO23+DO30+DO37+DO38+DO40+DO39</f>
        <v>2256.6080000000002</v>
      </c>
      <c r="DP41" s="76">
        <f t="shared" ref="DP41" si="104">DP23+DP30+DP37+DP38+DP40+DP39</f>
        <v>-573.03200000000015</v>
      </c>
      <c r="DQ41" s="76">
        <f t="shared" ref="DQ41:DS41" si="105">DQ23+DQ30+DQ37+DQ38+DQ40+DQ39</f>
        <v>-293.0912000000003</v>
      </c>
      <c r="DR41" s="76">
        <f t="shared" si="105"/>
        <v>240.64879999999994</v>
      </c>
      <c r="DS41" s="76">
        <f t="shared" si="105"/>
        <v>1810.3887999999997</v>
      </c>
      <c r="DT41" s="75">
        <f>DT23+DT30+DT37+DT38+DT40+DT39</f>
        <v>1184.9143999999997</v>
      </c>
      <c r="DU41" s="75">
        <f>DU23+DU30+DU37+DU38+DU40</f>
        <v>831.52103999999963</v>
      </c>
      <c r="DV41" s="75">
        <f>DV23+DV30+DV37+DV38+DV40</f>
        <v>584.45354399999815</v>
      </c>
    </row>
    <row r="42" spans="1:126" s="32" customFormat="1" ht="12.6" customHeight="1">
      <c r="B42" s="3" t="s">
        <v>65</v>
      </c>
      <c r="C42" s="17"/>
      <c r="D42" s="17"/>
      <c r="E42" s="17"/>
      <c r="F42" s="17"/>
      <c r="G42" s="17"/>
      <c r="H42" s="17"/>
      <c r="I42" s="17"/>
      <c r="J42" s="16"/>
      <c r="K42" s="16"/>
      <c r="L42" s="16"/>
      <c r="M42" s="16"/>
      <c r="N42" s="366"/>
      <c r="O42" s="16"/>
      <c r="P42" s="16"/>
      <c r="Q42" s="16"/>
      <c r="R42" s="16"/>
      <c r="S42" s="17"/>
      <c r="T42" s="16"/>
      <c r="U42" s="16"/>
      <c r="V42" s="16"/>
      <c r="W42" s="16"/>
      <c r="X42" s="17"/>
      <c r="Y42" s="16"/>
      <c r="Z42" s="16"/>
      <c r="AA42" s="16"/>
      <c r="AB42" s="16"/>
      <c r="AC42" s="17"/>
      <c r="AD42" s="16"/>
      <c r="AE42" s="16"/>
      <c r="AF42" s="16"/>
      <c r="AG42" s="16"/>
      <c r="AH42" s="17"/>
      <c r="AI42" s="16"/>
      <c r="AJ42" s="16"/>
      <c r="AK42" s="16"/>
      <c r="AL42" s="16"/>
      <c r="AM42" s="17"/>
      <c r="AN42" s="16"/>
      <c r="AO42" s="16"/>
      <c r="AP42" s="16"/>
      <c r="AQ42" s="16"/>
      <c r="AR42" s="17"/>
      <c r="AS42" s="16"/>
      <c r="AT42" s="16"/>
      <c r="AU42" s="16"/>
      <c r="AV42" s="16"/>
      <c r="AW42" s="17"/>
      <c r="AX42" s="16"/>
      <c r="AY42" s="16"/>
      <c r="AZ42" s="16"/>
      <c r="BA42" s="198"/>
      <c r="BB42" s="17"/>
      <c r="BC42" s="198"/>
      <c r="BD42" s="16"/>
      <c r="BE42" s="16"/>
      <c r="BF42" s="198"/>
      <c r="BG42" s="17"/>
      <c r="BH42" s="16"/>
      <c r="BI42" s="16"/>
      <c r="BJ42" s="16"/>
      <c r="BK42" s="16"/>
      <c r="BL42" s="17"/>
      <c r="BM42" s="16"/>
      <c r="BN42" s="16"/>
      <c r="BO42" s="16"/>
      <c r="BP42" s="198"/>
      <c r="BQ42" s="17"/>
      <c r="BR42" s="16"/>
      <c r="BS42" s="16"/>
      <c r="BT42" s="16"/>
      <c r="BU42" s="198"/>
      <c r="BV42" s="17"/>
      <c r="BW42" s="16"/>
      <c r="BX42" s="198"/>
      <c r="BY42" s="16"/>
      <c r="BZ42" s="198"/>
      <c r="CA42" s="17"/>
      <c r="CB42" s="198"/>
      <c r="CC42" s="198"/>
      <c r="CD42" s="16"/>
      <c r="CE42" s="198"/>
      <c r="CF42" s="17"/>
      <c r="CG42" s="16"/>
      <c r="CH42" s="16"/>
      <c r="CI42" s="198"/>
      <c r="CJ42" s="198"/>
      <c r="CK42" s="17">
        <f>BS!CK53</f>
        <v>4937</v>
      </c>
      <c r="CL42" s="16">
        <f>CL43-CL41</f>
        <v>7572.7372169999999</v>
      </c>
      <c r="CM42" s="16">
        <f>CM43-CM41</f>
        <v>10434.262783</v>
      </c>
      <c r="CN42" s="16">
        <f>CN43-CN41</f>
        <v>5787</v>
      </c>
      <c r="CO42" s="16">
        <f>CO43-CO41</f>
        <v>10002</v>
      </c>
      <c r="CP42" s="17">
        <f>CP43-CP41</f>
        <v>7390</v>
      </c>
      <c r="CQ42" s="16">
        <f t="shared" ref="CQ42:CR42" si="106">+CP43</f>
        <v>8802</v>
      </c>
      <c r="CR42" s="198">
        <f t="shared" si="106"/>
        <v>8586</v>
      </c>
      <c r="CS42" s="16">
        <f t="shared" ref="CS42" si="107">+CR43</f>
        <v>8050</v>
      </c>
      <c r="CT42" s="16">
        <f t="shared" ref="CT42" si="108">+CS43</f>
        <v>7476</v>
      </c>
      <c r="CU42" s="17">
        <f>CP43</f>
        <v>8802</v>
      </c>
      <c r="CV42" s="198">
        <f t="shared" ref="CV42:CX42" si="109">+CU43</f>
        <v>7827</v>
      </c>
      <c r="CW42" s="198">
        <f t="shared" si="109"/>
        <v>6055</v>
      </c>
      <c r="CX42" s="198">
        <f t="shared" si="109"/>
        <v>4762</v>
      </c>
      <c r="CY42" s="16">
        <f t="shared" ref="CY42" si="110">+CX43</f>
        <v>5365</v>
      </c>
      <c r="CZ42" s="17">
        <f>CU43</f>
        <v>7827</v>
      </c>
      <c r="DA42" s="16">
        <f t="shared" ref="DA42" si="111">+CZ43</f>
        <v>6221</v>
      </c>
      <c r="DB42" s="16">
        <f t="shared" ref="DB42" si="112">+DA43</f>
        <v>5894</v>
      </c>
      <c r="DC42" s="16">
        <f t="shared" ref="DC42" si="113">+DB43</f>
        <v>5392</v>
      </c>
      <c r="DD42" s="16">
        <f t="shared" ref="DD42" si="114">+DC43</f>
        <v>5457</v>
      </c>
      <c r="DE42" s="17">
        <f>CZ43</f>
        <v>6221</v>
      </c>
      <c r="DF42" s="16">
        <f t="shared" ref="DF42:DM42" si="115">+DE43</f>
        <v>6586</v>
      </c>
      <c r="DG42" s="16">
        <f t="shared" si="115"/>
        <v>5606</v>
      </c>
      <c r="DH42" s="16">
        <f t="shared" si="115"/>
        <v>6010</v>
      </c>
      <c r="DI42" s="16">
        <f t="shared" si="115"/>
        <v>6681</v>
      </c>
      <c r="DJ42" s="17">
        <f>DE43</f>
        <v>6586</v>
      </c>
      <c r="DK42" s="16">
        <f t="shared" si="115"/>
        <v>5556</v>
      </c>
      <c r="DL42" s="16">
        <f t="shared" si="115"/>
        <v>5143</v>
      </c>
      <c r="DM42" s="16">
        <f t="shared" si="115"/>
        <v>4769</v>
      </c>
      <c r="DN42" s="16">
        <f t="shared" ref="DN42" si="116">+DM43</f>
        <v>5944</v>
      </c>
      <c r="DO42" s="17">
        <f>DJ43</f>
        <v>5556</v>
      </c>
      <c r="DP42" s="16">
        <f t="shared" ref="DP42:DQ42" si="117">+DO43</f>
        <v>7812.6080000000002</v>
      </c>
      <c r="DQ42" s="16">
        <f t="shared" si="117"/>
        <v>7239.576</v>
      </c>
      <c r="DR42" s="16">
        <f t="shared" ref="DR42" si="118">+DQ43</f>
        <v>6946.4848000000002</v>
      </c>
      <c r="DS42" s="16">
        <f t="shared" ref="DS42" si="119">+DR43</f>
        <v>7187.1336000000001</v>
      </c>
      <c r="DT42" s="17">
        <f>DO43</f>
        <v>7812.6080000000002</v>
      </c>
      <c r="DU42" s="17">
        <f t="shared" ref="DU42:DV42" si="120">+DT43</f>
        <v>8997.5223999999998</v>
      </c>
      <c r="DV42" s="17">
        <f t="shared" si="120"/>
        <v>9829.0434399999995</v>
      </c>
    </row>
    <row r="43" spans="1:126" s="32" customFormat="1" ht="12.6" customHeight="1">
      <c r="B43" s="3" t="s">
        <v>66</v>
      </c>
      <c r="C43" s="17"/>
      <c r="D43" s="17"/>
      <c r="E43" s="17"/>
      <c r="F43" s="17"/>
      <c r="G43" s="17"/>
      <c r="H43" s="17"/>
      <c r="I43" s="17"/>
      <c r="J43" s="16"/>
      <c r="K43" s="16"/>
      <c r="L43" s="16"/>
      <c r="M43" s="16"/>
      <c r="N43" s="17"/>
      <c r="O43" s="16"/>
      <c r="P43" s="16"/>
      <c r="Q43" s="16"/>
      <c r="R43" s="16"/>
      <c r="S43" s="17"/>
      <c r="T43" s="16"/>
      <c r="U43" s="16"/>
      <c r="V43" s="16"/>
      <c r="W43" s="16"/>
      <c r="X43" s="17"/>
      <c r="Y43" s="16"/>
      <c r="Z43" s="16"/>
      <c r="AA43" s="16"/>
      <c r="AB43" s="16"/>
      <c r="AC43" s="17"/>
      <c r="AD43" s="16"/>
      <c r="AE43" s="16"/>
      <c r="AF43" s="16"/>
      <c r="AG43" s="16"/>
      <c r="AH43" s="17"/>
      <c r="AI43" s="16"/>
      <c r="AJ43" s="16"/>
      <c r="AK43" s="16"/>
      <c r="AL43" s="16"/>
      <c r="AM43" s="17"/>
      <c r="AN43" s="16"/>
      <c r="AO43" s="16"/>
      <c r="AP43" s="16"/>
      <c r="AQ43" s="16"/>
      <c r="AR43" s="17"/>
      <c r="AS43" s="16"/>
      <c r="AT43" s="16"/>
      <c r="AU43" s="16"/>
      <c r="AV43" s="16"/>
      <c r="AW43" s="17"/>
      <c r="AX43" s="16"/>
      <c r="AY43" s="16"/>
      <c r="AZ43" s="16"/>
      <c r="BA43" s="198"/>
      <c r="BB43" s="17"/>
      <c r="BC43" s="198"/>
      <c r="BD43" s="16"/>
      <c r="BE43" s="16"/>
      <c r="BF43" s="198"/>
      <c r="BG43" s="17"/>
      <c r="BH43" s="16"/>
      <c r="BI43" s="16"/>
      <c r="BJ43" s="16"/>
      <c r="BK43" s="16"/>
      <c r="BL43" s="17"/>
      <c r="BM43" s="16"/>
      <c r="BN43" s="16"/>
      <c r="BO43" s="16"/>
      <c r="BP43" s="198"/>
      <c r="BQ43" s="17"/>
      <c r="BR43" s="16"/>
      <c r="BS43" s="16"/>
      <c r="BT43" s="16"/>
      <c r="BU43" s="198"/>
      <c r="BV43" s="17"/>
      <c r="BW43" s="16"/>
      <c r="BX43" s="16"/>
      <c r="BY43" s="16"/>
      <c r="BZ43" s="198"/>
      <c r="CA43" s="17"/>
      <c r="CB43" s="198"/>
      <c r="CC43" s="198"/>
      <c r="CD43" s="16"/>
      <c r="CE43" s="198"/>
      <c r="CF43" s="17"/>
      <c r="CG43" s="16"/>
      <c r="CH43" s="16"/>
      <c r="CI43" s="198"/>
      <c r="CJ43" s="198"/>
      <c r="CK43" s="17">
        <f>CL42</f>
        <v>7572.7372169999999</v>
      </c>
      <c r="CL43" s="16">
        <f>CM43</f>
        <v>8802</v>
      </c>
      <c r="CM43" s="16">
        <f>CN43</f>
        <v>8802</v>
      </c>
      <c r="CN43" s="16">
        <f>CO43</f>
        <v>8802</v>
      </c>
      <c r="CO43" s="16">
        <f>CP43</f>
        <v>8802</v>
      </c>
      <c r="CP43" s="17">
        <f>BS!CP7</f>
        <v>8802</v>
      </c>
      <c r="CQ43" s="16">
        <f t="shared" ref="CQ43:CU43" si="121">CQ42+CQ41</f>
        <v>8586</v>
      </c>
      <c r="CR43" s="198">
        <f t="shared" ref="CR43" si="122">CR42+CR41</f>
        <v>8050</v>
      </c>
      <c r="CS43" s="16">
        <f t="shared" si="121"/>
        <v>7476</v>
      </c>
      <c r="CT43" s="16">
        <f t="shared" si="121"/>
        <v>7827</v>
      </c>
      <c r="CU43" s="17">
        <f t="shared" si="121"/>
        <v>7827</v>
      </c>
      <c r="CV43" s="198">
        <f t="shared" ref="CV43:CW43" si="123">CV42+CV41</f>
        <v>6055</v>
      </c>
      <c r="CW43" s="198">
        <f t="shared" si="123"/>
        <v>4762</v>
      </c>
      <c r="CX43" s="198">
        <f t="shared" ref="CX43" si="124">CX42+CX41</f>
        <v>5365</v>
      </c>
      <c r="CY43" s="16">
        <f t="shared" ref="CY43:CZ43" si="125">CY42+CY41</f>
        <v>6221</v>
      </c>
      <c r="CZ43" s="17">
        <f t="shared" si="125"/>
        <v>6221</v>
      </c>
      <c r="DA43" s="16">
        <f t="shared" ref="DA43:DE43" si="126">DA42+DA41</f>
        <v>5894</v>
      </c>
      <c r="DB43" s="16">
        <f t="shared" si="126"/>
        <v>5392</v>
      </c>
      <c r="DC43" s="16">
        <f t="shared" si="126"/>
        <v>5457</v>
      </c>
      <c r="DD43" s="16">
        <f t="shared" si="126"/>
        <v>6586</v>
      </c>
      <c r="DE43" s="17">
        <f t="shared" si="126"/>
        <v>6586</v>
      </c>
      <c r="DF43" s="16">
        <f>DF42+DF41</f>
        <v>5606</v>
      </c>
      <c r="DG43" s="16">
        <f>DG42+DG41</f>
        <v>6010</v>
      </c>
      <c r="DH43" s="16">
        <f t="shared" ref="DH43:DI43" si="127">DH42+DH41</f>
        <v>6681</v>
      </c>
      <c r="DI43" s="16">
        <f t="shared" si="127"/>
        <v>5556</v>
      </c>
      <c r="DJ43" s="17">
        <f t="shared" ref="DJ43" si="128">DJ42+DJ41</f>
        <v>5556</v>
      </c>
      <c r="DK43" s="16">
        <f>DK42+DK41</f>
        <v>5143</v>
      </c>
      <c r="DL43" s="16">
        <f>DL42+DL41</f>
        <v>4769</v>
      </c>
      <c r="DM43" s="16">
        <f t="shared" ref="DM43" si="129">DM42+DM41</f>
        <v>5944</v>
      </c>
      <c r="DN43" s="16">
        <f t="shared" ref="DN43:DP43" si="130">DN42+DN41</f>
        <v>7812.6080000000002</v>
      </c>
      <c r="DO43" s="17">
        <f t="shared" si="130"/>
        <v>7812.6080000000002</v>
      </c>
      <c r="DP43" s="16">
        <f t="shared" si="130"/>
        <v>7239.576</v>
      </c>
      <c r="DQ43" s="16">
        <f t="shared" ref="DQ43:DT43" si="131">DQ42+DQ41</f>
        <v>6946.4848000000002</v>
      </c>
      <c r="DR43" s="16">
        <f t="shared" si="131"/>
        <v>7187.1336000000001</v>
      </c>
      <c r="DS43" s="16">
        <f t="shared" si="131"/>
        <v>8997.5223999999998</v>
      </c>
      <c r="DT43" s="17">
        <f t="shared" si="131"/>
        <v>8997.5223999999998</v>
      </c>
      <c r="DU43" s="17">
        <f t="shared" ref="DU43:DV43" si="132">DU42+DU41</f>
        <v>9829.0434399999995</v>
      </c>
      <c r="DV43" s="17">
        <f t="shared" si="132"/>
        <v>10413.496983999998</v>
      </c>
    </row>
    <row r="44" spans="1:126" s="32" customFormat="1" ht="12" customHeight="1">
      <c r="C44" s="17"/>
      <c r="D44" s="17"/>
      <c r="E44" s="17"/>
      <c r="F44" s="17"/>
      <c r="G44" s="17"/>
      <c r="H44" s="17"/>
      <c r="I44" s="17"/>
      <c r="J44" s="16"/>
      <c r="K44" s="16"/>
      <c r="L44" s="16"/>
      <c r="M44" s="16"/>
      <c r="N44" s="17"/>
      <c r="O44" s="16"/>
      <c r="P44" s="16"/>
      <c r="Q44" s="16"/>
      <c r="R44" s="16"/>
      <c r="S44" s="17"/>
      <c r="T44" s="16"/>
      <c r="U44" s="16"/>
      <c r="V44" s="16"/>
      <c r="W44" s="16"/>
      <c r="X44" s="17"/>
      <c r="Y44" s="16"/>
      <c r="Z44" s="16"/>
      <c r="AA44" s="16"/>
      <c r="AB44" s="16"/>
      <c r="AC44" s="17"/>
      <c r="AD44" s="16"/>
      <c r="AE44" s="16"/>
      <c r="AF44" s="16"/>
      <c r="AG44" s="16"/>
      <c r="AH44" s="17"/>
      <c r="AI44" s="16"/>
      <c r="AJ44" s="16"/>
      <c r="AK44" s="16"/>
      <c r="AL44" s="16"/>
      <c r="AM44" s="17"/>
      <c r="AN44" s="16"/>
      <c r="AO44" s="16"/>
      <c r="AP44" s="16"/>
      <c r="AQ44" s="16"/>
      <c r="AR44" s="17"/>
      <c r="AS44" s="16"/>
      <c r="AT44" s="16"/>
      <c r="AU44" s="16"/>
      <c r="AV44" s="16"/>
      <c r="AW44" s="17"/>
      <c r="AX44" s="16"/>
      <c r="AY44" s="16"/>
      <c r="AZ44" s="16"/>
      <c r="BA44" s="448"/>
      <c r="BB44" s="17"/>
      <c r="BC44" s="455"/>
      <c r="BD44" s="16"/>
      <c r="BE44" s="16"/>
      <c r="BF44" s="353"/>
      <c r="BG44" s="17"/>
      <c r="BH44" s="353"/>
      <c r="BI44" s="353"/>
      <c r="BJ44" s="16"/>
      <c r="BK44" s="353"/>
      <c r="BL44" s="17"/>
      <c r="BM44" s="353"/>
      <c r="BN44" s="353"/>
      <c r="BO44" s="353"/>
      <c r="BP44" s="455"/>
      <c r="BQ44" s="17"/>
      <c r="BR44" s="353"/>
      <c r="BS44" s="353"/>
      <c r="BT44" s="353"/>
      <c r="BU44" s="353"/>
      <c r="BV44" s="17"/>
      <c r="BW44" s="353"/>
      <c r="BX44" s="353"/>
      <c r="BY44" s="353"/>
      <c r="BZ44" s="353"/>
      <c r="CA44" s="354"/>
      <c r="CB44" s="353"/>
      <c r="CC44" s="353"/>
      <c r="CD44" s="353"/>
      <c r="CE44" s="353"/>
      <c r="CF44" s="354"/>
      <c r="CG44" s="353"/>
      <c r="CH44" s="353"/>
      <c r="CI44" s="455"/>
      <c r="CJ44" s="353"/>
      <c r="CK44" s="354"/>
      <c r="CL44" s="353"/>
      <c r="CM44" s="353"/>
      <c r="CN44" s="353"/>
      <c r="CO44" s="353"/>
      <c r="CP44" s="354"/>
      <c r="CQ44" s="353"/>
      <c r="CR44" s="353"/>
      <c r="CS44" s="353"/>
      <c r="CT44" s="353"/>
      <c r="CU44" s="354"/>
      <c r="CV44" s="353"/>
      <c r="CW44" s="353"/>
      <c r="CX44" s="353"/>
      <c r="CY44" s="353"/>
      <c r="CZ44" s="354"/>
      <c r="DA44" s="353"/>
      <c r="DB44" s="353"/>
      <c r="DC44" s="353"/>
      <c r="DD44" s="353"/>
      <c r="DE44" s="354"/>
      <c r="DF44" s="353"/>
      <c r="DG44" s="353"/>
      <c r="DH44" s="353"/>
      <c r="DI44" s="353"/>
      <c r="DJ44" s="354"/>
      <c r="DK44" s="353"/>
      <c r="DL44" s="353"/>
      <c r="DM44" s="353"/>
      <c r="DN44" s="353"/>
      <c r="DO44" s="354"/>
      <c r="DP44" s="353"/>
      <c r="DQ44" s="353"/>
      <c r="DR44" s="353"/>
      <c r="DS44" s="353"/>
      <c r="DT44" s="354"/>
      <c r="DU44" s="354"/>
      <c r="DV44" s="354"/>
    </row>
    <row r="45" spans="1:126" s="32" customFormat="1" ht="12.6" customHeight="1">
      <c r="B45" s="3" t="s">
        <v>102</v>
      </c>
      <c r="C45" s="17"/>
      <c r="D45" s="17"/>
      <c r="E45" s="17"/>
      <c r="F45" s="17"/>
      <c r="G45" s="17"/>
      <c r="H45" s="17"/>
      <c r="I45" s="17"/>
      <c r="J45" s="16"/>
      <c r="K45" s="16"/>
      <c r="L45" s="16"/>
      <c r="M45" s="16"/>
      <c r="N45" s="17"/>
      <c r="O45" s="16"/>
      <c r="P45" s="16"/>
      <c r="Q45" s="16"/>
      <c r="R45" s="16"/>
      <c r="S45" s="17"/>
      <c r="T45" s="16"/>
      <c r="U45" s="16"/>
      <c r="V45" s="16"/>
      <c r="W45" s="16"/>
      <c r="X45" s="17"/>
      <c r="Y45" s="16"/>
      <c r="Z45" s="16"/>
      <c r="AA45" s="16"/>
      <c r="AB45" s="16"/>
      <c r="AC45" s="17"/>
      <c r="AD45" s="16"/>
      <c r="AE45" s="16"/>
      <c r="AF45" s="16"/>
      <c r="AG45" s="16"/>
      <c r="AH45" s="17"/>
      <c r="AI45" s="16"/>
      <c r="AJ45" s="16"/>
      <c r="AK45" s="16"/>
      <c r="AL45" s="16"/>
      <c r="AM45" s="17"/>
      <c r="AN45" s="16"/>
      <c r="AO45" s="16"/>
      <c r="AP45" s="16"/>
      <c r="AQ45" s="16"/>
      <c r="AR45" s="17"/>
      <c r="AS45" s="16"/>
      <c r="AT45" s="16"/>
      <c r="AU45" s="16"/>
      <c r="AV45" s="16"/>
      <c r="AW45" s="17"/>
      <c r="AX45" s="16"/>
      <c r="AY45" s="16"/>
      <c r="AZ45" s="16"/>
      <c r="BA45" s="198"/>
      <c r="BB45" s="17"/>
      <c r="BC45" s="198"/>
      <c r="BD45" s="16"/>
      <c r="BE45" s="16"/>
      <c r="BF45" s="16"/>
      <c r="BG45" s="17"/>
      <c r="BH45" s="16"/>
      <c r="BI45" s="16"/>
      <c r="BJ45" s="16"/>
      <c r="BK45" s="16"/>
      <c r="BL45" s="17"/>
      <c r="BM45" s="16"/>
      <c r="BN45" s="16"/>
      <c r="BO45" s="16"/>
      <c r="BP45" s="198"/>
      <c r="BQ45" s="17"/>
      <c r="BR45" s="16"/>
      <c r="BS45" s="16"/>
      <c r="BT45" s="16"/>
      <c r="BU45" s="16"/>
      <c r="BV45" s="17"/>
      <c r="BW45" s="16"/>
      <c r="BX45" s="16"/>
      <c r="BY45" s="16"/>
      <c r="BZ45" s="16"/>
      <c r="CA45" s="17"/>
      <c r="CB45" s="16"/>
      <c r="CC45" s="16"/>
      <c r="CD45" s="16"/>
      <c r="CE45" s="16"/>
      <c r="CF45" s="17">
        <f t="shared" ref="CF45:DE45" si="133">CF23</f>
        <v>7616</v>
      </c>
      <c r="CG45" s="16">
        <f t="shared" si="133"/>
        <v>2393.75</v>
      </c>
      <c r="CH45" s="16">
        <f t="shared" si="133"/>
        <v>2393.75</v>
      </c>
      <c r="CI45" s="198">
        <f t="shared" si="133"/>
        <v>2393.75</v>
      </c>
      <c r="CJ45" s="16">
        <f t="shared" si="133"/>
        <v>2393.75</v>
      </c>
      <c r="CK45" s="17">
        <f t="shared" si="133"/>
        <v>9575</v>
      </c>
      <c r="CL45" s="16">
        <f t="shared" si="133"/>
        <v>1132</v>
      </c>
      <c r="CM45" s="16">
        <f t="shared" si="133"/>
        <v>210</v>
      </c>
      <c r="CN45" s="16">
        <f t="shared" si="133"/>
        <v>1622</v>
      </c>
      <c r="CO45" s="16">
        <f t="shared" si="133"/>
        <v>1370</v>
      </c>
      <c r="CP45" s="17">
        <f t="shared" si="133"/>
        <v>4334</v>
      </c>
      <c r="CQ45" s="16">
        <f t="shared" si="133"/>
        <v>723</v>
      </c>
      <c r="CR45" s="16">
        <f t="shared" si="133"/>
        <v>1326</v>
      </c>
      <c r="CS45" s="16">
        <f t="shared" si="133"/>
        <v>1932</v>
      </c>
      <c r="CT45" s="16">
        <f t="shared" si="133"/>
        <v>3161</v>
      </c>
      <c r="CU45" s="17">
        <f t="shared" si="133"/>
        <v>7142</v>
      </c>
      <c r="CV45" s="16">
        <f t="shared" si="133"/>
        <v>476</v>
      </c>
      <c r="CW45" s="16">
        <f t="shared" si="133"/>
        <v>1286</v>
      </c>
      <c r="CX45" s="16">
        <f t="shared" si="133"/>
        <v>778</v>
      </c>
      <c r="CY45" s="16">
        <f t="shared" si="133"/>
        <v>4628</v>
      </c>
      <c r="CZ45" s="17">
        <f t="shared" si="133"/>
        <v>7168</v>
      </c>
      <c r="DA45" s="16">
        <f t="shared" si="133"/>
        <v>-863</v>
      </c>
      <c r="DB45" s="16">
        <f t="shared" si="133"/>
        <v>719</v>
      </c>
      <c r="DC45" s="16">
        <f t="shared" si="133"/>
        <v>3316</v>
      </c>
      <c r="DD45" s="16">
        <f t="shared" si="133"/>
        <v>4711</v>
      </c>
      <c r="DE45" s="17">
        <f t="shared" si="133"/>
        <v>7883</v>
      </c>
      <c r="DF45" s="16">
        <f t="shared" ref="DF45:DI45" si="134">DF23</f>
        <v>342</v>
      </c>
      <c r="DG45" s="16">
        <f t="shared" si="134"/>
        <v>2733</v>
      </c>
      <c r="DH45" s="16">
        <f t="shared" si="134"/>
        <v>2523</v>
      </c>
      <c r="DI45" s="16">
        <f t="shared" si="134"/>
        <v>1561</v>
      </c>
      <c r="DJ45" s="17">
        <f t="shared" ref="DJ45:DM45" si="135">DJ23</f>
        <v>7159</v>
      </c>
      <c r="DK45" s="16">
        <f t="shared" si="135"/>
        <v>1305</v>
      </c>
      <c r="DL45" s="16">
        <f t="shared" si="135"/>
        <v>458</v>
      </c>
      <c r="DM45" s="16">
        <f t="shared" si="135"/>
        <v>4639</v>
      </c>
      <c r="DN45" s="16">
        <f t="shared" ref="DN45:DP45" si="136">DN23</f>
        <v>3728</v>
      </c>
      <c r="DO45" s="17">
        <f t="shared" si="136"/>
        <v>10130</v>
      </c>
      <c r="DP45" s="16">
        <f t="shared" si="136"/>
        <v>1400</v>
      </c>
      <c r="DQ45" s="16">
        <f t="shared" ref="DQ45:DT45" si="137">DQ23</f>
        <v>1800</v>
      </c>
      <c r="DR45" s="16">
        <f t="shared" si="137"/>
        <v>2900</v>
      </c>
      <c r="DS45" s="16">
        <f t="shared" si="137"/>
        <v>4756</v>
      </c>
      <c r="DT45" s="17">
        <f t="shared" si="137"/>
        <v>10856</v>
      </c>
      <c r="DU45" s="17">
        <f t="shared" ref="DU45" si="138">DU23</f>
        <v>11996</v>
      </c>
      <c r="DV45" s="17">
        <f t="shared" ref="DV45" si="139">DV23</f>
        <v>12670</v>
      </c>
    </row>
    <row r="46" spans="1:126" s="32" customFormat="1" ht="12.6" customHeight="1">
      <c r="B46" s="3" t="s">
        <v>103</v>
      </c>
      <c r="C46" s="17"/>
      <c r="D46" s="17"/>
      <c r="E46" s="17"/>
      <c r="F46" s="17"/>
      <c r="G46" s="17"/>
      <c r="H46" s="17"/>
      <c r="I46" s="17"/>
      <c r="J46" s="16"/>
      <c r="K46" s="16"/>
      <c r="L46" s="16"/>
      <c r="M46" s="16"/>
      <c r="N46" s="17"/>
      <c r="O46" s="16"/>
      <c r="P46" s="16"/>
      <c r="Q46" s="16"/>
      <c r="R46" s="16"/>
      <c r="S46" s="17"/>
      <c r="T46" s="16"/>
      <c r="U46" s="16"/>
      <c r="V46" s="16"/>
      <c r="W46" s="16"/>
      <c r="X46" s="17"/>
      <c r="Y46" s="16"/>
      <c r="Z46" s="16"/>
      <c r="AA46" s="16"/>
      <c r="AB46" s="16"/>
      <c r="AC46" s="17"/>
      <c r="AD46" s="16"/>
      <c r="AE46" s="16"/>
      <c r="AF46" s="16"/>
      <c r="AG46" s="16"/>
      <c r="AH46" s="17"/>
      <c r="AI46" s="16"/>
      <c r="AJ46" s="16"/>
      <c r="AK46" s="16"/>
      <c r="AL46" s="16"/>
      <c r="AM46" s="17"/>
      <c r="AN46" s="16"/>
      <c r="AO46" s="16"/>
      <c r="AP46" s="16"/>
      <c r="AQ46" s="16"/>
      <c r="AR46" s="17"/>
      <c r="AS46" s="16"/>
      <c r="AT46" s="16"/>
      <c r="AU46" s="16"/>
      <c r="AV46" s="16"/>
      <c r="AW46" s="17"/>
      <c r="AX46" s="16"/>
      <c r="AY46" s="16"/>
      <c r="AZ46" s="16"/>
      <c r="BA46" s="198"/>
      <c r="BB46" s="17"/>
      <c r="BC46" s="198"/>
      <c r="BD46" s="16"/>
      <c r="BE46" s="16"/>
      <c r="BF46" s="16"/>
      <c r="BG46" s="17"/>
      <c r="BH46" s="16"/>
      <c r="BI46" s="16"/>
      <c r="BJ46" s="16"/>
      <c r="BK46" s="16"/>
      <c r="BL46" s="17"/>
      <c r="BM46" s="16"/>
      <c r="BN46" s="16"/>
      <c r="BO46" s="16"/>
      <c r="BP46" s="198"/>
      <c r="BQ46" s="17"/>
      <c r="BR46" s="16"/>
      <c r="BS46" s="16"/>
      <c r="BT46" s="16"/>
      <c r="BU46" s="16"/>
      <c r="BV46" s="17"/>
      <c r="BW46" s="16"/>
      <c r="BX46" s="16"/>
      <c r="BY46" s="16"/>
      <c r="BZ46" s="16"/>
      <c r="CA46" s="17"/>
      <c r="CB46" s="16"/>
      <c r="CC46" s="16"/>
      <c r="CD46" s="16"/>
      <c r="CE46" s="16"/>
      <c r="CF46" s="17">
        <f t="shared" ref="CF46:DE46" si="140">CF24</f>
        <v>-2536</v>
      </c>
      <c r="CG46" s="16">
        <f t="shared" si="140"/>
        <v>-751</v>
      </c>
      <c r="CH46" s="16">
        <f t="shared" si="140"/>
        <v>-646</v>
      </c>
      <c r="CI46" s="198">
        <f t="shared" si="140"/>
        <v>-703</v>
      </c>
      <c r="CJ46" s="16">
        <f t="shared" si="140"/>
        <v>-775</v>
      </c>
      <c r="CK46" s="17">
        <f t="shared" si="140"/>
        <v>-2875</v>
      </c>
      <c r="CL46" s="16">
        <f t="shared" si="140"/>
        <v>-325</v>
      </c>
      <c r="CM46" s="16">
        <f t="shared" si="140"/>
        <v>-458</v>
      </c>
      <c r="CN46" s="16">
        <f t="shared" si="140"/>
        <v>-389</v>
      </c>
      <c r="CO46" s="16">
        <f t="shared" si="140"/>
        <v>-623</v>
      </c>
      <c r="CP46" s="17">
        <f t="shared" si="140"/>
        <v>-1795</v>
      </c>
      <c r="CQ46" s="16">
        <f t="shared" si="140"/>
        <v>-387</v>
      </c>
      <c r="CR46" s="16">
        <f t="shared" si="140"/>
        <v>-360</v>
      </c>
      <c r="CS46" s="16">
        <f t="shared" si="140"/>
        <v>-433</v>
      </c>
      <c r="CT46" s="16">
        <f t="shared" si="140"/>
        <v>-954</v>
      </c>
      <c r="CU46" s="17">
        <f t="shared" si="140"/>
        <v>-2134</v>
      </c>
      <c r="CV46" s="16">
        <f t="shared" si="140"/>
        <v>-439</v>
      </c>
      <c r="CW46" s="16">
        <f t="shared" si="140"/>
        <v>-479</v>
      </c>
      <c r="CX46" s="16">
        <f t="shared" si="140"/>
        <v>-515</v>
      </c>
      <c r="CY46" s="16">
        <f t="shared" si="140"/>
        <v>-855</v>
      </c>
      <c r="CZ46" s="17">
        <f t="shared" si="140"/>
        <v>-2288</v>
      </c>
      <c r="DA46" s="16">
        <f t="shared" si="140"/>
        <v>-520</v>
      </c>
      <c r="DB46" s="16">
        <f t="shared" si="140"/>
        <v>-526</v>
      </c>
      <c r="DC46" s="16">
        <f t="shared" si="140"/>
        <v>-564</v>
      </c>
      <c r="DD46" s="16">
        <f t="shared" si="140"/>
        <v>-805</v>
      </c>
      <c r="DE46" s="17">
        <f t="shared" si="140"/>
        <v>-2415</v>
      </c>
      <c r="DF46" s="16">
        <f t="shared" ref="DF46:DI46" si="141">DF24</f>
        <v>-467</v>
      </c>
      <c r="DG46" s="16">
        <f t="shared" si="141"/>
        <v>-537</v>
      </c>
      <c r="DH46" s="16">
        <f t="shared" si="141"/>
        <v>-552</v>
      </c>
      <c r="DI46" s="16">
        <f t="shared" si="141"/>
        <v>-1069</v>
      </c>
      <c r="DJ46" s="17">
        <f t="shared" ref="DJ46:DM46" si="142">DJ24</f>
        <v>-2625</v>
      </c>
      <c r="DK46" s="16">
        <f t="shared" si="142"/>
        <v>-513</v>
      </c>
      <c r="DL46" s="16">
        <f t="shared" si="142"/>
        <v>-530</v>
      </c>
      <c r="DM46" s="16">
        <f t="shared" si="142"/>
        <v>-614</v>
      </c>
      <c r="DN46" s="16">
        <f t="shared" ref="DN46:DP46" si="143">DN24</f>
        <v>-950</v>
      </c>
      <c r="DO46" s="17">
        <f t="shared" si="143"/>
        <v>-2607</v>
      </c>
      <c r="DP46" s="16">
        <f t="shared" si="143"/>
        <v>-550</v>
      </c>
      <c r="DQ46" s="16">
        <f t="shared" ref="DQ46:DT46" si="144">DQ24</f>
        <v>-580</v>
      </c>
      <c r="DR46" s="16">
        <f t="shared" si="144"/>
        <v>-650</v>
      </c>
      <c r="DS46" s="16">
        <f t="shared" si="144"/>
        <v>-940</v>
      </c>
      <c r="DT46" s="17">
        <f t="shared" si="144"/>
        <v>-2720</v>
      </c>
      <c r="DU46" s="17">
        <f t="shared" ref="DU46" si="145">DU24</f>
        <v>-2850</v>
      </c>
      <c r="DV46" s="17">
        <f t="shared" ref="DV46" si="146">DV24</f>
        <v>-2875</v>
      </c>
    </row>
    <row r="47" spans="1:126" s="32" customFormat="1" ht="12.6" customHeight="1">
      <c r="B47" s="47" t="s">
        <v>104</v>
      </c>
      <c r="C47" s="154"/>
      <c r="D47" s="154"/>
      <c r="E47" s="154"/>
      <c r="F47" s="154"/>
      <c r="G47" s="154"/>
      <c r="H47" s="154"/>
      <c r="I47" s="154"/>
      <c r="J47" s="155"/>
      <c r="K47" s="155"/>
      <c r="L47" s="155"/>
      <c r="M47" s="155"/>
      <c r="N47" s="154"/>
      <c r="O47" s="155"/>
      <c r="P47" s="155"/>
      <c r="Q47" s="155"/>
      <c r="R47" s="155"/>
      <c r="S47" s="154"/>
      <c r="T47" s="155"/>
      <c r="U47" s="155"/>
      <c r="V47" s="155"/>
      <c r="W47" s="155"/>
      <c r="X47" s="154"/>
      <c r="Y47" s="155"/>
      <c r="Z47" s="155"/>
      <c r="AA47" s="155"/>
      <c r="AB47" s="155"/>
      <c r="AC47" s="154"/>
      <c r="AD47" s="155"/>
      <c r="AE47" s="155"/>
      <c r="AF47" s="155"/>
      <c r="AG47" s="155"/>
      <c r="AH47" s="154"/>
      <c r="AI47" s="155"/>
      <c r="AJ47" s="155"/>
      <c r="AK47" s="155"/>
      <c r="AL47" s="155"/>
      <c r="AM47" s="154"/>
      <c r="AN47" s="155"/>
      <c r="AO47" s="155"/>
      <c r="AP47" s="155"/>
      <c r="AQ47" s="155"/>
      <c r="AR47" s="154"/>
      <c r="AS47" s="155"/>
      <c r="AT47" s="155"/>
      <c r="AU47" s="155"/>
      <c r="AV47" s="155"/>
      <c r="AW47" s="154"/>
      <c r="AX47" s="155"/>
      <c r="AY47" s="155"/>
      <c r="AZ47" s="155"/>
      <c r="BA47" s="155"/>
      <c r="BB47" s="154"/>
      <c r="BC47" s="155"/>
      <c r="BD47" s="155"/>
      <c r="BE47" s="155"/>
      <c r="BF47" s="155"/>
      <c r="BG47" s="154"/>
      <c r="BH47" s="155"/>
      <c r="BI47" s="155"/>
      <c r="BJ47" s="155"/>
      <c r="BK47" s="155"/>
      <c r="BL47" s="154"/>
      <c r="BM47" s="155"/>
      <c r="BN47" s="155"/>
      <c r="BO47" s="155"/>
      <c r="BP47" s="155"/>
      <c r="BQ47" s="154"/>
      <c r="BR47" s="155"/>
      <c r="BS47" s="155"/>
      <c r="BT47" s="155"/>
      <c r="BU47" s="155"/>
      <c r="BV47" s="154"/>
      <c r="BW47" s="155"/>
      <c r="BX47" s="155"/>
      <c r="BY47" s="155"/>
      <c r="BZ47" s="155"/>
      <c r="CA47" s="154"/>
      <c r="CB47" s="155"/>
      <c r="CC47" s="155"/>
      <c r="CD47" s="155"/>
      <c r="CE47" s="155"/>
      <c r="CF47" s="154">
        <f t="shared" ref="CF47" si="147">CF45+CF46</f>
        <v>5080</v>
      </c>
      <c r="CG47" s="155">
        <f t="shared" ref="CG47:CK47" si="148">CG45+CG46</f>
        <v>1642.75</v>
      </c>
      <c r="CH47" s="155">
        <f t="shared" si="148"/>
        <v>1747.75</v>
      </c>
      <c r="CI47" s="155">
        <f t="shared" si="148"/>
        <v>1690.75</v>
      </c>
      <c r="CJ47" s="155">
        <f t="shared" si="148"/>
        <v>1618.75</v>
      </c>
      <c r="CK47" s="154">
        <f t="shared" si="148"/>
        <v>6700</v>
      </c>
      <c r="CL47" s="155">
        <f t="shared" ref="CL47:CP47" si="149">CL45+CL46</f>
        <v>807</v>
      </c>
      <c r="CM47" s="155">
        <f t="shared" si="149"/>
        <v>-248</v>
      </c>
      <c r="CN47" s="155">
        <f t="shared" si="149"/>
        <v>1233</v>
      </c>
      <c r="CO47" s="155">
        <f t="shared" si="149"/>
        <v>747</v>
      </c>
      <c r="CP47" s="154">
        <f t="shared" si="149"/>
        <v>2539</v>
      </c>
      <c r="CQ47" s="155">
        <f t="shared" ref="CQ47:CV47" si="150">CQ45+CQ46</f>
        <v>336</v>
      </c>
      <c r="CR47" s="155">
        <f t="shared" si="150"/>
        <v>966</v>
      </c>
      <c r="CS47" s="155">
        <f t="shared" si="150"/>
        <v>1499</v>
      </c>
      <c r="CT47" s="155">
        <f t="shared" si="150"/>
        <v>2207</v>
      </c>
      <c r="CU47" s="154">
        <f t="shared" si="150"/>
        <v>5008</v>
      </c>
      <c r="CV47" s="155">
        <f t="shared" si="150"/>
        <v>37</v>
      </c>
      <c r="CW47" s="155">
        <f t="shared" ref="CW47:CZ47" si="151">CW45+CW46</f>
        <v>807</v>
      </c>
      <c r="CX47" s="155">
        <f t="shared" si="151"/>
        <v>263</v>
      </c>
      <c r="CY47" s="155">
        <f t="shared" si="151"/>
        <v>3773</v>
      </c>
      <c r="CZ47" s="154">
        <f t="shared" si="151"/>
        <v>4880</v>
      </c>
      <c r="DA47" s="155">
        <f t="shared" ref="DA47:DD47" si="152">DA45+DA46</f>
        <v>-1383</v>
      </c>
      <c r="DB47" s="155">
        <f t="shared" si="152"/>
        <v>193</v>
      </c>
      <c r="DC47" s="155">
        <f t="shared" si="152"/>
        <v>2752</v>
      </c>
      <c r="DD47" s="155">
        <f t="shared" si="152"/>
        <v>3906</v>
      </c>
      <c r="DE47" s="154">
        <f>DE45+DE46</f>
        <v>5468</v>
      </c>
      <c r="DF47" s="155">
        <f t="shared" ref="DF47:DI47" si="153">DF45+DF46</f>
        <v>-125</v>
      </c>
      <c r="DG47" s="155">
        <f t="shared" si="153"/>
        <v>2196</v>
      </c>
      <c r="DH47" s="155">
        <f t="shared" si="153"/>
        <v>1971</v>
      </c>
      <c r="DI47" s="155">
        <f t="shared" si="153"/>
        <v>492</v>
      </c>
      <c r="DJ47" s="154">
        <f t="shared" ref="DJ47:DM47" si="154">DJ45+DJ46</f>
        <v>4534</v>
      </c>
      <c r="DK47" s="155">
        <f t="shared" si="154"/>
        <v>792</v>
      </c>
      <c r="DL47" s="155">
        <f t="shared" si="154"/>
        <v>-72</v>
      </c>
      <c r="DM47" s="155">
        <f t="shared" si="154"/>
        <v>4025</v>
      </c>
      <c r="DN47" s="155">
        <f t="shared" ref="DN47:DP47" si="155">DN45+DN46</f>
        <v>2778</v>
      </c>
      <c r="DO47" s="154">
        <f t="shared" si="155"/>
        <v>7523</v>
      </c>
      <c r="DP47" s="155">
        <f t="shared" si="155"/>
        <v>850</v>
      </c>
      <c r="DQ47" s="155">
        <f t="shared" ref="DQ47:DT47" si="156">DQ45+DQ46</f>
        <v>1220</v>
      </c>
      <c r="DR47" s="155">
        <f t="shared" si="156"/>
        <v>2250</v>
      </c>
      <c r="DS47" s="155">
        <f t="shared" si="156"/>
        <v>3816</v>
      </c>
      <c r="DT47" s="154">
        <f t="shared" si="156"/>
        <v>8136</v>
      </c>
      <c r="DU47" s="154">
        <f t="shared" ref="DU47:DV47" si="157">DU45+DU46</f>
        <v>9146</v>
      </c>
      <c r="DV47" s="154">
        <f t="shared" si="157"/>
        <v>9795</v>
      </c>
    </row>
    <row r="48" spans="1:126" s="159" customFormat="1" ht="12.6" customHeight="1">
      <c r="A48" s="45"/>
      <c r="B48" s="4" t="s">
        <v>105</v>
      </c>
      <c r="C48" s="160"/>
      <c r="D48" s="160"/>
      <c r="E48" s="160"/>
      <c r="F48" s="160"/>
      <c r="G48" s="160"/>
      <c r="H48" s="160"/>
      <c r="I48" s="160"/>
      <c r="J48" s="161"/>
      <c r="K48" s="161"/>
      <c r="L48" s="161"/>
      <c r="M48" s="161"/>
      <c r="N48" s="160"/>
      <c r="O48" s="161"/>
      <c r="P48" s="161"/>
      <c r="Q48" s="161"/>
      <c r="R48" s="161"/>
      <c r="S48" s="160"/>
      <c r="T48" s="161"/>
      <c r="U48" s="161"/>
      <c r="V48" s="161"/>
      <c r="W48" s="161"/>
      <c r="X48" s="160"/>
      <c r="Y48" s="161"/>
      <c r="Z48" s="161"/>
      <c r="AA48" s="161"/>
      <c r="AB48" s="161"/>
      <c r="AC48" s="160"/>
      <c r="AD48" s="161"/>
      <c r="AE48" s="161"/>
      <c r="AF48" s="161"/>
      <c r="AG48" s="161"/>
      <c r="AH48" s="160"/>
      <c r="AI48" s="161"/>
      <c r="AJ48" s="161"/>
      <c r="AK48" s="161"/>
      <c r="AL48" s="161"/>
      <c r="AM48" s="160"/>
      <c r="AN48" s="161"/>
      <c r="AO48" s="161"/>
      <c r="AP48" s="161"/>
      <c r="AQ48" s="161"/>
      <c r="AR48" s="160"/>
      <c r="AS48" s="161"/>
      <c r="AT48" s="161"/>
      <c r="AU48" s="161"/>
      <c r="AV48" s="161"/>
      <c r="AW48" s="160"/>
      <c r="AX48" s="161"/>
      <c r="AY48" s="161"/>
      <c r="AZ48" s="161"/>
      <c r="BA48" s="449"/>
      <c r="BB48" s="160"/>
      <c r="BC48" s="449"/>
      <c r="BD48" s="161"/>
      <c r="BE48" s="161"/>
      <c r="BF48" s="161"/>
      <c r="BG48" s="160"/>
      <c r="BH48" s="161"/>
      <c r="BI48" s="161"/>
      <c r="BJ48" s="161"/>
      <c r="BK48" s="161"/>
      <c r="BL48" s="160"/>
      <c r="BM48" s="161"/>
      <c r="BN48" s="161"/>
      <c r="BO48" s="161"/>
      <c r="BP48" s="449"/>
      <c r="BQ48" s="160"/>
      <c r="BR48" s="161"/>
      <c r="BS48" s="161"/>
      <c r="BT48" s="161"/>
      <c r="BU48" s="161"/>
      <c r="BV48" s="160"/>
      <c r="BW48" s="161"/>
      <c r="BX48" s="161"/>
      <c r="BY48" s="161"/>
      <c r="BZ48" s="161"/>
      <c r="CA48" s="160"/>
      <c r="CB48" s="161"/>
      <c r="CC48" s="161"/>
      <c r="CD48" s="161"/>
      <c r="CE48" s="161"/>
      <c r="CF48" s="787">
        <f>CF47/IS!CF19</f>
        <v>0.68927547875229234</v>
      </c>
      <c r="CG48" s="788">
        <f>CG47/IS!CG19</f>
        <v>1.0095873152444457</v>
      </c>
      <c r="CH48" s="788">
        <f>CH47/IS!CH19</f>
        <v>0.88410855654197329</v>
      </c>
      <c r="CI48" s="788">
        <f>CI47/IS!CI19</f>
        <v>0.85057627391499013</v>
      </c>
      <c r="CJ48" s="788">
        <f>CJ47/IS!CJ19</f>
        <v>1.036842745783773</v>
      </c>
      <c r="CK48" s="787">
        <f>CK47/IS!CK19</f>
        <v>0.93666992870124421</v>
      </c>
      <c r="CL48" s="788">
        <f>CL47/IS!CL19</f>
        <v>0.46692982230565483</v>
      </c>
      <c r="CM48" s="788">
        <f>CM47/IS!CM19</f>
        <v>6.6921795225265202E-2</v>
      </c>
      <c r="CN48" s="788">
        <f>CN47/IS!CN19</f>
        <v>8.1655629139072854</v>
      </c>
      <c r="CO48" s="788">
        <f>CO47/IS!CO19</f>
        <v>5.1164383561643838</v>
      </c>
      <c r="CP48" s="787">
        <f>CP47/IS!CP19</f>
        <v>-1.5108535801819964</v>
      </c>
      <c r="CQ48" s="788">
        <f>CQ47/IS!CQ19</f>
        <v>0.43523316062176165</v>
      </c>
      <c r="CR48" s="788">
        <f>CR47/IS!CR19</f>
        <v>0.92884615384615388</v>
      </c>
      <c r="CS48" s="788">
        <f>CS47/IS!CS19</f>
        <v>1.0707142857142857</v>
      </c>
      <c r="CT48" s="788">
        <f>CT47/IS!CT19</f>
        <v>3.2218978102189779</v>
      </c>
      <c r="CU48" s="787">
        <f>CU47/IS!CU19</f>
        <v>1.2850910957146522</v>
      </c>
      <c r="CV48" s="788">
        <f>CV47/IS!CV19</f>
        <v>3.3544877606527655E-2</v>
      </c>
      <c r="CW48" s="788">
        <f>CW47/IS!CW19</f>
        <v>0.61886503067484666</v>
      </c>
      <c r="CX48" s="788">
        <f>CX47/IS!CX19</f>
        <v>0.18961788031723142</v>
      </c>
      <c r="CY48" s="788">
        <f>CY47/IS!CY19</f>
        <v>2.6533052039381153</v>
      </c>
      <c r="CZ48" s="787">
        <f>CZ47/IS!CZ19</f>
        <v>0.93558282208588961</v>
      </c>
      <c r="DA48" s="788">
        <f>DA47/IS!DA19</f>
        <v>-0.96984572230014021</v>
      </c>
      <c r="DB48" s="788">
        <f>DB47/IS!DB19</f>
        <v>0.14544084400904295</v>
      </c>
      <c r="DC48" s="788">
        <f>DC47/IS!DC19</f>
        <v>-2.7967479674796749</v>
      </c>
      <c r="DD48" s="788">
        <f>DD47/IS!DD19</f>
        <v>2.7391304347826089</v>
      </c>
      <c r="DE48" s="787">
        <f>DE47/IS!DE19</f>
        <v>1.7114241001564945</v>
      </c>
      <c r="DF48" s="788">
        <f>DF47/IS!DF19</f>
        <v>-7.3142188414277359E-2</v>
      </c>
      <c r="DG48" s="788">
        <f>DG47/IS!DG19</f>
        <v>19.783783783783782</v>
      </c>
      <c r="DH48" s="788">
        <f>DH47/IS!DH19</f>
        <v>1.3389945652173914</v>
      </c>
      <c r="DI48" s="788">
        <f>DI47/IS!DI19</f>
        <v>0.33198380566801622</v>
      </c>
      <c r="DJ48" s="787">
        <f>DJ47/IS!DJ19</f>
        <v>0.9497276916631755</v>
      </c>
      <c r="DK48" s="788">
        <f>DK47/IS!DK19</f>
        <v>0.51596091205211725</v>
      </c>
      <c r="DL48" s="788">
        <f>DL47/IS!DL19</f>
        <v>-4.3452021726010863E-2</v>
      </c>
      <c r="DM48" s="788">
        <f>DM47/IS!DM19</f>
        <v>2.0985401459854014</v>
      </c>
      <c r="DN48" s="788">
        <f>DN47/IS!DN19</f>
        <v>1.7358651936208611</v>
      </c>
      <c r="DO48" s="787">
        <f>DO47/IS!DO19</f>
        <v>1.1211031830668294</v>
      </c>
      <c r="DP48" s="788">
        <f>DP47/IS!DP19</f>
        <v>0.52362193029074733</v>
      </c>
      <c r="DQ48" s="788">
        <f>DQ47/IS!DQ19</f>
        <v>0.68306137924883126</v>
      </c>
      <c r="DR48" s="788">
        <f>DR47/IS!DR19</f>
        <v>1.127434344161091</v>
      </c>
      <c r="DS48" s="788">
        <f>DS47/IS!DS19</f>
        <v>1.8932959019885516</v>
      </c>
      <c r="DT48" s="787">
        <f>DT47/IS!DT19</f>
        <v>1.0964073371726732</v>
      </c>
      <c r="DU48" s="787">
        <f>DU47/IS!DU19</f>
        <v>1.1192718009658569</v>
      </c>
      <c r="DV48" s="787">
        <f>DV47/IS!DV19</f>
        <v>1.0911382274609527</v>
      </c>
    </row>
    <row r="49" spans="1:127" s="205" customFormat="1" ht="12.6" customHeight="1">
      <c r="A49" s="108"/>
      <c r="B49" s="188" t="s">
        <v>255</v>
      </c>
      <c r="C49" s="789"/>
      <c r="D49" s="789"/>
      <c r="E49" s="789"/>
      <c r="F49" s="789"/>
      <c r="G49" s="789"/>
      <c r="H49" s="789"/>
      <c r="I49" s="789"/>
      <c r="J49" s="790"/>
      <c r="K49" s="790"/>
      <c r="L49" s="790"/>
      <c r="M49" s="790"/>
      <c r="N49" s="789"/>
      <c r="O49" s="790"/>
      <c r="P49" s="790"/>
      <c r="Q49" s="790"/>
      <c r="R49" s="790"/>
      <c r="S49" s="789"/>
      <c r="T49" s="790"/>
      <c r="U49" s="790"/>
      <c r="V49" s="790"/>
      <c r="W49" s="790"/>
      <c r="X49" s="789"/>
      <c r="Y49" s="791"/>
      <c r="Z49" s="791"/>
      <c r="AA49" s="791"/>
      <c r="AB49" s="791"/>
      <c r="AC49" s="792"/>
      <c r="AD49" s="791"/>
      <c r="AE49" s="791"/>
      <c r="AF49" s="791"/>
      <c r="AG49" s="791"/>
      <c r="AH49" s="792"/>
      <c r="AI49" s="791"/>
      <c r="AJ49" s="791"/>
      <c r="AK49" s="791"/>
      <c r="AL49" s="791"/>
      <c r="AM49" s="792"/>
      <c r="AN49" s="791"/>
      <c r="AO49" s="791"/>
      <c r="AP49" s="791"/>
      <c r="AQ49" s="791"/>
      <c r="AR49" s="792"/>
      <c r="AS49" s="791"/>
      <c r="AT49" s="791"/>
      <c r="AU49" s="791"/>
      <c r="AV49" s="791"/>
      <c r="AW49" s="792"/>
      <c r="AX49" s="791"/>
      <c r="AY49" s="791"/>
      <c r="AZ49" s="791"/>
      <c r="BA49" s="791"/>
      <c r="BB49" s="792"/>
      <c r="BC49" s="791"/>
      <c r="BD49" s="791"/>
      <c r="BE49" s="791"/>
      <c r="BF49" s="791"/>
      <c r="BG49" s="792"/>
      <c r="BH49" s="791"/>
      <c r="BI49" s="791"/>
      <c r="BJ49" s="791"/>
      <c r="BK49" s="791"/>
      <c r="BL49" s="792"/>
      <c r="BM49" s="791"/>
      <c r="BN49" s="791"/>
      <c r="BO49" s="791"/>
      <c r="BP49" s="791"/>
      <c r="BQ49" s="792"/>
      <c r="BR49" s="791"/>
      <c r="BS49" s="791"/>
      <c r="BT49" s="791"/>
      <c r="BU49" s="791"/>
      <c r="BV49" s="792"/>
      <c r="BW49" s="791"/>
      <c r="BX49" s="791"/>
      <c r="BY49" s="791"/>
      <c r="BZ49" s="791"/>
      <c r="CA49" s="792"/>
      <c r="CB49" s="791"/>
      <c r="CC49" s="791"/>
      <c r="CD49" s="791"/>
      <c r="CE49" s="791"/>
      <c r="CF49" s="792">
        <f>+CF47/IS!CF28</f>
        <v>0.60247309698332363</v>
      </c>
      <c r="CG49" s="791">
        <f>+CG47/IS!CG28</f>
        <v>0.71918115572444552</v>
      </c>
      <c r="CH49" s="791">
        <f>+CH47/IS!CH28</f>
        <v>0.70831518049828257</v>
      </c>
      <c r="CI49" s="791">
        <f>+CI47/IS!CI28</f>
        <v>0.68284438054312535</v>
      </c>
      <c r="CJ49" s="791">
        <f>+CJ47/IS!CJ28</f>
        <v>0.74021148899685629</v>
      </c>
      <c r="CK49" s="792">
        <f>+CK47/IS!CK28</f>
        <v>0.7116617461098923</v>
      </c>
      <c r="CL49" s="791">
        <f>+CL47/IS!CL28</f>
        <v>0.34320516792416222</v>
      </c>
      <c r="CM49" s="791">
        <f>+CM47/IS!CM28</f>
        <v>-0.38260864708945735</v>
      </c>
      <c r="CN49" s="791">
        <f>+CN47/IS!CN28</f>
        <v>1.4421052631578948</v>
      </c>
      <c r="CO49" s="791">
        <f>+CO47/IS!CO28</f>
        <v>0.66577540106951871</v>
      </c>
      <c r="CP49" s="792">
        <f>+CP47/IS!CP28</f>
        <v>0.51019330712054645</v>
      </c>
      <c r="CQ49" s="791">
        <f>+CQ47/IS!CQ28</f>
        <v>0.24525547445255474</v>
      </c>
      <c r="CR49" s="791">
        <f>+CR47/IS!CR28</f>
        <v>0.61725239616613414</v>
      </c>
      <c r="CS49" s="791">
        <f>+CS47/IS!CS28</f>
        <v>0.79061181434599159</v>
      </c>
      <c r="CT49" s="791">
        <f>+CT47/IS!CT28</f>
        <v>1.3674101610904585</v>
      </c>
      <c r="CU49" s="792">
        <f>+CU47/IS!CU28</f>
        <v>0.77703646237393331</v>
      </c>
      <c r="CV49" s="791">
        <f>+CV47/IS!CV28</f>
        <v>2.1474172954149738E-2</v>
      </c>
      <c r="CW49" s="791">
        <f>+CW47/IS!CW28</f>
        <v>0.46864111498257838</v>
      </c>
      <c r="CX49" s="791">
        <f>+CX47/IS!CX28</f>
        <v>0.1473389355742297</v>
      </c>
      <c r="CY49" s="791">
        <f>+CY47/IS!CY28</f>
        <v>2.0198072805139184</v>
      </c>
      <c r="CZ49" s="792">
        <f>+CZ47/IS!CZ28</f>
        <v>0.68751761059453365</v>
      </c>
      <c r="DA49" s="791">
        <f>+DA47/IS!DA28</f>
        <v>-0.77133296151701058</v>
      </c>
      <c r="DB49" s="791">
        <f>+DB47/IS!DB28</f>
        <v>0.10184696569920844</v>
      </c>
      <c r="DC49" s="791">
        <f>+DC47/IS!DC28</f>
        <v>1.5104281009879255</v>
      </c>
      <c r="DD49" s="791">
        <f>+DD47/IS!DD28</f>
        <v>2.2281802624073017</v>
      </c>
      <c r="DE49" s="792">
        <f>+DE47/IS!DE28</f>
        <v>0.75285694616549637</v>
      </c>
      <c r="DF49" s="791">
        <f>+DF47/IS!DF28</f>
        <v>-6.9793411501954214E-2</v>
      </c>
      <c r="DG49" s="791">
        <f>+DG47/IS!DG28</f>
        <v>1.1588390501319261</v>
      </c>
      <c r="DH49" s="791">
        <f>+DH47/IS!DH28</f>
        <v>1.0118069815195072</v>
      </c>
      <c r="DI49" s="791">
        <f>+DI47/IS!DI28</f>
        <v>0.23756639304683727</v>
      </c>
      <c r="DJ49" s="792">
        <f>+DJ47/IS!DJ28</f>
        <v>0.58844905905256328</v>
      </c>
      <c r="DK49" s="791">
        <f>+DK47/IS!DK28</f>
        <v>0.39779005524861877</v>
      </c>
      <c r="DL49" s="791">
        <f>+DL47/IS!DL28</f>
        <v>-3.39943342776204E-2</v>
      </c>
      <c r="DM49" s="791">
        <f>+DM47/IS!DM28</f>
        <v>1.7416702726092601</v>
      </c>
      <c r="DN49" s="791">
        <f>+DN47/IS!DN28</f>
        <v>1.4095407526472636</v>
      </c>
      <c r="DO49" s="792">
        <f>+DO47/IS!DO28</f>
        <v>0.89657136011879346</v>
      </c>
      <c r="DP49" s="791">
        <f>+DP47/IS!DP28</f>
        <v>0.42514696623816017</v>
      </c>
      <c r="DQ49" s="791">
        <f>+DQ47/IS!DQ28</f>
        <v>0.56427230897316427</v>
      </c>
      <c r="DR49" s="791">
        <f>+DR47/IS!DR28</f>
        <v>0.9486939476525752</v>
      </c>
      <c r="DS49" s="791">
        <f>+DS47/IS!DS28</f>
        <v>1.5956293771288139</v>
      </c>
      <c r="DT49" s="792">
        <f>+DT47/IS!DT28</f>
        <v>0.91163752302493106</v>
      </c>
      <c r="DU49" s="792">
        <f>+DU47/IS!DU28</f>
        <v>0.94763608350931239</v>
      </c>
      <c r="DV49" s="792">
        <f>+DV47/IS!DV28</f>
        <v>0.93670526342215554</v>
      </c>
    </row>
    <row r="50" spans="1:127" s="802" customFormat="1" ht="12.6" customHeight="1">
      <c r="A50" s="796"/>
      <c r="B50" s="797" t="s">
        <v>603</v>
      </c>
      <c r="C50" s="798"/>
      <c r="D50" s="798"/>
      <c r="E50" s="798"/>
      <c r="F50" s="798"/>
      <c r="G50" s="798"/>
      <c r="H50" s="798"/>
      <c r="I50" s="798"/>
      <c r="J50" s="799"/>
      <c r="K50" s="799"/>
      <c r="L50" s="799"/>
      <c r="M50" s="799"/>
      <c r="N50" s="798"/>
      <c r="O50" s="799"/>
      <c r="P50" s="799"/>
      <c r="Q50" s="799"/>
      <c r="R50" s="799"/>
      <c r="S50" s="798"/>
      <c r="T50" s="799"/>
      <c r="U50" s="799"/>
      <c r="V50" s="799"/>
      <c r="W50" s="799"/>
      <c r="X50" s="798"/>
      <c r="Y50" s="799"/>
      <c r="Z50" s="799"/>
      <c r="AA50" s="799"/>
      <c r="AB50" s="799"/>
      <c r="AC50" s="798"/>
      <c r="AD50" s="799"/>
      <c r="AE50" s="799"/>
      <c r="AF50" s="799"/>
      <c r="AG50" s="799"/>
      <c r="AH50" s="798"/>
      <c r="AI50" s="799"/>
      <c r="AJ50" s="799"/>
      <c r="AK50" s="799"/>
      <c r="AL50" s="799"/>
      <c r="AM50" s="798"/>
      <c r="AN50" s="799"/>
      <c r="AO50" s="799"/>
      <c r="AP50" s="799"/>
      <c r="AQ50" s="799"/>
      <c r="AR50" s="798"/>
      <c r="AS50" s="799"/>
      <c r="AT50" s="799"/>
      <c r="AU50" s="799"/>
      <c r="AV50" s="799"/>
      <c r="AW50" s="798"/>
      <c r="AX50" s="799"/>
      <c r="AY50" s="799"/>
      <c r="AZ50" s="799"/>
      <c r="BA50" s="799"/>
      <c r="BB50" s="798"/>
      <c r="BC50" s="799"/>
      <c r="BD50" s="799"/>
      <c r="BE50" s="799"/>
      <c r="BF50" s="799"/>
      <c r="BG50" s="798"/>
      <c r="BH50" s="799"/>
      <c r="BI50" s="799"/>
      <c r="BJ50" s="799"/>
      <c r="BK50" s="799"/>
      <c r="BL50" s="798"/>
      <c r="BM50" s="799"/>
      <c r="BN50" s="799"/>
      <c r="BO50" s="799"/>
      <c r="BP50" s="799"/>
      <c r="BQ50" s="798"/>
      <c r="BR50" s="799"/>
      <c r="BS50" s="799"/>
      <c r="BT50" s="799"/>
      <c r="BU50" s="799"/>
      <c r="BV50" s="798"/>
      <c r="BW50" s="799"/>
      <c r="BX50" s="799"/>
      <c r="BY50" s="799"/>
      <c r="BZ50" s="799"/>
      <c r="CA50" s="798"/>
      <c r="CB50" s="799"/>
      <c r="CC50" s="799"/>
      <c r="CD50" s="799"/>
      <c r="CE50" s="799"/>
      <c r="CF50" s="800">
        <f>CF47/SEG!CF62</f>
        <v>7.3440120279882032E-2</v>
      </c>
      <c r="CG50" s="801"/>
      <c r="CH50" s="801"/>
      <c r="CI50" s="801"/>
      <c r="CJ50" s="801"/>
      <c r="CK50" s="800">
        <f>CK47/SEG!CK62</f>
        <v>9.0251491843689802E-2</v>
      </c>
      <c r="CL50" s="801"/>
      <c r="CM50" s="801"/>
      <c r="CN50" s="801"/>
      <c r="CO50" s="801"/>
      <c r="CP50" s="800">
        <f>CP47/SEG!CP62</f>
        <v>3.9303405572755419E-2</v>
      </c>
      <c r="CQ50" s="801"/>
      <c r="CR50" s="801"/>
      <c r="CS50" s="801"/>
      <c r="CT50" s="801"/>
      <c r="CU50" s="800">
        <f>CU47/SEG!CU62</f>
        <v>7.7778468037522516E-2</v>
      </c>
      <c r="CV50" s="801"/>
      <c r="CW50" s="801"/>
      <c r="CX50" s="801"/>
      <c r="CY50" s="801"/>
      <c r="CZ50" s="800">
        <f>CZ47/SEG!CZ62</f>
        <v>7.2755464114261856E-2</v>
      </c>
      <c r="DA50" s="801"/>
      <c r="DB50" s="801"/>
      <c r="DC50" s="801"/>
      <c r="DD50" s="801"/>
      <c r="DE50" s="800">
        <f>DE47/SEG!DE62</f>
        <v>7.9338363319791064E-2</v>
      </c>
      <c r="DF50" s="801"/>
      <c r="DG50" s="801"/>
      <c r="DH50" s="801"/>
      <c r="DI50" s="801"/>
      <c r="DJ50" s="800">
        <f>DJ47/SEG!DJ62</f>
        <v>5.6108306108306111E-2</v>
      </c>
      <c r="DK50" s="801"/>
      <c r="DL50" s="801"/>
      <c r="DM50" s="801"/>
      <c r="DN50" s="801"/>
      <c r="DO50" s="800">
        <f>DO47/SEG!DO62</f>
        <v>8.650567672374404E-2</v>
      </c>
      <c r="DP50" s="801"/>
      <c r="DQ50" s="801"/>
      <c r="DR50" s="801"/>
      <c r="DS50" s="801"/>
      <c r="DT50" s="800">
        <f>DT47/SEG!DT62</f>
        <v>8.8254669091801241E-2</v>
      </c>
      <c r="DU50" s="800">
        <f>DU47/SEG!DU62</f>
        <v>9.301071355285527E-2</v>
      </c>
      <c r="DV50" s="800">
        <f>DV47/SEG!DV62</f>
        <v>9.397862377354238E-2</v>
      </c>
    </row>
    <row r="51" spans="1:127" s="205" customFormat="1" ht="12.6" customHeight="1">
      <c r="A51" s="108"/>
      <c r="B51" s="4" t="s">
        <v>188</v>
      </c>
      <c r="C51" s="203"/>
      <c r="D51" s="203"/>
      <c r="E51" s="203"/>
      <c r="F51" s="203"/>
      <c r="G51" s="203"/>
      <c r="H51" s="203"/>
      <c r="I51" s="203"/>
      <c r="J51" s="204"/>
      <c r="K51" s="204"/>
      <c r="L51" s="204"/>
      <c r="M51" s="204"/>
      <c r="N51" s="203"/>
      <c r="O51" s="204"/>
      <c r="P51" s="204"/>
      <c r="Q51" s="204"/>
      <c r="R51" s="204"/>
      <c r="S51" s="203"/>
      <c r="T51" s="204"/>
      <c r="U51" s="204"/>
      <c r="V51" s="204"/>
      <c r="W51" s="204"/>
      <c r="X51" s="203"/>
      <c r="Y51" s="204"/>
      <c r="Z51" s="204"/>
      <c r="AA51" s="204"/>
      <c r="AB51" s="204"/>
      <c r="AC51" s="203"/>
      <c r="AD51" s="204"/>
      <c r="AE51" s="204"/>
      <c r="AF51" s="204"/>
      <c r="AG51" s="204"/>
      <c r="AH51" s="203"/>
      <c r="AI51" s="204"/>
      <c r="AJ51" s="204"/>
      <c r="AK51" s="204"/>
      <c r="AL51" s="204"/>
      <c r="AM51" s="203"/>
      <c r="AN51" s="204"/>
      <c r="AO51" s="204"/>
      <c r="AP51" s="204"/>
      <c r="AQ51" s="204"/>
      <c r="AR51" s="203"/>
      <c r="AS51" s="204"/>
      <c r="AT51" s="204"/>
      <c r="AU51" s="204"/>
      <c r="AV51" s="204"/>
      <c r="AW51" s="203"/>
      <c r="AX51" s="204"/>
      <c r="AY51" s="204"/>
      <c r="AZ51" s="204"/>
      <c r="BA51" s="204"/>
      <c r="BB51" s="203"/>
      <c r="BC51" s="204"/>
      <c r="BD51" s="204"/>
      <c r="BE51" s="204"/>
      <c r="BF51" s="204"/>
      <c r="BG51" s="203"/>
      <c r="BH51" s="204"/>
      <c r="BI51" s="204"/>
      <c r="BJ51" s="204"/>
      <c r="BK51" s="204"/>
      <c r="BL51" s="203"/>
      <c r="BM51" s="204"/>
      <c r="BN51" s="204"/>
      <c r="BO51" s="204"/>
      <c r="BP51" s="204"/>
      <c r="BQ51" s="203"/>
      <c r="BR51" s="204"/>
      <c r="BS51" s="204"/>
      <c r="BT51" s="204"/>
      <c r="BU51" s="204"/>
      <c r="BV51" s="203"/>
      <c r="BW51" s="204"/>
      <c r="BX51" s="204"/>
      <c r="BY51" s="204"/>
      <c r="BZ51" s="204"/>
      <c r="CA51" s="203"/>
      <c r="CB51" s="204"/>
      <c r="CC51" s="204"/>
      <c r="CD51" s="204"/>
      <c r="CE51" s="204"/>
      <c r="CF51" s="203">
        <f>1/IS!CF33*CFLO!CF47</f>
        <v>3.4813596491228069</v>
      </c>
      <c r="CG51" s="204">
        <f>1/IS!CG33*CFLO!CG47</f>
        <v>1.0861157024793389</v>
      </c>
      <c r="CH51" s="204">
        <f>1/IS!CH33*CFLO!CH47</f>
        <v>1.1555371900826448</v>
      </c>
      <c r="CI51" s="204">
        <f>1/IS!CI33*CFLO!CI47</f>
        <v>1.1129945362385623</v>
      </c>
      <c r="CJ51" s="204">
        <f>1/IS!CJ33*CFLO!CJ47</f>
        <v>1.0655980514778487</v>
      </c>
      <c r="CK51" s="203">
        <f>1/IS!CK33*CFLO!CK47</f>
        <v>4.4201081936930997</v>
      </c>
      <c r="CL51" s="204">
        <f>1/IS!CL33*CFLO!CL47</f>
        <v>0.53165557678371433</v>
      </c>
      <c r="CM51" s="204">
        <f>1/IS!CM33*CFLO!CM47</f>
        <v>-0.16519016852061547</v>
      </c>
      <c r="CN51" s="204">
        <f>1/IS!CN33*CFLO!CN47</f>
        <v>0.81429137498348969</v>
      </c>
      <c r="CO51" s="204">
        <f>1/IS!CO33*CFLO!CO47</f>
        <v>0.49293915797809157</v>
      </c>
      <c r="CP51" s="203">
        <f>1/IS!CP33*CFLO!CP47</f>
        <v>1.6795660514652377</v>
      </c>
      <c r="CQ51" s="204">
        <f>1/IS!CQ33*CFLO!CQ47</f>
        <v>0.22191400832177532</v>
      </c>
      <c r="CR51" s="204">
        <f>1/IS!CR33*CFLO!CR47</f>
        <v>0.6382556987115956</v>
      </c>
      <c r="CS51" s="204">
        <f>1/IS!CS33*CFLO!CS47</f>
        <v>0.99541802244504951</v>
      </c>
      <c r="CT51" s="204">
        <f>1/IS!CT33*CFLO!CT47</f>
        <v>1.4711371817091055</v>
      </c>
      <c r="CU51" s="203">
        <f>1/IS!CU33*CFLO!CU47</f>
        <v>3.3200192253509457</v>
      </c>
      <c r="CV51" s="204">
        <f>1/IS!CV33*CFLO!CV47</f>
        <v>2.4701248414446889E-2</v>
      </c>
      <c r="CW51" s="204">
        <f>1/IS!CW33*CFLO!CW47</f>
        <v>0.54175617615467242</v>
      </c>
      <c r="CX51" s="204">
        <f>1/IS!CX33*CFLO!CX47</f>
        <v>0.17778679104982087</v>
      </c>
      <c r="CY51" s="204">
        <f>1/IS!CY33*CFLO!CY47</f>
        <v>2.5557136083451875</v>
      </c>
      <c r="CZ51" s="203">
        <f>1/IS!CZ33*CFLO!CZ47</f>
        <v>3.2844811630293953</v>
      </c>
      <c r="DA51" s="204">
        <f>1/IS!DA33*CFLO!DA47</f>
        <v>-0.9381359381359381</v>
      </c>
      <c r="DB51" s="204">
        <f>1/IS!DB33*CFLO!DB47</f>
        <v>0.1314087288077892</v>
      </c>
      <c r="DC51" s="204">
        <f>1/IS!DC33*CFLO!DC47</f>
        <v>1.8904994160884796</v>
      </c>
      <c r="DD51" s="204">
        <f>1/IS!DD33*CFLO!DD47</f>
        <v>2.8684732319894248</v>
      </c>
      <c r="DE51" s="203">
        <f>1/IS!DE33*CFLO!DE47</f>
        <v>3.7970244605315693</v>
      </c>
      <c r="DF51" s="204">
        <f>1/IS!DF33*CFLO!DF47</f>
        <v>-9.3471921034921121E-2</v>
      </c>
      <c r="DG51" s="204">
        <f>1/IS!DG33*CFLO!DG47</f>
        <v>1.636241710751807</v>
      </c>
      <c r="DH51" s="204">
        <f>1/IS!DH33*CFLO!DH47</f>
        <v>1.4641212301292525</v>
      </c>
      <c r="DI51" s="204">
        <f>1/IS!DI33*CFLO!DI47</f>
        <v>0.36474164133738601</v>
      </c>
      <c r="DJ51" s="203">
        <f>1/IS!DJ33*CFLO!DJ47</f>
        <v>3.3744534375290725</v>
      </c>
      <c r="DK51" s="204">
        <f>1/IS!DK33*CFLO!DK47</f>
        <v>0.58588548601864177</v>
      </c>
      <c r="DL51" s="204">
        <f>1/IS!DL33*CFLO!DL47</f>
        <v>-5.3175775480059084E-2</v>
      </c>
      <c r="DM51" s="204">
        <f>1/IS!DM33*CFLO!DM47</f>
        <v>2.9630447585394579</v>
      </c>
      <c r="DN51" s="204">
        <f>1/IS!DN33*CFLO!DN47</f>
        <v>2.0435486243931145</v>
      </c>
      <c r="DO51" s="203">
        <f>1/IS!DO33*CFLO!DO47</f>
        <v>5.5483442731764878</v>
      </c>
      <c r="DP51" s="204">
        <f>1/IS!DP33*CFLO!DP47</f>
        <v>0.62619714159422424</v>
      </c>
      <c r="DQ51" s="204">
        <f>1/IS!DQ33*CFLO!DQ47</f>
        <v>0.90076786769049022</v>
      </c>
      <c r="DR51" s="204">
        <f>1/IS!DR33*CFLO!DR47</f>
        <v>1.6674077367718985</v>
      </c>
      <c r="DS51" s="204">
        <f>1/IS!DS33*CFLO!DS47</f>
        <v>2.8384409401963699</v>
      </c>
      <c r="DT51" s="203">
        <f>1/IS!DT33*CFLO!DT47</f>
        <v>6.020423264762468</v>
      </c>
      <c r="DU51" s="203">
        <f>1/IS!DU33*CFLO!DU47</f>
        <v>6.818249589980617</v>
      </c>
      <c r="DV51" s="203">
        <f>1/IS!DV33*CFLO!DV47</f>
        <v>7.356917530419107</v>
      </c>
    </row>
    <row r="52" spans="1:127" s="45" customFormat="1" ht="6.75" customHeight="1" thickBot="1">
      <c r="C52" s="46"/>
      <c r="D52" s="46"/>
      <c r="E52" s="46"/>
      <c r="F52" s="46"/>
      <c r="G52" s="46"/>
      <c r="H52" s="46"/>
      <c r="I52" s="46"/>
      <c r="N52" s="46"/>
      <c r="S52" s="46"/>
      <c r="X52" s="46"/>
      <c r="AC52" s="46"/>
      <c r="AH52" s="46"/>
      <c r="AM52" s="46"/>
      <c r="AR52" s="46"/>
      <c r="AU52" s="165"/>
      <c r="AW52" s="46"/>
      <c r="AZ52" s="165"/>
      <c r="BA52" s="165"/>
      <c r="BB52" s="46"/>
      <c r="BG52" s="46"/>
      <c r="BL52" s="46"/>
      <c r="BQ52" s="46"/>
      <c r="BV52" s="46"/>
      <c r="CA52" s="46"/>
      <c r="CF52" s="46"/>
      <c r="CK52" s="46"/>
      <c r="CP52" s="46"/>
      <c r="CU52" s="46"/>
      <c r="CZ52" s="46"/>
      <c r="DE52" s="46"/>
      <c r="DJ52" s="46"/>
      <c r="DO52" s="46"/>
      <c r="DT52" s="46"/>
      <c r="DU52" s="46"/>
      <c r="DV52" s="46"/>
    </row>
    <row r="53" spans="1:127">
      <c r="BA53" s="165"/>
      <c r="BC53" s="164"/>
      <c r="BE53" s="164"/>
      <c r="BF53" s="164"/>
      <c r="BH53" s="164"/>
      <c r="BI53" s="164"/>
      <c r="BJ53" s="164"/>
      <c r="BK53" s="164"/>
      <c r="BM53" s="164"/>
      <c r="BN53" s="164"/>
      <c r="BO53" s="164"/>
      <c r="BP53" s="164"/>
      <c r="BR53" s="164"/>
      <c r="BS53" s="164"/>
      <c r="BT53" s="164"/>
      <c r="BU53" s="164"/>
      <c r="BW53" s="164"/>
      <c r="BX53" s="164"/>
      <c r="BY53" s="164"/>
      <c r="BZ53" s="164"/>
      <c r="CB53" s="164"/>
      <c r="CC53" s="164"/>
      <c r="CD53" s="164"/>
      <c r="CE53" s="164"/>
      <c r="CG53" s="164"/>
      <c r="CH53" s="164"/>
      <c r="CI53" s="164"/>
      <c r="CJ53" s="164"/>
      <c r="CL53" s="164"/>
      <c r="CM53" s="164"/>
      <c r="CN53" s="164"/>
      <c r="CO53" s="164"/>
      <c r="CQ53" s="164"/>
      <c r="CR53" s="164"/>
      <c r="CS53" s="164"/>
      <c r="CT53" s="164"/>
      <c r="CV53" s="164"/>
      <c r="CW53" s="164"/>
      <c r="CX53" s="164"/>
      <c r="CY53" s="164"/>
      <c r="DA53" s="164"/>
      <c r="DB53" s="164"/>
      <c r="DC53" s="164"/>
      <c r="DD53" s="164"/>
      <c r="DF53" s="164"/>
      <c r="DG53" s="164"/>
      <c r="DH53" s="189"/>
      <c r="DI53" s="164"/>
      <c r="DK53" s="164"/>
      <c r="DL53" s="164"/>
      <c r="DM53" s="164"/>
      <c r="DN53" s="164"/>
      <c r="DP53" s="164"/>
      <c r="DQ53" s="164"/>
      <c r="DR53" s="164"/>
      <c r="DS53" s="164"/>
    </row>
    <row r="54" spans="1:127" ht="12.6" customHeight="1" thickBot="1">
      <c r="BA54" s="202"/>
      <c r="BC54" s="189"/>
      <c r="BD54" s="189"/>
      <c r="BE54" s="189"/>
      <c r="BF54" s="189"/>
      <c r="BH54" s="189"/>
      <c r="BI54" s="189"/>
      <c r="BJ54" s="189"/>
      <c r="BK54" s="189"/>
      <c r="BM54" s="189"/>
      <c r="BN54" s="189"/>
      <c r="BO54" s="189"/>
      <c r="BP54" s="189"/>
      <c r="BR54" s="189"/>
      <c r="BS54" s="189"/>
      <c r="BT54" s="189"/>
      <c r="BU54" s="189"/>
      <c r="BV54" s="189"/>
      <c r="BW54" s="189"/>
      <c r="BX54" s="189"/>
      <c r="BY54" s="189"/>
      <c r="BZ54" s="189"/>
      <c r="CA54" s="189"/>
      <c r="CB54" s="189"/>
      <c r="CC54" s="189"/>
      <c r="CD54" s="189"/>
      <c r="CE54" s="189"/>
      <c r="CF54" s="189"/>
      <c r="CG54" s="189"/>
      <c r="CH54" s="189"/>
      <c r="CI54" s="189"/>
      <c r="CJ54" s="189"/>
      <c r="CK54" s="189"/>
      <c r="CL54" s="189"/>
      <c r="CM54" s="189"/>
      <c r="CN54" s="189"/>
      <c r="CO54" s="189"/>
      <c r="CP54" s="189"/>
      <c r="CQ54" s="189"/>
      <c r="CR54" s="189"/>
      <c r="CS54" s="189"/>
      <c r="CT54" s="189"/>
      <c r="CU54" s="189"/>
      <c r="CV54" s="189"/>
      <c r="CW54" s="189"/>
      <c r="CX54" s="189"/>
      <c r="CY54" s="189"/>
      <c r="CZ54" s="189"/>
      <c r="DA54" s="189"/>
      <c r="DB54" s="189"/>
      <c r="DC54" s="189"/>
      <c r="DD54" s="189"/>
      <c r="DE54" s="189"/>
      <c r="DF54" s="189"/>
      <c r="DG54" s="189"/>
      <c r="DH54" s="189"/>
      <c r="DI54" s="189"/>
      <c r="DJ54" s="189"/>
      <c r="DK54" s="189"/>
      <c r="DL54" s="189"/>
      <c r="DM54" s="189"/>
      <c r="DN54" s="189"/>
      <c r="DO54" s="189"/>
      <c r="DP54" s="189"/>
      <c r="DQ54" s="189"/>
      <c r="DR54" s="189"/>
      <c r="DS54" s="189"/>
      <c r="DT54" s="189"/>
      <c r="DU54" s="189"/>
      <c r="DV54" s="189"/>
    </row>
    <row r="55" spans="1:127" ht="19.5" customHeight="1" thickBot="1">
      <c r="B55" s="741" t="s">
        <v>527</v>
      </c>
      <c r="C55" s="742"/>
      <c r="D55" s="742"/>
      <c r="E55" s="742"/>
      <c r="F55" s="742"/>
      <c r="G55" s="742"/>
      <c r="H55" s="742"/>
      <c r="I55" s="742"/>
      <c r="J55" s="742"/>
      <c r="K55" s="742"/>
      <c r="L55" s="742"/>
      <c r="M55" s="742"/>
      <c r="N55" s="742"/>
      <c r="O55" s="742"/>
      <c r="P55" s="742"/>
      <c r="Q55" s="742"/>
      <c r="R55" s="742"/>
      <c r="S55" s="742"/>
      <c r="T55" s="742"/>
      <c r="U55" s="742"/>
      <c r="V55" s="742"/>
      <c r="W55" s="742"/>
      <c r="X55" s="742"/>
      <c r="Y55" s="742"/>
      <c r="Z55" s="742"/>
      <c r="AA55" s="742"/>
      <c r="AB55" s="742"/>
      <c r="AC55" s="742"/>
      <c r="AD55" s="742"/>
      <c r="AE55" s="742"/>
      <c r="AF55" s="742"/>
      <c r="AG55" s="742"/>
      <c r="AH55" s="742"/>
      <c r="AI55" s="742"/>
      <c r="AJ55" s="742"/>
      <c r="AK55" s="742"/>
      <c r="AL55" s="742"/>
      <c r="AM55" s="742"/>
      <c r="AN55" s="742"/>
      <c r="AO55" s="742"/>
      <c r="AP55" s="742"/>
      <c r="AQ55" s="742"/>
      <c r="AR55" s="742"/>
      <c r="AS55" s="742"/>
      <c r="AT55" s="742"/>
      <c r="AU55" s="742"/>
      <c r="AV55" s="742"/>
      <c r="AW55" s="742"/>
      <c r="AX55" s="742"/>
      <c r="AY55" s="742"/>
      <c r="AZ55" s="742"/>
      <c r="BA55" s="743"/>
      <c r="BB55" s="742"/>
      <c r="BC55" s="742"/>
      <c r="BD55" s="742"/>
      <c r="BE55" s="742"/>
      <c r="BF55" s="742"/>
      <c r="BG55" s="742"/>
      <c r="BH55" s="742"/>
      <c r="BI55" s="742"/>
      <c r="BJ55" s="742"/>
      <c r="BK55" s="742"/>
      <c r="BL55" s="742"/>
      <c r="BM55" s="742"/>
      <c r="BN55" s="742"/>
      <c r="BO55" s="742"/>
      <c r="BP55" s="742"/>
      <c r="BQ55" s="742"/>
      <c r="BR55" s="742"/>
      <c r="BS55" s="742"/>
      <c r="BT55" s="742"/>
      <c r="BU55" s="742"/>
      <c r="BV55" s="742"/>
      <c r="BW55" s="742"/>
      <c r="BX55" s="742"/>
      <c r="BY55" s="742"/>
      <c r="BZ55" s="742"/>
      <c r="CA55" s="744"/>
      <c r="CB55" s="742"/>
      <c r="CC55" s="742"/>
      <c r="CD55" s="742"/>
      <c r="CE55" s="742"/>
      <c r="CF55" s="745">
        <v>2018</v>
      </c>
      <c r="CG55" s="746"/>
      <c r="CH55" s="746"/>
      <c r="CI55" s="746"/>
      <c r="CJ55" s="746"/>
      <c r="CK55" s="745">
        <v>2019</v>
      </c>
      <c r="CL55" s="746"/>
      <c r="CM55" s="746"/>
      <c r="CN55" s="746"/>
      <c r="CO55" s="746"/>
      <c r="CP55" s="745">
        <f>CP3</f>
        <v>2020</v>
      </c>
      <c r="CQ55" s="746"/>
      <c r="CR55" s="746"/>
      <c r="CS55" s="746"/>
      <c r="CT55" s="746"/>
      <c r="CU55" s="745">
        <f>CU3</f>
        <v>2021</v>
      </c>
      <c r="CV55" s="746"/>
      <c r="CW55" s="746"/>
      <c r="CX55" s="746"/>
      <c r="CY55" s="746"/>
      <c r="CZ55" s="745">
        <f>CZ3</f>
        <v>2022</v>
      </c>
      <c r="DA55" s="746"/>
      <c r="DB55" s="746"/>
      <c r="DC55" s="746"/>
      <c r="DD55" s="746"/>
      <c r="DE55" s="745">
        <f>DE3</f>
        <v>2023</v>
      </c>
      <c r="DF55" s="746"/>
      <c r="DG55" s="746"/>
      <c r="DH55" s="746"/>
      <c r="DI55" s="746"/>
      <c r="DJ55" s="745">
        <f>DJ3</f>
        <v>2024</v>
      </c>
      <c r="DK55" s="746"/>
      <c r="DL55" s="746"/>
      <c r="DM55" s="746"/>
      <c r="DN55" s="746"/>
      <c r="DO55" s="745" t="str">
        <f>DO3</f>
        <v>2025E</v>
      </c>
      <c r="DP55" s="745"/>
      <c r="DQ55" s="745"/>
      <c r="DR55" s="745"/>
      <c r="DS55" s="745"/>
      <c r="DT55" s="745" t="str">
        <f>DT3</f>
        <v>2026E</v>
      </c>
      <c r="DU55" s="745" t="str">
        <f>DU3</f>
        <v>2027E</v>
      </c>
      <c r="DV55" s="747" t="str">
        <f>DV3</f>
        <v>2028E</v>
      </c>
      <c r="DW55" s="689">
        <v>170</v>
      </c>
    </row>
    <row r="56" spans="1:127" ht="12.6" customHeight="1">
      <c r="B56" s="522" t="s">
        <v>607</v>
      </c>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4"/>
      <c r="BA56" s="202"/>
      <c r="BB56" s="164"/>
      <c r="BC56" s="189"/>
      <c r="BD56" s="189"/>
      <c r="BE56" s="189"/>
      <c r="BF56" s="189"/>
      <c r="BG56" s="164"/>
      <c r="BH56" s="189"/>
      <c r="BI56" s="189"/>
      <c r="BJ56" s="189"/>
      <c r="BK56" s="189"/>
      <c r="BL56" s="164"/>
      <c r="BM56" s="189"/>
      <c r="BN56" s="189"/>
      <c r="BO56" s="189"/>
      <c r="BP56" s="189"/>
      <c r="BQ56" s="164"/>
      <c r="BR56" s="189"/>
      <c r="BS56" s="189"/>
      <c r="BT56" s="189"/>
      <c r="BU56" s="189"/>
      <c r="BV56" s="189"/>
      <c r="BW56" s="189"/>
      <c r="BX56" s="189"/>
      <c r="BY56" s="189"/>
      <c r="BZ56" s="189"/>
      <c r="CA56" s="725"/>
      <c r="CB56" s="189"/>
      <c r="CC56" s="189"/>
      <c r="CD56" s="189"/>
      <c r="CE56" s="189"/>
      <c r="CF56" s="189">
        <f>IS!CF45</f>
        <v>12657.73806881243</v>
      </c>
      <c r="CG56" s="189"/>
      <c r="CH56" s="189"/>
      <c r="CI56" s="189"/>
      <c r="CJ56" s="189"/>
      <c r="CK56" s="189">
        <f>IS!CK45</f>
        <v>13356</v>
      </c>
      <c r="CL56" s="189"/>
      <c r="CM56" s="189"/>
      <c r="CN56" s="189"/>
      <c r="CO56" s="189"/>
      <c r="CP56" s="189">
        <f>IS!CP45</f>
        <v>8334</v>
      </c>
      <c r="CQ56" s="189"/>
      <c r="CR56" s="189"/>
      <c r="CS56" s="189"/>
      <c r="CT56" s="189"/>
      <c r="CU56" s="189">
        <f>IS!CU45</f>
        <v>9795</v>
      </c>
      <c r="CV56" s="189"/>
      <c r="CW56" s="189"/>
      <c r="CX56" s="189"/>
      <c r="CY56" s="189"/>
      <c r="CZ56" s="189">
        <f>IS!CZ45</f>
        <v>10128</v>
      </c>
      <c r="DA56" s="189"/>
      <c r="DB56" s="189"/>
      <c r="DC56" s="189"/>
      <c r="DD56" s="189"/>
      <c r="DE56" s="189">
        <f>IS!DE45</f>
        <v>11108</v>
      </c>
      <c r="DF56" s="189"/>
      <c r="DG56" s="189"/>
      <c r="DH56" s="189"/>
      <c r="DI56" s="189"/>
      <c r="DJ56" s="189">
        <f>IS!DJ45</f>
        <v>14047</v>
      </c>
      <c r="DK56" s="189"/>
      <c r="DL56" s="189"/>
      <c r="DM56" s="189"/>
      <c r="DN56" s="189"/>
      <c r="DO56" s="189">
        <f>IS!DO45</f>
        <v>13631.633625</v>
      </c>
      <c r="DP56" s="189"/>
      <c r="DQ56" s="189"/>
      <c r="DR56" s="189"/>
      <c r="DS56" s="189"/>
      <c r="DT56" s="189">
        <f>IS!DT45</f>
        <v>14310.926483536001</v>
      </c>
      <c r="DU56" s="189">
        <f>IS!DU45</f>
        <v>15336.621194674979</v>
      </c>
      <c r="DV56" s="726">
        <f>IS!DV45</f>
        <v>16396.965752491491</v>
      </c>
    </row>
    <row r="57" spans="1:127" ht="12.6" customHeight="1">
      <c r="B57" s="522" t="s">
        <v>528</v>
      </c>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c r="AA57" s="164"/>
      <c r="AB57" s="164"/>
      <c r="AC57" s="164"/>
      <c r="AD57" s="164"/>
      <c r="AE57" s="164"/>
      <c r="AF57" s="164"/>
      <c r="AG57" s="164"/>
      <c r="AH57" s="164"/>
      <c r="AI57" s="164"/>
      <c r="AJ57" s="164"/>
      <c r="AK57" s="164"/>
      <c r="AL57" s="164"/>
      <c r="AM57" s="164"/>
      <c r="AN57" s="164"/>
      <c r="AO57" s="164"/>
      <c r="AP57" s="164"/>
      <c r="AQ57" s="164"/>
      <c r="AR57" s="164"/>
      <c r="AS57" s="164"/>
      <c r="AT57" s="164"/>
      <c r="AU57" s="164"/>
      <c r="AV57" s="164"/>
      <c r="AW57" s="164"/>
      <c r="AX57" s="164"/>
      <c r="AY57" s="164"/>
      <c r="AZ57" s="164"/>
      <c r="BA57" s="202"/>
      <c r="BB57" s="164"/>
      <c r="BC57" s="189"/>
      <c r="BD57" s="189"/>
      <c r="BE57" s="189"/>
      <c r="BF57" s="189"/>
      <c r="BG57" s="164"/>
      <c r="BH57" s="189"/>
      <c r="BI57" s="189"/>
      <c r="BJ57" s="189"/>
      <c r="BK57" s="189"/>
      <c r="BL57" s="164"/>
      <c r="BM57" s="189"/>
      <c r="BN57" s="189"/>
      <c r="BO57" s="189"/>
      <c r="BP57" s="189"/>
      <c r="BQ57" s="164"/>
      <c r="BR57" s="189"/>
      <c r="BS57" s="189"/>
      <c r="BT57" s="189"/>
      <c r="BU57" s="189"/>
      <c r="BV57" s="189"/>
      <c r="BW57" s="189"/>
      <c r="BX57" s="189"/>
      <c r="BY57" s="189"/>
      <c r="BZ57" s="189"/>
      <c r="CA57" s="725"/>
      <c r="CB57" s="189"/>
      <c r="CC57" s="189"/>
      <c r="CD57" s="189"/>
      <c r="CE57" s="189"/>
      <c r="CF57" s="189">
        <f>IS!CF15</f>
        <v>-1001</v>
      </c>
      <c r="CG57" s="189"/>
      <c r="CH57" s="189"/>
      <c r="CI57" s="189"/>
      <c r="CJ57" s="189"/>
      <c r="CK57" s="189">
        <f>IS!CK15</f>
        <v>-1079</v>
      </c>
      <c r="CL57" s="189"/>
      <c r="CM57" s="189"/>
      <c r="CN57" s="189"/>
      <c r="CO57" s="189"/>
      <c r="CP57" s="189">
        <f>IS!CP15</f>
        <v>-1288</v>
      </c>
      <c r="CQ57" s="189"/>
      <c r="CR57" s="189"/>
      <c r="CS57" s="189"/>
      <c r="CT57" s="189"/>
      <c r="CU57" s="189">
        <f>IS!CU15</f>
        <v>-1354</v>
      </c>
      <c r="CV57" s="189"/>
      <c r="CW57" s="189"/>
      <c r="CX57" s="189"/>
      <c r="CY57" s="189"/>
      <c r="CZ57" s="189">
        <f>IS!CZ15</f>
        <v>-1276</v>
      </c>
      <c r="DA57" s="189"/>
      <c r="DB57" s="189"/>
      <c r="DC57" s="189"/>
      <c r="DD57" s="189"/>
      <c r="DE57" s="189">
        <f>IS!DE15</f>
        <v>-1505</v>
      </c>
      <c r="DF57" s="189"/>
      <c r="DG57" s="189"/>
      <c r="DH57" s="189"/>
      <c r="DI57" s="189"/>
      <c r="DJ57" s="189">
        <f>IS!DJ15</f>
        <v>-1862</v>
      </c>
      <c r="DK57" s="189"/>
      <c r="DL57" s="189"/>
      <c r="DM57" s="189"/>
      <c r="DN57" s="189"/>
      <c r="DO57" s="189">
        <f>IS!DO15</f>
        <v>-1798.48272</v>
      </c>
      <c r="DP57" s="189"/>
      <c r="DQ57" s="189"/>
      <c r="DR57" s="189"/>
      <c r="DS57" s="189"/>
      <c r="DT57" s="189">
        <f>IS!DT15</f>
        <v>-1743.7663119999997</v>
      </c>
      <c r="DU57" s="189">
        <f>IS!DU15</f>
        <v>-1710.2208484</v>
      </c>
      <c r="DV57" s="726">
        <f>IS!DV15</f>
        <v>-1701.4540452400001</v>
      </c>
    </row>
    <row r="58" spans="1:127" ht="12.6" customHeight="1">
      <c r="B58" s="522" t="s">
        <v>529</v>
      </c>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c r="AA58" s="164"/>
      <c r="AB58" s="164"/>
      <c r="AC58" s="164"/>
      <c r="AD58" s="164"/>
      <c r="AE58" s="164"/>
      <c r="AF58" s="164"/>
      <c r="AG58" s="164"/>
      <c r="AH58" s="164"/>
      <c r="AI58" s="164"/>
      <c r="AJ58" s="164"/>
      <c r="AK58" s="164"/>
      <c r="AL58" s="164"/>
      <c r="AM58" s="164"/>
      <c r="AN58" s="164"/>
      <c r="AO58" s="164"/>
      <c r="AP58" s="164"/>
      <c r="AQ58" s="164"/>
      <c r="AR58" s="164"/>
      <c r="AS58" s="164"/>
      <c r="AT58" s="164"/>
      <c r="AU58" s="164"/>
      <c r="AV58" s="164"/>
      <c r="AW58" s="164"/>
      <c r="AX58" s="164"/>
      <c r="AY58" s="164"/>
      <c r="AZ58" s="164"/>
      <c r="BA58" s="202"/>
      <c r="BB58" s="164"/>
      <c r="BC58" s="189"/>
      <c r="BD58" s="189"/>
      <c r="BE58" s="189"/>
      <c r="BF58" s="189"/>
      <c r="BG58" s="164"/>
      <c r="BH58" s="189"/>
      <c r="BI58" s="189"/>
      <c r="BJ58" s="189"/>
      <c r="BK58" s="189"/>
      <c r="BL58" s="164"/>
      <c r="BM58" s="189"/>
      <c r="BN58" s="189"/>
      <c r="BO58" s="189"/>
      <c r="BP58" s="189"/>
      <c r="BQ58" s="164"/>
      <c r="BR58" s="189"/>
      <c r="BS58" s="189"/>
      <c r="BT58" s="189"/>
      <c r="BU58" s="189"/>
      <c r="BV58" s="189"/>
      <c r="BW58" s="189"/>
      <c r="BX58" s="189"/>
      <c r="BY58" s="189"/>
      <c r="BZ58" s="189"/>
      <c r="CA58" s="725"/>
      <c r="CB58" s="189"/>
      <c r="CC58" s="189"/>
      <c r="CD58" s="189"/>
      <c r="CE58" s="189"/>
      <c r="CF58" s="189">
        <f>IS!CF17</f>
        <v>-1808</v>
      </c>
      <c r="CG58" s="189"/>
      <c r="CH58" s="189"/>
      <c r="CI58" s="189"/>
      <c r="CJ58" s="189"/>
      <c r="CK58" s="189">
        <f>IS!CK17</f>
        <v>-1218</v>
      </c>
      <c r="CL58" s="189"/>
      <c r="CM58" s="189"/>
      <c r="CN58" s="189"/>
      <c r="CO58" s="189"/>
      <c r="CP58" s="189">
        <f>IS!CP17</f>
        <v>-370</v>
      </c>
      <c r="CQ58" s="189"/>
      <c r="CR58" s="189"/>
      <c r="CS58" s="189"/>
      <c r="CT58" s="189"/>
      <c r="CU58" s="189">
        <f>IS!CU17</f>
        <v>-786</v>
      </c>
      <c r="CV58" s="189"/>
      <c r="CW58" s="189"/>
      <c r="CX58" s="189"/>
      <c r="CY58" s="189"/>
      <c r="CZ58" s="189">
        <f>IS!CZ17</f>
        <v>-700</v>
      </c>
      <c r="DA58" s="189"/>
      <c r="DB58" s="189"/>
      <c r="DC58" s="189"/>
      <c r="DD58" s="189"/>
      <c r="DE58" s="189">
        <f>IS!DE17</f>
        <v>-386</v>
      </c>
      <c r="DF58" s="189"/>
      <c r="DG58" s="189"/>
      <c r="DH58" s="189"/>
      <c r="DI58" s="189"/>
      <c r="DJ58" s="189">
        <f>IS!DJ17</f>
        <v>-1181</v>
      </c>
      <c r="DK58" s="189"/>
      <c r="DL58" s="189"/>
      <c r="DM58" s="189"/>
      <c r="DN58" s="189"/>
      <c r="DO58" s="189">
        <f>IS!DO17</f>
        <v>-1613.7962172000002</v>
      </c>
      <c r="DP58" s="189"/>
      <c r="DQ58" s="189"/>
      <c r="DR58" s="189"/>
      <c r="DS58" s="189"/>
      <c r="DT58" s="189">
        <f>IS!DT17</f>
        <v>-1821.56043259184</v>
      </c>
      <c r="DU58" s="189">
        <f>IS!DU17</f>
        <v>-2000.0160657922461</v>
      </c>
      <c r="DV58" s="726">
        <f>IS!DV17</f>
        <v>-2193.6472243777835</v>
      </c>
    </row>
    <row r="59" spans="1:127" ht="12.6" customHeight="1">
      <c r="B59" s="522" t="s">
        <v>103</v>
      </c>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4"/>
      <c r="BA59" s="202"/>
      <c r="BB59" s="164"/>
      <c r="BC59" s="189"/>
      <c r="BD59" s="189"/>
      <c r="BE59" s="189"/>
      <c r="BF59" s="189"/>
      <c r="BG59" s="164"/>
      <c r="BH59" s="189"/>
      <c r="BI59" s="189"/>
      <c r="BJ59" s="189"/>
      <c r="BK59" s="189"/>
      <c r="BL59" s="164"/>
      <c r="BM59" s="189"/>
      <c r="BN59" s="189"/>
      <c r="BO59" s="189"/>
      <c r="BP59" s="189"/>
      <c r="BQ59" s="164"/>
      <c r="BR59" s="189"/>
      <c r="BS59" s="189"/>
      <c r="BT59" s="189"/>
      <c r="BU59" s="189"/>
      <c r="BV59" s="189"/>
      <c r="BW59" s="189"/>
      <c r="BX59" s="189"/>
      <c r="BY59" s="189"/>
      <c r="BZ59" s="189"/>
      <c r="CA59" s="725"/>
      <c r="CB59" s="189"/>
      <c r="CC59" s="189"/>
      <c r="CD59" s="189"/>
      <c r="CE59" s="189"/>
      <c r="CF59" s="189">
        <f>CF46</f>
        <v>-2536</v>
      </c>
      <c r="CG59" s="189"/>
      <c r="CH59" s="189"/>
      <c r="CI59" s="189"/>
      <c r="CJ59" s="189"/>
      <c r="CK59" s="189">
        <f>CK46</f>
        <v>-2875</v>
      </c>
      <c r="CL59" s="189"/>
      <c r="CM59" s="189"/>
      <c r="CN59" s="189"/>
      <c r="CO59" s="189"/>
      <c r="CP59" s="189">
        <f>CP46</f>
        <v>-1795</v>
      </c>
      <c r="CQ59" s="189"/>
      <c r="CR59" s="189"/>
      <c r="CS59" s="189"/>
      <c r="CT59" s="189"/>
      <c r="CU59" s="189">
        <f>CU46</f>
        <v>-2134</v>
      </c>
      <c r="CV59" s="189"/>
      <c r="CW59" s="189"/>
      <c r="CX59" s="189"/>
      <c r="CY59" s="189"/>
      <c r="CZ59" s="189">
        <f>CZ46</f>
        <v>-2288</v>
      </c>
      <c r="DA59" s="189"/>
      <c r="DB59" s="189"/>
      <c r="DC59" s="189"/>
      <c r="DD59" s="189"/>
      <c r="DE59" s="189">
        <f>DE46</f>
        <v>-2415</v>
      </c>
      <c r="DF59" s="189"/>
      <c r="DG59" s="189"/>
      <c r="DH59" s="189"/>
      <c r="DI59" s="189"/>
      <c r="DJ59" s="189">
        <f>DJ46</f>
        <v>-2625</v>
      </c>
      <c r="DK59" s="189"/>
      <c r="DL59" s="189"/>
      <c r="DM59" s="189"/>
      <c r="DN59" s="189"/>
      <c r="DO59" s="189">
        <f>DO46</f>
        <v>-2607</v>
      </c>
      <c r="DP59" s="189"/>
      <c r="DQ59" s="189"/>
      <c r="DR59" s="189"/>
      <c r="DS59" s="189"/>
      <c r="DT59" s="189">
        <f>DT46</f>
        <v>-2720</v>
      </c>
      <c r="DU59" s="189">
        <f>DU46</f>
        <v>-2850</v>
      </c>
      <c r="DV59" s="726">
        <f>DV46</f>
        <v>-2875</v>
      </c>
    </row>
    <row r="60" spans="1:127" ht="12.6" customHeight="1">
      <c r="B60" s="522" t="s">
        <v>565</v>
      </c>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4"/>
      <c r="BA60" s="202"/>
      <c r="BB60" s="164"/>
      <c r="BC60" s="189"/>
      <c r="BD60" s="189"/>
      <c r="BE60" s="189"/>
      <c r="BF60" s="189"/>
      <c r="BG60" s="164"/>
      <c r="BH60" s="189"/>
      <c r="BI60" s="189"/>
      <c r="BJ60" s="189"/>
      <c r="BK60" s="189"/>
      <c r="BL60" s="164"/>
      <c r="BM60" s="189"/>
      <c r="BN60" s="189"/>
      <c r="BO60" s="189"/>
      <c r="BP60" s="189"/>
      <c r="BQ60" s="164"/>
      <c r="BR60" s="189"/>
      <c r="BS60" s="189"/>
      <c r="BT60" s="189"/>
      <c r="BU60" s="189"/>
      <c r="BV60" s="189"/>
      <c r="BW60" s="189"/>
      <c r="BX60" s="189"/>
      <c r="BY60" s="189"/>
      <c r="BZ60" s="189"/>
      <c r="CA60" s="725"/>
      <c r="CB60" s="189"/>
      <c r="CC60" s="189"/>
      <c r="CD60" s="189"/>
      <c r="CE60" s="189"/>
      <c r="CF60" s="189">
        <f>CF11*(1-IS!CF55)</f>
        <v>300</v>
      </c>
      <c r="CG60" s="189"/>
      <c r="CH60" s="189"/>
      <c r="CI60" s="189"/>
      <c r="CJ60" s="189"/>
      <c r="CK60" s="189">
        <f>CK11*(1-IS!CK55)</f>
        <v>300</v>
      </c>
      <c r="CL60" s="189"/>
      <c r="CM60" s="189"/>
      <c r="CN60" s="189"/>
      <c r="CO60" s="189"/>
      <c r="CP60" s="189">
        <f>CP11*(1-IS!CP55)</f>
        <v>303.23877002270979</v>
      </c>
      <c r="CQ60" s="189"/>
      <c r="CR60" s="189"/>
      <c r="CS60" s="189"/>
      <c r="CT60" s="189"/>
      <c r="CU60" s="189">
        <f>CU11*(1-IS!CU55)</f>
        <v>374.37433561123765</v>
      </c>
      <c r="CV60" s="189"/>
      <c r="CW60" s="189"/>
      <c r="CX60" s="189"/>
      <c r="CY60" s="189"/>
      <c r="CZ60" s="189">
        <f>CZ11*(1-IS!CZ55)</f>
        <v>359.29512281950872</v>
      </c>
      <c r="DA60" s="189"/>
      <c r="DB60" s="189"/>
      <c r="DC60" s="189"/>
      <c r="DD60" s="189"/>
      <c r="DE60" s="189">
        <f>DE11*(1-IS!DE55)</f>
        <v>350.73684210526312</v>
      </c>
      <c r="DF60" s="189"/>
      <c r="DG60" s="189"/>
      <c r="DH60" s="189"/>
      <c r="DI60" s="189"/>
      <c r="DJ60" s="189">
        <f>DJ11*(1-IS!DJ55)</f>
        <v>366.42685243825207</v>
      </c>
      <c r="DK60" s="189"/>
      <c r="DL60" s="189"/>
      <c r="DM60" s="189"/>
      <c r="DN60" s="189"/>
      <c r="DO60" s="189">
        <f>DO11*(1-IS!DO55)</f>
        <v>362.02778780912115</v>
      </c>
      <c r="DP60" s="189"/>
      <c r="DQ60" s="189"/>
      <c r="DR60" s="189"/>
      <c r="DS60" s="189"/>
      <c r="DT60" s="189">
        <f>DT11*(1-IS!DT55)</f>
        <v>355.67863569739495</v>
      </c>
      <c r="DU60" s="189">
        <f>DU11*(1-IS!DU55)</f>
        <v>363.82734884400327</v>
      </c>
      <c r="DV60" s="726">
        <f>DV11*(1-IS!DV55)</f>
        <v>371.96471258538088</v>
      </c>
    </row>
    <row r="61" spans="1:127" ht="12.6" customHeight="1">
      <c r="B61" s="522" t="s">
        <v>564</v>
      </c>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4"/>
      <c r="AF61" s="164"/>
      <c r="AG61" s="164"/>
      <c r="AH61" s="164"/>
      <c r="AI61" s="164"/>
      <c r="AJ61" s="164"/>
      <c r="AK61" s="164"/>
      <c r="AL61" s="164"/>
      <c r="AM61" s="164"/>
      <c r="AN61" s="164"/>
      <c r="AO61" s="164"/>
      <c r="AP61" s="164"/>
      <c r="AQ61" s="164"/>
      <c r="AR61" s="164"/>
      <c r="AS61" s="164"/>
      <c r="AT61" s="164"/>
      <c r="AU61" s="164"/>
      <c r="AV61" s="164"/>
      <c r="AW61" s="164"/>
      <c r="AX61" s="164"/>
      <c r="AY61" s="164"/>
      <c r="AZ61" s="164"/>
      <c r="BA61" s="202"/>
      <c r="BB61" s="164"/>
      <c r="BC61" s="189"/>
      <c r="BD61" s="189"/>
      <c r="BE61" s="189"/>
      <c r="BF61" s="189"/>
      <c r="BG61" s="164"/>
      <c r="BH61" s="189"/>
      <c r="BI61" s="189"/>
      <c r="BJ61" s="189"/>
      <c r="BK61" s="189"/>
      <c r="BL61" s="164"/>
      <c r="BM61" s="189"/>
      <c r="BN61" s="189"/>
      <c r="BO61" s="189"/>
      <c r="BP61" s="189"/>
      <c r="BQ61" s="164"/>
      <c r="BR61" s="189"/>
      <c r="BS61" s="189"/>
      <c r="BT61" s="189"/>
      <c r="BU61" s="189"/>
      <c r="BV61" s="189"/>
      <c r="BW61" s="189"/>
      <c r="BX61" s="189"/>
      <c r="BY61" s="189"/>
      <c r="BZ61" s="189"/>
      <c r="CA61" s="725"/>
      <c r="CB61" s="189"/>
      <c r="CC61" s="189"/>
      <c r="CD61" s="189"/>
      <c r="CE61" s="189"/>
      <c r="CF61" s="189">
        <f>-SEG!CF176*(1-IS!CF55)</f>
        <v>-1428</v>
      </c>
      <c r="CG61" s="189"/>
      <c r="CH61" s="189"/>
      <c r="CI61" s="189"/>
      <c r="CJ61" s="189"/>
      <c r="CK61" s="189">
        <f>-SEG!CK176*(1-IS!CK55)</f>
        <v>-1415</v>
      </c>
      <c r="CL61" s="189"/>
      <c r="CM61" s="189"/>
      <c r="CN61" s="189"/>
      <c r="CO61" s="189"/>
      <c r="CP61" s="189">
        <f>-SEG!CP176*(1-IS!CP55)</f>
        <v>-1279.1162662776121</v>
      </c>
      <c r="CQ61" s="189"/>
      <c r="CR61" s="189"/>
      <c r="CS61" s="189"/>
      <c r="CT61" s="189"/>
      <c r="CU61" s="189">
        <f>-SEG!CU176*(1-IS!CU55)</f>
        <v>-1400.9392558845861</v>
      </c>
      <c r="CV61" s="189"/>
      <c r="CW61" s="189"/>
      <c r="CX61" s="189"/>
      <c r="CY61" s="189"/>
      <c r="CZ61" s="189">
        <f>-SEG!CZ176*(1-IS!CZ55)</f>
        <v>-1196.7949448202207</v>
      </c>
      <c r="DA61" s="189"/>
      <c r="DB61" s="189"/>
      <c r="DC61" s="189"/>
      <c r="DD61" s="189"/>
      <c r="DE61" s="189">
        <f>-SEG!DE176*(1-IS!DE55)</f>
        <v>-930.07157894736838</v>
      </c>
      <c r="DF61" s="189"/>
      <c r="DG61" s="189"/>
      <c r="DH61" s="189"/>
      <c r="DI61" s="189"/>
      <c r="DJ61" s="189">
        <f>-SEG!DJ176*(1-IS!DJ55)</f>
        <v>-698.47498416719441</v>
      </c>
      <c r="DK61" s="189"/>
      <c r="DL61" s="189"/>
      <c r="DM61" s="189"/>
      <c r="DN61" s="189"/>
      <c r="DO61" s="189">
        <f>-SEG!DO176*(1-IS!DO55)</f>
        <v>-603.37964634853529</v>
      </c>
      <c r="DP61" s="189"/>
      <c r="DQ61" s="189"/>
      <c r="DR61" s="189"/>
      <c r="DS61" s="189"/>
      <c r="DT61" s="189">
        <f>-SEG!DT176*(1-IS!DT55)</f>
        <v>-485.01632140553858</v>
      </c>
      <c r="DU61" s="189">
        <f>-SEG!DU176*(1-IS!DU55)</f>
        <v>-404.25260982667032</v>
      </c>
      <c r="DV61" s="835">
        <f>-SEG!DV176*(1-IS!DV55)</f>
        <v>-363.87852318135083</v>
      </c>
    </row>
    <row r="62" spans="1:127" ht="12.6" customHeight="1">
      <c r="B62" s="522" t="s">
        <v>566</v>
      </c>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4"/>
      <c r="BA62" s="202"/>
      <c r="BB62" s="164"/>
      <c r="BC62" s="189"/>
      <c r="BD62" s="189"/>
      <c r="BE62" s="189"/>
      <c r="BF62" s="189"/>
      <c r="BG62" s="164"/>
      <c r="BH62" s="189"/>
      <c r="BI62" s="189"/>
      <c r="BJ62" s="189"/>
      <c r="BK62" s="189"/>
      <c r="BL62" s="164"/>
      <c r="BM62" s="189"/>
      <c r="BN62" s="189"/>
      <c r="BO62" s="189"/>
      <c r="BP62" s="189"/>
      <c r="BQ62" s="164"/>
      <c r="BR62" s="189"/>
      <c r="BS62" s="189"/>
      <c r="BT62" s="189"/>
      <c r="BU62" s="189"/>
      <c r="BV62" s="189"/>
      <c r="BW62" s="189"/>
      <c r="BX62" s="189"/>
      <c r="BY62" s="189"/>
      <c r="BZ62" s="189"/>
      <c r="CA62" s="725"/>
      <c r="CB62" s="189"/>
      <c r="CC62" s="189"/>
      <c r="CD62" s="189"/>
      <c r="CE62" s="189"/>
      <c r="CF62" s="189">
        <v>1530.23</v>
      </c>
      <c r="CG62" s="189"/>
      <c r="CH62" s="189"/>
      <c r="CI62" s="189"/>
      <c r="CJ62" s="189"/>
      <c r="CK62" s="189">
        <v>1547.34</v>
      </c>
      <c r="CL62" s="189"/>
      <c r="CM62" s="189"/>
      <c r="CN62" s="189"/>
      <c r="CO62" s="189"/>
      <c r="CP62" s="189">
        <v>1589.6000000000001</v>
      </c>
      <c r="CQ62" s="189"/>
      <c r="CR62" s="189"/>
      <c r="CS62" s="189"/>
      <c r="CT62" s="189"/>
      <c r="CU62" s="189">
        <v>1760.8000000000002</v>
      </c>
      <c r="CV62" s="189"/>
      <c r="CW62" s="189"/>
      <c r="CX62" s="189"/>
      <c r="CY62" s="189"/>
      <c r="CZ62" s="189">
        <v>1508</v>
      </c>
      <c r="DA62" s="189"/>
      <c r="DB62" s="189"/>
      <c r="DC62" s="189"/>
      <c r="DD62" s="189"/>
      <c r="DE62" s="189">
        <v>1128</v>
      </c>
      <c r="DF62" s="189"/>
      <c r="DG62" s="189"/>
      <c r="DH62" s="189"/>
      <c r="DI62" s="189"/>
      <c r="DJ62" s="189">
        <v>640</v>
      </c>
      <c r="DK62" s="189"/>
      <c r="DL62" s="189"/>
      <c r="DM62" s="189"/>
      <c r="DN62" s="189"/>
      <c r="DO62" s="189">
        <v>592</v>
      </c>
      <c r="DP62" s="189"/>
      <c r="DQ62" s="189"/>
      <c r="DR62" s="189"/>
      <c r="DS62" s="189"/>
      <c r="DT62" s="189">
        <v>480</v>
      </c>
      <c r="DU62" s="189">
        <v>400</v>
      </c>
      <c r="DV62" s="836">
        <v>400</v>
      </c>
    </row>
    <row r="63" spans="1:127" ht="12.6" customHeight="1">
      <c r="B63" s="522" t="s">
        <v>567</v>
      </c>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64"/>
      <c r="AU63" s="164"/>
      <c r="AV63" s="164"/>
      <c r="AW63" s="164"/>
      <c r="AX63" s="164"/>
      <c r="AY63" s="164"/>
      <c r="AZ63" s="164"/>
      <c r="BA63" s="202"/>
      <c r="BB63" s="164"/>
      <c r="BC63" s="189"/>
      <c r="BD63" s="189"/>
      <c r="BE63" s="189"/>
      <c r="BF63" s="189"/>
      <c r="BG63" s="164"/>
      <c r="BH63" s="189"/>
      <c r="BI63" s="189"/>
      <c r="BJ63" s="189"/>
      <c r="BK63" s="189"/>
      <c r="BL63" s="164"/>
      <c r="BM63" s="189"/>
      <c r="BN63" s="189"/>
      <c r="BO63" s="189"/>
      <c r="BP63" s="189"/>
      <c r="BQ63" s="164"/>
      <c r="BR63" s="189"/>
      <c r="BS63" s="189"/>
      <c r="BT63" s="189"/>
      <c r="BU63" s="189"/>
      <c r="BV63" s="189"/>
      <c r="BW63" s="189"/>
      <c r="BX63" s="189"/>
      <c r="BY63" s="189"/>
      <c r="BZ63" s="189"/>
      <c r="CA63" s="725"/>
      <c r="CB63" s="189"/>
      <c r="CC63" s="189"/>
      <c r="CD63" s="189"/>
      <c r="CE63" s="189"/>
      <c r="CF63" s="189">
        <v>-1404.65</v>
      </c>
      <c r="CG63" s="189"/>
      <c r="CH63" s="189"/>
      <c r="CI63" s="189"/>
      <c r="CJ63" s="189"/>
      <c r="CK63" s="189">
        <v>-316.52</v>
      </c>
      <c r="CL63" s="189"/>
      <c r="CM63" s="189"/>
      <c r="CN63" s="189"/>
      <c r="CO63" s="189"/>
      <c r="CP63" s="189">
        <v>-1112.74</v>
      </c>
      <c r="CQ63" s="189"/>
      <c r="CR63" s="189"/>
      <c r="CS63" s="189"/>
      <c r="CT63" s="189"/>
      <c r="CU63" s="189">
        <v>-294.40000000000003</v>
      </c>
      <c r="CV63" s="189"/>
      <c r="CW63" s="189"/>
      <c r="CX63" s="189"/>
      <c r="CY63" s="189"/>
      <c r="CZ63" s="189">
        <v>-327.20000000000005</v>
      </c>
      <c r="DA63" s="189"/>
      <c r="DB63" s="189"/>
      <c r="DC63" s="189"/>
      <c r="DD63" s="189"/>
      <c r="DE63" s="189">
        <v>-340</v>
      </c>
      <c r="DF63" s="189"/>
      <c r="DG63" s="189"/>
      <c r="DH63" s="189"/>
      <c r="DI63" s="189"/>
      <c r="DJ63" s="189">
        <v>-240</v>
      </c>
      <c r="DK63" s="189"/>
      <c r="DL63" s="189"/>
      <c r="DM63" s="189"/>
      <c r="DN63" s="189"/>
      <c r="DO63" s="189">
        <v>-240</v>
      </c>
      <c r="DP63" s="189"/>
      <c r="DQ63" s="189"/>
      <c r="DR63" s="189"/>
      <c r="DS63" s="189"/>
      <c r="DT63" s="189">
        <v>-240</v>
      </c>
      <c r="DU63" s="189">
        <v>-240</v>
      </c>
      <c r="DV63" s="836">
        <v>-240</v>
      </c>
    </row>
    <row r="64" spans="1:127" s="492" customFormat="1" ht="12.6" customHeight="1">
      <c r="B64" s="727" t="s">
        <v>610</v>
      </c>
      <c r="C64" s="728"/>
      <c r="D64" s="728"/>
      <c r="E64" s="728"/>
      <c r="F64" s="728"/>
      <c r="G64" s="728"/>
      <c r="H64" s="728"/>
      <c r="I64" s="728"/>
      <c r="J64" s="728"/>
      <c r="K64" s="728"/>
      <c r="L64" s="728"/>
      <c r="M64" s="728"/>
      <c r="N64" s="728"/>
      <c r="O64" s="728"/>
      <c r="P64" s="728"/>
      <c r="Q64" s="728"/>
      <c r="R64" s="728"/>
      <c r="S64" s="728"/>
      <c r="T64" s="728"/>
      <c r="U64" s="728"/>
      <c r="V64" s="728"/>
      <c r="W64" s="728"/>
      <c r="X64" s="728"/>
      <c r="Y64" s="728"/>
      <c r="Z64" s="728"/>
      <c r="AA64" s="728"/>
      <c r="AB64" s="728"/>
      <c r="AC64" s="728"/>
      <c r="AD64" s="728"/>
      <c r="AE64" s="728"/>
      <c r="AF64" s="728"/>
      <c r="AG64" s="728"/>
      <c r="AH64" s="728"/>
      <c r="AI64" s="728"/>
      <c r="AJ64" s="728"/>
      <c r="AK64" s="728"/>
      <c r="AL64" s="728"/>
      <c r="AM64" s="728"/>
      <c r="AN64" s="728"/>
      <c r="AO64" s="728"/>
      <c r="AP64" s="728"/>
      <c r="AQ64" s="728"/>
      <c r="AR64" s="728"/>
      <c r="AS64" s="728"/>
      <c r="AT64" s="728"/>
      <c r="AU64" s="728"/>
      <c r="AV64" s="728"/>
      <c r="AW64" s="728"/>
      <c r="AX64" s="728"/>
      <c r="AY64" s="728"/>
      <c r="AZ64" s="728"/>
      <c r="BA64" s="690"/>
      <c r="BB64" s="728"/>
      <c r="BC64" s="690"/>
      <c r="BD64" s="690"/>
      <c r="BE64" s="690"/>
      <c r="BF64" s="690"/>
      <c r="BG64" s="728"/>
      <c r="BH64" s="690"/>
      <c r="BI64" s="690"/>
      <c r="BJ64" s="690"/>
      <c r="BK64" s="690"/>
      <c r="BL64" s="728"/>
      <c r="BM64" s="690"/>
      <c r="BN64" s="690"/>
      <c r="BO64" s="690"/>
      <c r="BP64" s="690"/>
      <c r="BQ64" s="728"/>
      <c r="BR64" s="690"/>
      <c r="BS64" s="690"/>
      <c r="BT64" s="690"/>
      <c r="BU64" s="690"/>
      <c r="BV64" s="690"/>
      <c r="BW64" s="690"/>
      <c r="BX64" s="690"/>
      <c r="BY64" s="690"/>
      <c r="BZ64" s="690"/>
      <c r="CA64" s="729"/>
      <c r="CB64" s="690"/>
      <c r="CC64" s="690"/>
      <c r="CD64" s="690"/>
      <c r="CE64" s="690"/>
      <c r="CF64" s="690">
        <v>-300</v>
      </c>
      <c r="CG64" s="690"/>
      <c r="CH64" s="690"/>
      <c r="CI64" s="690"/>
      <c r="CJ64" s="690"/>
      <c r="CK64" s="690">
        <f>-400-400</f>
        <v>-800</v>
      </c>
      <c r="CL64" s="690"/>
      <c r="CM64" s="690"/>
      <c r="CN64" s="690"/>
      <c r="CO64" s="690"/>
      <c r="CP64" s="690">
        <v>-1200</v>
      </c>
      <c r="CQ64" s="690"/>
      <c r="CR64" s="690"/>
      <c r="CS64" s="690"/>
      <c r="CT64" s="690"/>
      <c r="CU64" s="690">
        <v>-655</v>
      </c>
      <c r="CV64" s="690"/>
      <c r="CW64" s="690"/>
      <c r="CX64" s="690"/>
      <c r="CY64" s="690"/>
      <c r="CZ64" s="690">
        <v>-1600</v>
      </c>
      <c r="DA64" s="690"/>
      <c r="DB64" s="690"/>
      <c r="DC64" s="690"/>
      <c r="DD64" s="690"/>
      <c r="DE64" s="690">
        <v>-700</v>
      </c>
      <c r="DF64" s="690"/>
      <c r="DG64" s="690"/>
      <c r="DH64" s="690"/>
      <c r="DI64" s="690"/>
      <c r="DJ64" s="690">
        <v>-635.4884032785003</v>
      </c>
      <c r="DK64" s="690"/>
      <c r="DL64" s="690"/>
      <c r="DM64" s="690"/>
      <c r="DN64" s="690"/>
      <c r="DO64" s="690">
        <v>0</v>
      </c>
      <c r="DP64" s="690"/>
      <c r="DQ64" s="690"/>
      <c r="DR64" s="690"/>
      <c r="DS64" s="690"/>
      <c r="DT64" s="690">
        <v>0</v>
      </c>
      <c r="DU64" s="690">
        <v>0</v>
      </c>
      <c r="DV64" s="834">
        <v>0</v>
      </c>
    </row>
    <row r="65" spans="2:126" s="492" customFormat="1" ht="12.6" customHeight="1">
      <c r="B65" s="727" t="s">
        <v>631</v>
      </c>
      <c r="C65" s="728"/>
      <c r="D65" s="728"/>
      <c r="E65" s="728"/>
      <c r="F65" s="728"/>
      <c r="G65" s="728"/>
      <c r="H65" s="728"/>
      <c r="I65" s="728"/>
      <c r="J65" s="728"/>
      <c r="K65" s="728"/>
      <c r="L65" s="728"/>
      <c r="M65" s="728"/>
      <c r="N65" s="728"/>
      <c r="O65" s="728"/>
      <c r="P65" s="728"/>
      <c r="Q65" s="728"/>
      <c r="R65" s="728"/>
      <c r="S65" s="728"/>
      <c r="T65" s="728"/>
      <c r="U65" s="728"/>
      <c r="V65" s="728"/>
      <c r="W65" s="728"/>
      <c r="X65" s="728"/>
      <c r="Y65" s="728"/>
      <c r="Z65" s="728"/>
      <c r="AA65" s="728"/>
      <c r="AB65" s="728"/>
      <c r="AC65" s="728"/>
      <c r="AD65" s="728"/>
      <c r="AE65" s="728"/>
      <c r="AF65" s="728"/>
      <c r="AG65" s="728"/>
      <c r="AH65" s="728"/>
      <c r="AI65" s="728"/>
      <c r="AJ65" s="728"/>
      <c r="AK65" s="728"/>
      <c r="AL65" s="728"/>
      <c r="AM65" s="728"/>
      <c r="AN65" s="728"/>
      <c r="AO65" s="728"/>
      <c r="AP65" s="728"/>
      <c r="AQ65" s="728"/>
      <c r="AR65" s="728"/>
      <c r="AS65" s="728"/>
      <c r="AT65" s="728"/>
      <c r="AU65" s="728"/>
      <c r="AV65" s="728"/>
      <c r="AW65" s="728"/>
      <c r="AX65" s="728"/>
      <c r="AY65" s="728"/>
      <c r="AZ65" s="728"/>
      <c r="BA65" s="690"/>
      <c r="BB65" s="728"/>
      <c r="BC65" s="690"/>
      <c r="BD65" s="690"/>
      <c r="BE65" s="690"/>
      <c r="BF65" s="690"/>
      <c r="BG65" s="728"/>
      <c r="BH65" s="690"/>
      <c r="BI65" s="690"/>
      <c r="BJ65" s="690"/>
      <c r="BK65" s="690"/>
      <c r="BL65" s="728"/>
      <c r="BM65" s="690"/>
      <c r="BN65" s="690"/>
      <c r="BO65" s="690"/>
      <c r="BP65" s="690"/>
      <c r="BQ65" s="728"/>
      <c r="BR65" s="690"/>
      <c r="BS65" s="690"/>
      <c r="BT65" s="690"/>
      <c r="BU65" s="690"/>
      <c r="BV65" s="690"/>
      <c r="BW65" s="690"/>
      <c r="BX65" s="690"/>
      <c r="BY65" s="690"/>
      <c r="BZ65" s="690"/>
      <c r="CA65" s="729"/>
      <c r="CB65" s="690"/>
      <c r="CC65" s="690"/>
      <c r="CD65" s="690"/>
      <c r="CE65" s="690"/>
      <c r="CF65" s="690"/>
      <c r="CG65" s="690"/>
      <c r="CH65" s="690"/>
      <c r="CI65" s="690"/>
      <c r="CJ65" s="690"/>
      <c r="CK65" s="690"/>
      <c r="CL65" s="690"/>
      <c r="CM65" s="690"/>
      <c r="CN65" s="690"/>
      <c r="CO65" s="690"/>
      <c r="CP65" s="690"/>
      <c r="CQ65" s="690"/>
      <c r="CR65" s="690"/>
      <c r="CS65" s="690"/>
      <c r="CT65" s="690"/>
      <c r="CU65" s="690"/>
      <c r="CV65" s="690"/>
      <c r="CW65" s="690"/>
      <c r="CX65" s="690"/>
      <c r="CY65" s="690"/>
      <c r="CZ65" s="690"/>
      <c r="DA65" s="690"/>
      <c r="DB65" s="690"/>
      <c r="DC65" s="690"/>
      <c r="DD65" s="690"/>
      <c r="DE65" s="690">
        <v>-300</v>
      </c>
      <c r="DF65" s="690"/>
      <c r="DG65" s="690"/>
      <c r="DH65" s="690"/>
      <c r="DI65" s="690"/>
      <c r="DJ65" s="690">
        <f>-1300-1000</f>
        <v>-2300</v>
      </c>
      <c r="DK65" s="690"/>
      <c r="DL65" s="690"/>
      <c r="DM65" s="690"/>
      <c r="DN65" s="690"/>
      <c r="DO65" s="690">
        <v>-1200</v>
      </c>
      <c r="DP65" s="690"/>
      <c r="DQ65" s="690"/>
      <c r="DR65" s="690"/>
      <c r="DS65" s="690"/>
      <c r="DT65" s="690">
        <v>-700</v>
      </c>
      <c r="DU65" s="690">
        <v>0</v>
      </c>
      <c r="DV65" s="834">
        <v>0</v>
      </c>
    </row>
    <row r="66" spans="2:126" s="492" customFormat="1" ht="12.6" customHeight="1">
      <c r="B66" s="727" t="s">
        <v>544</v>
      </c>
      <c r="C66" s="728"/>
      <c r="D66" s="728"/>
      <c r="E66" s="728"/>
      <c r="F66" s="728"/>
      <c r="G66" s="728"/>
      <c r="H66" s="728"/>
      <c r="I66" s="728"/>
      <c r="J66" s="728"/>
      <c r="K66" s="728"/>
      <c r="L66" s="728"/>
      <c r="M66" s="728"/>
      <c r="N66" s="728"/>
      <c r="O66" s="728"/>
      <c r="P66" s="728"/>
      <c r="Q66" s="728"/>
      <c r="R66" s="728"/>
      <c r="S66" s="728"/>
      <c r="T66" s="728"/>
      <c r="U66" s="728"/>
      <c r="V66" s="728"/>
      <c r="W66" s="728"/>
      <c r="X66" s="728"/>
      <c r="Y66" s="728"/>
      <c r="Z66" s="728"/>
      <c r="AA66" s="728"/>
      <c r="AB66" s="728"/>
      <c r="AC66" s="728"/>
      <c r="AD66" s="728"/>
      <c r="AE66" s="728"/>
      <c r="AF66" s="728"/>
      <c r="AG66" s="728"/>
      <c r="AH66" s="728"/>
      <c r="AI66" s="728"/>
      <c r="AJ66" s="728"/>
      <c r="AK66" s="728"/>
      <c r="AL66" s="728"/>
      <c r="AM66" s="728"/>
      <c r="AN66" s="728"/>
      <c r="AO66" s="728"/>
      <c r="AP66" s="728"/>
      <c r="AQ66" s="728"/>
      <c r="AR66" s="728"/>
      <c r="AS66" s="728"/>
      <c r="AT66" s="728"/>
      <c r="AU66" s="728"/>
      <c r="AV66" s="728"/>
      <c r="AW66" s="728"/>
      <c r="AX66" s="728"/>
      <c r="AY66" s="728"/>
      <c r="AZ66" s="728"/>
      <c r="BA66" s="690"/>
      <c r="BB66" s="728"/>
      <c r="BC66" s="690"/>
      <c r="BD66" s="690"/>
      <c r="BE66" s="690"/>
      <c r="BF66" s="690"/>
      <c r="BG66" s="728"/>
      <c r="BH66" s="690"/>
      <c r="BI66" s="690"/>
      <c r="BJ66" s="690"/>
      <c r="BK66" s="690"/>
      <c r="BL66" s="728"/>
      <c r="BM66" s="690"/>
      <c r="BN66" s="690"/>
      <c r="BO66" s="690"/>
      <c r="BP66" s="690"/>
      <c r="BQ66" s="728"/>
      <c r="BR66" s="690"/>
      <c r="BS66" s="690"/>
      <c r="BT66" s="690"/>
      <c r="BU66" s="690"/>
      <c r="BV66" s="690"/>
      <c r="BW66" s="690"/>
      <c r="BX66" s="690"/>
      <c r="BY66" s="690"/>
      <c r="BZ66" s="690"/>
      <c r="CA66" s="729"/>
      <c r="CB66" s="690"/>
      <c r="CC66" s="690"/>
      <c r="CD66" s="690"/>
      <c r="CE66" s="690"/>
      <c r="CF66" s="690">
        <v>-930</v>
      </c>
      <c r="CG66" s="690"/>
      <c r="CH66" s="690"/>
      <c r="CI66" s="690"/>
      <c r="CJ66" s="690"/>
      <c r="CK66" s="690">
        <f>-1200+400</f>
        <v>-800</v>
      </c>
      <c r="CL66" s="690"/>
      <c r="CM66" s="690"/>
      <c r="CN66" s="690"/>
      <c r="CO66" s="690"/>
      <c r="CP66" s="690">
        <f>-1100+800-479</f>
        <v>-779</v>
      </c>
      <c r="CQ66" s="690"/>
      <c r="CR66" s="690"/>
      <c r="CS66" s="690"/>
      <c r="CT66" s="690"/>
      <c r="CU66" s="690">
        <v>-300</v>
      </c>
      <c r="CV66" s="690"/>
      <c r="CW66" s="690"/>
      <c r="CX66" s="690"/>
      <c r="CY66" s="690"/>
      <c r="CZ66" s="690">
        <v>280</v>
      </c>
      <c r="DA66" s="690"/>
      <c r="DB66" s="690"/>
      <c r="DC66" s="690"/>
      <c r="DD66" s="690"/>
      <c r="DE66" s="690">
        <v>-600</v>
      </c>
      <c r="DF66" s="690"/>
      <c r="DG66" s="690"/>
      <c r="DH66" s="690"/>
      <c r="DI66" s="690"/>
      <c r="DJ66" s="690">
        <v>-759</v>
      </c>
      <c r="DK66" s="690"/>
      <c r="DL66" s="690"/>
      <c r="DM66" s="690"/>
      <c r="DN66" s="690"/>
      <c r="DO66" s="690">
        <v>1000</v>
      </c>
      <c r="DP66" s="690"/>
      <c r="DQ66" s="690"/>
      <c r="DR66" s="690"/>
      <c r="DS66" s="690"/>
      <c r="DT66" s="690">
        <v>700</v>
      </c>
      <c r="DU66" s="690">
        <v>250</v>
      </c>
      <c r="DV66" s="834">
        <v>0</v>
      </c>
    </row>
    <row r="67" spans="2:126" s="37" customFormat="1" ht="12.6" customHeight="1">
      <c r="B67" s="730" t="s">
        <v>530</v>
      </c>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108"/>
      <c r="AH67" s="108"/>
      <c r="AI67" s="108"/>
      <c r="AJ67" s="108"/>
      <c r="AK67" s="108"/>
      <c r="AL67" s="108"/>
      <c r="AM67" s="108"/>
      <c r="AN67" s="108"/>
      <c r="AO67" s="108"/>
      <c r="AP67" s="108"/>
      <c r="AQ67" s="108"/>
      <c r="AR67" s="108"/>
      <c r="AS67" s="108"/>
      <c r="AT67" s="108"/>
      <c r="AU67" s="108"/>
      <c r="AV67" s="108"/>
      <c r="AW67" s="108"/>
      <c r="AX67" s="108"/>
      <c r="AY67" s="108"/>
      <c r="AZ67" s="108"/>
      <c r="BA67" s="235"/>
      <c r="BB67" s="108"/>
      <c r="BC67" s="235"/>
      <c r="BD67" s="235"/>
      <c r="BE67" s="235"/>
      <c r="BF67" s="235"/>
      <c r="BG67" s="108"/>
      <c r="BH67" s="235"/>
      <c r="BI67" s="235"/>
      <c r="BJ67" s="235"/>
      <c r="BK67" s="235"/>
      <c r="BL67" s="108"/>
      <c r="BM67" s="235"/>
      <c r="BN67" s="235"/>
      <c r="BO67" s="235"/>
      <c r="BP67" s="235"/>
      <c r="BQ67" s="108"/>
      <c r="BR67" s="235"/>
      <c r="BS67" s="235"/>
      <c r="BT67" s="235"/>
      <c r="BU67" s="235"/>
      <c r="BV67" s="235"/>
      <c r="BW67" s="235"/>
      <c r="BX67" s="235"/>
      <c r="BY67" s="235"/>
      <c r="BZ67" s="235"/>
      <c r="CA67" s="731"/>
      <c r="CB67" s="235"/>
      <c r="CC67" s="235"/>
      <c r="CD67" s="235"/>
      <c r="CE67" s="235"/>
      <c r="CF67" s="235">
        <f>SUM(CF56:CF66)</f>
        <v>5080.3180688124303</v>
      </c>
      <c r="CG67" s="235"/>
      <c r="CH67" s="235"/>
      <c r="CI67" s="235"/>
      <c r="CJ67" s="235"/>
      <c r="CK67" s="235">
        <f>SUM(CK56:CK66)</f>
        <v>6699.82</v>
      </c>
      <c r="CL67" s="235"/>
      <c r="CM67" s="235"/>
      <c r="CN67" s="235"/>
      <c r="CO67" s="235"/>
      <c r="CP67" s="235">
        <f>SUM(CP56:CP66)</f>
        <v>2402.9825037450983</v>
      </c>
      <c r="CQ67" s="235"/>
      <c r="CR67" s="235"/>
      <c r="CS67" s="235"/>
      <c r="CT67" s="235"/>
      <c r="CU67" s="235">
        <f>SUM(CU56:CU66)</f>
        <v>5005.8350797266512</v>
      </c>
      <c r="CV67" s="235"/>
      <c r="CW67" s="235"/>
      <c r="CX67" s="235"/>
      <c r="CY67" s="235"/>
      <c r="CZ67" s="235">
        <f>SUM(CZ56:CZ66)</f>
        <v>4887.3001779992883</v>
      </c>
      <c r="DA67" s="235"/>
      <c r="DB67" s="235"/>
      <c r="DC67" s="235"/>
      <c r="DD67" s="235"/>
      <c r="DE67" s="235">
        <f>SUM(DE56:DE66)</f>
        <v>5410.6652631578945</v>
      </c>
      <c r="DF67" s="235"/>
      <c r="DG67" s="235"/>
      <c r="DH67" s="235"/>
      <c r="DI67" s="235"/>
      <c r="DJ67" s="235">
        <f>SUM(DJ56:DJ66)</f>
        <v>4752.4634649925565</v>
      </c>
      <c r="DK67" s="235"/>
      <c r="DL67" s="235"/>
      <c r="DM67" s="235"/>
      <c r="DN67" s="235"/>
      <c r="DO67" s="235">
        <f>SUM(DO56:DO66)</f>
        <v>7523.0028292605857</v>
      </c>
      <c r="DP67" s="235"/>
      <c r="DQ67" s="235"/>
      <c r="DR67" s="235"/>
      <c r="DS67" s="235"/>
      <c r="DT67" s="235">
        <f t="shared" ref="DT67" si="158">SUM(DT56:DT66)</f>
        <v>8136.2620532360197</v>
      </c>
      <c r="DU67" s="235">
        <f t="shared" ref="DU67:DV67" si="159">SUM(DU56:DU66)</f>
        <v>9145.9590195000656</v>
      </c>
      <c r="DV67" s="732">
        <f t="shared" si="159"/>
        <v>9794.9506722777387</v>
      </c>
    </row>
    <row r="68" spans="2:126" ht="12.6" customHeight="1">
      <c r="B68" s="522" t="s">
        <v>531</v>
      </c>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c r="AA68" s="164"/>
      <c r="AB68" s="164"/>
      <c r="AC68" s="164"/>
      <c r="AD68" s="164"/>
      <c r="AE68" s="164"/>
      <c r="AF68" s="164"/>
      <c r="AG68" s="164"/>
      <c r="AH68" s="164"/>
      <c r="AI68" s="164"/>
      <c r="AJ68" s="164"/>
      <c r="AK68" s="164"/>
      <c r="AL68" s="164"/>
      <c r="AM68" s="164"/>
      <c r="AN68" s="164"/>
      <c r="AO68" s="164"/>
      <c r="AP68" s="164"/>
      <c r="AQ68" s="164"/>
      <c r="AR68" s="164"/>
      <c r="AS68" s="164"/>
      <c r="AT68" s="164"/>
      <c r="AU68" s="164"/>
      <c r="AV68" s="164"/>
      <c r="AW68" s="164"/>
      <c r="AX68" s="164"/>
      <c r="AY68" s="164"/>
      <c r="AZ68" s="164"/>
      <c r="BA68" s="202"/>
      <c r="BB68" s="164"/>
      <c r="BC68" s="189"/>
      <c r="BD68" s="189"/>
      <c r="BE68" s="189"/>
      <c r="BF68" s="189"/>
      <c r="BG68" s="164"/>
      <c r="BH68" s="189"/>
      <c r="BI68" s="189"/>
      <c r="BJ68" s="189"/>
      <c r="BK68" s="189"/>
      <c r="BL68" s="164"/>
      <c r="BM68" s="189"/>
      <c r="BN68" s="189"/>
      <c r="BO68" s="189"/>
      <c r="BP68" s="189"/>
      <c r="BQ68" s="164"/>
      <c r="BR68" s="189"/>
      <c r="BS68" s="189"/>
      <c r="BT68" s="189"/>
      <c r="BU68" s="189"/>
      <c r="BV68" s="189"/>
      <c r="BW68" s="189"/>
      <c r="BX68" s="189"/>
      <c r="BY68" s="189"/>
      <c r="BZ68" s="189"/>
      <c r="CA68" s="725"/>
      <c r="CB68" s="189"/>
      <c r="CC68" s="189"/>
      <c r="CD68" s="189"/>
      <c r="CE68" s="189"/>
      <c r="CF68" s="688">
        <f>CF67/IS!CF33</f>
        <v>3.4815776239120271</v>
      </c>
      <c r="CG68" s="189"/>
      <c r="CH68" s="189"/>
      <c r="CI68" s="189"/>
      <c r="CJ68" s="189"/>
      <c r="CK68" s="688">
        <f>CK67/IS!CK33</f>
        <v>4.4199894445177463</v>
      </c>
      <c r="CL68" s="189"/>
      <c r="CM68" s="189"/>
      <c r="CN68" s="189"/>
      <c r="CO68" s="189"/>
      <c r="CP68" s="688">
        <f>CP67/IS!CP33</f>
        <v>1.5895895374380486</v>
      </c>
      <c r="CQ68" s="189"/>
      <c r="CR68" s="189"/>
      <c r="CS68" s="189"/>
      <c r="CT68" s="189"/>
      <c r="CU68" s="688">
        <f>CU67/IS!CU33</f>
        <v>3.318584006315628</v>
      </c>
      <c r="CV68" s="189"/>
      <c r="CW68" s="189"/>
      <c r="CX68" s="189"/>
      <c r="CY68" s="189"/>
      <c r="CZ68" s="688">
        <f>CZ67/IS!CZ33</f>
        <v>3.2893945435878837</v>
      </c>
      <c r="DA68" s="189"/>
      <c r="DB68" s="189"/>
      <c r="DC68" s="189"/>
      <c r="DD68" s="189"/>
      <c r="DE68" s="688">
        <f>DE67/IS!DE33</f>
        <v>3.7572107446889187</v>
      </c>
      <c r="DF68" s="189"/>
      <c r="DG68" s="189"/>
      <c r="DH68" s="189"/>
      <c r="DI68" s="189"/>
      <c r="DJ68" s="688">
        <f>DJ67/IS!DJ33</f>
        <v>3.5370460247409481</v>
      </c>
      <c r="DK68" s="189"/>
      <c r="DL68" s="189"/>
      <c r="DM68" s="189"/>
      <c r="DN68" s="189"/>
      <c r="DO68" s="688">
        <f>DO67/IS!DO33</f>
        <v>5.548346359805727</v>
      </c>
      <c r="DP68" s="688"/>
      <c r="DQ68" s="688"/>
      <c r="DR68" s="688"/>
      <c r="DS68" s="688"/>
      <c r="DT68" s="688">
        <f>DT67/IS!DT33</f>
        <v>6.020617177176276</v>
      </c>
      <c r="DU68" s="688">
        <f>DU67/IS!DU33</f>
        <v>6.8182190394364577</v>
      </c>
      <c r="DV68" s="733">
        <f>DV67/IS!DV33</f>
        <v>7.356880480905617</v>
      </c>
    </row>
    <row r="69" spans="2:126" ht="12.6" customHeight="1" thickBot="1">
      <c r="B69" s="734" t="s">
        <v>532</v>
      </c>
      <c r="C69" s="735"/>
      <c r="D69" s="735"/>
      <c r="E69" s="735"/>
      <c r="F69" s="735"/>
      <c r="G69" s="735"/>
      <c r="H69" s="735"/>
      <c r="I69" s="735"/>
      <c r="J69" s="735"/>
      <c r="K69" s="735"/>
      <c r="L69" s="735"/>
      <c r="M69" s="735"/>
      <c r="N69" s="735"/>
      <c r="O69" s="735"/>
      <c r="P69" s="735"/>
      <c r="Q69" s="735"/>
      <c r="R69" s="735"/>
      <c r="S69" s="735"/>
      <c r="T69" s="735"/>
      <c r="U69" s="735"/>
      <c r="V69" s="735"/>
      <c r="W69" s="735"/>
      <c r="X69" s="735"/>
      <c r="Y69" s="735"/>
      <c r="Z69" s="735"/>
      <c r="AA69" s="735"/>
      <c r="AB69" s="735"/>
      <c r="AC69" s="735"/>
      <c r="AD69" s="735"/>
      <c r="AE69" s="735"/>
      <c r="AF69" s="735"/>
      <c r="AG69" s="735"/>
      <c r="AH69" s="735"/>
      <c r="AI69" s="735"/>
      <c r="AJ69" s="735"/>
      <c r="AK69" s="735"/>
      <c r="AL69" s="735"/>
      <c r="AM69" s="735"/>
      <c r="AN69" s="735"/>
      <c r="AO69" s="735"/>
      <c r="AP69" s="735"/>
      <c r="AQ69" s="735"/>
      <c r="AR69" s="735"/>
      <c r="AS69" s="735"/>
      <c r="AT69" s="735"/>
      <c r="AU69" s="735"/>
      <c r="AV69" s="735"/>
      <c r="AW69" s="735"/>
      <c r="AX69" s="735"/>
      <c r="AY69" s="735"/>
      <c r="AZ69" s="735"/>
      <c r="BA69" s="736"/>
      <c r="BB69" s="735"/>
      <c r="BC69" s="737"/>
      <c r="BD69" s="737"/>
      <c r="BE69" s="737"/>
      <c r="BF69" s="737"/>
      <c r="BG69" s="735"/>
      <c r="BH69" s="737"/>
      <c r="BI69" s="737"/>
      <c r="BJ69" s="737"/>
      <c r="BK69" s="737"/>
      <c r="BL69" s="735"/>
      <c r="BM69" s="737"/>
      <c r="BN69" s="737"/>
      <c r="BO69" s="737"/>
      <c r="BP69" s="737"/>
      <c r="BQ69" s="735"/>
      <c r="BR69" s="737"/>
      <c r="BS69" s="737"/>
      <c r="BT69" s="737"/>
      <c r="BU69" s="737"/>
      <c r="BV69" s="737"/>
      <c r="BW69" s="737"/>
      <c r="BX69" s="737"/>
      <c r="BY69" s="737"/>
      <c r="BZ69" s="737"/>
      <c r="CA69" s="738"/>
      <c r="CB69" s="737"/>
      <c r="CC69" s="737"/>
      <c r="CD69" s="737"/>
      <c r="CE69" s="737"/>
      <c r="CF69" s="739">
        <f>CF68/$DW$55</f>
        <v>2.04798683759531E-2</v>
      </c>
      <c r="CG69" s="737"/>
      <c r="CH69" s="737"/>
      <c r="CI69" s="737"/>
      <c r="CJ69" s="737"/>
      <c r="CK69" s="739">
        <f>CK68/$DW$55</f>
        <v>2.599993790892792E-2</v>
      </c>
      <c r="CL69" s="737"/>
      <c r="CM69" s="737"/>
      <c r="CN69" s="737"/>
      <c r="CO69" s="737"/>
      <c r="CP69" s="739">
        <f>CP68/$DW$55</f>
        <v>9.3505266908120513E-3</v>
      </c>
      <c r="CQ69" s="737"/>
      <c r="CR69" s="737"/>
      <c r="CS69" s="737"/>
      <c r="CT69" s="737"/>
      <c r="CU69" s="739">
        <f>CU68/$DW$55</f>
        <v>1.952108239009193E-2</v>
      </c>
      <c r="CV69" s="737"/>
      <c r="CW69" s="737"/>
      <c r="CX69" s="737"/>
      <c r="CY69" s="737"/>
      <c r="CZ69" s="739">
        <f>CZ68/$DW$55</f>
        <v>1.9349379668164021E-2</v>
      </c>
      <c r="DA69" s="737"/>
      <c r="DB69" s="737"/>
      <c r="DC69" s="737"/>
      <c r="DD69" s="737"/>
      <c r="DE69" s="739">
        <f>DE68/$DW$55</f>
        <v>2.2101239674640699E-2</v>
      </c>
      <c r="DF69" s="737"/>
      <c r="DG69" s="737"/>
      <c r="DH69" s="737"/>
      <c r="DI69" s="737"/>
      <c r="DJ69" s="739">
        <f>DJ68/$DW$55</f>
        <v>2.0806153086711458E-2</v>
      </c>
      <c r="DK69" s="737"/>
      <c r="DL69" s="737"/>
      <c r="DM69" s="737"/>
      <c r="DN69" s="737"/>
      <c r="DO69" s="739">
        <f>DO68/$DW$55</f>
        <v>3.2637331528268983E-2</v>
      </c>
      <c r="DP69" s="739"/>
      <c r="DQ69" s="739"/>
      <c r="DR69" s="739"/>
      <c r="DS69" s="739"/>
      <c r="DT69" s="739">
        <f>DT68/$DW$55</f>
        <v>3.5415395159860447E-2</v>
      </c>
      <c r="DU69" s="739">
        <f>DU68/$DW$55</f>
        <v>4.0107170820214456E-2</v>
      </c>
      <c r="DV69" s="740">
        <f>DV68/$DW$55</f>
        <v>4.3275767534738926E-2</v>
      </c>
    </row>
  </sheetData>
  <phoneticPr fontId="6" type="noConversion"/>
  <printOptions horizontalCentered="1" verticalCentered="1"/>
  <pageMargins left="0.5" right="0.5" top="0.75" bottom="0.75" header="0.375" footer="0.375"/>
  <pageSetup orientation="portrait" r:id="rId1"/>
  <headerFooter alignWithMargins="0"/>
  <customProperties>
    <customPr name="Qube.Worksheet.ID" r:id="rId2"/>
    <customPr name="Qube.Worksheet.Visibility" r:id="rId3"/>
  </customProperties>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autoPageBreaks="0" fitToPage="1"/>
  </sheetPr>
  <dimension ref="A2:S119"/>
  <sheetViews>
    <sheetView showGridLines="0" zoomScaleNormal="100" workbookViewId="0"/>
  </sheetViews>
  <sheetFormatPr defaultColWidth="9.140625" defaultRowHeight="12.75"/>
  <cols>
    <col min="1" max="2" width="9.140625" style="523"/>
    <col min="3" max="3" width="1.140625" style="523" customWidth="1"/>
    <col min="4" max="4" width="26.5703125" style="523" customWidth="1"/>
    <col min="5" max="18" width="9.140625" style="523"/>
    <col min="19" max="19" width="9.140625" style="523" customWidth="1"/>
    <col min="20" max="16384" width="9.140625" style="523"/>
  </cols>
  <sheetData>
    <row r="2" spans="1:19">
      <c r="B2" s="528" t="s">
        <v>402</v>
      </c>
      <c r="E2" s="527"/>
      <c r="G2" s="529"/>
      <c r="H2" s="530" t="s">
        <v>403</v>
      </c>
      <c r="I2" s="531">
        <v>1</v>
      </c>
      <c r="J2" s="531">
        <f>I2+1</f>
        <v>2</v>
      </c>
      <c r="K2" s="531">
        <f t="shared" ref="K2:P2" si="0">J2+1</f>
        <v>3</v>
      </c>
      <c r="L2" s="531">
        <f t="shared" si="0"/>
        <v>4</v>
      </c>
      <c r="M2" s="531">
        <f t="shared" si="0"/>
        <v>5</v>
      </c>
      <c r="N2" s="531">
        <f t="shared" si="0"/>
        <v>6</v>
      </c>
      <c r="O2" s="531">
        <f t="shared" si="0"/>
        <v>7</v>
      </c>
      <c r="P2" s="531">
        <f t="shared" si="0"/>
        <v>8</v>
      </c>
      <c r="Q2" s="531">
        <f t="shared" ref="Q2" si="1">P2+1</f>
        <v>9</v>
      </c>
      <c r="R2" s="531">
        <f t="shared" ref="R2:S2" si="2">Q2+1</f>
        <v>10</v>
      </c>
      <c r="S2" s="531">
        <f t="shared" si="2"/>
        <v>11</v>
      </c>
    </row>
    <row r="3" spans="1:19" ht="4.5" customHeight="1" thickBot="1">
      <c r="B3" s="528"/>
      <c r="E3" s="527"/>
    </row>
    <row r="4" spans="1:19" ht="21" customHeight="1">
      <c r="D4" s="532"/>
      <c r="E4" s="533">
        <v>2014</v>
      </c>
      <c r="F4" s="533">
        <f t="shared" ref="F4:L4" si="3">E4+1</f>
        <v>2015</v>
      </c>
      <c r="G4" s="533">
        <f t="shared" si="3"/>
        <v>2016</v>
      </c>
      <c r="H4" s="533">
        <f t="shared" si="3"/>
        <v>2017</v>
      </c>
      <c r="I4" s="533">
        <f t="shared" si="3"/>
        <v>2018</v>
      </c>
      <c r="J4" s="533">
        <f t="shared" si="3"/>
        <v>2019</v>
      </c>
      <c r="K4" s="533">
        <f t="shared" si="3"/>
        <v>2020</v>
      </c>
      <c r="L4" s="533">
        <f t="shared" si="3"/>
        <v>2021</v>
      </c>
      <c r="M4" s="533">
        <v>2022</v>
      </c>
      <c r="N4" s="533">
        <v>2023</v>
      </c>
      <c r="O4" s="533">
        <v>2024</v>
      </c>
      <c r="P4" s="533" t="s">
        <v>404</v>
      </c>
      <c r="Q4" s="533" t="s">
        <v>632</v>
      </c>
      <c r="R4" s="533" t="s">
        <v>633</v>
      </c>
      <c r="S4" s="534" t="s">
        <v>650</v>
      </c>
    </row>
    <row r="5" spans="1:19">
      <c r="A5" s="535" t="s">
        <v>405</v>
      </c>
      <c r="B5" s="536">
        <v>0.03</v>
      </c>
      <c r="C5" s="537"/>
      <c r="D5" s="538" t="s">
        <v>406</v>
      </c>
      <c r="E5" s="529">
        <f>SEG!$BL$14</f>
        <v>14508</v>
      </c>
      <c r="F5" s="529">
        <f>SEG!$BQ$14</f>
        <v>14082</v>
      </c>
      <c r="G5" s="529">
        <f>SEG!$BV$14</f>
        <v>14894</v>
      </c>
      <c r="H5" s="529">
        <f>SEG!$CA$14</f>
        <v>16545</v>
      </c>
      <c r="I5" s="529">
        <f>SEG!$CF$14</f>
        <v>19397</v>
      </c>
      <c r="J5" s="529">
        <f>SEG!$CK$14</f>
        <v>20902</v>
      </c>
      <c r="K5" s="529">
        <f>SEG!CP14</f>
        <v>17224</v>
      </c>
      <c r="L5" s="529">
        <f>SEG!CU14</f>
        <v>18150</v>
      </c>
      <c r="M5" s="529">
        <f>SEG!CZ14</f>
        <v>20530</v>
      </c>
      <c r="N5" s="529">
        <f>SEG!DE14</f>
        <v>18296</v>
      </c>
      <c r="O5" s="529">
        <f t="shared" ref="O5:P5" si="4">N5*(1+$B$5)</f>
        <v>18844.88</v>
      </c>
      <c r="P5" s="529">
        <f t="shared" si="4"/>
        <v>19410.226400000003</v>
      </c>
      <c r="Q5" s="529">
        <f t="shared" ref="Q5" si="5">P5*(1+$B$5)</f>
        <v>19992.533192000003</v>
      </c>
      <c r="R5" s="529">
        <f t="shared" ref="R5:S5" si="6">Q5*(1+$B$5)</f>
        <v>20592.309187760002</v>
      </c>
      <c r="S5" s="539">
        <f t="shared" si="6"/>
        <v>21210.078463392801</v>
      </c>
    </row>
    <row r="6" spans="1:19">
      <c r="A6" s="535"/>
      <c r="C6" s="537"/>
      <c r="D6" s="538" t="s">
        <v>407</v>
      </c>
      <c r="E6" s="529">
        <f>2129-E27-E24</f>
        <v>2779</v>
      </c>
      <c r="F6" s="529">
        <f>1891-F27-F24</f>
        <v>2591</v>
      </c>
      <c r="G6" s="529">
        <f>1745-G27-G24</f>
        <v>2736.36</v>
      </c>
      <c r="H6" s="529">
        <f>1546-H27-H24</f>
        <v>2678.0225</v>
      </c>
      <c r="I6" s="529">
        <f>1709-I27-I24</f>
        <v>2884.2408500000001</v>
      </c>
      <c r="J6" s="529">
        <f>1934-J27-J24</f>
        <v>3069.5067644999999</v>
      </c>
      <c r="K6" s="529">
        <f>426-K27-K24</f>
        <v>1321.4044815302746</v>
      </c>
      <c r="L6" s="529">
        <f>487-L27-L24</f>
        <v>1570.0809800856596</v>
      </c>
      <c r="M6" s="529">
        <f>1250-M27-M24</f>
        <v>2188.7795744620062</v>
      </c>
      <c r="N6" s="529">
        <f>1688-N27-N24</f>
        <v>2552.6356772960617</v>
      </c>
      <c r="O6" s="529">
        <f>2068-O27-O24</f>
        <v>2532.7991789994885</v>
      </c>
      <c r="P6" s="529">
        <f t="shared" ref="P6" si="7">O6*(1+P7)</f>
        <v>2760.7511051094425</v>
      </c>
      <c r="Q6" s="529">
        <f t="shared" ref="Q6" si="8">P6*(1+Q7)</f>
        <v>2981.611193518198</v>
      </c>
      <c r="R6" s="529">
        <f t="shared" ref="R6:S6" si="9">Q6*(1+R7)</f>
        <v>3130.6917531941081</v>
      </c>
      <c r="S6" s="539">
        <f t="shared" si="9"/>
        <v>3255.9194233218723</v>
      </c>
    </row>
    <row r="7" spans="1:19" s="541" customFormat="1" ht="11.25">
      <c r="A7" s="540"/>
      <c r="C7" s="542"/>
      <c r="D7" s="543" t="s">
        <v>408</v>
      </c>
      <c r="E7" s="544"/>
      <c r="F7" s="545">
        <f t="shared" ref="F7:O7" si="10">F6/E6-1</f>
        <v>-6.7650233897085243E-2</v>
      </c>
      <c r="G7" s="545">
        <f t="shared" si="10"/>
        <v>5.6101891161713713E-2</v>
      </c>
      <c r="H7" s="545">
        <f t="shared" si="10"/>
        <v>-2.131938049087112E-2</v>
      </c>
      <c r="I7" s="545">
        <f t="shared" si="10"/>
        <v>7.7003964679161596E-2</v>
      </c>
      <c r="J7" s="545">
        <f t="shared" si="10"/>
        <v>6.4233857065022715E-2</v>
      </c>
      <c r="K7" s="545">
        <f t="shared" si="10"/>
        <v>-0.56950592296690328</v>
      </c>
      <c r="L7" s="545">
        <f t="shared" si="10"/>
        <v>0.1881910512876428</v>
      </c>
      <c r="M7" s="545">
        <f t="shared" si="10"/>
        <v>0.39405521258055876</v>
      </c>
      <c r="N7" s="545">
        <f t="shared" si="10"/>
        <v>0.16623697839627827</v>
      </c>
      <c r="O7" s="545">
        <f t="shared" si="10"/>
        <v>-7.7709868560582596E-3</v>
      </c>
      <c r="P7" s="546">
        <v>0.09</v>
      </c>
      <c r="Q7" s="546">
        <v>0.08</v>
      </c>
      <c r="R7" s="546">
        <v>0.05</v>
      </c>
      <c r="S7" s="547">
        <v>0.04</v>
      </c>
    </row>
    <row r="8" spans="1:19">
      <c r="A8" s="535"/>
      <c r="D8" s="538"/>
      <c r="J8" s="525"/>
      <c r="K8" s="525"/>
      <c r="L8" s="525"/>
      <c r="M8" s="525"/>
      <c r="N8" s="525"/>
      <c r="S8" s="548"/>
    </row>
    <row r="9" spans="1:19">
      <c r="A9" s="535" t="s">
        <v>409</v>
      </c>
      <c r="B9" s="549">
        <v>11</v>
      </c>
      <c r="D9" s="538" t="s">
        <v>410</v>
      </c>
      <c r="E9" s="550">
        <v>0</v>
      </c>
      <c r="F9" s="550">
        <v>0</v>
      </c>
      <c r="G9" s="550">
        <v>124</v>
      </c>
      <c r="H9" s="550">
        <v>315</v>
      </c>
      <c r="I9" s="550">
        <v>566</v>
      </c>
      <c r="J9" s="550">
        <v>738.5</v>
      </c>
      <c r="K9" s="550">
        <f>546-K10</f>
        <v>496</v>
      </c>
      <c r="L9" s="550">
        <v>623</v>
      </c>
      <c r="M9" s="550">
        <v>712</v>
      </c>
      <c r="N9" s="550">
        <v>900</v>
      </c>
      <c r="O9" s="550">
        <f>N9*1.12</f>
        <v>1008.0000000000001</v>
      </c>
      <c r="P9" s="550">
        <f>O9*1.08</f>
        <v>1088.6400000000001</v>
      </c>
      <c r="Q9" s="550">
        <f t="shared" ref="Q9:S9" si="11">P9*1.08</f>
        <v>1175.7312000000002</v>
      </c>
      <c r="R9" s="550">
        <f t="shared" si="11"/>
        <v>1269.7896960000003</v>
      </c>
      <c r="S9" s="551">
        <f t="shared" si="11"/>
        <v>1371.3728716800003</v>
      </c>
    </row>
    <row r="10" spans="1:19">
      <c r="A10" s="535" t="s">
        <v>253</v>
      </c>
      <c r="B10" s="552">
        <v>0.75</v>
      </c>
      <c r="D10" s="538" t="s">
        <v>411</v>
      </c>
      <c r="E10" s="550">
        <v>621</v>
      </c>
      <c r="F10" s="550">
        <v>558</v>
      </c>
      <c r="G10" s="550">
        <v>426.4</v>
      </c>
      <c r="H10" s="550">
        <v>250.29999999999995</v>
      </c>
      <c r="I10" s="550">
        <v>227.20000000000005</v>
      </c>
      <c r="J10" s="550">
        <v>91</v>
      </c>
      <c r="K10" s="550">
        <v>50</v>
      </c>
      <c r="L10" s="550">
        <v>0</v>
      </c>
      <c r="M10" s="550">
        <v>0</v>
      </c>
      <c r="N10" s="550">
        <v>0</v>
      </c>
      <c r="O10" s="550">
        <v>0</v>
      </c>
      <c r="P10" s="550">
        <v>0</v>
      </c>
      <c r="Q10" s="550">
        <v>0</v>
      </c>
      <c r="R10" s="550">
        <v>0</v>
      </c>
      <c r="S10" s="551">
        <v>0</v>
      </c>
    </row>
    <row r="11" spans="1:19" ht="15">
      <c r="A11" s="535" t="s">
        <v>412</v>
      </c>
      <c r="B11" s="552">
        <v>0.03</v>
      </c>
      <c r="D11" s="538"/>
      <c r="E11" s="550"/>
      <c r="F11" s="550"/>
      <c r="G11" s="550"/>
      <c r="H11" s="550"/>
      <c r="I11" s="553"/>
      <c r="J11" s="713"/>
      <c r="K11" s="550"/>
      <c r="L11" s="550"/>
      <c r="M11" s="550"/>
      <c r="N11" s="550"/>
      <c r="O11" s="550"/>
      <c r="P11" s="550"/>
      <c r="Q11" s="550"/>
      <c r="R11" s="550"/>
      <c r="S11" s="551"/>
    </row>
    <row r="12" spans="1:19">
      <c r="D12" s="538" t="s">
        <v>413</v>
      </c>
      <c r="E12" s="550">
        <v>0</v>
      </c>
      <c r="F12" s="554">
        <f>$B$9*(1-$B$10)</f>
        <v>2.75</v>
      </c>
      <c r="G12" s="554">
        <f>F12</f>
        <v>2.75</v>
      </c>
      <c r="H12" s="554">
        <f>G12</f>
        <v>2.75</v>
      </c>
      <c r="I12" s="554">
        <f>H12</f>
        <v>2.75</v>
      </c>
      <c r="J12" s="554">
        <f>I12</f>
        <v>2.75</v>
      </c>
      <c r="K12" s="554">
        <f>J12</f>
        <v>2.75</v>
      </c>
      <c r="L12" s="554">
        <f>K12*1.01</f>
        <v>2.7774999999999999</v>
      </c>
      <c r="M12" s="554">
        <f t="shared" ref="M12:P12" si="12">L12*(1+$B$11)</f>
        <v>2.8608249999999997</v>
      </c>
      <c r="N12" s="554">
        <f t="shared" si="12"/>
        <v>2.9466497499999997</v>
      </c>
      <c r="O12" s="554">
        <f t="shared" si="12"/>
        <v>3.0350492425</v>
      </c>
      <c r="P12" s="554">
        <f t="shared" si="12"/>
        <v>3.1261007197750001</v>
      </c>
      <c r="Q12" s="554">
        <f t="shared" ref="Q12" si="13">P12*(1+$B$11)</f>
        <v>3.2198837413682502</v>
      </c>
      <c r="R12" s="554">
        <f t="shared" ref="R12:S12" si="14">Q12*(1+$B$11)</f>
        <v>3.3164802536092979</v>
      </c>
      <c r="S12" s="555">
        <f t="shared" si="14"/>
        <v>3.415974661217577</v>
      </c>
    </row>
    <row r="13" spans="1:19">
      <c r="D13" s="538" t="s">
        <v>414</v>
      </c>
      <c r="E13" s="550">
        <v>0</v>
      </c>
      <c r="F13" s="550">
        <v>0</v>
      </c>
      <c r="G13" s="556">
        <f>G14-G12</f>
        <v>-6.95</v>
      </c>
      <c r="H13" s="556">
        <f>G13*0.73</f>
        <v>-5.0735000000000001</v>
      </c>
      <c r="I13" s="556">
        <f>H13*0.85</f>
        <v>-4.3124750000000001</v>
      </c>
      <c r="J13" s="556">
        <f>I13*0.92</f>
        <v>-3.9674770000000001</v>
      </c>
      <c r="K13" s="556">
        <f>J13*1.1</f>
        <v>-4.3642247000000003</v>
      </c>
      <c r="L13" s="556">
        <f>K13*0.98</f>
        <v>-4.2769402059999999</v>
      </c>
      <c r="M13" s="556">
        <f>L13*0.97</f>
        <v>-4.1486319998200001</v>
      </c>
      <c r="N13" s="556">
        <f>M13*0.99</f>
        <v>-4.1071456798217998</v>
      </c>
      <c r="O13" s="556">
        <f>N13*0.99</f>
        <v>-4.0660742230235813</v>
      </c>
      <c r="P13" s="556">
        <f>O13*0.99</f>
        <v>-4.0254134807933459</v>
      </c>
      <c r="Q13" s="556">
        <f t="shared" ref="Q13:S13" si="15">P13*0.99</f>
        <v>-3.9851593459854122</v>
      </c>
      <c r="R13" s="556">
        <f t="shared" si="15"/>
        <v>-3.945307752525558</v>
      </c>
      <c r="S13" s="557">
        <f t="shared" si="15"/>
        <v>-3.9058546750003025</v>
      </c>
    </row>
    <row r="14" spans="1:19">
      <c r="D14" s="538" t="s">
        <v>415</v>
      </c>
      <c r="E14" s="550">
        <v>0</v>
      </c>
      <c r="F14" s="550">
        <v>0</v>
      </c>
      <c r="G14" s="556">
        <v>-4.2</v>
      </c>
      <c r="H14" s="556">
        <f>H12+H13</f>
        <v>-2.3235000000000001</v>
      </c>
      <c r="I14" s="556">
        <f>I12+I13</f>
        <v>-1.5624750000000001</v>
      </c>
      <c r="J14" s="556">
        <f t="shared" ref="J14:P14" si="16">J12+J13</f>
        <v>-1.2174770000000001</v>
      </c>
      <c r="K14" s="556">
        <f t="shared" si="16"/>
        <v>-1.6142247000000003</v>
      </c>
      <c r="L14" s="556">
        <f t="shared" si="16"/>
        <v>-1.4994402060000001</v>
      </c>
      <c r="M14" s="556">
        <f t="shared" si="16"/>
        <v>-1.2878069998200004</v>
      </c>
      <c r="N14" s="556">
        <f t="shared" si="16"/>
        <v>-1.1604959298218001</v>
      </c>
      <c r="O14" s="556">
        <f t="shared" si="16"/>
        <v>-1.0310249805235814</v>
      </c>
      <c r="P14" s="556">
        <f t="shared" si="16"/>
        <v>-0.89931276101834579</v>
      </c>
      <c r="Q14" s="556">
        <f t="shared" ref="Q14:R14" si="17">Q12+Q13</f>
        <v>-0.76527560461716204</v>
      </c>
      <c r="R14" s="556">
        <f t="shared" si="17"/>
        <v>-0.62882749891626011</v>
      </c>
      <c r="S14" s="557">
        <f t="shared" ref="S14" si="18">S12+S13</f>
        <v>-0.4898800137827255</v>
      </c>
    </row>
    <row r="15" spans="1:19" ht="7.5" customHeight="1">
      <c r="D15" s="538"/>
      <c r="E15" s="550"/>
      <c r="F15" s="550"/>
      <c r="G15" s="556"/>
      <c r="H15" s="556"/>
      <c r="I15" s="556"/>
      <c r="J15" s="556"/>
      <c r="K15" s="556"/>
      <c r="L15" s="556"/>
      <c r="M15" s="556"/>
      <c r="N15" s="556"/>
      <c r="O15" s="556"/>
      <c r="P15" s="556"/>
      <c r="Q15" s="556"/>
      <c r="R15" s="556"/>
      <c r="S15" s="557"/>
    </row>
    <row r="16" spans="1:19" ht="15">
      <c r="D16" s="538" t="s">
        <v>416</v>
      </c>
      <c r="E16" s="558">
        <v>-0.4</v>
      </c>
      <c r="F16" s="558">
        <f>E16</f>
        <v>-0.4</v>
      </c>
      <c r="G16" s="558">
        <f t="shared" ref="G16:O16" si="19">F16</f>
        <v>-0.4</v>
      </c>
      <c r="H16" s="558">
        <f t="shared" si="19"/>
        <v>-0.4</v>
      </c>
      <c r="I16" s="558">
        <f t="shared" si="19"/>
        <v>-0.4</v>
      </c>
      <c r="J16" s="558">
        <f t="shared" si="19"/>
        <v>-0.4</v>
      </c>
      <c r="K16" s="558">
        <f t="shared" si="19"/>
        <v>-0.4</v>
      </c>
      <c r="L16" s="558">
        <f t="shared" si="19"/>
        <v>-0.4</v>
      </c>
      <c r="M16" s="558">
        <f t="shared" si="19"/>
        <v>-0.4</v>
      </c>
      <c r="N16" s="558">
        <f t="shared" si="19"/>
        <v>-0.4</v>
      </c>
      <c r="O16" s="558">
        <f t="shared" si="19"/>
        <v>-0.4</v>
      </c>
      <c r="P16" s="558">
        <f>O16</f>
        <v>-0.4</v>
      </c>
      <c r="Q16" s="558">
        <f t="shared" ref="Q16:S16" si="20">P16</f>
        <v>-0.4</v>
      </c>
      <c r="R16" s="558">
        <f t="shared" si="20"/>
        <v>-0.4</v>
      </c>
      <c r="S16" s="559">
        <f t="shared" si="20"/>
        <v>-0.4</v>
      </c>
    </row>
    <row r="17" spans="1:19">
      <c r="D17" s="560" t="s">
        <v>558</v>
      </c>
      <c r="E17" s="561">
        <v>-250</v>
      </c>
      <c r="F17" s="561">
        <v>-400</v>
      </c>
      <c r="G17" s="562">
        <f>(G9*G14)+(G16*G10)</f>
        <v>-691.36000000000013</v>
      </c>
      <c r="H17" s="562">
        <f t="shared" ref="H17:P17" si="21">(H9*H14)+(H16*H10)</f>
        <v>-832.02250000000004</v>
      </c>
      <c r="I17" s="562">
        <f>(I9*I14)+(I16*I10)</f>
        <v>-975.24085000000002</v>
      </c>
      <c r="J17" s="562">
        <f>(J9*J14)+(J16*J10)</f>
        <v>-935.50676450000003</v>
      </c>
      <c r="K17" s="562">
        <f t="shared" si="21"/>
        <v>-820.65545120000013</v>
      </c>
      <c r="L17" s="562">
        <f t="shared" si="21"/>
        <v>-934.15124833800007</v>
      </c>
      <c r="M17" s="562">
        <f t="shared" si="21"/>
        <v>-916.91858387184027</v>
      </c>
      <c r="N17" s="562">
        <f t="shared" si="21"/>
        <v>-1044.44633683962</v>
      </c>
      <c r="O17" s="562">
        <f t="shared" si="21"/>
        <v>-1039.2731803677702</v>
      </c>
      <c r="P17" s="562">
        <f t="shared" si="21"/>
        <v>-979.02784415501208</v>
      </c>
      <c r="Q17" s="562">
        <f t="shared" ref="Q17:R17" si="22">(Q9*Q14)+(Q16*Q10)</f>
        <v>-899.75840494726162</v>
      </c>
      <c r="R17" s="562">
        <f t="shared" si="22"/>
        <v>-798.47867868531841</v>
      </c>
      <c r="S17" s="563">
        <f t="shared" ref="S17" si="23">(S9*S14)+(S16*S10)</f>
        <v>-671.8081612798544</v>
      </c>
    </row>
    <row r="18" spans="1:19" ht="7.5" customHeight="1">
      <c r="D18" s="538"/>
      <c r="S18" s="548"/>
    </row>
    <row r="19" spans="1:19">
      <c r="A19" s="535" t="s">
        <v>417</v>
      </c>
      <c r="B19" s="564">
        <f>F42</f>
        <v>3.5279999999999999E-3</v>
      </c>
      <c r="D19" s="538" t="s">
        <v>418</v>
      </c>
      <c r="E19" s="565">
        <f>E9</f>
        <v>0</v>
      </c>
      <c r="F19" s="565">
        <f>F9</f>
        <v>0</v>
      </c>
      <c r="G19" s="565">
        <f t="shared" ref="G19:P19" si="24">F19+G9</f>
        <v>124</v>
      </c>
      <c r="H19" s="565">
        <f t="shared" si="24"/>
        <v>439</v>
      </c>
      <c r="I19" s="565">
        <f t="shared" si="24"/>
        <v>1005</v>
      </c>
      <c r="J19" s="565">
        <f t="shared" si="24"/>
        <v>1743.5</v>
      </c>
      <c r="K19" s="565">
        <f t="shared" si="24"/>
        <v>2239.5</v>
      </c>
      <c r="L19" s="565">
        <f t="shared" si="24"/>
        <v>2862.5</v>
      </c>
      <c r="M19" s="565">
        <f t="shared" si="24"/>
        <v>3574.5</v>
      </c>
      <c r="N19" s="565">
        <f t="shared" si="24"/>
        <v>4474.5</v>
      </c>
      <c r="O19" s="565">
        <f t="shared" si="24"/>
        <v>5482.5</v>
      </c>
      <c r="P19" s="565">
        <f t="shared" si="24"/>
        <v>6571.14</v>
      </c>
      <c r="Q19" s="565">
        <f t="shared" ref="Q19" si="25">P19+Q9</f>
        <v>7746.8712000000005</v>
      </c>
      <c r="R19" s="565">
        <f t="shared" ref="R19:S19" si="26">Q19+R9</f>
        <v>9016.6608960000012</v>
      </c>
      <c r="S19" s="566">
        <f t="shared" si="26"/>
        <v>10388.033767680001</v>
      </c>
    </row>
    <row r="20" spans="1:19">
      <c r="A20" s="535" t="s">
        <v>419</v>
      </c>
      <c r="B20" s="549">
        <v>3</v>
      </c>
      <c r="D20" s="538" t="s">
        <v>420</v>
      </c>
      <c r="E20" s="567">
        <v>0</v>
      </c>
      <c r="F20" s="567">
        <v>0</v>
      </c>
      <c r="G20" s="567">
        <v>0</v>
      </c>
      <c r="H20" s="567">
        <v>0</v>
      </c>
      <c r="I20" s="567">
        <v>0</v>
      </c>
      <c r="J20" s="567">
        <v>0</v>
      </c>
      <c r="K20" s="567">
        <f>(G9*$B$19*5*$B$27*(1+$B$22)^K2)+(F9*$B$19*6*$B$28*(1+$B$22)^K2)+(E9*$B$19*7*$B$29*(1+$B$22)^K2)</f>
        <v>0.71705619921600006</v>
      </c>
      <c r="L20" s="567">
        <f>(H9*$B$19*5*$B$27*(1+$B$22)^L2)+(G9*$B$19*6*$B$28*(1+$B$22)^L2)+(F9*$B$19*7*$B$29*(1+$B$22)^L2)</f>
        <v>3.0579092924017672</v>
      </c>
      <c r="M20" s="567">
        <f>(I9*$B$19*5*$B$27*(1+$B$22)^M2)+(H9*$B$19*6*$B$28*(1+$B$22)^M2)+(G9*$B$19*7*$B$29*(1+$B$22)^M2)</f>
        <v>7.6293347797268467</v>
      </c>
      <c r="N20" s="567">
        <f>(J9*$B$19*5*$B$27*(1+$B$22)^N2)+(I9*$B$19*6*$B$28*(1+$B$22)^N2)+(H9*$B$19*7*$B$29*(1+$B$22)^N2)</f>
        <v>13.175590002962934</v>
      </c>
      <c r="O20" s="567">
        <f>(K9*$B$19*5*$B$27*(1+$B$22)^O2)+(J9*$B$19*6*$B$28*(1+$B$22)^O2)+(I9*$B$19*7*$B$29*(1+$B$22)^O2)</f>
        <v>16.075976464696179</v>
      </c>
      <c r="P20" s="567">
        <f>(L9*$B$19*5*$B$27*(1+$B$22)^P2)+(K9*$B$19*6*$B$28*(1+$B$22)^P2)+(J9*$B$19*7*$B$29*(1+$B$22)^P2)+(G9*$B$19*5*$B$27*(1+$B$22)^P2)</f>
        <v>17.258797348425549</v>
      </c>
      <c r="Q20" s="567">
        <f t="shared" ref="Q20:S20" si="27">(M9*$B$19*5*$B$27*(1+$B$22)^Q2)+(L9*$B$19*6*$B$28*(1+$B$22)^Q2)+(K9*$B$19*7*$B$29*(1+$B$22)^Q2)+(H9*$B$19*5*$B$27*(1+$B$22)^Q2)</f>
        <v>18.768789606162379</v>
      </c>
      <c r="R20" s="567">
        <f t="shared" si="27"/>
        <v>24.731287854375367</v>
      </c>
      <c r="S20" s="568">
        <f t="shared" si="27"/>
        <v>30.644202098017125</v>
      </c>
    </row>
    <row r="21" spans="1:19" ht="15">
      <c r="A21" s="535" t="s">
        <v>421</v>
      </c>
      <c r="B21" s="536">
        <v>0.35</v>
      </c>
      <c r="C21" s="569"/>
      <c r="D21" s="538" t="s">
        <v>422</v>
      </c>
      <c r="E21" s="570">
        <v>0</v>
      </c>
      <c r="F21" s="570">
        <v>0</v>
      </c>
      <c r="G21" s="570">
        <v>0</v>
      </c>
      <c r="H21" s="570">
        <v>0</v>
      </c>
      <c r="I21" s="570">
        <v>0</v>
      </c>
      <c r="J21" s="570">
        <v>0</v>
      </c>
      <c r="K21" s="570">
        <f>(E9*$B$20*(1+$B$22)^K2*$B$24)</f>
        <v>0</v>
      </c>
      <c r="L21" s="570">
        <f>(E9*$B$20*(1+$B$22)^L2*$B$25)+(F9*$B$20*(1+$B$22)^L2*$B$24)</f>
        <v>0</v>
      </c>
      <c r="M21" s="570">
        <f t="shared" ref="M21:P21" si="28">(F9*$B$20*(1+$B$22)^M2*$B$25)+(G9*$B$20*(1+$B$22)^M2*$B$24)</f>
        <v>215.62497781979997</v>
      </c>
      <c r="N21" s="570">
        <f t="shared" si="28"/>
        <v>786.28343726434639</v>
      </c>
      <c r="O21" s="570">
        <f t="shared" si="28"/>
        <v>1625.2783131589658</v>
      </c>
      <c r="P21" s="570">
        <f t="shared" si="28"/>
        <v>2478.7523567552171</v>
      </c>
      <c r="Q21" s="570">
        <f t="shared" ref="Q21" si="29">(J9*$B$20*(1+$B$22)^Q2*$B$25)+(K9*$B$20*(1+$B$22)^Q2*$B$24)</f>
        <v>2416.1137431558036</v>
      </c>
      <c r="R21" s="570">
        <f t="shared" ref="R21:S21" si="30">(K9*$B$20*(1+$B$22)^R2*$B$25)+(L9*$B$20*(1+$B$22)^R2*$B$24)</f>
        <v>2255.7636427291086</v>
      </c>
      <c r="S21" s="571">
        <f t="shared" si="30"/>
        <v>2771.9283261257024</v>
      </c>
    </row>
    <row r="22" spans="1:19">
      <c r="A22" s="535" t="s">
        <v>423</v>
      </c>
      <c r="B22" s="552">
        <v>0.03</v>
      </c>
      <c r="C22" s="569"/>
      <c r="D22" s="560" t="s">
        <v>424</v>
      </c>
      <c r="E22" s="572">
        <v>0</v>
      </c>
      <c r="F22" s="572">
        <v>0</v>
      </c>
      <c r="G22" s="572">
        <v>0</v>
      </c>
      <c r="H22" s="573">
        <f>(H20+H21)*$B$21</f>
        <v>0</v>
      </c>
      <c r="I22" s="573">
        <f>(I20+I21)*$B$21</f>
        <v>0</v>
      </c>
      <c r="J22" s="573">
        <f>(J20+J21)*$B$21</f>
        <v>0</v>
      </c>
      <c r="K22" s="573">
        <f>(K20+K21)*$B$21</f>
        <v>0.25096966972560003</v>
      </c>
      <c r="L22" s="573">
        <f t="shared" ref="L22:P22" si="31">(L20+L21)*$B$21</f>
        <v>1.0702682523406184</v>
      </c>
      <c r="M22" s="573">
        <f t="shared" si="31"/>
        <v>78.139009409834387</v>
      </c>
      <c r="N22" s="573">
        <f t="shared" si="31"/>
        <v>279.81065954355824</v>
      </c>
      <c r="O22" s="573">
        <f t="shared" si="31"/>
        <v>574.47400136828162</v>
      </c>
      <c r="P22" s="573">
        <f t="shared" si="31"/>
        <v>873.60390393627483</v>
      </c>
      <c r="Q22" s="573">
        <f t="shared" ref="Q22:R22" si="32">(Q20+Q21)*$B$21</f>
        <v>852.20888646668811</v>
      </c>
      <c r="R22" s="573">
        <f t="shared" si="32"/>
        <v>798.17322570421936</v>
      </c>
      <c r="S22" s="574">
        <f t="shared" ref="S22" si="33">(S20+S21)*$B$21</f>
        <v>980.90038487830179</v>
      </c>
    </row>
    <row r="23" spans="1:19" ht="7.5" customHeight="1">
      <c r="D23" s="538"/>
      <c r="S23" s="548"/>
    </row>
    <row r="24" spans="1:19">
      <c r="A24" s="535" t="s">
        <v>425</v>
      </c>
      <c r="B24" s="536">
        <v>0.5</v>
      </c>
      <c r="D24" s="575" t="s">
        <v>426</v>
      </c>
      <c r="E24" s="576">
        <f t="shared" ref="E24:P24" si="34">E17+E22</f>
        <v>-250</v>
      </c>
      <c r="F24" s="576">
        <f t="shared" si="34"/>
        <v>-400</v>
      </c>
      <c r="G24" s="576">
        <f t="shared" si="34"/>
        <v>-691.36000000000013</v>
      </c>
      <c r="H24" s="576">
        <f t="shared" si="34"/>
        <v>-832.02250000000004</v>
      </c>
      <c r="I24" s="576">
        <f t="shared" si="34"/>
        <v>-975.24085000000002</v>
      </c>
      <c r="J24" s="576">
        <f t="shared" si="34"/>
        <v>-935.50676450000003</v>
      </c>
      <c r="K24" s="576">
        <f t="shared" si="34"/>
        <v>-820.40448153027455</v>
      </c>
      <c r="L24" s="576">
        <f t="shared" si="34"/>
        <v>-933.08098008565946</v>
      </c>
      <c r="M24" s="576">
        <f t="shared" si="34"/>
        <v>-838.77957446200594</v>
      </c>
      <c r="N24" s="576">
        <f t="shared" si="34"/>
        <v>-764.63567729606177</v>
      </c>
      <c r="O24" s="576">
        <f t="shared" si="34"/>
        <v>-464.79917899948862</v>
      </c>
      <c r="P24" s="576">
        <f t="shared" si="34"/>
        <v>-105.42394021873724</v>
      </c>
      <c r="Q24" s="576">
        <f t="shared" ref="Q24:R24" si="35">Q17+Q22</f>
        <v>-47.549518480573511</v>
      </c>
      <c r="R24" s="576">
        <f t="shared" si="35"/>
        <v>-0.30545298109905161</v>
      </c>
      <c r="S24" s="577">
        <f t="shared" ref="S24" si="36">S17+S22</f>
        <v>309.09222359844739</v>
      </c>
    </row>
    <row r="25" spans="1:19">
      <c r="A25" s="535" t="s">
        <v>427</v>
      </c>
      <c r="B25" s="536">
        <v>0.5</v>
      </c>
      <c r="D25" s="538" t="s">
        <v>428</v>
      </c>
      <c r="E25" s="529">
        <f t="shared" ref="E25:P25" si="37">E6+E24</f>
        <v>2529</v>
      </c>
      <c r="F25" s="529">
        <f t="shared" si="37"/>
        <v>2191</v>
      </c>
      <c r="G25" s="529">
        <f t="shared" si="37"/>
        <v>2045</v>
      </c>
      <c r="H25" s="529">
        <f t="shared" si="37"/>
        <v>1846</v>
      </c>
      <c r="I25" s="529">
        <f t="shared" si="37"/>
        <v>1909</v>
      </c>
      <c r="J25" s="529">
        <f t="shared" si="37"/>
        <v>2134</v>
      </c>
      <c r="K25" s="529">
        <f t="shared" si="37"/>
        <v>501</v>
      </c>
      <c r="L25" s="529">
        <f t="shared" si="37"/>
        <v>637.00000000000011</v>
      </c>
      <c r="M25" s="529">
        <f t="shared" si="37"/>
        <v>1350.0000000000002</v>
      </c>
      <c r="N25" s="529">
        <f t="shared" si="37"/>
        <v>1788</v>
      </c>
      <c r="O25" s="529">
        <f t="shared" si="37"/>
        <v>2068</v>
      </c>
      <c r="P25" s="529">
        <f t="shared" si="37"/>
        <v>2655.3271648907053</v>
      </c>
      <c r="Q25" s="529">
        <f t="shared" ref="Q25:R25" si="38">Q6+Q24</f>
        <v>2934.0616750376244</v>
      </c>
      <c r="R25" s="529">
        <f t="shared" si="38"/>
        <v>3130.3863002130092</v>
      </c>
      <c r="S25" s="539">
        <f t="shared" ref="S25" si="39">S6+S24</f>
        <v>3565.0116469203194</v>
      </c>
    </row>
    <row r="26" spans="1:19" ht="8.1" customHeight="1">
      <c r="A26" s="535"/>
      <c r="D26" s="538"/>
      <c r="S26" s="548"/>
    </row>
    <row r="27" spans="1:19">
      <c r="A27" s="535" t="s">
        <v>429</v>
      </c>
      <c r="B27" s="536">
        <v>0.3</v>
      </c>
      <c r="D27" s="538" t="s">
        <v>430</v>
      </c>
      <c r="E27" s="578">
        <v>-400</v>
      </c>
      <c r="F27" s="578">
        <v>-300</v>
      </c>
      <c r="G27" s="578">
        <v>-300</v>
      </c>
      <c r="H27" s="578">
        <v>-300</v>
      </c>
      <c r="I27" s="578">
        <v>-200</v>
      </c>
      <c r="J27" s="578">
        <v>-200</v>
      </c>
      <c r="K27" s="578">
        <v>-75</v>
      </c>
      <c r="L27" s="578">
        <v>-150</v>
      </c>
      <c r="M27" s="578">
        <v>-100</v>
      </c>
      <c r="N27" s="578">
        <v>-100</v>
      </c>
      <c r="O27" s="578">
        <v>0</v>
      </c>
      <c r="P27" s="578">
        <v>0</v>
      </c>
      <c r="Q27" s="578">
        <v>0</v>
      </c>
      <c r="R27" s="578">
        <v>0</v>
      </c>
      <c r="S27" s="579">
        <v>0</v>
      </c>
    </row>
    <row r="28" spans="1:19">
      <c r="A28" s="535" t="s">
        <v>431</v>
      </c>
      <c r="B28" s="536">
        <v>0.4</v>
      </c>
      <c r="D28" s="701" t="s">
        <v>560</v>
      </c>
      <c r="E28" s="702">
        <f t="shared" ref="E28:P28" si="40">E25+E27</f>
        <v>2129</v>
      </c>
      <c r="F28" s="702">
        <f t="shared" si="40"/>
        <v>1891</v>
      </c>
      <c r="G28" s="702">
        <f t="shared" si="40"/>
        <v>1745</v>
      </c>
      <c r="H28" s="702">
        <f t="shared" si="40"/>
        <v>1546</v>
      </c>
      <c r="I28" s="702">
        <f t="shared" si="40"/>
        <v>1709</v>
      </c>
      <c r="J28" s="702">
        <f t="shared" si="40"/>
        <v>1934</v>
      </c>
      <c r="K28" s="702">
        <f t="shared" si="40"/>
        <v>426</v>
      </c>
      <c r="L28" s="702">
        <f t="shared" si="40"/>
        <v>487.00000000000011</v>
      </c>
      <c r="M28" s="702">
        <f t="shared" si="40"/>
        <v>1250.0000000000002</v>
      </c>
      <c r="N28" s="702">
        <f t="shared" si="40"/>
        <v>1688</v>
      </c>
      <c r="O28" s="702">
        <f t="shared" si="40"/>
        <v>2068</v>
      </c>
      <c r="P28" s="702">
        <f t="shared" si="40"/>
        <v>2655.3271648907053</v>
      </c>
      <c r="Q28" s="702">
        <f t="shared" ref="Q28:R28" si="41">Q25+Q27</f>
        <v>2934.0616750376244</v>
      </c>
      <c r="R28" s="702">
        <f t="shared" si="41"/>
        <v>3130.3863002130092</v>
      </c>
      <c r="S28" s="703">
        <f t="shared" ref="S28" si="42">S25+S27</f>
        <v>3565.0116469203194</v>
      </c>
    </row>
    <row r="29" spans="1:19">
      <c r="A29" s="535" t="s">
        <v>432</v>
      </c>
      <c r="B29" s="536">
        <v>0.3</v>
      </c>
      <c r="D29" s="538"/>
      <c r="J29" s="529"/>
      <c r="S29" s="548"/>
    </row>
    <row r="30" spans="1:19" ht="13.5" thickBot="1">
      <c r="D30" s="581" t="s">
        <v>538</v>
      </c>
      <c r="E30" s="699">
        <f>E28-E24</f>
        <v>2379</v>
      </c>
      <c r="F30" s="699">
        <f>F28-F24</f>
        <v>2291</v>
      </c>
      <c r="G30" s="699">
        <f>G28-G24</f>
        <v>2436.36</v>
      </c>
      <c r="H30" s="699">
        <f t="shared" ref="H30:P30" si="43">H28-H24</f>
        <v>2378.0225</v>
      </c>
      <c r="I30" s="699">
        <f t="shared" si="43"/>
        <v>2684.2408500000001</v>
      </c>
      <c r="J30" s="699">
        <f t="shared" si="43"/>
        <v>2869.5067644999999</v>
      </c>
      <c r="K30" s="699">
        <f t="shared" si="43"/>
        <v>1246.4044815302746</v>
      </c>
      <c r="L30" s="699">
        <f t="shared" si="43"/>
        <v>1420.0809800856596</v>
      </c>
      <c r="M30" s="699">
        <f t="shared" si="43"/>
        <v>2088.7795744620062</v>
      </c>
      <c r="N30" s="699">
        <f t="shared" si="43"/>
        <v>2452.6356772960617</v>
      </c>
      <c r="O30" s="699">
        <f t="shared" si="43"/>
        <v>2532.7991789994885</v>
      </c>
      <c r="P30" s="699">
        <f t="shared" si="43"/>
        <v>2760.7511051094425</v>
      </c>
      <c r="Q30" s="699">
        <f t="shared" ref="Q30:R30" si="44">Q28-Q24</f>
        <v>2981.611193518198</v>
      </c>
      <c r="R30" s="699">
        <f t="shared" si="44"/>
        <v>3130.6917531941081</v>
      </c>
      <c r="S30" s="700">
        <f t="shared" ref="S30" si="45">S28-S24</f>
        <v>3255.9194233218723</v>
      </c>
    </row>
    <row r="31" spans="1:19">
      <c r="B31" s="523" t="s">
        <v>433</v>
      </c>
    </row>
    <row r="32" spans="1:19">
      <c r="B32" s="536">
        <v>-0.01</v>
      </c>
      <c r="D32" s="523" t="s">
        <v>434</v>
      </c>
      <c r="E32" s="582">
        <f>[0]!sharesfd [0]!fy.14</f>
        <v>0</v>
      </c>
      <c r="F32" s="582">
        <f>[0]!sharesfd [0]!fy.15</f>
        <v>0</v>
      </c>
      <c r="G32" s="582">
        <f>[0]!sharesfd [0]!fy.16</f>
        <v>0</v>
      </c>
      <c r="H32" s="582">
        <f>[0]!sharesfd [0]!fy.17</f>
        <v>0</v>
      </c>
      <c r="I32" s="582">
        <f>[0]!sharesfd [0]!fy.18</f>
        <v>1459.2</v>
      </c>
      <c r="J32" s="582">
        <f>[0]!sharesfd [0]!fy.19</f>
        <v>1515.8</v>
      </c>
      <c r="K32" s="582">
        <f>[0]!sharesfd [0]!fy.20</f>
        <v>1511.7</v>
      </c>
      <c r="L32" s="582">
        <f>[0]!sharesfd [0]!fy.21</f>
        <v>1508.425</v>
      </c>
      <c r="M32" s="582">
        <f>[0]!sharesfd [0]!fy.22</f>
        <v>1485.7750000000001</v>
      </c>
      <c r="N32" s="582">
        <f>[0]!sharesfd [0]!fy.23</f>
        <v>1440.075</v>
      </c>
      <c r="O32" s="582">
        <f>[0]!sharesfd [0]!fy.24</f>
        <v>1343.625</v>
      </c>
      <c r="P32" s="582">
        <f>[0]!sharesfd [0]!fy.25</f>
        <v>1355.9</v>
      </c>
      <c r="Q32" s="582">
        <f>[0]!sharesfd [0]!fy.26</f>
        <v>1351.4</v>
      </c>
      <c r="R32" s="582">
        <f>[0]!sharesfd [0]!fy.27</f>
        <v>1341.4</v>
      </c>
      <c r="S32" s="582">
        <f>[0]!sharesfd [0]!fy.27</f>
        <v>1341.4</v>
      </c>
    </row>
    <row r="33" spans="4:19">
      <c r="D33" s="523" t="s">
        <v>318</v>
      </c>
      <c r="E33" s="583">
        <v>0.25475413525374141</v>
      </c>
      <c r="F33" s="583">
        <v>0.32648832534405442</v>
      </c>
      <c r="G33" s="583">
        <v>0.2376279265386233</v>
      </c>
      <c r="H33" s="583">
        <v>0.36622439778436172</v>
      </c>
      <c r="I33" s="583">
        <f>[0]!taxrate [0]!fy.18</f>
        <v>0.19355409975981028</v>
      </c>
      <c r="J33" s="583">
        <f>[0]!taxrate [0]!fy.19</f>
        <v>0.14199114012590347</v>
      </c>
      <c r="K33" s="583">
        <f>[0]!taxrate [0]!fy.20</f>
        <v>-0.3281576112562346</v>
      </c>
      <c r="L33" s="583">
        <f>[0]!taxrate [0]!fy.21</f>
        <v>0.15939971608193065</v>
      </c>
      <c r="M33" s="583">
        <f>[0]!taxrate [0]!fy.22</f>
        <v>0.11614401858304298</v>
      </c>
      <c r="N33" s="583">
        <f>[0]!taxrate [0]!fy.23</f>
        <v>0.10249601699415826</v>
      </c>
      <c r="O33" s="584">
        <f t="shared" ref="O33:P33" si="46">N33</f>
        <v>0.10249601699415826</v>
      </c>
      <c r="P33" s="584">
        <f t="shared" si="46"/>
        <v>0.10249601699415826</v>
      </c>
      <c r="Q33" s="584">
        <f t="shared" ref="Q33" si="47">P33</f>
        <v>0.10249601699415826</v>
      </c>
      <c r="R33" s="584">
        <f t="shared" ref="R33:S33" si="48">Q33</f>
        <v>0.10249601699415826</v>
      </c>
      <c r="S33" s="584">
        <f t="shared" si="48"/>
        <v>0.10249601699415826</v>
      </c>
    </row>
    <row r="34" spans="4:19">
      <c r="D34" s="523" t="s">
        <v>563</v>
      </c>
      <c r="E34" s="583"/>
      <c r="F34" s="583"/>
      <c r="G34" s="583"/>
      <c r="H34" s="583"/>
      <c r="I34" s="583"/>
      <c r="J34" s="748">
        <f t="shared" ref="J34:P34" si="49">J24*(1-J33)/J32</f>
        <v>-0.52953759890034957</v>
      </c>
      <c r="K34" s="748">
        <f>K24*(1-0.215)/K32</f>
        <v>-0.42602204008815608</v>
      </c>
      <c r="L34" s="748">
        <f t="shared" si="49"/>
        <v>-0.51997821355291496</v>
      </c>
      <c r="M34" s="748">
        <f t="shared" si="49"/>
        <v>-0.49897214852761274</v>
      </c>
      <c r="N34" s="748">
        <f t="shared" si="49"/>
        <v>-0.47654710061738792</v>
      </c>
      <c r="O34" s="748">
        <f t="shared" si="49"/>
        <v>-0.31047287334627316</v>
      </c>
      <c r="P34" s="748">
        <f t="shared" si="49"/>
        <v>-6.9782731949617538E-2</v>
      </c>
      <c r="Q34" s="748">
        <f t="shared" ref="Q34:R34" si="50">Q24*(1-Q33)/Q32</f>
        <v>-3.1579016002904102E-2</v>
      </c>
      <c r="R34" s="748">
        <f t="shared" si="50"/>
        <v>-2.0437249676264122E-4</v>
      </c>
      <c r="S34" s="748">
        <f t="shared" ref="S34" si="51">S24*(1-S33)/S32</f>
        <v>0.20680744132677709</v>
      </c>
    </row>
    <row r="35" spans="4:19">
      <c r="H35" s="586"/>
      <c r="I35" s="586"/>
      <c r="J35" s="586"/>
      <c r="K35" s="586"/>
      <c r="L35" s="586"/>
      <c r="M35" s="586"/>
      <c r="N35" s="586"/>
      <c r="O35" s="586"/>
      <c r="P35" s="586"/>
      <c r="Q35" s="586"/>
      <c r="R35" s="586"/>
    </row>
    <row r="36" spans="4:19">
      <c r="H36" s="586"/>
      <c r="I36" s="586"/>
      <c r="J36" s="586"/>
      <c r="K36" s="586"/>
      <c r="L36" s="586"/>
      <c r="M36" s="586"/>
      <c r="N36" s="586"/>
      <c r="O36" s="586"/>
      <c r="P36" s="586"/>
      <c r="Q36" s="586"/>
      <c r="R36" s="586"/>
    </row>
    <row r="37" spans="4:19">
      <c r="D37" s="587" t="s">
        <v>435</v>
      </c>
      <c r="H37" s="586"/>
      <c r="I37" s="587" t="s">
        <v>436</v>
      </c>
      <c r="J37" s="586"/>
      <c r="K37" s="586"/>
      <c r="L37" s="523" t="s">
        <v>437</v>
      </c>
      <c r="M37" s="586"/>
      <c r="N37" s="586"/>
      <c r="P37" s="586"/>
      <c r="Q37" s="586"/>
      <c r="R37" s="586"/>
    </row>
    <row r="38" spans="4:19">
      <c r="D38" s="523" t="s">
        <v>438</v>
      </c>
      <c r="E38" s="586"/>
      <c r="F38" s="586">
        <v>3000</v>
      </c>
      <c r="I38" s="523" t="s">
        <v>439</v>
      </c>
    </row>
    <row r="39" spans="4:19">
      <c r="D39" s="523" t="s">
        <v>440</v>
      </c>
      <c r="E39" s="527"/>
      <c r="F39" s="527">
        <v>0.98</v>
      </c>
      <c r="I39" s="523" t="s">
        <v>441</v>
      </c>
    </row>
    <row r="40" spans="4:19">
      <c r="D40" s="523" t="s">
        <v>442</v>
      </c>
      <c r="E40" s="527"/>
      <c r="F40" s="527">
        <v>8.0000000000000002E-3</v>
      </c>
      <c r="I40" s="523" t="s">
        <v>443</v>
      </c>
      <c r="J40" s="523" t="s">
        <v>444</v>
      </c>
    </row>
    <row r="41" spans="4:19">
      <c r="D41" s="523" t="s">
        <v>445</v>
      </c>
      <c r="E41" s="588"/>
      <c r="F41" s="588">
        <v>150</v>
      </c>
      <c r="I41" s="582">
        <f>11000*2/F38</f>
        <v>7.333333333333333</v>
      </c>
      <c r="J41" s="589">
        <f>7000*2/F38</f>
        <v>4.666666666666667</v>
      </c>
    </row>
    <row r="42" spans="4:19">
      <c r="D42" s="523" t="s">
        <v>446</v>
      </c>
      <c r="E42" s="590"/>
      <c r="F42" s="590">
        <f>F38*F39*F40*F41/1000000</f>
        <v>3.5279999999999999E-3</v>
      </c>
      <c r="O42" s="524"/>
    </row>
    <row r="44" spans="4:19">
      <c r="D44" s="585" t="s">
        <v>609</v>
      </c>
      <c r="E44" s="585"/>
      <c r="F44" s="585"/>
      <c r="G44" s="594">
        <f>(G46*2)+(G50*3)+(G54*0.2)</f>
        <v>1589.8000000000002</v>
      </c>
      <c r="H44" s="594">
        <f t="shared" ref="H44:L44" si="52">(H46*2)+(H50*3)+(H54*0.2)</f>
        <v>1614</v>
      </c>
      <c r="I44" s="594">
        <f t="shared" si="52"/>
        <v>2301.2000000000003</v>
      </c>
      <c r="J44" s="594">
        <f t="shared" si="52"/>
        <v>2347.3999999999996</v>
      </c>
      <c r="K44" s="594">
        <f t="shared" si="52"/>
        <v>1742.4</v>
      </c>
      <c r="L44" s="594">
        <f t="shared" si="52"/>
        <v>2208.6799999999998</v>
      </c>
      <c r="M44" s="594">
        <f t="shared" ref="M44:N44" si="53">(M46*2)+(M50*3)+(M54*0.2)</f>
        <v>2317.2399999999998</v>
      </c>
      <c r="N44" s="594">
        <f t="shared" si="53"/>
        <v>1988.3999999999999</v>
      </c>
      <c r="O44" s="594">
        <f t="shared" ref="O44:P44" si="54">(O46*2)+(O50*3)+(O54*0.2)</f>
        <v>210</v>
      </c>
      <c r="P44" s="594">
        <f t="shared" si="54"/>
        <v>210</v>
      </c>
      <c r="Q44" s="594"/>
      <c r="R44" s="594"/>
    </row>
    <row r="45" spans="4:19">
      <c r="D45" s="524" t="s">
        <v>447</v>
      </c>
      <c r="G45" s="591"/>
      <c r="H45" s="592">
        <f>H44/G44-1</f>
        <v>1.5222040508239942E-2</v>
      </c>
      <c r="I45" s="592">
        <f t="shared" ref="I45:M45" si="55">I44/H44-1</f>
        <v>0.42577447335811658</v>
      </c>
      <c r="J45" s="592">
        <f t="shared" si="55"/>
        <v>2.0076481835563875E-2</v>
      </c>
      <c r="K45" s="592">
        <f t="shared" si="55"/>
        <v>-0.25773195876288646</v>
      </c>
      <c r="L45" s="592">
        <f t="shared" si="55"/>
        <v>0.26760789715335154</v>
      </c>
      <c r="M45" s="592">
        <f t="shared" si="55"/>
        <v>4.915152942028711E-2</v>
      </c>
      <c r="N45" s="592">
        <f t="shared" ref="N45" si="56">N44/M44-1</f>
        <v>-0.14191020351797823</v>
      </c>
      <c r="O45" s="592">
        <f t="shared" ref="O45" si="57">O44/N44-1</f>
        <v>-0.89438744719372365</v>
      </c>
      <c r="P45" s="592">
        <f t="shared" ref="P45" si="58">P44/O44-1</f>
        <v>0</v>
      </c>
      <c r="Q45" s="592"/>
      <c r="R45" s="592"/>
    </row>
    <row r="46" spans="4:19">
      <c r="D46" s="593" t="s">
        <v>448</v>
      </c>
      <c r="E46" s="580">
        <f>E52-E50</f>
        <v>621</v>
      </c>
      <c r="F46" s="580">
        <f>F52-F50</f>
        <v>558</v>
      </c>
      <c r="G46" s="580">
        <f>G52-G50</f>
        <v>483.6</v>
      </c>
      <c r="H46" s="580">
        <f>H52-H50</f>
        <v>393</v>
      </c>
      <c r="I46" s="580">
        <f>I52-I50</f>
        <v>373.2</v>
      </c>
      <c r="J46" s="580">
        <v>91</v>
      </c>
      <c r="K46" s="525">
        <v>15</v>
      </c>
      <c r="L46" s="525">
        <v>24</v>
      </c>
      <c r="M46" s="525">
        <v>17</v>
      </c>
      <c r="N46" s="525">
        <v>0</v>
      </c>
      <c r="O46" s="525">
        <v>0</v>
      </c>
      <c r="P46" s="525">
        <v>0</v>
      </c>
      <c r="Q46" s="525"/>
      <c r="R46" s="525"/>
    </row>
    <row r="47" spans="4:19">
      <c r="D47" s="697" t="s">
        <v>535</v>
      </c>
      <c r="E47" s="580"/>
      <c r="F47" s="580"/>
      <c r="G47" s="580"/>
      <c r="H47" s="580"/>
      <c r="I47" s="580">
        <v>64</v>
      </c>
      <c r="J47" s="580">
        <v>96</v>
      </c>
      <c r="K47" s="580">
        <v>76</v>
      </c>
      <c r="L47" s="580">
        <v>100</v>
      </c>
      <c r="M47" s="580">
        <v>106</v>
      </c>
      <c r="N47" s="580">
        <v>136</v>
      </c>
      <c r="O47" s="580">
        <v>0</v>
      </c>
      <c r="P47" s="580">
        <v>0</v>
      </c>
      <c r="Q47" s="580"/>
      <c r="R47" s="580"/>
    </row>
    <row r="48" spans="4:19">
      <c r="D48" s="697" t="s">
        <v>536</v>
      </c>
      <c r="E48" s="580"/>
      <c r="F48" s="580">
        <v>0</v>
      </c>
      <c r="G48" s="580">
        <v>54.400000000000006</v>
      </c>
      <c r="H48" s="580">
        <v>144</v>
      </c>
      <c r="I48" s="580">
        <v>308.8</v>
      </c>
      <c r="J48" s="580">
        <v>440.8</v>
      </c>
      <c r="K48" s="580">
        <v>344.8</v>
      </c>
      <c r="L48" s="580">
        <v>448.56</v>
      </c>
      <c r="M48" s="580">
        <v>464.08</v>
      </c>
      <c r="N48" s="580">
        <v>456.8</v>
      </c>
      <c r="O48" s="580">
        <v>0</v>
      </c>
      <c r="P48" s="580">
        <v>0</v>
      </c>
      <c r="Q48" s="580"/>
      <c r="R48" s="580"/>
    </row>
    <row r="49" spans="4:19">
      <c r="D49" s="697" t="s">
        <v>537</v>
      </c>
      <c r="E49" s="580"/>
      <c r="F49" s="580"/>
      <c r="G49" s="580"/>
      <c r="H49" s="580"/>
      <c r="I49" s="580"/>
      <c r="J49" s="580">
        <f>14*2</f>
        <v>28</v>
      </c>
      <c r="K49" s="525">
        <f>20*2</f>
        <v>40</v>
      </c>
      <c r="L49" s="523">
        <v>50</v>
      </c>
      <c r="M49" s="523">
        <f>30*2</f>
        <v>60</v>
      </c>
      <c r="N49" s="523">
        <f>35*2</f>
        <v>70</v>
      </c>
      <c r="O49" s="523">
        <f t="shared" ref="O49:P49" si="59">35*2</f>
        <v>70</v>
      </c>
      <c r="P49" s="523">
        <f t="shared" si="59"/>
        <v>70</v>
      </c>
    </row>
    <row r="50" spans="4:19">
      <c r="D50" s="593" t="s">
        <v>395</v>
      </c>
      <c r="E50" s="580">
        <f>E9</f>
        <v>0</v>
      </c>
      <c r="F50" s="580">
        <f>F9</f>
        <v>0</v>
      </c>
      <c r="G50" s="580">
        <f>SUM(G47:G49)</f>
        <v>54.400000000000006</v>
      </c>
      <c r="H50" s="580">
        <f t="shared" ref="H50:N50" si="60">SUM(H47:H49)</f>
        <v>144</v>
      </c>
      <c r="I50" s="580">
        <f t="shared" si="60"/>
        <v>372.8</v>
      </c>
      <c r="J50" s="580">
        <f t="shared" si="60"/>
        <v>564.79999999999995</v>
      </c>
      <c r="K50" s="580">
        <f t="shared" si="60"/>
        <v>460.8</v>
      </c>
      <c r="L50" s="580">
        <f t="shared" si="60"/>
        <v>598.55999999999995</v>
      </c>
      <c r="M50" s="580">
        <f t="shared" si="60"/>
        <v>630.07999999999993</v>
      </c>
      <c r="N50" s="580">
        <f t="shared" si="60"/>
        <v>662.8</v>
      </c>
      <c r="O50" s="580">
        <f t="shared" ref="O50:P50" si="61">SUM(O47:O49)</f>
        <v>70</v>
      </c>
      <c r="P50" s="580">
        <f t="shared" si="61"/>
        <v>70</v>
      </c>
      <c r="Q50" s="580"/>
      <c r="R50" s="580"/>
    </row>
    <row r="51" spans="4:19">
      <c r="D51" s="750" t="s">
        <v>571</v>
      </c>
      <c r="E51" s="698"/>
      <c r="F51" s="698"/>
      <c r="G51" s="698"/>
      <c r="H51" s="751">
        <f t="shared" ref="H51:P51" si="62">H50/G50-1</f>
        <v>1.6470588235294117</v>
      </c>
      <c r="I51" s="751">
        <f t="shared" si="62"/>
        <v>1.588888888888889</v>
      </c>
      <c r="J51" s="751">
        <f t="shared" si="62"/>
        <v>0.51502145922746756</v>
      </c>
      <c r="K51" s="751">
        <f t="shared" si="62"/>
        <v>-0.1841359773371104</v>
      </c>
      <c r="L51" s="751">
        <f t="shared" si="62"/>
        <v>0.29895833333333321</v>
      </c>
      <c r="M51" s="751">
        <f t="shared" si="62"/>
        <v>5.2659716653301158E-2</v>
      </c>
      <c r="N51" s="751">
        <f t="shared" si="62"/>
        <v>5.1929913661757254E-2</v>
      </c>
      <c r="O51" s="751">
        <f t="shared" si="62"/>
        <v>-0.89438744719372365</v>
      </c>
      <c r="P51" s="751">
        <f t="shared" si="62"/>
        <v>0</v>
      </c>
      <c r="Q51" s="751"/>
      <c r="R51" s="751"/>
    </row>
    <row r="52" spans="4:19">
      <c r="D52" s="523" t="s">
        <v>449</v>
      </c>
      <c r="E52" s="586">
        <v>621</v>
      </c>
      <c r="F52" s="586">
        <f>558</f>
        <v>558</v>
      </c>
      <c r="G52" s="586">
        <f>538</f>
        <v>538</v>
      </c>
      <c r="H52" s="580">
        <v>537</v>
      </c>
      <c r="I52" s="580">
        <v>746</v>
      </c>
      <c r="J52" s="580">
        <f>J46+J50</f>
        <v>655.8</v>
      </c>
      <c r="K52" s="580">
        <f>K46+K50</f>
        <v>475.8</v>
      </c>
      <c r="L52" s="580">
        <f t="shared" ref="L52:P52" si="63">L46+L50</f>
        <v>622.55999999999995</v>
      </c>
      <c r="M52" s="580">
        <f t="shared" si="63"/>
        <v>647.07999999999993</v>
      </c>
      <c r="N52" s="580">
        <f t="shared" si="63"/>
        <v>662.8</v>
      </c>
      <c r="O52" s="580">
        <f t="shared" si="63"/>
        <v>70</v>
      </c>
      <c r="P52" s="580">
        <f t="shared" si="63"/>
        <v>70</v>
      </c>
      <c r="Q52" s="580"/>
      <c r="R52" s="580"/>
    </row>
    <row r="53" spans="4:19">
      <c r="E53" s="586"/>
      <c r="F53" s="586"/>
      <c r="G53" s="586"/>
      <c r="H53" s="580"/>
      <c r="I53" s="68">
        <f>I52/H52-1</f>
        <v>0.38919925512104281</v>
      </c>
      <c r="J53" s="68">
        <f>J52/I52-1</f>
        <v>-0.12091152815013406</v>
      </c>
      <c r="K53" s="68">
        <f>K52/J52-1</f>
        <v>-0.27447392497712708</v>
      </c>
      <c r="L53" s="68">
        <f t="shared" ref="L53:P53" si="64">L52/K52-1</f>
        <v>0.30844892812105917</v>
      </c>
      <c r="M53" s="68">
        <f t="shared" si="64"/>
        <v>3.9385762014906067E-2</v>
      </c>
      <c r="N53" s="68">
        <f t="shared" si="64"/>
        <v>2.4293750386350954E-2</v>
      </c>
      <c r="O53" s="68">
        <f t="shared" si="64"/>
        <v>-0.89438744719372365</v>
      </c>
      <c r="P53" s="68">
        <f t="shared" si="64"/>
        <v>0</v>
      </c>
      <c r="Q53" s="68"/>
      <c r="R53" s="68"/>
    </row>
    <row r="54" spans="4:19">
      <c r="D54" s="523" t="s">
        <v>450</v>
      </c>
      <c r="E54" s="586">
        <v>2857</v>
      </c>
      <c r="F54" s="586">
        <v>2532</v>
      </c>
      <c r="G54" s="586">
        <v>2297</v>
      </c>
      <c r="H54" s="586">
        <v>1980</v>
      </c>
      <c r="I54" s="580">
        <v>2182</v>
      </c>
      <c r="J54" s="580">
        <v>2355</v>
      </c>
      <c r="K54" s="580">
        <v>1650</v>
      </c>
      <c r="L54" s="580">
        <v>1825</v>
      </c>
      <c r="M54" s="580">
        <v>1965</v>
      </c>
    </row>
    <row r="55" spans="4:19">
      <c r="D55" s="523" t="s">
        <v>451</v>
      </c>
      <c r="E55" s="586">
        <v>110</v>
      </c>
      <c r="F55" s="586">
        <v>96</v>
      </c>
      <c r="G55" s="586">
        <v>112</v>
      </c>
      <c r="H55" s="523">
        <v>121</v>
      </c>
      <c r="I55" s="523">
        <v>151</v>
      </c>
      <c r="J55" s="523">
        <v>215</v>
      </c>
      <c r="K55" s="523">
        <v>241</v>
      </c>
      <c r="L55" s="523">
        <v>218</v>
      </c>
    </row>
    <row r="57" spans="4:19">
      <c r="G57" s="526"/>
      <c r="H57" s="526"/>
      <c r="I57" s="526"/>
      <c r="J57" s="526"/>
      <c r="K57" s="526"/>
      <c r="L57" s="526"/>
    </row>
    <row r="58" spans="4:19">
      <c r="D58" s="524" t="s">
        <v>452</v>
      </c>
    </row>
    <row r="59" spans="4:19">
      <c r="D59" s="523" t="s">
        <v>453</v>
      </c>
      <c r="E59" s="586"/>
      <c r="F59" s="586"/>
      <c r="G59" s="586">
        <v>10500</v>
      </c>
      <c r="H59" s="594">
        <f>G59*1.058</f>
        <v>11109</v>
      </c>
      <c r="I59" s="594">
        <f t="shared" ref="I59:O59" si="65">H59*1.058</f>
        <v>11753.322</v>
      </c>
      <c r="J59" s="594">
        <f t="shared" si="65"/>
        <v>12435.014676000001</v>
      </c>
      <c r="K59" s="594">
        <f t="shared" si="65"/>
        <v>13156.245527208001</v>
      </c>
      <c r="L59" s="594">
        <f t="shared" si="65"/>
        <v>13919.307767786066</v>
      </c>
      <c r="M59" s="594">
        <f t="shared" si="65"/>
        <v>14726.627618317658</v>
      </c>
      <c r="N59" s="594">
        <f t="shared" si="65"/>
        <v>15580.772020180082</v>
      </c>
      <c r="O59" s="594">
        <f t="shared" si="65"/>
        <v>16484.456797350529</v>
      </c>
      <c r="P59" s="595">
        <v>17500</v>
      </c>
      <c r="Q59" s="595"/>
      <c r="R59" s="595"/>
      <c r="S59" s="583"/>
    </row>
    <row r="60" spans="4:19">
      <c r="D60" s="523" t="s">
        <v>230</v>
      </c>
      <c r="E60" s="586"/>
      <c r="F60" s="586"/>
      <c r="G60" s="586">
        <v>7500</v>
      </c>
      <c r="H60" s="594">
        <f>G60*1.016</f>
        <v>7620</v>
      </c>
      <c r="I60" s="594">
        <f>H60*1.016</f>
        <v>7741.92</v>
      </c>
      <c r="J60" s="594">
        <f>I60*1.016</f>
        <v>7865.79072</v>
      </c>
      <c r="K60" s="594">
        <v>8000</v>
      </c>
    </row>
    <row r="61" spans="4:19">
      <c r="D61" s="523" t="s">
        <v>454</v>
      </c>
      <c r="E61" s="586"/>
      <c r="F61" s="586"/>
      <c r="G61" s="586">
        <v>60000</v>
      </c>
      <c r="H61" s="594">
        <f>G61*1.014</f>
        <v>60840</v>
      </c>
      <c r="I61" s="594">
        <f t="shared" ref="I61:O61" si="66">H61*1.014</f>
        <v>61691.76</v>
      </c>
      <c r="J61" s="594">
        <f t="shared" si="66"/>
        <v>62555.444640000002</v>
      </c>
      <c r="K61" s="594">
        <f t="shared" si="66"/>
        <v>63431.22086496</v>
      </c>
      <c r="L61" s="594">
        <f t="shared" si="66"/>
        <v>64319.257957069443</v>
      </c>
      <c r="M61" s="594">
        <f t="shared" si="66"/>
        <v>65219.727568468414</v>
      </c>
      <c r="N61" s="594">
        <f t="shared" si="66"/>
        <v>66132.803754426976</v>
      </c>
      <c r="O61" s="594">
        <f t="shared" si="66"/>
        <v>67058.663006988951</v>
      </c>
      <c r="P61" s="594">
        <v>68000</v>
      </c>
      <c r="Q61" s="594"/>
      <c r="R61" s="594"/>
    </row>
    <row r="62" spans="4:19">
      <c r="E62" s="586"/>
      <c r="F62" s="586"/>
      <c r="G62" s="586"/>
    </row>
    <row r="64" spans="4:19">
      <c r="D64" s="587" t="s">
        <v>194</v>
      </c>
      <c r="E64" s="596">
        <v>2014</v>
      </c>
      <c r="F64" s="596">
        <f t="shared" ref="F64:K64" si="67">E64+1</f>
        <v>2015</v>
      </c>
      <c r="G64" s="596">
        <f t="shared" si="67"/>
        <v>2016</v>
      </c>
      <c r="H64" s="596">
        <f t="shared" si="67"/>
        <v>2017</v>
      </c>
      <c r="I64" s="596">
        <f t="shared" si="67"/>
        <v>2018</v>
      </c>
      <c r="J64" s="596">
        <f t="shared" si="67"/>
        <v>2019</v>
      </c>
      <c r="K64" s="596">
        <f t="shared" si="67"/>
        <v>2020</v>
      </c>
      <c r="L64" s="596">
        <f t="shared" ref="L64:S64" si="68">L4</f>
        <v>2021</v>
      </c>
      <c r="M64" s="596">
        <f t="shared" si="68"/>
        <v>2022</v>
      </c>
      <c r="N64" s="596">
        <f t="shared" si="68"/>
        <v>2023</v>
      </c>
      <c r="O64" s="596">
        <f t="shared" si="68"/>
        <v>2024</v>
      </c>
      <c r="P64" s="596" t="str">
        <f t="shared" si="68"/>
        <v>2025E</v>
      </c>
      <c r="Q64" s="596" t="str">
        <f t="shared" si="68"/>
        <v>2026E</v>
      </c>
      <c r="R64" s="596" t="str">
        <f t="shared" si="68"/>
        <v>2027E</v>
      </c>
      <c r="S64" s="596" t="str">
        <f t="shared" si="68"/>
        <v>2028E</v>
      </c>
    </row>
    <row r="65" spans="4:19" s="546" customFormat="1">
      <c r="D65" s="593" t="s">
        <v>455</v>
      </c>
      <c r="E65" s="586">
        <f>F65*(1-F66)</f>
        <v>927.17942624999989</v>
      </c>
      <c r="F65" s="586">
        <f>G65*(1-G66)</f>
        <v>865.71374999999989</v>
      </c>
      <c r="G65" s="597">
        <f>0.25*G69</f>
        <v>930.875</v>
      </c>
      <c r="H65" s="586">
        <f t="shared" ref="H65:N65" si="69">G65*(1+H66)</f>
        <v>1031.4095</v>
      </c>
      <c r="I65" s="586">
        <f t="shared" si="69"/>
        <v>1392.4028250000001</v>
      </c>
      <c r="J65" s="586">
        <f t="shared" si="69"/>
        <v>1656.95936175</v>
      </c>
      <c r="K65" s="586">
        <f t="shared" si="69"/>
        <v>1938.6424532474998</v>
      </c>
      <c r="L65" s="586">
        <f t="shared" si="69"/>
        <v>2054.9610004423498</v>
      </c>
      <c r="M65" s="586">
        <f t="shared" si="69"/>
        <v>1808.3656803892679</v>
      </c>
      <c r="N65" s="586">
        <f t="shared" si="69"/>
        <v>1627.5291123503412</v>
      </c>
      <c r="O65" s="586">
        <f t="shared" ref="O65" si="70">N65*(1+O66)</f>
        <v>1708.9055679678584</v>
      </c>
      <c r="P65" s="586">
        <f t="shared" ref="P65" si="71">O65*(1+P66)</f>
        <v>1777.2617906865728</v>
      </c>
      <c r="Q65" s="586">
        <f t="shared" ref="Q65" si="72">P65*(1+Q66)</f>
        <v>1830.57964440717</v>
      </c>
      <c r="R65" s="586">
        <f t="shared" ref="R65:S65" si="73">Q65*(1+R66)</f>
        <v>1885.4970337393852</v>
      </c>
      <c r="S65" s="586">
        <f t="shared" si="73"/>
        <v>1942.0619447515669</v>
      </c>
    </row>
    <row r="66" spans="4:19" s="546" customFormat="1" ht="11.25">
      <c r="F66" s="546">
        <v>-7.0999999999999994E-2</v>
      </c>
      <c r="G66" s="546">
        <v>7.0000000000000007E-2</v>
      </c>
      <c r="H66" s="546">
        <v>0.108</v>
      </c>
      <c r="I66" s="546">
        <v>0.35</v>
      </c>
      <c r="J66" s="546">
        <v>0.19</v>
      </c>
      <c r="K66" s="546">
        <v>0.17</v>
      </c>
      <c r="L66" s="546">
        <v>0.06</v>
      </c>
      <c r="M66" s="546">
        <v>-0.12</v>
      </c>
      <c r="N66" s="546">
        <v>-0.1</v>
      </c>
      <c r="O66" s="546">
        <v>0.05</v>
      </c>
      <c r="P66" s="546">
        <v>0.04</v>
      </c>
      <c r="Q66" s="546">
        <v>0.03</v>
      </c>
      <c r="R66" s="546">
        <v>0.03</v>
      </c>
      <c r="S66" s="546">
        <v>0.03</v>
      </c>
    </row>
    <row r="67" spans="4:19" s="546" customFormat="1">
      <c r="D67" s="593" t="s">
        <v>456</v>
      </c>
      <c r="E67" s="586">
        <f t="shared" ref="E67:F67" si="74">F67*(1-F68)</f>
        <v>3113.6093175000001</v>
      </c>
      <c r="F67" s="586">
        <f t="shared" si="74"/>
        <v>2909.91525</v>
      </c>
      <c r="G67" s="597">
        <f>0.75*G69</f>
        <v>2792.625</v>
      </c>
      <c r="H67" s="586">
        <f t="shared" ref="H67:N67" si="75">G67*(1+H68)</f>
        <v>2960.1825000000003</v>
      </c>
      <c r="I67" s="586">
        <f t="shared" si="75"/>
        <v>3601.6540477500002</v>
      </c>
      <c r="J67" s="586">
        <f t="shared" si="75"/>
        <v>4105.8856144350011</v>
      </c>
      <c r="K67" s="586">
        <f t="shared" si="75"/>
        <v>4660.1801723837261</v>
      </c>
      <c r="L67" s="586">
        <f t="shared" si="75"/>
        <v>5032.9945861744245</v>
      </c>
      <c r="M67" s="586">
        <f t="shared" si="75"/>
        <v>4932.3346944509358</v>
      </c>
      <c r="N67" s="586">
        <f t="shared" si="75"/>
        <v>5030.9813883399547</v>
      </c>
      <c r="O67" s="586">
        <f t="shared" ref="O67" si="76">N67*(1+O68)</f>
        <v>5181.9108299901536</v>
      </c>
      <c r="P67" s="586">
        <f t="shared" ref="P67" si="77">O67*(1+P68)</f>
        <v>5285.5490465899566</v>
      </c>
      <c r="Q67" s="586">
        <f t="shared" ref="Q67" si="78">P67*(1+Q68)</f>
        <v>5391.2600275217555</v>
      </c>
      <c r="R67" s="586">
        <f t="shared" ref="R67:S67" si="79">Q67*(1+R68)</f>
        <v>5499.0852280721911</v>
      </c>
      <c r="S67" s="586">
        <f t="shared" si="79"/>
        <v>5609.0669326336347</v>
      </c>
    </row>
    <row r="68" spans="4:19" s="546" customFormat="1" ht="11.25">
      <c r="F68" s="546">
        <v>-7.0000000000000007E-2</v>
      </c>
      <c r="G68" s="546">
        <v>-4.2000000000000003E-2</v>
      </c>
      <c r="H68" s="546">
        <v>0.06</v>
      </c>
      <c r="I68" s="546">
        <v>0.2167</v>
      </c>
      <c r="J68" s="546">
        <v>0.14000000000000001</v>
      </c>
      <c r="K68" s="546">
        <v>0.13500000000000001</v>
      </c>
      <c r="L68" s="546">
        <v>0.08</v>
      </c>
      <c r="M68" s="546">
        <v>-0.02</v>
      </c>
      <c r="N68" s="546">
        <v>0.02</v>
      </c>
      <c r="O68" s="546">
        <v>0.03</v>
      </c>
      <c r="P68" s="546">
        <v>0.02</v>
      </c>
      <c r="Q68" s="546">
        <v>0.02</v>
      </c>
      <c r="R68" s="546">
        <v>0.02</v>
      </c>
      <c r="S68" s="546">
        <v>0.02</v>
      </c>
    </row>
    <row r="69" spans="4:19">
      <c r="D69" s="524" t="s">
        <v>230</v>
      </c>
      <c r="E69" s="598">
        <f>E65+E67</f>
        <v>4040.7887437499999</v>
      </c>
      <c r="F69" s="598">
        <f>F65+F67</f>
        <v>3775.6289999999999</v>
      </c>
      <c r="G69" s="599">
        <f>G$5*0.25</f>
        <v>3723.5</v>
      </c>
      <c r="H69" s="598">
        <f>H65+H67</f>
        <v>3991.5920000000006</v>
      </c>
      <c r="I69" s="598">
        <f>I65+I67</f>
        <v>4994.0568727500004</v>
      </c>
      <c r="J69" s="598">
        <f>J65+J67</f>
        <v>5762.8449761850006</v>
      </c>
      <c r="K69" s="598">
        <f>K65+K67</f>
        <v>6598.8226256312264</v>
      </c>
      <c r="L69" s="598">
        <f t="shared" ref="L69:N69" si="80">L65+L67</f>
        <v>7087.9555866167739</v>
      </c>
      <c r="M69" s="598">
        <f t="shared" si="80"/>
        <v>6740.7003748402039</v>
      </c>
      <c r="N69" s="598">
        <f t="shared" si="80"/>
        <v>6658.5105006902959</v>
      </c>
      <c r="O69" s="598">
        <f t="shared" ref="O69:P69" si="81">O65+O67</f>
        <v>6890.8163979580122</v>
      </c>
      <c r="P69" s="598">
        <f t="shared" si="81"/>
        <v>7062.8108372765291</v>
      </c>
      <c r="Q69" s="598">
        <f t="shared" ref="Q69:R69" si="82">Q65+Q67</f>
        <v>7221.8396719289258</v>
      </c>
      <c r="R69" s="598">
        <f t="shared" si="82"/>
        <v>7384.5822618115762</v>
      </c>
      <c r="S69" s="598">
        <f t="shared" ref="S69" si="83">S65+S67</f>
        <v>7551.1288773852011</v>
      </c>
    </row>
    <row r="70" spans="4:19" s="546" customFormat="1" ht="11.25">
      <c r="F70" s="600">
        <f t="shared" ref="F70:N70" si="84">F69/E69-1</f>
        <v>-6.5620788555236897E-2</v>
      </c>
      <c r="G70" s="600">
        <f t="shared" si="84"/>
        <v>-1.3806706114398382E-2</v>
      </c>
      <c r="H70" s="600">
        <f t="shared" si="84"/>
        <v>7.2000000000000064E-2</v>
      </c>
      <c r="I70" s="600">
        <f t="shared" si="84"/>
        <v>0.25114412313432832</v>
      </c>
      <c r="J70" s="600">
        <f t="shared" si="84"/>
        <v>0.15394059840004659</v>
      </c>
      <c r="K70" s="600">
        <f t="shared" si="84"/>
        <v>0.14506335896608524</v>
      </c>
      <c r="L70" s="600">
        <f t="shared" si="84"/>
        <v>7.4124277728825572E-2</v>
      </c>
      <c r="M70" s="600">
        <f t="shared" si="84"/>
        <v>-4.8992295103011729E-2</v>
      </c>
      <c r="N70" s="600">
        <f t="shared" si="84"/>
        <v>-1.2193076324336194E-2</v>
      </c>
      <c r="O70" s="600">
        <f t="shared" ref="O70" si="85">O69/N69-1</f>
        <v>3.4888568133013109E-2</v>
      </c>
      <c r="P70" s="600">
        <f t="shared" ref="P70" si="86">P69/O69-1</f>
        <v>2.4959950952906595E-2</v>
      </c>
      <c r="Q70" s="600">
        <f t="shared" ref="Q70" si="87">Q69/P69-1</f>
        <v>2.2516366120562736E-2</v>
      </c>
      <c r="R70" s="600">
        <f t="shared" ref="R70:S70" si="88">R69/Q69-1</f>
        <v>2.2534783002068792E-2</v>
      </c>
      <c r="S70" s="600">
        <f t="shared" si="88"/>
        <v>2.2553288685657868E-2</v>
      </c>
    </row>
    <row r="71" spans="4:19">
      <c r="D71" s="593" t="s">
        <v>455</v>
      </c>
      <c r="E71" s="586">
        <f>F71*(1-F72)</f>
        <v>2007.5734305000001</v>
      </c>
      <c r="F71" s="586">
        <f>G71*(1-G72)</f>
        <v>1761.029325</v>
      </c>
      <c r="G71" s="597">
        <f>0.15*G77</f>
        <v>1675.575</v>
      </c>
      <c r="H71" s="586">
        <f t="shared" ref="H71:N71" si="89">G71*(1+H72)</f>
        <v>2014.3762649999999</v>
      </c>
      <c r="I71" s="586">
        <f t="shared" si="89"/>
        <v>2598.54538185</v>
      </c>
      <c r="J71" s="586">
        <f t="shared" si="89"/>
        <v>2957.1446445452998</v>
      </c>
      <c r="K71" s="586">
        <f t="shared" si="89"/>
        <v>2158.7155905180689</v>
      </c>
      <c r="L71" s="586">
        <f t="shared" si="89"/>
        <v>2331.4128377595143</v>
      </c>
      <c r="M71" s="586">
        <f t="shared" si="89"/>
        <v>2611.1823782906563</v>
      </c>
      <c r="N71" s="586">
        <f t="shared" si="89"/>
        <v>2872.3006161197222</v>
      </c>
      <c r="O71" s="586">
        <f t="shared" ref="O71" si="90">N71*(1+O72)</f>
        <v>3216.9766900540894</v>
      </c>
      <c r="P71" s="586">
        <f t="shared" ref="P71" si="91">O71*(1+P72)</f>
        <v>3409.995291457335</v>
      </c>
      <c r="Q71" s="586">
        <f t="shared" ref="Q71" si="92">P71*(1+Q72)</f>
        <v>3614.5950089447751</v>
      </c>
      <c r="R71" s="586">
        <f t="shared" ref="R71:S71" si="93">Q71*(1+R72)</f>
        <v>3813.3977344367377</v>
      </c>
      <c r="S71" s="586">
        <f t="shared" si="93"/>
        <v>4004.0676211585746</v>
      </c>
    </row>
    <row r="72" spans="4:19" s="546" customFormat="1" ht="11.25">
      <c r="F72" s="546">
        <v>-0.14000000000000001</v>
      </c>
      <c r="G72" s="546">
        <v>-5.0999999999999997E-2</v>
      </c>
      <c r="H72" s="546">
        <v>0.20219999999999999</v>
      </c>
      <c r="I72" s="546">
        <v>0.28999999999999998</v>
      </c>
      <c r="J72" s="546">
        <v>0.13800000000000001</v>
      </c>
      <c r="K72" s="546">
        <v>-0.27</v>
      </c>
      <c r="L72" s="546">
        <v>0.08</v>
      </c>
      <c r="M72" s="546">
        <v>0.12</v>
      </c>
      <c r="N72" s="546">
        <v>0.1</v>
      </c>
      <c r="O72" s="546">
        <v>0.12</v>
      </c>
      <c r="P72" s="546">
        <v>0.06</v>
      </c>
      <c r="Q72" s="546">
        <v>0.06</v>
      </c>
      <c r="R72" s="546">
        <v>5.5E-2</v>
      </c>
      <c r="S72" s="546">
        <v>0.05</v>
      </c>
    </row>
    <row r="73" spans="4:19">
      <c r="D73" s="593" t="s">
        <v>551</v>
      </c>
      <c r="E73" s="586">
        <f>F73*(1-F74)</f>
        <v>8459.9781749999984</v>
      </c>
      <c r="F73" s="586">
        <f>G73*(1-G74)</f>
        <v>8545.432499999999</v>
      </c>
      <c r="G73" s="597">
        <f>0.85*G77</f>
        <v>9494.9249999999993</v>
      </c>
      <c r="H73" s="586">
        <f t="shared" ref="H73:N73" si="94">G73*(1+H74)</f>
        <v>10539.366749999999</v>
      </c>
      <c r="I73" s="586">
        <f t="shared" si="94"/>
        <v>11804.090760000001</v>
      </c>
      <c r="J73" s="586">
        <f t="shared" si="94"/>
        <v>12182.411868858</v>
      </c>
      <c r="K73" s="586">
        <f t="shared" si="94"/>
        <v>8040.3918334462787</v>
      </c>
      <c r="L73" s="586">
        <f t="shared" si="94"/>
        <v>8727.845335205935</v>
      </c>
      <c r="M73" s="586">
        <f t="shared" si="94"/>
        <v>10953.445895683448</v>
      </c>
      <c r="N73" s="586">
        <f t="shared" si="94"/>
        <v>13034.600615863303</v>
      </c>
      <c r="O73" s="586">
        <f t="shared" ref="O73" si="95">N73*(1+O74)</f>
        <v>14533.579686687583</v>
      </c>
      <c r="P73" s="586">
        <f t="shared" ref="P73" si="96">O73*(1+P74)</f>
        <v>15696.266061622589</v>
      </c>
      <c r="Q73" s="586">
        <f t="shared" ref="Q73" si="97">P73*(1+Q74)</f>
        <v>16795.004685936172</v>
      </c>
      <c r="R73" s="586">
        <f t="shared" ref="R73:S73" si="98">Q73*(1+R74)</f>
        <v>17970.655013951706</v>
      </c>
      <c r="S73" s="586">
        <f t="shared" si="98"/>
        <v>19138.747589858565</v>
      </c>
    </row>
    <row r="74" spans="4:19" s="546" customFormat="1" ht="11.25">
      <c r="F74" s="546">
        <v>0.01</v>
      </c>
      <c r="G74" s="546">
        <v>0.1</v>
      </c>
      <c r="H74" s="546">
        <v>0.11</v>
      </c>
      <c r="I74" s="546">
        <v>0.12</v>
      </c>
      <c r="J74" s="546">
        <v>3.2050000000000002E-2</v>
      </c>
      <c r="K74" s="546">
        <v>-0.34</v>
      </c>
      <c r="L74" s="546">
        <v>8.5500000000000007E-2</v>
      </c>
      <c r="M74" s="546">
        <v>0.255</v>
      </c>
      <c r="N74" s="546">
        <v>0.19</v>
      </c>
      <c r="O74" s="546">
        <v>0.115</v>
      </c>
      <c r="P74" s="546">
        <v>0.08</v>
      </c>
      <c r="Q74" s="546">
        <v>7.0000000000000007E-2</v>
      </c>
      <c r="R74" s="546">
        <v>7.0000000000000007E-2</v>
      </c>
      <c r="S74" s="546">
        <v>6.5000000000000002E-2</v>
      </c>
    </row>
    <row r="75" spans="4:19" s="546" customFormat="1">
      <c r="D75" s="593" t="s">
        <v>549</v>
      </c>
      <c r="E75" s="586">
        <f t="shared" ref="E75:S75" si="99">E20+E21</f>
        <v>0</v>
      </c>
      <c r="F75" s="586">
        <f t="shared" si="99"/>
        <v>0</v>
      </c>
      <c r="G75" s="586">
        <f t="shared" si="99"/>
        <v>0</v>
      </c>
      <c r="H75" s="586">
        <f t="shared" si="99"/>
        <v>0</v>
      </c>
      <c r="I75" s="586">
        <f t="shared" si="99"/>
        <v>0</v>
      </c>
      <c r="J75" s="586">
        <f t="shared" si="99"/>
        <v>0</v>
      </c>
      <c r="K75" s="586">
        <f t="shared" si="99"/>
        <v>0.71705619921600006</v>
      </c>
      <c r="L75" s="586">
        <f t="shared" si="99"/>
        <v>3.0579092924017672</v>
      </c>
      <c r="M75" s="586">
        <f t="shared" si="99"/>
        <v>223.25431259952683</v>
      </c>
      <c r="N75" s="586">
        <f t="shared" si="99"/>
        <v>799.45902726730935</v>
      </c>
      <c r="O75" s="586">
        <f t="shared" si="99"/>
        <v>1641.354289623662</v>
      </c>
      <c r="P75" s="586">
        <f t="shared" si="99"/>
        <v>2496.0111541036426</v>
      </c>
      <c r="Q75" s="586">
        <f t="shared" si="99"/>
        <v>2434.8825327619661</v>
      </c>
      <c r="R75" s="586">
        <f t="shared" si="99"/>
        <v>2280.4949305834839</v>
      </c>
      <c r="S75" s="586">
        <f t="shared" si="99"/>
        <v>2802.5725282237195</v>
      </c>
    </row>
    <row r="76" spans="4:19" s="546" customFormat="1" ht="11.25">
      <c r="L76" s="600">
        <f t="shared" ref="L76" si="100">L75/K75-1</f>
        <v>3.2645322580645146</v>
      </c>
      <c r="M76" s="600">
        <f t="shared" ref="M76" si="101">M75/L75-1</f>
        <v>72.008808061856101</v>
      </c>
      <c r="N76" s="600">
        <f t="shared" ref="N76" si="102">N75/M75-1</f>
        <v>2.5809343074208715</v>
      </c>
      <c r="O76" s="600">
        <f t="shared" ref="O76" si="103">O75/N75-1</f>
        <v>1.0530811882056015</v>
      </c>
      <c r="P76" s="600">
        <f t="shared" ref="P76" si="104">P75/O75-1</f>
        <v>0.52070224562908995</v>
      </c>
      <c r="Q76" s="600">
        <f t="shared" ref="Q76" si="105">Q75/P75-1</f>
        <v>-2.4490524107304679E-2</v>
      </c>
      <c r="R76" s="600">
        <f t="shared" ref="R76:S76" si="106">R75/Q75-1</f>
        <v>-6.340659153004613E-2</v>
      </c>
      <c r="S76" s="600">
        <f t="shared" si="106"/>
        <v>0.22893170716527655</v>
      </c>
    </row>
    <row r="77" spans="4:19">
      <c r="D77" s="524" t="s">
        <v>457</v>
      </c>
      <c r="E77" s="598">
        <f>E71+E73+E75</f>
        <v>10467.551605499999</v>
      </c>
      <c r="F77" s="598">
        <f>F71+F73+F75</f>
        <v>10306.461824999998</v>
      </c>
      <c r="G77" s="599">
        <f>G$5*0.5+G$5*0.25</f>
        <v>11170.5</v>
      </c>
      <c r="H77" s="598">
        <f>H71+H73+H75</f>
        <v>12553.743015</v>
      </c>
      <c r="I77" s="598">
        <f t="shared" ref="I77:N77" si="107">I71+I73+I75</f>
        <v>14402.636141850002</v>
      </c>
      <c r="J77" s="598">
        <f t="shared" si="107"/>
        <v>15139.5565134033</v>
      </c>
      <c r="K77" s="598">
        <f t="shared" si="107"/>
        <v>10199.824480163563</v>
      </c>
      <c r="L77" s="598">
        <f t="shared" si="107"/>
        <v>11062.31608225785</v>
      </c>
      <c r="M77" s="598">
        <f t="shared" si="107"/>
        <v>13787.882586573631</v>
      </c>
      <c r="N77" s="598">
        <f t="shared" si="107"/>
        <v>16706.360259250334</v>
      </c>
      <c r="O77" s="598">
        <f t="shared" ref="O77:P77" si="108">O71+O73+O75</f>
        <v>19391.910666365333</v>
      </c>
      <c r="P77" s="598">
        <f t="shared" si="108"/>
        <v>21602.272507183567</v>
      </c>
      <c r="Q77" s="598">
        <f t="shared" ref="Q77:R77" si="109">Q71+Q73+Q75</f>
        <v>22844.482227642915</v>
      </c>
      <c r="R77" s="598">
        <f t="shared" si="109"/>
        <v>24064.547678971929</v>
      </c>
      <c r="S77" s="598">
        <f t="shared" ref="S77" si="110">S71+S73+S75</f>
        <v>25945.387739240858</v>
      </c>
    </row>
    <row r="78" spans="4:19" s="546" customFormat="1" ht="11.25">
      <c r="E78" s="600"/>
      <c r="F78" s="600">
        <f t="shared" ref="F78:N78" si="111">F77/E77-1</f>
        <v>-1.5389442208754822E-2</v>
      </c>
      <c r="G78" s="600">
        <f t="shared" si="111"/>
        <v>8.3834606838996573E-2</v>
      </c>
      <c r="H78" s="600">
        <f t="shared" si="111"/>
        <v>0.12383000000000011</v>
      </c>
      <c r="I78" s="600">
        <f>I77/H77-1</f>
        <v>0.1472782360321403</v>
      </c>
      <c r="J78" s="600">
        <f t="shared" si="111"/>
        <v>5.1165659140135933E-2</v>
      </c>
      <c r="K78" s="600">
        <f t="shared" si="111"/>
        <v>-0.32627983711851205</v>
      </c>
      <c r="L78" s="600">
        <f t="shared" si="111"/>
        <v>8.4559455289808794E-2</v>
      </c>
      <c r="M78" s="600">
        <f t="shared" si="111"/>
        <v>0.24638298924464341</v>
      </c>
      <c r="N78" s="600">
        <f t="shared" si="111"/>
        <v>0.21166975091002449</v>
      </c>
      <c r="O78" s="600">
        <f t="shared" ref="O78" si="112">O77/N77-1</f>
        <v>0.16075017929940816</v>
      </c>
      <c r="P78" s="600">
        <f t="shared" ref="P78" si="113">P77/O77-1</f>
        <v>0.1139837058269888</v>
      </c>
      <c r="Q78" s="600">
        <f t="shared" ref="Q78" si="114">Q77/P77-1</f>
        <v>5.7503659397235563E-2</v>
      </c>
      <c r="R78" s="600">
        <f t="shared" ref="R78:S78" si="115">R77/Q77-1</f>
        <v>5.3407446015680593E-2</v>
      </c>
      <c r="S78" s="600">
        <f t="shared" si="115"/>
        <v>7.8158130597752562E-2</v>
      </c>
    </row>
    <row r="79" spans="4:19" s="524" customFormat="1">
      <c r="D79" s="524" t="s">
        <v>132</v>
      </c>
      <c r="E79" s="598">
        <f t="shared" ref="E79:F79" si="116">E69+E77</f>
        <v>14508.340349249998</v>
      </c>
      <c r="F79" s="598">
        <f t="shared" si="116"/>
        <v>14082.090824999999</v>
      </c>
      <c r="G79" s="598">
        <f>G69+G77</f>
        <v>14894</v>
      </c>
      <c r="H79" s="598">
        <f>H69+H77</f>
        <v>16545.335015000001</v>
      </c>
      <c r="I79" s="598">
        <f t="shared" ref="I79:N79" si="117">I69+I77</f>
        <v>19396.693014600001</v>
      </c>
      <c r="J79" s="598">
        <f t="shared" si="117"/>
        <v>20902.401489588301</v>
      </c>
      <c r="K79" s="598">
        <f t="shared" si="117"/>
        <v>16798.647105794789</v>
      </c>
      <c r="L79" s="598">
        <f t="shared" si="117"/>
        <v>18150.271668874622</v>
      </c>
      <c r="M79" s="598">
        <f t="shared" si="117"/>
        <v>20528.582961413835</v>
      </c>
      <c r="N79" s="598">
        <f t="shared" si="117"/>
        <v>23364.87075994063</v>
      </c>
      <c r="O79" s="598">
        <f t="shared" ref="O79:P79" si="118">O69+O77</f>
        <v>26282.727064323346</v>
      </c>
      <c r="P79" s="598">
        <f t="shared" si="118"/>
        <v>28665.083344460094</v>
      </c>
      <c r="Q79" s="598">
        <f t="shared" ref="Q79:R79" si="119">Q69+Q77</f>
        <v>30066.321899571842</v>
      </c>
      <c r="R79" s="598">
        <f t="shared" si="119"/>
        <v>31449.129940783503</v>
      </c>
      <c r="S79" s="598">
        <f t="shared" ref="S79" si="120">S69+S77</f>
        <v>33496.516616626061</v>
      </c>
    </row>
    <row r="80" spans="4:19">
      <c r="D80" s="593"/>
      <c r="F80" s="600">
        <f t="shared" ref="F80:N80" si="121">F79/E79-1</f>
        <v>-2.9379619859278616E-2</v>
      </c>
      <c r="G80" s="600">
        <f t="shared" si="121"/>
        <v>5.7655442298285342E-2</v>
      </c>
      <c r="H80" s="600">
        <f t="shared" si="121"/>
        <v>0.11087249999999993</v>
      </c>
      <c r="I80" s="600">
        <f t="shared" si="121"/>
        <v>0.17233606917085442</v>
      </c>
      <c r="J80" s="600">
        <f t="shared" si="121"/>
        <v>7.7627071473211684E-2</v>
      </c>
      <c r="K80" s="600">
        <f t="shared" si="121"/>
        <v>-0.19632932540491266</v>
      </c>
      <c r="L80" s="600">
        <f t="shared" si="121"/>
        <v>8.0460322463324019E-2</v>
      </c>
      <c r="M80" s="600">
        <f t="shared" si="121"/>
        <v>0.13103447352899456</v>
      </c>
      <c r="N80" s="600">
        <f t="shared" si="121"/>
        <v>0.13816286315806448</v>
      </c>
      <c r="O80" s="600">
        <f t="shared" ref="O80" si="122">O79/N79-1</f>
        <v>0.12488219320200211</v>
      </c>
      <c r="P80" s="600">
        <f t="shared" ref="P80" si="123">P79/O79-1</f>
        <v>9.0643420460375435E-2</v>
      </c>
      <c r="Q80" s="600">
        <f t="shared" ref="Q80" si="124">Q79/P79-1</f>
        <v>4.8883114633697877E-2</v>
      </c>
      <c r="R80" s="600">
        <f t="shared" ref="R80:S80" si="125">R79/Q79-1</f>
        <v>4.5991925644598197E-2</v>
      </c>
      <c r="S80" s="600">
        <f t="shared" si="125"/>
        <v>6.5101536344491562E-2</v>
      </c>
    </row>
    <row r="82" spans="4:19">
      <c r="D82" s="587" t="s">
        <v>533</v>
      </c>
      <c r="E82" s="705">
        <f t="shared" ref="E82:P82" si="126">E64</f>
        <v>2014</v>
      </c>
      <c r="F82" s="705">
        <f t="shared" si="126"/>
        <v>2015</v>
      </c>
      <c r="G82" s="705">
        <f t="shared" si="126"/>
        <v>2016</v>
      </c>
      <c r="H82" s="705">
        <f t="shared" si="126"/>
        <v>2017</v>
      </c>
      <c r="I82" s="705">
        <f t="shared" si="126"/>
        <v>2018</v>
      </c>
      <c r="J82" s="596">
        <f t="shared" si="126"/>
        <v>2019</v>
      </c>
      <c r="K82" s="596">
        <f t="shared" si="126"/>
        <v>2020</v>
      </c>
      <c r="L82" s="596">
        <f t="shared" si="126"/>
        <v>2021</v>
      </c>
      <c r="M82" s="596">
        <f t="shared" si="126"/>
        <v>2022</v>
      </c>
      <c r="N82" s="596">
        <f t="shared" si="126"/>
        <v>2023</v>
      </c>
      <c r="O82" s="596">
        <f t="shared" si="126"/>
        <v>2024</v>
      </c>
      <c r="P82" s="596" t="str">
        <f t="shared" si="126"/>
        <v>2025E</v>
      </c>
      <c r="Q82" s="596" t="str">
        <f t="shared" ref="Q82:R82" si="127">Q64</f>
        <v>2026E</v>
      </c>
      <c r="R82" s="596" t="str">
        <f t="shared" si="127"/>
        <v>2027E</v>
      </c>
      <c r="S82" s="596" t="str">
        <f t="shared" ref="S82" si="128">S64</f>
        <v>2028E</v>
      </c>
    </row>
    <row r="83" spans="4:19">
      <c r="D83" s="593" t="s">
        <v>455</v>
      </c>
      <c r="E83" s="594">
        <f>F83*(1-F84)</f>
        <v>2252.9922967584421</v>
      </c>
      <c r="F83" s="594">
        <f>G83*(1-G84)</f>
        <v>2066.9654098701303</v>
      </c>
      <c r="G83" s="706">
        <f>G89/G93*G87</f>
        <v>1987.4667402597406</v>
      </c>
      <c r="H83" s="594">
        <f>G83*(1+H84)</f>
        <v>2156.4014131818185</v>
      </c>
      <c r="I83" s="594">
        <f>H83*(1+I84)</f>
        <v>2285.7854979727276</v>
      </c>
      <c r="J83" s="586">
        <f>J87*0.75</f>
        <v>5856.2999999999993</v>
      </c>
      <c r="K83" s="586">
        <f>J83*(1+K84)</f>
        <v>6266.241</v>
      </c>
      <c r="L83" s="586">
        <f>K83*(1+L84)-220</f>
        <v>6108.9034099999999</v>
      </c>
      <c r="M83" s="586">
        <f t="shared" ref="M83:N83" si="129">L83*(1+M84)</f>
        <v>5864.5472735999992</v>
      </c>
      <c r="N83" s="586">
        <f t="shared" si="129"/>
        <v>6040.4836918079991</v>
      </c>
      <c r="O83" s="586">
        <f t="shared" ref="O83" si="130">N83*(1+O84)</f>
        <v>6161.2933656441592</v>
      </c>
      <c r="P83" s="586">
        <f t="shared" ref="P83" si="131">O83*(1+P84)</f>
        <v>6284.5192329570427</v>
      </c>
      <c r="Q83" s="586">
        <f t="shared" ref="Q83" si="132">P83*(1+Q84)</f>
        <v>6347.3644252866134</v>
      </c>
      <c r="R83" s="586">
        <f t="shared" ref="R83:S83" si="133">Q83*(1+R84)</f>
        <v>6220.4171367808813</v>
      </c>
      <c r="S83" s="586">
        <f t="shared" si="133"/>
        <v>6220.4171367808813</v>
      </c>
    </row>
    <row r="84" spans="4:19" s="546" customFormat="1" ht="11.25">
      <c r="E84" s="707"/>
      <c r="F84" s="707">
        <v>-0.09</v>
      </c>
      <c r="G84" s="707">
        <v>-0.04</v>
      </c>
      <c r="H84" s="707">
        <v>8.5000000000000006E-2</v>
      </c>
      <c r="I84" s="707">
        <v>0.06</v>
      </c>
      <c r="K84" s="546">
        <v>7.0000000000000007E-2</v>
      </c>
      <c r="L84" s="546">
        <v>0.01</v>
      </c>
      <c r="M84" s="546">
        <v>-0.04</v>
      </c>
      <c r="N84" s="546">
        <v>0.03</v>
      </c>
      <c r="O84" s="546">
        <v>0.02</v>
      </c>
      <c r="P84" s="546">
        <v>0.02</v>
      </c>
      <c r="Q84" s="546">
        <v>0.01</v>
      </c>
      <c r="R84" s="546">
        <v>-0.02</v>
      </c>
      <c r="S84" s="546">
        <v>0</v>
      </c>
    </row>
    <row r="85" spans="4:19">
      <c r="D85" s="593" t="s">
        <v>456</v>
      </c>
      <c r="E85" s="594">
        <f>F85*(1-F86)</f>
        <v>1540.2197547133117</v>
      </c>
      <c r="F85" s="594">
        <f>G85*(1-G86)</f>
        <v>1459.9239381168832</v>
      </c>
      <c r="G85" s="706">
        <f>G91/G93*G87</f>
        <v>1339.3797597402597</v>
      </c>
      <c r="H85" s="594">
        <f>G85*(1+H86)</f>
        <v>1445.1907607597402</v>
      </c>
      <c r="I85" s="594">
        <f>H85*(1+I86)</f>
        <v>1488.5464835825323</v>
      </c>
      <c r="J85" s="586">
        <f>J87*0.25</f>
        <v>1952.1</v>
      </c>
      <c r="K85" s="586">
        <f>J85*(1+K86)</f>
        <v>2088.7469999999998</v>
      </c>
      <c r="L85" s="586">
        <f>K85*(1+L86)</f>
        <v>2130.5219400000001</v>
      </c>
      <c r="M85" s="586">
        <f t="shared" ref="M85:N85" si="134">L85*(1+M86)</f>
        <v>2045.3010624000001</v>
      </c>
      <c r="N85" s="586">
        <f t="shared" si="134"/>
        <v>2147.56611552</v>
      </c>
      <c r="O85" s="586">
        <f t="shared" ref="O85" si="135">N85*(1+O86)</f>
        <v>2211.9930989856002</v>
      </c>
      <c r="P85" s="586">
        <f t="shared" ref="P85" si="136">O85*(1+P86)</f>
        <v>2278.3528919551682</v>
      </c>
      <c r="Q85" s="586">
        <f t="shared" ref="Q85" si="137">P85*(1+Q86)</f>
        <v>2323.9199497942714</v>
      </c>
      <c r="R85" s="586">
        <f t="shared" ref="R85:S85" si="138">Q85*(1+R86)</f>
        <v>2347.1591492922139</v>
      </c>
      <c r="S85" s="586">
        <f t="shared" si="138"/>
        <v>2370.6307407851359</v>
      </c>
    </row>
    <row r="86" spans="4:19" s="546" customFormat="1" ht="11.25">
      <c r="E86" s="707"/>
      <c r="F86" s="707">
        <v>-5.5E-2</v>
      </c>
      <c r="G86" s="707">
        <v>-0.09</v>
      </c>
      <c r="H86" s="707">
        <v>7.9000000000000001E-2</v>
      </c>
      <c r="I86" s="707">
        <v>0.03</v>
      </c>
      <c r="K86" s="546">
        <v>7.0000000000000007E-2</v>
      </c>
      <c r="L86" s="546">
        <v>0.02</v>
      </c>
      <c r="M86" s="546">
        <v>-0.04</v>
      </c>
      <c r="N86" s="546">
        <v>0.05</v>
      </c>
      <c r="O86" s="546">
        <v>0.03</v>
      </c>
      <c r="P86" s="546">
        <v>0.03</v>
      </c>
      <c r="Q86" s="546">
        <v>0.02</v>
      </c>
      <c r="R86" s="546">
        <v>0.01</v>
      </c>
      <c r="S86" s="546">
        <v>0.01</v>
      </c>
    </row>
    <row r="87" spans="4:19">
      <c r="D87" s="524" t="s">
        <v>230</v>
      </c>
      <c r="E87" s="708">
        <f>E83+E85</f>
        <v>3793.2120514717535</v>
      </c>
      <c r="F87" s="708">
        <f>F95*0.25</f>
        <v>3523.4450000000002</v>
      </c>
      <c r="G87" s="708">
        <f>G95*0.23</f>
        <v>3326.8465000000001</v>
      </c>
      <c r="H87" s="708">
        <f>H83+H85</f>
        <v>3601.5921739415589</v>
      </c>
      <c r="I87" s="708">
        <f>I83+I85</f>
        <v>3774.33198155526</v>
      </c>
      <c r="J87" s="599">
        <f>J95*0.3</f>
        <v>7808.4</v>
      </c>
      <c r="K87" s="599">
        <f>K83+K85</f>
        <v>8354.9879999999994</v>
      </c>
      <c r="L87" s="599">
        <f t="shared" ref="L87:N87" si="139">L83+L85</f>
        <v>8239.4253499999995</v>
      </c>
      <c r="M87" s="599">
        <f t="shared" si="139"/>
        <v>7909.8483359999991</v>
      </c>
      <c r="N87" s="599">
        <f t="shared" si="139"/>
        <v>8188.0498073279996</v>
      </c>
      <c r="O87" s="599">
        <f t="shared" ref="O87:P87" si="140">O83+O85</f>
        <v>8373.2864646297603</v>
      </c>
      <c r="P87" s="599">
        <f t="shared" si="140"/>
        <v>8562.87212491221</v>
      </c>
      <c r="Q87" s="599">
        <f t="shared" ref="Q87:R87" si="141">Q83+Q85</f>
        <v>8671.2843750808843</v>
      </c>
      <c r="R87" s="599">
        <f t="shared" si="141"/>
        <v>8567.5762860730956</v>
      </c>
      <c r="S87" s="599">
        <f t="shared" ref="S87" si="142">S83+S85</f>
        <v>8591.0478775660176</v>
      </c>
    </row>
    <row r="88" spans="4:19" s="546" customFormat="1" ht="11.25">
      <c r="E88" s="707"/>
      <c r="F88" s="709">
        <f t="shared" ref="F88:N94" si="143">F87/E87-1</f>
        <v>-7.1118368235460139E-2</v>
      </c>
      <c r="G88" s="709">
        <f t="shared" si="143"/>
        <v>-5.579723821430449E-2</v>
      </c>
      <c r="H88" s="709">
        <f t="shared" si="143"/>
        <v>8.258441558441576E-2</v>
      </c>
      <c r="I88" s="709">
        <f t="shared" si="143"/>
        <v>4.7962067683153586E-2</v>
      </c>
      <c r="J88" s="600"/>
      <c r="K88" s="600">
        <f t="shared" si="143"/>
        <v>7.0000000000000062E-2</v>
      </c>
      <c r="L88" s="600">
        <f t="shared" si="143"/>
        <v>-1.3831575820336339E-2</v>
      </c>
      <c r="M88" s="600">
        <f t="shared" si="143"/>
        <v>-4.0000000000000036E-2</v>
      </c>
      <c r="N88" s="600">
        <f t="shared" si="143"/>
        <v>3.517153041504284E-2</v>
      </c>
      <c r="O88" s="600">
        <f t="shared" ref="O88" si="144">O87/N87-1</f>
        <v>2.2622805388406553E-2</v>
      </c>
      <c r="P88" s="600">
        <f t="shared" ref="P88" si="145">P87/O87-1</f>
        <v>2.2641726290303366E-2</v>
      </c>
      <c r="Q88" s="600">
        <f t="shared" ref="Q88" si="146">Q87/P87-1</f>
        <v>1.2660734457690559E-2</v>
      </c>
      <c r="R88" s="600">
        <f t="shared" ref="R88:S88" si="147">R87/Q87-1</f>
        <v>-1.1959945553835172E-2</v>
      </c>
      <c r="S88" s="600">
        <f t="shared" si="147"/>
        <v>2.7395836009158625E-3</v>
      </c>
    </row>
    <row r="89" spans="4:19">
      <c r="D89" s="593" t="s">
        <v>455</v>
      </c>
      <c r="E89" s="594">
        <f>F89*(1-F90)</f>
        <v>6209.0147790000001</v>
      </c>
      <c r="F89" s="594">
        <f>F95*0.445</f>
        <v>6271.7321000000002</v>
      </c>
      <c r="G89" s="594">
        <f>G95*0.46</f>
        <v>6653.6930000000002</v>
      </c>
      <c r="H89" s="594">
        <f t="shared" ref="H89:N89" si="148">G89*(1+H90)</f>
        <v>6021.592165</v>
      </c>
      <c r="I89" s="594">
        <f t="shared" si="148"/>
        <v>7083.1988636894994</v>
      </c>
      <c r="J89" s="586">
        <f>J95*0.35</f>
        <v>9109.7999999999993</v>
      </c>
      <c r="K89" s="586">
        <f t="shared" si="148"/>
        <v>6376.8599999999988</v>
      </c>
      <c r="L89" s="586">
        <f t="shared" si="148"/>
        <v>5362.9392599999992</v>
      </c>
      <c r="M89" s="586">
        <f t="shared" si="148"/>
        <v>6006.4919712000001</v>
      </c>
      <c r="N89" s="586">
        <f t="shared" si="148"/>
        <v>6997.5631464480002</v>
      </c>
      <c r="O89" s="586">
        <f t="shared" ref="O89" si="149">N89*(1+O90)</f>
        <v>8047.1976184151999</v>
      </c>
      <c r="P89" s="586">
        <f t="shared" ref="P89" si="150">O89*(1+P90)</f>
        <v>9254.2772611774799</v>
      </c>
      <c r="Q89" s="586">
        <f t="shared" ref="Q89" si="151">P89*(1+Q90)</f>
        <v>10364.790532518778</v>
      </c>
      <c r="R89" s="586">
        <f t="shared" ref="R89:S89" si="152">Q89*(1+R90)</f>
        <v>11401.269585770657</v>
      </c>
      <c r="S89" s="586">
        <f t="shared" si="152"/>
        <v>12313.37115263231</v>
      </c>
    </row>
    <row r="90" spans="4:19" s="546" customFormat="1" ht="11.25">
      <c r="E90" s="707"/>
      <c r="F90" s="707">
        <v>0.01</v>
      </c>
      <c r="G90" s="709">
        <f t="shared" si="143"/>
        <v>6.0901979534489392E-2</v>
      </c>
      <c r="H90" s="707">
        <v>-9.5000000000000001E-2</v>
      </c>
      <c r="I90" s="707">
        <v>0.17630000000000001</v>
      </c>
      <c r="K90" s="546">
        <v>-0.3</v>
      </c>
      <c r="L90" s="546">
        <v>-0.159</v>
      </c>
      <c r="M90" s="546">
        <v>0.12</v>
      </c>
      <c r="N90" s="546">
        <v>0.16500000000000001</v>
      </c>
      <c r="O90" s="546">
        <v>0.15</v>
      </c>
      <c r="P90" s="546">
        <v>0.15</v>
      </c>
      <c r="Q90" s="546">
        <v>0.12</v>
      </c>
      <c r="R90" s="546">
        <v>0.1</v>
      </c>
      <c r="S90" s="546">
        <v>0.08</v>
      </c>
    </row>
    <row r="91" spans="4:19">
      <c r="D91" s="593" t="s">
        <v>456</v>
      </c>
      <c r="E91" s="594">
        <f>F91*(1-F92)</f>
        <v>4212.6308419999996</v>
      </c>
      <c r="F91" s="594">
        <f>F95*0.305</f>
        <v>4298.6028999999999</v>
      </c>
      <c r="G91" s="594">
        <f>G95*0.31</f>
        <v>4484.0104999999994</v>
      </c>
      <c r="H91" s="594">
        <f t="shared" ref="H91:N91" si="153">G91*(1+H92)</f>
        <v>5066.9318649999987</v>
      </c>
      <c r="I91" s="594">
        <f t="shared" si="153"/>
        <v>5776.3023260999989</v>
      </c>
      <c r="J91" s="586">
        <f>J95*0.35</f>
        <v>9109.7999999999993</v>
      </c>
      <c r="K91" s="586">
        <f t="shared" si="153"/>
        <v>7260.5105999999987</v>
      </c>
      <c r="L91" s="586">
        <f t="shared" si="153"/>
        <v>7550.9310239999986</v>
      </c>
      <c r="M91" s="586">
        <f t="shared" si="153"/>
        <v>9136.6265390399985</v>
      </c>
      <c r="N91" s="586">
        <f t="shared" si="153"/>
        <v>10781.219316067198</v>
      </c>
      <c r="O91" s="586">
        <f t="shared" ref="O91" si="154">N91*(1+O92)</f>
        <v>11751.529054513247</v>
      </c>
      <c r="P91" s="586">
        <f t="shared" ref="P91" si="155">O91*(1+P92)</f>
        <v>12574.136088329175</v>
      </c>
      <c r="Q91" s="586">
        <f t="shared" ref="Q91" si="156">P91*(1+Q92)</f>
        <v>13328.584253628926</v>
      </c>
      <c r="R91" s="586">
        <f t="shared" ref="R91:S91" si="157">Q91*(1+R92)</f>
        <v>13995.013466310373</v>
      </c>
      <c r="S91" s="586">
        <f t="shared" si="157"/>
        <v>14624.789072294339</v>
      </c>
    </row>
    <row r="92" spans="4:19" s="546" customFormat="1" ht="11.25">
      <c r="E92" s="707"/>
      <c r="F92" s="707">
        <v>0.02</v>
      </c>
      <c r="G92" s="709">
        <f t="shared" si="143"/>
        <v>4.3132060418979323E-2</v>
      </c>
      <c r="H92" s="707">
        <v>0.13</v>
      </c>
      <c r="I92" s="707">
        <v>0.14000000000000001</v>
      </c>
      <c r="K92" s="546">
        <v>-0.20300000000000001</v>
      </c>
      <c r="L92" s="546">
        <v>0.04</v>
      </c>
      <c r="M92" s="546">
        <v>0.21</v>
      </c>
      <c r="N92" s="546">
        <v>0.18</v>
      </c>
      <c r="O92" s="546">
        <v>0.09</v>
      </c>
      <c r="P92" s="546">
        <v>7.0000000000000007E-2</v>
      </c>
      <c r="Q92" s="546">
        <v>0.06</v>
      </c>
      <c r="R92" s="546">
        <v>0.05</v>
      </c>
      <c r="S92" s="546">
        <v>4.4999999999999998E-2</v>
      </c>
    </row>
    <row r="93" spans="4:19">
      <c r="D93" s="524" t="s">
        <v>457</v>
      </c>
      <c r="E93" s="708">
        <f>E89+E91</f>
        <v>10421.645621</v>
      </c>
      <c r="F93" s="708">
        <f>F89+F91</f>
        <v>10570.334999999999</v>
      </c>
      <c r="G93" s="708">
        <f>G89+G91</f>
        <v>11137.7035</v>
      </c>
      <c r="H93" s="708">
        <f>H89+H91</f>
        <v>11088.524029999999</v>
      </c>
      <c r="I93" s="708">
        <f t="shared" ref="I93:N93" si="158">I89+I91</f>
        <v>12859.501189789498</v>
      </c>
      <c r="J93" s="599">
        <f t="shared" si="158"/>
        <v>18219.599999999999</v>
      </c>
      <c r="K93" s="599">
        <f t="shared" si="158"/>
        <v>13637.370599999998</v>
      </c>
      <c r="L93" s="599">
        <f t="shared" si="158"/>
        <v>12913.870283999997</v>
      </c>
      <c r="M93" s="599">
        <f t="shared" si="158"/>
        <v>15143.118510239998</v>
      </c>
      <c r="N93" s="599">
        <f t="shared" si="158"/>
        <v>17778.782462515199</v>
      </c>
      <c r="O93" s="599">
        <f t="shared" ref="O93:P93" si="159">O89+O91</f>
        <v>19798.726672928446</v>
      </c>
      <c r="P93" s="599">
        <f t="shared" si="159"/>
        <v>21828.413349506656</v>
      </c>
      <c r="Q93" s="599">
        <f t="shared" ref="Q93:R93" si="160">Q89+Q91</f>
        <v>23693.374786147702</v>
      </c>
      <c r="R93" s="599">
        <f t="shared" si="160"/>
        <v>25396.283052081031</v>
      </c>
      <c r="S93" s="599">
        <f t="shared" ref="S93" si="161">S89+S91</f>
        <v>26938.160224926651</v>
      </c>
    </row>
    <row r="94" spans="4:19" s="546" customFormat="1" ht="11.25">
      <c r="E94" s="707"/>
      <c r="F94" s="709">
        <f t="shared" si="143"/>
        <v>1.4267360876326851E-2</v>
      </c>
      <c r="G94" s="709">
        <f t="shared" si="143"/>
        <v>5.3675545760848653E-2</v>
      </c>
      <c r="H94" s="709">
        <f t="shared" si="143"/>
        <v>-4.4155844155845392E-3</v>
      </c>
      <c r="I94" s="709">
        <f t="shared" si="143"/>
        <v>0.15971261414035998</v>
      </c>
      <c r="J94" s="600"/>
      <c r="K94" s="600">
        <f t="shared" si="143"/>
        <v>-0.25150000000000006</v>
      </c>
      <c r="L94" s="600">
        <f t="shared" si="143"/>
        <v>-5.305277221108895E-2</v>
      </c>
      <c r="M94" s="600">
        <f t="shared" si="143"/>
        <v>0.17262433160738744</v>
      </c>
      <c r="N94" s="600">
        <f t="shared" si="143"/>
        <v>0.17405027574029264</v>
      </c>
      <c r="O94" s="600">
        <f t="shared" ref="O94" si="162">O93/N93-1</f>
        <v>0.1136154410276462</v>
      </c>
      <c r="P94" s="600">
        <f t="shared" ref="P94" si="163">P93/O93-1</f>
        <v>0.10251602085872924</v>
      </c>
      <c r="Q94" s="600">
        <f t="shared" ref="Q94" si="164">Q93/P93-1</f>
        <v>8.543733375303697E-2</v>
      </c>
      <c r="R94" s="600">
        <f t="shared" ref="R94:S94" si="165">R93/Q93-1</f>
        <v>7.1872761111639205E-2</v>
      </c>
      <c r="S94" s="600">
        <f t="shared" si="165"/>
        <v>6.0712710190055752E-2</v>
      </c>
    </row>
    <row r="95" spans="4:19">
      <c r="D95" s="598" t="s">
        <v>132</v>
      </c>
      <c r="E95" s="710">
        <f>E87+E93</f>
        <v>14214.857672471753</v>
      </c>
      <c r="F95" s="710">
        <v>14093.78</v>
      </c>
      <c r="G95" s="710">
        <v>14464.55</v>
      </c>
      <c r="H95" s="710">
        <f>H87+H93</f>
        <v>14690.116203941558</v>
      </c>
      <c r="I95" s="710">
        <f>I87+I93</f>
        <v>16633.833171344759</v>
      </c>
      <c r="J95" s="598">
        <v>26028</v>
      </c>
      <c r="K95" s="598">
        <f>K87+K93</f>
        <v>21992.3586</v>
      </c>
      <c r="L95" s="598">
        <f t="shared" ref="L95:N95" si="166">L87+L93</f>
        <v>21153.295633999995</v>
      </c>
      <c r="M95" s="598">
        <f t="shared" si="166"/>
        <v>23052.966846239997</v>
      </c>
      <c r="N95" s="598">
        <f t="shared" si="166"/>
        <v>25966.832269843198</v>
      </c>
      <c r="O95" s="598">
        <f t="shared" ref="O95:P95" si="167">O87+O93</f>
        <v>28172.013137558206</v>
      </c>
      <c r="P95" s="598">
        <f t="shared" si="167"/>
        <v>30391.285474418866</v>
      </c>
      <c r="Q95" s="598">
        <f t="shared" ref="Q95:R95" si="168">Q87+Q93</f>
        <v>32364.659161228585</v>
      </c>
      <c r="R95" s="598">
        <f t="shared" si="168"/>
        <v>33963.859338154129</v>
      </c>
      <c r="S95" s="598">
        <f t="shared" ref="S95" si="169">S87+S93</f>
        <v>35529.208102492667</v>
      </c>
    </row>
    <row r="96" spans="4:19" s="546" customFormat="1" ht="11.25">
      <c r="E96" s="709"/>
      <c r="F96" s="709">
        <f t="shared" ref="F96:N96" si="170">F95/E95-1</f>
        <v>-8.5176844722286704E-3</v>
      </c>
      <c r="G96" s="709">
        <f t="shared" si="170"/>
        <v>2.6307349767060284E-2</v>
      </c>
      <c r="H96" s="709">
        <f t="shared" si="170"/>
        <v>1.5594415584415655E-2</v>
      </c>
      <c r="I96" s="709">
        <f t="shared" si="170"/>
        <v>0.13231460802751682</v>
      </c>
      <c r="J96" s="600">
        <v>7.0000000000000007E-2</v>
      </c>
      <c r="K96" s="600">
        <f t="shared" si="170"/>
        <v>-0.15505000000000002</v>
      </c>
      <c r="L96" s="600">
        <f t="shared" si="170"/>
        <v>-3.8152477470061119E-2</v>
      </c>
      <c r="M96" s="600">
        <f t="shared" si="170"/>
        <v>8.9804976260372094E-2</v>
      </c>
      <c r="N96" s="600">
        <f t="shared" si="170"/>
        <v>0.12639871661805047</v>
      </c>
      <c r="O96" s="600">
        <f t="shared" ref="O96" si="171">O95/N95-1</f>
        <v>8.492298347365268E-2</v>
      </c>
      <c r="P96" s="600">
        <f t="shared" ref="P96" si="172">P95/O95-1</f>
        <v>7.8775780986058974E-2</v>
      </c>
      <c r="Q96" s="600">
        <f t="shared" ref="Q96" si="173">Q95/P95-1</f>
        <v>6.4932221720952255E-2</v>
      </c>
      <c r="R96" s="600">
        <f t="shared" ref="R96:S96" si="174">R95/Q95-1</f>
        <v>4.9411927033092828E-2</v>
      </c>
      <c r="S96" s="600">
        <f t="shared" si="174"/>
        <v>4.6088659970984658E-2</v>
      </c>
    </row>
    <row r="97" spans="2:19">
      <c r="J97" s="68"/>
    </row>
    <row r="98" spans="2:19">
      <c r="D98" s="585" t="s">
        <v>401</v>
      </c>
    </row>
    <row r="99" spans="2:19">
      <c r="D99" s="585" t="s">
        <v>534</v>
      </c>
      <c r="E99" s="580">
        <f>E79-SEG!BL14</f>
        <v>0.34034924999832583</v>
      </c>
      <c r="F99" s="580">
        <f>F79-SEG!BQ14</f>
        <v>9.082499999931315E-2</v>
      </c>
      <c r="G99" s="580">
        <f>G79-SEG!BV14</f>
        <v>0</v>
      </c>
      <c r="H99" s="580">
        <f>H79-SEG!CA14</f>
        <v>0.33501500000056694</v>
      </c>
      <c r="I99" s="580">
        <f>I79-SEG!CF14</f>
        <v>-0.30698539999866625</v>
      </c>
      <c r="J99" s="580">
        <f>J79-SEG!CK14</f>
        <v>0.40148958830104675</v>
      </c>
      <c r="K99" s="580">
        <f>K79-SEG!CP14</f>
        <v>-425.35289420521076</v>
      </c>
      <c r="L99" s="580">
        <f>L79-SEG!CU14</f>
        <v>0.27166887462226441</v>
      </c>
      <c r="M99" s="580">
        <f>M79-SEG!CZ14</f>
        <v>-1.4170385861652903</v>
      </c>
      <c r="N99" s="580">
        <f>N79-SEG!DE14</f>
        <v>5068.8707599406298</v>
      </c>
      <c r="O99" s="580">
        <f>O79-SEG!DJ14</f>
        <v>-1783.272935676654</v>
      </c>
      <c r="P99" s="580">
        <f>P79-SEG!DO14</f>
        <v>-3270.0416555399061</v>
      </c>
      <c r="Q99" s="580">
        <f>Q79-SEG!DT14</f>
        <v>-4837.539850428162</v>
      </c>
      <c r="R99" s="580">
        <f>R79-SEG!DU14</f>
        <v>-6316.8484727165051</v>
      </c>
      <c r="S99" s="580">
        <f>S79-SEG!DV14</f>
        <v>-6950.8462642324448</v>
      </c>
    </row>
    <row r="100" spans="2:19" s="546" customFormat="1">
      <c r="B100" s="523"/>
      <c r="C100" s="523"/>
      <c r="D100" s="585" t="s">
        <v>533</v>
      </c>
      <c r="E100" s="580">
        <f>E95-SEG!BL26</f>
        <v>-0.14232752824682393</v>
      </c>
      <c r="F100" s="580">
        <f>F95-SEG!BQ26</f>
        <v>-0.21999999999934516</v>
      </c>
      <c r="G100" s="580">
        <f>G95-SEG!BV26</f>
        <v>-0.4500000000007276</v>
      </c>
      <c r="H100" s="580">
        <f>H95-SEG!CA26</f>
        <v>-0.8837960584423854</v>
      </c>
      <c r="I100" s="580">
        <f>I95-SEG!CF26</f>
        <v>-7635.1668286552413</v>
      </c>
      <c r="J100" s="580">
        <f>J95-SEG!CK26</f>
        <v>0</v>
      </c>
      <c r="K100" s="580">
        <f>K95-SEG!CP26</f>
        <v>3.3585999999995693</v>
      </c>
      <c r="L100" s="580">
        <f>L95-SEG!CU26</f>
        <v>1.2956339999946067</v>
      </c>
      <c r="M100" s="580">
        <f>M95-SEG!CZ26</f>
        <v>0.96684623999681207</v>
      </c>
      <c r="N100" s="580">
        <f>N95-SEG!DE26</f>
        <v>-286.16773015680155</v>
      </c>
      <c r="O100" s="580">
        <f>O95-SEG!DJ26</f>
        <v>-111.98686244179407</v>
      </c>
      <c r="P100" s="580">
        <f>P95-SEG!DO26</f>
        <v>474.78747441886662</v>
      </c>
      <c r="Q100" s="580">
        <f>Q95-SEG!DT26</f>
        <v>1617.0817872285843</v>
      </c>
      <c r="R100" s="580">
        <f>R95-SEG!DU26</f>
        <v>1432.9224764621249</v>
      </c>
      <c r="S100" s="580">
        <f>S95-SEG!DV26</f>
        <v>1306.6625239926798</v>
      </c>
    </row>
    <row r="102" spans="2:19" s="546" customFormat="1">
      <c r="B102" s="523"/>
      <c r="C102" s="523"/>
      <c r="O102" s="523"/>
      <c r="P102" s="523"/>
      <c r="Q102" s="523"/>
      <c r="R102" s="523"/>
      <c r="S102" s="523"/>
    </row>
    <row r="103" spans="2:19">
      <c r="D103" s="705"/>
      <c r="E103" s="705">
        <f>E82</f>
        <v>2014</v>
      </c>
      <c r="F103" s="705">
        <f t="shared" ref="F103:N103" si="175">F82</f>
        <v>2015</v>
      </c>
      <c r="G103" s="705">
        <f t="shared" si="175"/>
        <v>2016</v>
      </c>
      <c r="H103" s="705">
        <f t="shared" si="175"/>
        <v>2017</v>
      </c>
      <c r="I103" s="705">
        <f t="shared" si="175"/>
        <v>2018</v>
      </c>
      <c r="J103" s="705">
        <f t="shared" si="175"/>
        <v>2019</v>
      </c>
      <c r="K103" s="705">
        <f t="shared" si="175"/>
        <v>2020</v>
      </c>
      <c r="L103" s="705">
        <f t="shared" si="175"/>
        <v>2021</v>
      </c>
      <c r="M103" s="705">
        <f t="shared" si="175"/>
        <v>2022</v>
      </c>
      <c r="N103" s="705">
        <f t="shared" si="175"/>
        <v>2023</v>
      </c>
      <c r="O103" s="705">
        <f t="shared" ref="O103:P103" si="176">O82</f>
        <v>2024</v>
      </c>
      <c r="P103" s="705" t="str">
        <f t="shared" si="176"/>
        <v>2025E</v>
      </c>
      <c r="Q103" s="705" t="str">
        <f t="shared" ref="Q103:R103" si="177">Q82</f>
        <v>2026E</v>
      </c>
      <c r="R103" s="705" t="str">
        <f t="shared" si="177"/>
        <v>2027E</v>
      </c>
      <c r="S103" s="705" t="str">
        <f t="shared" ref="S103" si="178">S82</f>
        <v>2028E</v>
      </c>
    </row>
    <row r="104" spans="2:19" s="546" customFormat="1">
      <c r="B104" s="523"/>
      <c r="C104" s="523"/>
      <c r="D104" s="716" t="s">
        <v>546</v>
      </c>
      <c r="E104" s="717"/>
      <c r="F104" s="717"/>
      <c r="G104" s="717"/>
      <c r="H104" s="717"/>
      <c r="I104" s="717"/>
      <c r="J104" s="718"/>
      <c r="K104" s="718"/>
      <c r="L104" s="718"/>
      <c r="M104" s="718"/>
      <c r="N104" s="718"/>
      <c r="O104" s="718"/>
      <c r="P104" s="718"/>
      <c r="Q104" s="718"/>
      <c r="R104" s="718"/>
      <c r="S104" s="718"/>
    </row>
    <row r="105" spans="2:19">
      <c r="D105" s="523" t="s">
        <v>230</v>
      </c>
      <c r="F105" s="580">
        <f t="shared" ref="F105:K105" si="179">F69*0.1</f>
        <v>377.56290000000001</v>
      </c>
      <c r="G105" s="580">
        <f t="shared" si="179"/>
        <v>372.35</v>
      </c>
      <c r="H105" s="580">
        <f t="shared" si="179"/>
        <v>399.15920000000006</v>
      </c>
      <c r="I105" s="580">
        <f t="shared" si="179"/>
        <v>499.40568727500005</v>
      </c>
      <c r="J105" s="580">
        <f t="shared" si="179"/>
        <v>576.28449761850004</v>
      </c>
      <c r="K105" s="580">
        <f t="shared" si="179"/>
        <v>659.88226256312271</v>
      </c>
      <c r="L105" s="580">
        <f>L69*0.103</f>
        <v>730.05942542152764</v>
      </c>
      <c r="M105" s="580">
        <f>M69*0.104</f>
        <v>701.03283898338123</v>
      </c>
      <c r="N105" s="580">
        <f>N69*0.105</f>
        <v>699.14360257248109</v>
      </c>
      <c r="O105" s="580">
        <f>O69*0.105</f>
        <v>723.53572178559125</v>
      </c>
      <c r="P105" s="580">
        <f>P69*0.105</f>
        <v>741.59513791403549</v>
      </c>
      <c r="Q105" s="580">
        <f t="shared" ref="Q105:R105" si="180">Q69*0.105</f>
        <v>758.29316555253718</v>
      </c>
      <c r="R105" s="580">
        <f t="shared" si="180"/>
        <v>775.38113749021545</v>
      </c>
      <c r="S105" s="580">
        <f t="shared" ref="S105" si="181">S69*0.105</f>
        <v>792.86853212544611</v>
      </c>
    </row>
    <row r="106" spans="2:19" s="546" customFormat="1">
      <c r="B106" s="523"/>
      <c r="C106" s="523"/>
      <c r="D106" s="523" t="s">
        <v>458</v>
      </c>
      <c r="E106" s="523"/>
      <c r="F106" s="580">
        <f t="shared" ref="F106:S106" si="182">F17+F27</f>
        <v>-700</v>
      </c>
      <c r="G106" s="580">
        <f t="shared" si="182"/>
        <v>-991.36000000000013</v>
      </c>
      <c r="H106" s="580">
        <f t="shared" si="182"/>
        <v>-1132.0225</v>
      </c>
      <c r="I106" s="580">
        <f t="shared" si="182"/>
        <v>-1175.2408500000001</v>
      </c>
      <c r="J106" s="580">
        <f t="shared" si="182"/>
        <v>-1135.5067644999999</v>
      </c>
      <c r="K106" s="580">
        <f t="shared" si="182"/>
        <v>-895.65545120000013</v>
      </c>
      <c r="L106" s="580">
        <f t="shared" si="182"/>
        <v>-1084.1512483380002</v>
      </c>
      <c r="M106" s="580">
        <f t="shared" si="182"/>
        <v>-1016.9185838718403</v>
      </c>
      <c r="N106" s="580">
        <f t="shared" si="182"/>
        <v>-1144.44633683962</v>
      </c>
      <c r="O106" s="580">
        <f t="shared" si="182"/>
        <v>-1039.2731803677702</v>
      </c>
      <c r="P106" s="580">
        <f t="shared" si="182"/>
        <v>-979.02784415501208</v>
      </c>
      <c r="Q106" s="580">
        <f t="shared" si="182"/>
        <v>-899.75840494726162</v>
      </c>
      <c r="R106" s="580">
        <f t="shared" si="182"/>
        <v>-798.47867868531841</v>
      </c>
      <c r="S106" s="580">
        <f t="shared" si="182"/>
        <v>-671.8081612798544</v>
      </c>
    </row>
    <row r="107" spans="2:19">
      <c r="D107" s="523" t="s">
        <v>550</v>
      </c>
      <c r="F107" s="580">
        <f>F73*0.26</f>
        <v>2221.8124499999999</v>
      </c>
      <c r="G107" s="580">
        <f>G73*0.25</f>
        <v>2373.7312499999998</v>
      </c>
      <c r="H107" s="580">
        <f>H73*0.215</f>
        <v>2265.9638512499996</v>
      </c>
      <c r="I107" s="580">
        <f>I73*0.2</f>
        <v>2360.8181520000003</v>
      </c>
      <c r="J107" s="580">
        <f>J73*0.205</f>
        <v>2497.39443311589</v>
      </c>
      <c r="K107" s="580">
        <f>(K73-K20-K21)*0.08</f>
        <v>643.17398217976506</v>
      </c>
      <c r="L107" s="580">
        <f>(L73-L20-L21)*0.09</f>
        <v>785.23086833221794</v>
      </c>
      <c r="M107" s="580">
        <f>(M73-M20-M21)*0.146</f>
        <v>1566.6079711302523</v>
      </c>
      <c r="N107" s="580">
        <f>(N73-N20-N21)*0.15</f>
        <v>1835.271238289399</v>
      </c>
      <c r="O107" s="580">
        <f>(O73-O20-O21)*0.17</f>
        <v>2191.6783175008668</v>
      </c>
      <c r="P107" s="580">
        <f>(P73-P20-P21)*0.19</f>
        <v>2508.0484324285999</v>
      </c>
      <c r="Q107" s="580">
        <f>(Q73-Q20-Q21)*0.19</f>
        <v>2728.4232091030995</v>
      </c>
      <c r="R107" s="580">
        <f>(R73-R20-R21)*0.19</f>
        <v>2981.1304158399621</v>
      </c>
      <c r="S107" s="580">
        <f>(S73-S20-S21)*0.19</f>
        <v>3103.8732617106207</v>
      </c>
    </row>
    <row r="108" spans="2:19" s="546" customFormat="1">
      <c r="B108" s="523"/>
      <c r="C108" s="523"/>
      <c r="D108" s="523" t="s">
        <v>549</v>
      </c>
      <c r="E108" s="523"/>
      <c r="F108" s="580">
        <f t="shared" ref="F108:S108" si="183">F22</f>
        <v>0</v>
      </c>
      <c r="G108" s="580">
        <f t="shared" si="183"/>
        <v>0</v>
      </c>
      <c r="H108" s="580">
        <f t="shared" si="183"/>
        <v>0</v>
      </c>
      <c r="I108" s="580">
        <f t="shared" si="183"/>
        <v>0</v>
      </c>
      <c r="J108" s="580">
        <f t="shared" si="183"/>
        <v>0</v>
      </c>
      <c r="K108" s="580">
        <f t="shared" si="183"/>
        <v>0.25096966972560003</v>
      </c>
      <c r="L108" s="580">
        <f t="shared" si="183"/>
        <v>1.0702682523406184</v>
      </c>
      <c r="M108" s="580">
        <f t="shared" si="183"/>
        <v>78.139009409834387</v>
      </c>
      <c r="N108" s="580">
        <f t="shared" si="183"/>
        <v>279.81065954355824</v>
      </c>
      <c r="O108" s="580">
        <f t="shared" si="183"/>
        <v>574.47400136828162</v>
      </c>
      <c r="P108" s="580">
        <f t="shared" si="183"/>
        <v>873.60390393627483</v>
      </c>
      <c r="Q108" s="580">
        <f t="shared" si="183"/>
        <v>852.20888646668811</v>
      </c>
      <c r="R108" s="580">
        <f t="shared" si="183"/>
        <v>798.17322570421936</v>
      </c>
      <c r="S108" s="580">
        <f t="shared" si="183"/>
        <v>980.90038487830179</v>
      </c>
    </row>
    <row r="109" spans="2:19">
      <c r="D109" s="524" t="s">
        <v>132</v>
      </c>
      <c r="E109" s="524"/>
      <c r="F109" s="598">
        <f>SUM(F105:F108)</f>
        <v>1899.3753499999998</v>
      </c>
      <c r="G109" s="598">
        <f t="shared" ref="G109:N109" si="184">SUM(G105:G108)</f>
        <v>1754.7212499999996</v>
      </c>
      <c r="H109" s="598">
        <f t="shared" si="184"/>
        <v>1533.1005512499996</v>
      </c>
      <c r="I109" s="598">
        <f t="shared" si="184"/>
        <v>1684.9829892750001</v>
      </c>
      <c r="J109" s="598">
        <f t="shared" si="184"/>
        <v>1938.1721662343903</v>
      </c>
      <c r="K109" s="598">
        <f t="shared" si="184"/>
        <v>407.65176321261322</v>
      </c>
      <c r="L109" s="598">
        <f t="shared" si="184"/>
        <v>432.209313668086</v>
      </c>
      <c r="M109" s="598">
        <f t="shared" si="184"/>
        <v>1328.8612356516276</v>
      </c>
      <c r="N109" s="598">
        <f t="shared" si="184"/>
        <v>1669.7791635658182</v>
      </c>
      <c r="O109" s="598">
        <f t="shared" ref="O109:P109" si="185">SUM(O105:O108)</f>
        <v>2450.4148602869695</v>
      </c>
      <c r="P109" s="598">
        <f t="shared" si="185"/>
        <v>3144.2196301238982</v>
      </c>
      <c r="Q109" s="598">
        <f t="shared" ref="Q109:R109" si="186">SUM(Q105:Q108)</f>
        <v>3439.166856175063</v>
      </c>
      <c r="R109" s="598">
        <f t="shared" si="186"/>
        <v>3756.2061003490785</v>
      </c>
      <c r="S109" s="598">
        <f t="shared" ref="S109" si="187">SUM(S105:S108)</f>
        <v>4205.834017434514</v>
      </c>
    </row>
    <row r="110" spans="2:19" s="546" customFormat="1">
      <c r="B110" s="523"/>
      <c r="C110" s="523"/>
      <c r="D110" s="523" t="s">
        <v>548</v>
      </c>
      <c r="E110" s="523"/>
      <c r="F110" s="720">
        <f t="shared" ref="F110:N110" si="188">F109/F79</f>
        <v>0.13487878849836915</v>
      </c>
      <c r="G110" s="720">
        <f t="shared" si="188"/>
        <v>0.11781396871223308</v>
      </c>
      <c r="H110" s="720">
        <f t="shared" si="188"/>
        <v>9.2660592841431785E-2</v>
      </c>
      <c r="I110" s="720">
        <f t="shared" si="188"/>
        <v>8.6869601328778259E-2</v>
      </c>
      <c r="J110" s="720">
        <f t="shared" si="188"/>
        <v>9.2724855907098211E-2</v>
      </c>
      <c r="K110" s="720">
        <f t="shared" si="188"/>
        <v>2.4266940108051405E-2</v>
      </c>
      <c r="L110" s="720">
        <f t="shared" si="188"/>
        <v>2.3812828896069324E-2</v>
      </c>
      <c r="M110" s="720">
        <f t="shared" si="188"/>
        <v>6.4732243728142208E-2</v>
      </c>
      <c r="N110" s="720">
        <f t="shared" si="188"/>
        <v>7.1465371271330805E-2</v>
      </c>
      <c r="O110" s="720">
        <f t="shared" ref="O110:P110" si="189">O109/O79</f>
        <v>9.3232899854338455E-2</v>
      </c>
      <c r="P110" s="720">
        <f t="shared" si="189"/>
        <v>0.10968813843450974</v>
      </c>
      <c r="Q110" s="720">
        <f t="shared" ref="Q110:R110" si="190">Q109/Q79</f>
        <v>0.11438601860455828</v>
      </c>
      <c r="R110" s="720">
        <f t="shared" si="190"/>
        <v>0.11943752044720315</v>
      </c>
      <c r="S110" s="720">
        <f t="shared" ref="S110" si="191">S109/S79</f>
        <v>0.1255603400667322</v>
      </c>
    </row>
    <row r="111" spans="2:19">
      <c r="D111" s="523" t="s">
        <v>545</v>
      </c>
      <c r="F111" s="529">
        <f>SEG!BQ168</f>
        <v>1890.5529332269316</v>
      </c>
      <c r="G111" s="529">
        <f>SEG!BV168</f>
        <v>1744.5654751531049</v>
      </c>
      <c r="H111" s="529">
        <f>SEG!CA168</f>
        <v>1546.2050981003658</v>
      </c>
      <c r="I111" s="529">
        <f>SEG!CF168</f>
        <v>1709.2149870107694</v>
      </c>
      <c r="J111" s="529">
        <f>SEG!CK168</f>
        <v>1934</v>
      </c>
      <c r="K111" s="529">
        <f>SEG!CP168</f>
        <v>426</v>
      </c>
      <c r="L111" s="529">
        <f>SEG!CU168</f>
        <v>487</v>
      </c>
      <c r="M111" s="529">
        <f>SEG!CZ168</f>
        <v>1250</v>
      </c>
      <c r="N111" s="529">
        <f>SEG!DE168</f>
        <v>1688</v>
      </c>
      <c r="O111" s="529">
        <f>SEG!DJ168</f>
        <v>2281</v>
      </c>
      <c r="P111" s="529">
        <f>SEG!DO168</f>
        <v>2672.785625</v>
      </c>
      <c r="Q111" s="529">
        <f>SEG!DT168</f>
        <v>3012.4044275000001</v>
      </c>
      <c r="R111" s="529">
        <f>SEG!DU168</f>
        <v>3323.4061003880006</v>
      </c>
      <c r="S111" s="529">
        <f>SEG!DV168</f>
        <v>3640.2626592772654</v>
      </c>
    </row>
    <row r="113" spans="4:19">
      <c r="D113" s="716" t="s">
        <v>547</v>
      </c>
      <c r="E113" s="717"/>
      <c r="F113" s="717"/>
      <c r="G113" s="717"/>
      <c r="H113" s="717"/>
      <c r="I113" s="717"/>
      <c r="J113" s="717"/>
      <c r="K113" s="717"/>
      <c r="L113" s="717"/>
      <c r="M113" s="717"/>
      <c r="N113" s="717"/>
      <c r="O113" s="717"/>
      <c r="P113" s="717"/>
      <c r="Q113" s="717"/>
      <c r="R113" s="717"/>
      <c r="S113" s="717"/>
    </row>
    <row r="114" spans="4:19">
      <c r="D114" s="523" t="s">
        <v>230</v>
      </c>
      <c r="F114" s="580">
        <f>F87*0.14</f>
        <v>493.28230000000008</v>
      </c>
      <c r="G114" s="580">
        <f t="shared" ref="G114:I114" si="192">G87*0.14</f>
        <v>465.75851000000006</v>
      </c>
      <c r="H114" s="580">
        <f t="shared" si="192"/>
        <v>504.22290435181827</v>
      </c>
      <c r="I114" s="580">
        <f t="shared" si="192"/>
        <v>528.40647741773648</v>
      </c>
      <c r="J114" s="580">
        <f>J87*0.15</f>
        <v>1171.26</v>
      </c>
      <c r="K114" s="580">
        <f t="shared" ref="K114" si="193">K87*0.15</f>
        <v>1253.2481999999998</v>
      </c>
      <c r="L114" s="580">
        <f>L87*0.15</f>
        <v>1235.9138025</v>
      </c>
      <c r="M114" s="580">
        <f>M87*0.15</f>
        <v>1186.4772503999998</v>
      </c>
      <c r="N114" s="580">
        <f>N87*0.165</f>
        <v>1351.02821820912</v>
      </c>
      <c r="O114" s="580">
        <f>O87*0.165</f>
        <v>1381.5922666639106</v>
      </c>
      <c r="P114" s="580">
        <f>P87*0.165</f>
        <v>1412.8739006105147</v>
      </c>
      <c r="Q114" s="580">
        <f t="shared" ref="Q114:R114" si="194">Q87*0.165</f>
        <v>1430.761921888346</v>
      </c>
      <c r="R114" s="580">
        <f t="shared" si="194"/>
        <v>1413.6500872020608</v>
      </c>
      <c r="S114" s="580">
        <f t="shared" ref="S114" si="195">S87*0.165</f>
        <v>1417.5228997983929</v>
      </c>
    </row>
    <row r="115" spans="4:19">
      <c r="D115" s="523" t="s">
        <v>458</v>
      </c>
      <c r="F115" s="580">
        <f>F89*0.1</f>
        <v>627.17321000000004</v>
      </c>
      <c r="G115" s="580">
        <f>G89*0.1</f>
        <v>665.36930000000007</v>
      </c>
      <c r="H115" s="580">
        <f>H89*0.1</f>
        <v>602.15921650000007</v>
      </c>
      <c r="I115" s="580">
        <f>I89*0.1</f>
        <v>708.31988636894994</v>
      </c>
      <c r="J115" s="580">
        <f>J89*0.1</f>
        <v>910.98</v>
      </c>
      <c r="K115" s="580">
        <f>K89*0</f>
        <v>0</v>
      </c>
      <c r="L115" s="580">
        <f>L89*0.02</f>
        <v>107.25878519999999</v>
      </c>
      <c r="M115" s="580">
        <f>M89*0.05</f>
        <v>300.32459856000003</v>
      </c>
      <c r="N115" s="580">
        <f>N89*0.08</f>
        <v>559.80505171584002</v>
      </c>
      <c r="O115" s="580">
        <f>O89*0.1</f>
        <v>804.71976184152004</v>
      </c>
      <c r="P115" s="580">
        <f>P89*0.1</f>
        <v>925.42772611774808</v>
      </c>
      <c r="Q115" s="580">
        <f t="shared" ref="Q115:R115" si="196">Q89*0.1</f>
        <v>1036.479053251878</v>
      </c>
      <c r="R115" s="580">
        <f t="shared" si="196"/>
        <v>1140.1269585770658</v>
      </c>
      <c r="S115" s="580">
        <f t="shared" ref="S115" si="197">S89*0.1</f>
        <v>1231.337115263231</v>
      </c>
    </row>
    <row r="116" spans="4:19">
      <c r="D116" s="523" t="s">
        <v>459</v>
      </c>
      <c r="F116" s="580">
        <f>F91*0.307</f>
        <v>1319.6710902999998</v>
      </c>
      <c r="G116" s="580">
        <f>G91*0.3</f>
        <v>1345.2031499999998</v>
      </c>
      <c r="H116" s="580">
        <f>H91*0.27</f>
        <v>1368.0716035499997</v>
      </c>
      <c r="I116" s="580">
        <f>I91*0.24</f>
        <v>1386.3125582639998</v>
      </c>
      <c r="J116" s="580">
        <f>J91*0.3</f>
        <v>2732.9399999999996</v>
      </c>
      <c r="K116" s="580">
        <f>K91*0.04</f>
        <v>290.42042399999997</v>
      </c>
      <c r="L116" s="580">
        <f>L91*0.084</f>
        <v>634.2782060159999</v>
      </c>
      <c r="M116" s="580">
        <f>M91*0.15</f>
        <v>1370.4939808559998</v>
      </c>
      <c r="N116" s="580">
        <f>N91*0.185</f>
        <v>1994.5255734724315</v>
      </c>
      <c r="O116" s="580">
        <f>O91*0.21</f>
        <v>2467.8211014477815</v>
      </c>
      <c r="P116" s="580">
        <f>P91*0.24</f>
        <v>3017.7926611990019</v>
      </c>
      <c r="Q116" s="580">
        <f t="shared" ref="Q116:R116" si="198">Q91*0.24</f>
        <v>3198.8602208709422</v>
      </c>
      <c r="R116" s="580">
        <f t="shared" si="198"/>
        <v>3358.8032319144895</v>
      </c>
      <c r="S116" s="580">
        <f t="shared" ref="S116" si="199">S91*0.24</f>
        <v>3509.9493773506415</v>
      </c>
    </row>
    <row r="117" spans="4:19">
      <c r="D117" s="524" t="s">
        <v>132</v>
      </c>
      <c r="E117" s="524"/>
      <c r="F117" s="598">
        <f>SUM(F114:F116)</f>
        <v>2440.1266003000001</v>
      </c>
      <c r="G117" s="598">
        <f>SUM(G114:G116)</f>
        <v>2476.3309600000002</v>
      </c>
      <c r="H117" s="598">
        <f>SUM(H114:H116)</f>
        <v>2474.4537244018184</v>
      </c>
      <c r="I117" s="598">
        <f>SUM(I114:I116)</f>
        <v>2623.0389220506859</v>
      </c>
      <c r="J117" s="598">
        <f>SUM(J114:J116)</f>
        <v>4815.1799999999994</v>
      </c>
      <c r="K117" s="598">
        <f t="shared" ref="K117:N117" si="200">SUM(K114:K116)</f>
        <v>1543.6686239999997</v>
      </c>
      <c r="L117" s="598">
        <f t="shared" si="200"/>
        <v>1977.4507937159997</v>
      </c>
      <c r="M117" s="598">
        <f t="shared" si="200"/>
        <v>2857.2958298159997</v>
      </c>
      <c r="N117" s="598">
        <f t="shared" si="200"/>
        <v>3905.3588433973914</v>
      </c>
      <c r="O117" s="598">
        <f t="shared" ref="O117:P117" si="201">SUM(O114:O116)</f>
        <v>4654.1331299532121</v>
      </c>
      <c r="P117" s="598">
        <f t="shared" si="201"/>
        <v>5356.0942879272643</v>
      </c>
      <c r="Q117" s="598">
        <f t="shared" ref="Q117:R117" si="202">SUM(Q114:Q116)</f>
        <v>5666.1011960111664</v>
      </c>
      <c r="R117" s="598">
        <f t="shared" si="202"/>
        <v>5912.5802776936162</v>
      </c>
      <c r="S117" s="598">
        <f t="shared" ref="S117" si="203">SUM(S114:S116)</f>
        <v>6158.8093924122659</v>
      </c>
    </row>
    <row r="118" spans="4:19">
      <c r="D118" s="523" t="s">
        <v>548</v>
      </c>
      <c r="F118" s="720">
        <f t="shared" ref="F118:N118" si="204">F117/F95</f>
        <v>0.17313499999999998</v>
      </c>
      <c r="G118" s="720">
        <f t="shared" si="204"/>
        <v>0.17120000000000002</v>
      </c>
      <c r="H118" s="720">
        <f t="shared" si="204"/>
        <v>0.16844344115793236</v>
      </c>
      <c r="I118" s="720">
        <f t="shared" si="204"/>
        <v>0.15769299205004753</v>
      </c>
      <c r="J118" s="720">
        <f t="shared" si="204"/>
        <v>0.18499999999999997</v>
      </c>
      <c r="K118" s="720">
        <f t="shared" si="204"/>
        <v>7.0191135570152066E-2</v>
      </c>
      <c r="L118" s="720">
        <f t="shared" si="204"/>
        <v>9.3481924893897603E-2</v>
      </c>
      <c r="M118" s="720">
        <f t="shared" si="204"/>
        <v>0.12394482015585047</v>
      </c>
      <c r="N118" s="720">
        <f t="shared" si="204"/>
        <v>0.15039796933309085</v>
      </c>
      <c r="O118" s="720">
        <f t="shared" ref="O118:P118" si="205">O117/O95</f>
        <v>0.16520413742631837</v>
      </c>
      <c r="P118" s="720">
        <f t="shared" si="205"/>
        <v>0.17623783279702426</v>
      </c>
      <c r="Q118" s="720">
        <f t="shared" ref="Q118:R118" si="206">Q117/Q95</f>
        <v>0.17507062774196933</v>
      </c>
      <c r="R118" s="720">
        <f t="shared" si="206"/>
        <v>0.17408446486679371</v>
      </c>
      <c r="S118" s="720">
        <f t="shared" ref="S118" si="207">S117/S95</f>
        <v>0.17334496661579615</v>
      </c>
    </row>
    <row r="119" spans="4:19">
      <c r="D119" s="523" t="s">
        <v>545</v>
      </c>
      <c r="F119" s="529">
        <f>SEG!BQ169</f>
        <v>2441.0944527506936</v>
      </c>
      <c r="G119" s="529">
        <f>SEG!BV169</f>
        <v>2463.443590378612</v>
      </c>
      <c r="H119" s="529">
        <f>SEG!CA169</f>
        <v>2464.295502701314</v>
      </c>
      <c r="I119" s="719" t="s">
        <v>186</v>
      </c>
      <c r="J119" s="529">
        <f>SEG!CK169</f>
        <v>4849</v>
      </c>
      <c r="K119" s="529">
        <f>SEG!CP169</f>
        <v>2014</v>
      </c>
      <c r="L119" s="529">
        <f>SEG!CU169</f>
        <v>2420</v>
      </c>
      <c r="M119" s="529">
        <f>SEG!CZ169</f>
        <v>3047</v>
      </c>
      <c r="N119" s="529">
        <f>SEG!DE169</f>
        <v>3896</v>
      </c>
      <c r="O119" s="529">
        <f>SEG!DJ169</f>
        <v>4496</v>
      </c>
      <c r="P119" s="529">
        <f>SEG!DO169</f>
        <v>4929.0396799999999</v>
      </c>
      <c r="Q119" s="529">
        <f>SEG!DT169</f>
        <v>5155.484783076</v>
      </c>
      <c r="R119" s="529">
        <f>SEG!DU169</f>
        <v>5692.9139507960999</v>
      </c>
      <c r="S119" s="529">
        <f>SEG!DV169</f>
        <v>6194.2807497084978</v>
      </c>
    </row>
  </sheetData>
  <printOptions horizontalCentered="1" verticalCentered="1"/>
  <pageMargins left="0.7" right="0.7" top="0.75" bottom="0.75" header="0.3" footer="0.3"/>
  <pageSetup scale="12" orientation="portrait" r:id="rId1"/>
  <customProperties>
    <customPr name="Qube.Worksheet.ID" r:id="rId2"/>
    <customPr name="Qube.Worksheet.Visibility" r:id="rId3"/>
  </customProperties>
  <ignoredErrors>
    <ignoredError sqref="I95 F79:N79 G77:N78 G89:G93 K95:N95" formula="1"/>
  </ignoredErrors>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pageSetUpPr autoPageBreaks="0" fitToPage="1"/>
  </sheetPr>
  <dimension ref="A1:O47"/>
  <sheetViews>
    <sheetView showGridLines="0" zoomScaleNormal="100" workbookViewId="0">
      <pane xSplit="2" ySplit="4" topLeftCell="C17" activePane="bottomRight" state="frozen"/>
      <selection pane="topRight" activeCell="C1" sqref="C1"/>
      <selection pane="bottomLeft" activeCell="A5" sqref="A5"/>
      <selection pane="bottomRight"/>
    </sheetView>
  </sheetViews>
  <sheetFormatPr defaultRowHeight="12" outlineLevelRow="1" outlineLevelCol="1"/>
  <cols>
    <col min="2" max="2" width="9.140625" style="452"/>
    <col min="3" max="4" width="0" hidden="1" customWidth="1" outlineLevel="1"/>
    <col min="5" max="5" width="12.5703125" hidden="1" customWidth="1" outlineLevel="1"/>
    <col min="6" max="8" width="0" hidden="1" customWidth="1" outlineLevel="1"/>
    <col min="9" max="9" width="9.140625" collapsed="1"/>
    <col min="12" max="12" width="6.42578125" customWidth="1"/>
  </cols>
  <sheetData>
    <row r="1" spans="1:15">
      <c r="A1" t="s">
        <v>661</v>
      </c>
    </row>
    <row r="2" spans="1:15">
      <c r="B2" s="488"/>
    </row>
    <row r="3" spans="1:15" ht="12.75" customHeight="1">
      <c r="B3" s="817"/>
      <c r="C3" s="164"/>
      <c r="D3" s="851" t="s">
        <v>393</v>
      </c>
      <c r="E3" s="851"/>
      <c r="F3" s="851"/>
      <c r="G3" s="851"/>
      <c r="H3" s="164"/>
      <c r="I3" s="851" t="s">
        <v>465</v>
      </c>
      <c r="J3" s="851"/>
      <c r="K3" s="851"/>
      <c r="M3" s="851" t="s">
        <v>472</v>
      </c>
      <c r="N3" s="851"/>
      <c r="O3" s="851"/>
    </row>
    <row r="4" spans="1:15" ht="12.75">
      <c r="B4" s="818"/>
      <c r="C4" s="164"/>
      <c r="D4" s="511" t="s">
        <v>230</v>
      </c>
      <c r="E4" s="511" t="s">
        <v>394</v>
      </c>
      <c r="F4" s="511" t="s">
        <v>392</v>
      </c>
      <c r="G4" s="511" t="s">
        <v>395</v>
      </c>
      <c r="H4" s="164"/>
      <c r="I4" s="511" t="s">
        <v>230</v>
      </c>
      <c r="J4" s="511" t="s">
        <v>459</v>
      </c>
      <c r="K4" s="511" t="s">
        <v>458</v>
      </c>
      <c r="M4" s="511" t="s">
        <v>230</v>
      </c>
      <c r="N4" s="511" t="s">
        <v>459</v>
      </c>
      <c r="O4" s="511" t="s">
        <v>458</v>
      </c>
    </row>
    <row r="5" spans="1:15" ht="12" hidden="1" customHeight="1" outlineLevel="1">
      <c r="B5" s="818" t="s">
        <v>313</v>
      </c>
      <c r="C5" s="164"/>
      <c r="D5" s="164"/>
      <c r="E5" s="164"/>
      <c r="F5" s="164"/>
      <c r="G5" s="164"/>
      <c r="H5" s="164"/>
      <c r="I5" s="489"/>
      <c r="J5" s="489"/>
      <c r="K5" s="489"/>
      <c r="L5" s="489"/>
      <c r="M5" s="489"/>
      <c r="N5" s="489"/>
      <c r="O5" s="489"/>
    </row>
    <row r="6" spans="1:15" ht="12" hidden="1" customHeight="1" outlineLevel="1">
      <c r="B6" s="818" t="s">
        <v>314</v>
      </c>
      <c r="C6" s="164"/>
      <c r="D6" s="164"/>
      <c r="E6" s="164"/>
      <c r="F6" s="164"/>
      <c r="G6" s="164"/>
      <c r="H6" s="164"/>
      <c r="I6" s="489"/>
      <c r="J6" s="489"/>
      <c r="K6" s="489"/>
      <c r="L6" s="489"/>
      <c r="M6" s="489"/>
      <c r="N6" s="489"/>
      <c r="O6" s="489"/>
    </row>
    <row r="7" spans="1:15" ht="12" hidden="1" customHeight="1" outlineLevel="1">
      <c r="B7" s="818" t="s">
        <v>315</v>
      </c>
      <c r="C7" s="164"/>
      <c r="D7" s="164"/>
      <c r="E7" s="164"/>
      <c r="F7" s="164"/>
      <c r="G7" s="164"/>
      <c r="H7" s="164"/>
      <c r="I7" s="489"/>
      <c r="J7" s="489"/>
      <c r="K7" s="489"/>
      <c r="L7" s="489"/>
      <c r="M7" s="489"/>
      <c r="N7" s="489"/>
      <c r="O7" s="489"/>
    </row>
    <row r="8" spans="1:15" ht="12" hidden="1" customHeight="1" outlineLevel="1">
      <c r="B8" s="818" t="s">
        <v>316</v>
      </c>
      <c r="C8" s="164"/>
      <c r="D8" s="819"/>
      <c r="E8" s="819"/>
      <c r="F8" s="819"/>
      <c r="G8" s="819"/>
      <c r="H8" s="164"/>
      <c r="I8" s="489"/>
      <c r="J8" s="489"/>
      <c r="K8" s="489"/>
      <c r="L8" s="489"/>
      <c r="M8" s="489"/>
      <c r="N8" s="489"/>
      <c r="O8" s="489"/>
    </row>
    <row r="9" spans="1:15" ht="12" hidden="1" customHeight="1" outlineLevel="1">
      <c r="B9" s="818" t="s">
        <v>319</v>
      </c>
      <c r="C9" s="164"/>
      <c r="D9" s="819">
        <v>31</v>
      </c>
      <c r="E9" s="819">
        <v>148</v>
      </c>
      <c r="F9" s="819">
        <v>515</v>
      </c>
      <c r="G9" s="819"/>
      <c r="H9" s="164"/>
      <c r="I9" s="489"/>
      <c r="J9" s="489"/>
      <c r="K9" s="489"/>
      <c r="L9" s="489"/>
      <c r="M9" s="489"/>
      <c r="N9" s="489"/>
      <c r="O9" s="489"/>
    </row>
    <row r="10" spans="1:15" ht="12" hidden="1" customHeight="1" outlineLevel="1">
      <c r="B10" s="818" t="s">
        <v>320</v>
      </c>
      <c r="C10" s="164"/>
      <c r="D10" s="819">
        <v>19</v>
      </c>
      <c r="E10" s="819">
        <v>149</v>
      </c>
      <c r="F10" s="819">
        <v>596</v>
      </c>
      <c r="G10" s="819"/>
      <c r="H10" s="164"/>
      <c r="I10" s="489"/>
      <c r="J10" s="489"/>
      <c r="K10" s="489"/>
      <c r="L10" s="489"/>
      <c r="M10" s="489"/>
      <c r="N10" s="489"/>
      <c r="O10" s="489"/>
    </row>
    <row r="11" spans="1:15" ht="12" hidden="1" customHeight="1" outlineLevel="1">
      <c r="B11" s="818" t="s">
        <v>321</v>
      </c>
      <c r="C11" s="164"/>
      <c r="D11" s="819">
        <v>30</v>
      </c>
      <c r="E11" s="819">
        <v>113</v>
      </c>
      <c r="F11" s="819">
        <v>524</v>
      </c>
      <c r="G11" s="819"/>
      <c r="H11" s="164"/>
      <c r="I11" s="489"/>
      <c r="J11" s="489"/>
      <c r="K11" s="489"/>
      <c r="L11" s="489"/>
      <c r="M11" s="489"/>
      <c r="N11" s="489"/>
      <c r="O11" s="489"/>
    </row>
    <row r="12" spans="1:15" ht="12" hidden="1" customHeight="1" outlineLevel="1">
      <c r="B12" s="818" t="s">
        <v>322</v>
      </c>
      <c r="C12" s="164"/>
      <c r="D12" s="819">
        <v>32</v>
      </c>
      <c r="E12" s="819">
        <v>128</v>
      </c>
      <c r="F12" s="819">
        <v>662</v>
      </c>
      <c r="G12" s="819"/>
      <c r="H12" s="133"/>
      <c r="I12" s="489"/>
      <c r="J12" s="489"/>
      <c r="K12" s="489"/>
      <c r="L12" s="489"/>
      <c r="M12" s="489"/>
      <c r="N12" s="489"/>
      <c r="O12" s="489"/>
    </row>
    <row r="13" spans="1:15" ht="12" hidden="1" customHeight="1" outlineLevel="1">
      <c r="B13" s="818" t="s">
        <v>323</v>
      </c>
      <c r="C13" s="164"/>
      <c r="D13" s="819">
        <v>23</v>
      </c>
      <c r="E13" s="819">
        <v>139</v>
      </c>
      <c r="F13" s="819">
        <v>454</v>
      </c>
      <c r="G13" s="819"/>
      <c r="H13" s="133"/>
      <c r="I13" s="489"/>
      <c r="J13" s="489"/>
      <c r="K13" s="489"/>
      <c r="L13" s="489"/>
      <c r="M13" s="489"/>
      <c r="N13" s="489"/>
      <c r="O13" s="489"/>
    </row>
    <row r="14" spans="1:15" ht="12" hidden="1" customHeight="1" outlineLevel="1">
      <c r="B14" s="818" t="s">
        <v>324</v>
      </c>
      <c r="C14" s="164"/>
      <c r="D14" s="819">
        <v>25</v>
      </c>
      <c r="E14" s="819">
        <v>139</v>
      </c>
      <c r="F14" s="819">
        <v>485</v>
      </c>
      <c r="G14" s="819"/>
      <c r="H14" s="133"/>
      <c r="I14" s="489"/>
      <c r="J14" s="489"/>
      <c r="K14" s="489"/>
      <c r="L14" s="489"/>
      <c r="M14" s="489"/>
      <c r="N14" s="489"/>
      <c r="O14" s="489"/>
    </row>
    <row r="15" spans="1:15" ht="12" hidden="1" customHeight="1" outlineLevel="1">
      <c r="B15" s="818" t="s">
        <v>325</v>
      </c>
      <c r="C15" s="164"/>
      <c r="D15" s="819">
        <v>32</v>
      </c>
      <c r="E15" s="819">
        <v>129</v>
      </c>
      <c r="F15" s="819">
        <v>476</v>
      </c>
      <c r="G15" s="819"/>
      <c r="H15" s="133"/>
      <c r="I15" s="489"/>
      <c r="J15" s="489"/>
      <c r="K15" s="489"/>
      <c r="L15" s="489"/>
      <c r="M15" s="489"/>
      <c r="N15" s="489"/>
      <c r="O15" s="489"/>
    </row>
    <row r="16" spans="1:15" ht="12" hidden="1" customHeight="1" outlineLevel="1">
      <c r="B16" s="818" t="s">
        <v>326</v>
      </c>
      <c r="C16" s="164"/>
      <c r="D16" s="819">
        <v>41</v>
      </c>
      <c r="E16" s="819">
        <v>130</v>
      </c>
      <c r="F16" s="819">
        <v>565</v>
      </c>
      <c r="G16" s="819"/>
      <c r="H16" s="133"/>
      <c r="I16" s="489"/>
      <c r="J16" s="489"/>
      <c r="K16" s="489"/>
      <c r="L16" s="489"/>
      <c r="M16" s="489"/>
      <c r="N16" s="489"/>
      <c r="O16" s="489"/>
    </row>
    <row r="17" spans="2:15" ht="12" customHeight="1" collapsed="1">
      <c r="B17" s="818" t="s">
        <v>379</v>
      </c>
      <c r="C17" s="164"/>
      <c r="D17" s="819">
        <v>25</v>
      </c>
      <c r="E17" s="819">
        <v>124</v>
      </c>
      <c r="F17" s="819">
        <v>503</v>
      </c>
      <c r="G17" s="819"/>
      <c r="H17" s="133"/>
      <c r="I17" s="489">
        <v>0.19</v>
      </c>
      <c r="J17" s="489">
        <v>0.18</v>
      </c>
      <c r="K17" s="489">
        <v>-0.03</v>
      </c>
      <c r="L17" s="489"/>
      <c r="M17" s="489">
        <v>0.15</v>
      </c>
      <c r="N17" s="489">
        <v>0.16</v>
      </c>
      <c r="O17" s="489">
        <v>-0.08</v>
      </c>
    </row>
    <row r="18" spans="2:15" ht="12" customHeight="1">
      <c r="B18" s="818" t="s">
        <v>380</v>
      </c>
      <c r="C18" s="164"/>
      <c r="D18" s="819">
        <v>43</v>
      </c>
      <c r="E18" s="819">
        <v>210</v>
      </c>
      <c r="F18" s="819">
        <v>492</v>
      </c>
      <c r="G18" s="819"/>
      <c r="H18" s="133"/>
      <c r="I18" s="489">
        <v>0.22</v>
      </c>
      <c r="J18" s="489">
        <v>0.12</v>
      </c>
      <c r="K18" s="606">
        <v>0.2</v>
      </c>
      <c r="L18" s="489"/>
      <c r="M18" s="489">
        <v>0.05</v>
      </c>
      <c r="N18" s="489">
        <v>0.12</v>
      </c>
      <c r="O18" s="489">
        <v>0.08</v>
      </c>
    </row>
    <row r="19" spans="2:15" ht="12" customHeight="1">
      <c r="B19" s="818" t="s">
        <v>381</v>
      </c>
      <c r="C19" s="164"/>
      <c r="D19" s="819">
        <v>36</v>
      </c>
      <c r="E19" s="819">
        <v>198</v>
      </c>
      <c r="F19" s="819">
        <v>546</v>
      </c>
      <c r="G19" s="819"/>
      <c r="H19" s="133"/>
      <c r="I19" s="489">
        <v>0.2</v>
      </c>
      <c r="J19" s="489">
        <v>0.09</v>
      </c>
      <c r="K19" s="489">
        <v>0.18</v>
      </c>
      <c r="L19" s="489"/>
      <c r="M19" s="489">
        <v>0.1</v>
      </c>
      <c r="N19" s="489">
        <v>0.12</v>
      </c>
      <c r="O19" s="489">
        <v>0.06</v>
      </c>
    </row>
    <row r="20" spans="2:15" ht="12" customHeight="1">
      <c r="B20" s="818" t="s">
        <v>382</v>
      </c>
      <c r="C20" s="164"/>
      <c r="D20" s="819">
        <v>47</v>
      </c>
      <c r="E20" s="819">
        <v>247</v>
      </c>
      <c r="F20" s="819">
        <v>641</v>
      </c>
      <c r="G20" s="819"/>
      <c r="H20" s="133"/>
      <c r="I20" s="489">
        <v>0.17</v>
      </c>
      <c r="J20" s="489">
        <v>0.11</v>
      </c>
      <c r="K20" s="489">
        <v>0.74</v>
      </c>
      <c r="L20" s="489"/>
      <c r="M20" s="489">
        <v>0.12</v>
      </c>
      <c r="N20" s="489">
        <v>0.08</v>
      </c>
      <c r="O20" s="489">
        <v>0.09</v>
      </c>
    </row>
    <row r="21" spans="2:15" ht="12" customHeight="1">
      <c r="B21" s="818" t="s">
        <v>461</v>
      </c>
      <c r="C21" s="164"/>
      <c r="D21" s="819">
        <v>39</v>
      </c>
      <c r="E21" s="819">
        <v>189</v>
      </c>
      <c r="F21" s="819">
        <v>524</v>
      </c>
      <c r="G21" s="819"/>
      <c r="H21" s="133"/>
      <c r="I21" s="489">
        <v>0.16</v>
      </c>
      <c r="J21" s="489">
        <v>0.01</v>
      </c>
      <c r="K21" s="489">
        <v>0.35</v>
      </c>
      <c r="L21" s="489"/>
      <c r="M21" s="606" t="s">
        <v>476</v>
      </c>
      <c r="N21" s="606" t="s">
        <v>475</v>
      </c>
      <c r="O21" s="606" t="s">
        <v>475</v>
      </c>
    </row>
    <row r="22" spans="2:15" ht="12" customHeight="1">
      <c r="B22" s="818" t="s">
        <v>462</v>
      </c>
      <c r="C22" s="164"/>
      <c r="D22" s="819">
        <v>58</v>
      </c>
      <c r="E22" s="819">
        <v>173</v>
      </c>
      <c r="F22" s="819">
        <v>593</v>
      </c>
      <c r="G22" s="819"/>
      <c r="H22" s="133"/>
      <c r="I22" s="489">
        <v>0.15</v>
      </c>
      <c r="J22" s="489">
        <v>0.02</v>
      </c>
      <c r="K22" s="489">
        <v>0.22</v>
      </c>
      <c r="L22" s="489"/>
      <c r="M22" s="606">
        <v>0.05</v>
      </c>
      <c r="N22" s="606">
        <v>0.16</v>
      </c>
      <c r="O22" s="606">
        <v>0.04</v>
      </c>
    </row>
    <row r="23" spans="2:15" ht="12" customHeight="1">
      <c r="B23" s="818" t="s">
        <v>463</v>
      </c>
      <c r="C23" s="164"/>
      <c r="D23" s="819">
        <v>53</v>
      </c>
      <c r="E23" s="819">
        <v>165</v>
      </c>
      <c r="F23" s="819">
        <v>607</v>
      </c>
      <c r="G23" s="819"/>
      <c r="H23" s="133"/>
      <c r="I23" s="489">
        <v>0.15</v>
      </c>
      <c r="J23" s="489">
        <v>0.06</v>
      </c>
      <c r="K23" s="489">
        <v>0.17</v>
      </c>
      <c r="L23" s="489"/>
      <c r="M23" s="606">
        <v>0.05</v>
      </c>
      <c r="N23" s="606">
        <v>0.17</v>
      </c>
      <c r="O23" s="606">
        <v>-0.02</v>
      </c>
    </row>
    <row r="24" spans="2:15" ht="12" customHeight="1">
      <c r="B24" s="818" t="s">
        <v>464</v>
      </c>
      <c r="C24" s="164"/>
      <c r="D24" s="819">
        <v>65</v>
      </c>
      <c r="E24" s="819">
        <v>219</v>
      </c>
      <c r="F24" s="819">
        <v>631</v>
      </c>
      <c r="G24" s="819"/>
      <c r="H24" s="133"/>
      <c r="I24" s="489">
        <v>0.12</v>
      </c>
      <c r="J24" s="489">
        <v>0</v>
      </c>
      <c r="K24" s="489">
        <v>-7.0000000000000007E-2</v>
      </c>
      <c r="L24" s="489"/>
      <c r="M24" s="606">
        <v>0.1</v>
      </c>
      <c r="N24" s="606">
        <v>0.11</v>
      </c>
      <c r="O24" s="606">
        <v>-0.06</v>
      </c>
    </row>
    <row r="25" spans="2:15" ht="12" customHeight="1">
      <c r="B25" s="818" t="s">
        <v>470</v>
      </c>
      <c r="C25" s="164"/>
      <c r="D25" s="819">
        <v>48</v>
      </c>
      <c r="E25" s="819">
        <v>211</v>
      </c>
      <c r="F25" s="819">
        <v>466</v>
      </c>
      <c r="G25" s="819"/>
      <c r="H25" s="133"/>
      <c r="I25" s="489">
        <v>0.16</v>
      </c>
      <c r="J25" s="489">
        <v>0.04</v>
      </c>
      <c r="K25" s="489">
        <v>0.25</v>
      </c>
      <c r="L25" s="489"/>
      <c r="M25" s="606">
        <v>0.1</v>
      </c>
      <c r="N25" s="606">
        <v>0.03</v>
      </c>
      <c r="O25" s="606">
        <v>-0.12</v>
      </c>
    </row>
    <row r="26" spans="2:15" ht="12" customHeight="1">
      <c r="B26" s="818" t="s">
        <v>469</v>
      </c>
      <c r="C26" s="164"/>
      <c r="D26" s="819">
        <v>72</v>
      </c>
      <c r="E26" s="819">
        <v>92</v>
      </c>
      <c r="F26" s="819">
        <v>393</v>
      </c>
      <c r="G26" s="819"/>
      <c r="H26" s="133"/>
      <c r="I26" s="489">
        <v>0.11</v>
      </c>
      <c r="J26" s="489">
        <v>-0.51</v>
      </c>
      <c r="K26" s="489">
        <v>-0.42</v>
      </c>
      <c r="L26" s="489"/>
      <c r="M26" s="606">
        <v>0.1</v>
      </c>
      <c r="N26" s="606">
        <v>-0.48</v>
      </c>
      <c r="O26" s="606">
        <v>-0.53</v>
      </c>
    </row>
    <row r="27" spans="2:15" ht="12" customHeight="1">
      <c r="B27" s="818" t="s">
        <v>468</v>
      </c>
      <c r="C27" s="164"/>
      <c r="D27" s="819">
        <v>59</v>
      </c>
      <c r="E27" s="819">
        <v>114</v>
      </c>
      <c r="F27" s="819">
        <v>379</v>
      </c>
      <c r="G27" s="819"/>
      <c r="H27" s="133"/>
      <c r="I27" s="489">
        <v>0.11</v>
      </c>
      <c r="J27" s="489">
        <v>-0.51</v>
      </c>
      <c r="K27" s="489">
        <v>-0.3</v>
      </c>
      <c r="L27" s="489"/>
      <c r="M27" s="606">
        <v>0.08</v>
      </c>
      <c r="N27" s="606">
        <v>-0.52</v>
      </c>
      <c r="O27" s="606">
        <v>-0.44</v>
      </c>
    </row>
    <row r="28" spans="2:15" ht="12" customHeight="1">
      <c r="B28" s="818" t="s">
        <v>467</v>
      </c>
      <c r="C28" s="164"/>
      <c r="D28" s="819">
        <v>62</v>
      </c>
      <c r="E28" s="819">
        <v>129</v>
      </c>
      <c r="F28" s="819">
        <v>412</v>
      </c>
      <c r="G28" s="819"/>
      <c r="H28" s="133"/>
      <c r="I28" s="489">
        <v>0.18</v>
      </c>
      <c r="J28" s="489">
        <v>-0.32</v>
      </c>
      <c r="K28" s="489">
        <v>-0.46</v>
      </c>
      <c r="L28" s="489"/>
      <c r="M28" s="606">
        <v>7.0000000000000007E-2</v>
      </c>
      <c r="N28" s="606">
        <v>-0.48</v>
      </c>
      <c r="O28" s="606">
        <v>-0.41</v>
      </c>
    </row>
    <row r="29" spans="2:15" ht="12" customHeight="1">
      <c r="B29" s="818" t="s">
        <v>597</v>
      </c>
      <c r="C29" s="164"/>
      <c r="D29" s="819">
        <v>44</v>
      </c>
      <c r="E29" s="819">
        <v>137</v>
      </c>
      <c r="F29" s="819">
        <v>396</v>
      </c>
      <c r="G29" s="819"/>
      <c r="H29" s="133"/>
      <c r="I29" s="489">
        <v>0.01</v>
      </c>
      <c r="J29" s="489">
        <v>-0.35</v>
      </c>
      <c r="K29" s="489">
        <v>-0.4</v>
      </c>
      <c r="L29" s="489"/>
      <c r="M29" s="606">
        <v>0.04</v>
      </c>
      <c r="N29" s="606">
        <v>-0.43</v>
      </c>
      <c r="O29" s="606">
        <v>-0.45</v>
      </c>
    </row>
    <row r="30" spans="2:15" ht="12" customHeight="1">
      <c r="B30" s="818" t="s">
        <v>598</v>
      </c>
      <c r="C30" s="164"/>
      <c r="D30" s="819">
        <v>61</v>
      </c>
      <c r="E30" s="819">
        <v>144</v>
      </c>
      <c r="F30" s="819">
        <v>467</v>
      </c>
      <c r="G30" s="819"/>
      <c r="H30" s="133"/>
      <c r="I30" s="489">
        <v>-0.03</v>
      </c>
      <c r="J30" s="489">
        <v>0.41</v>
      </c>
      <c r="K30" s="489">
        <v>0.3</v>
      </c>
      <c r="L30" s="489"/>
      <c r="M30" s="606">
        <v>-0.01</v>
      </c>
      <c r="N30" s="606">
        <v>0.24</v>
      </c>
      <c r="O30" s="606">
        <v>0.08</v>
      </c>
    </row>
    <row r="31" spans="2:15" ht="12" customHeight="1">
      <c r="B31" s="818" t="s">
        <v>599</v>
      </c>
      <c r="C31" s="164"/>
      <c r="D31" s="819">
        <v>58</v>
      </c>
      <c r="E31" s="819">
        <v>165</v>
      </c>
      <c r="F31" s="819">
        <v>475</v>
      </c>
      <c r="G31" s="819"/>
      <c r="H31" s="133"/>
      <c r="I31" s="489">
        <v>0.02</v>
      </c>
      <c r="J31" s="489">
        <v>0.56000000000000005</v>
      </c>
      <c r="K31" s="489">
        <v>0.22</v>
      </c>
      <c r="L31" s="489"/>
      <c r="M31" s="489">
        <v>-0.01</v>
      </c>
      <c r="N31" s="606">
        <v>0.38</v>
      </c>
      <c r="O31" s="606">
        <v>-0.03</v>
      </c>
    </row>
    <row r="32" spans="2:15" ht="12" customHeight="1">
      <c r="B32" s="818" t="s">
        <v>600</v>
      </c>
      <c r="C32" s="164"/>
      <c r="D32" s="819">
        <v>55</v>
      </c>
      <c r="E32" s="819">
        <v>177</v>
      </c>
      <c r="F32" s="819">
        <v>487</v>
      </c>
      <c r="G32" s="819"/>
      <c r="H32" s="133"/>
      <c r="I32" s="489">
        <v>-0.06</v>
      </c>
      <c r="J32" s="489">
        <v>0.28000000000000003</v>
      </c>
      <c r="K32" s="489">
        <v>0.32</v>
      </c>
      <c r="L32" s="489"/>
      <c r="M32" s="489">
        <v>-0.03</v>
      </c>
      <c r="N32" s="606">
        <v>0.47</v>
      </c>
      <c r="O32" s="606">
        <v>0.04</v>
      </c>
    </row>
    <row r="33" spans="2:15" ht="12" customHeight="1">
      <c r="B33" s="818" t="s">
        <v>611</v>
      </c>
      <c r="C33" s="164"/>
      <c r="D33" s="819">
        <v>60</v>
      </c>
      <c r="E33" s="819">
        <v>119</v>
      </c>
      <c r="F33" s="819">
        <v>455</v>
      </c>
      <c r="G33" s="819"/>
      <c r="H33" s="133"/>
      <c r="I33" s="489">
        <v>-0.11</v>
      </c>
      <c r="J33" s="489">
        <v>0.37</v>
      </c>
      <c r="K33" s="489">
        <v>0.12</v>
      </c>
      <c r="L33" s="489"/>
      <c r="M33" s="489">
        <v>-0.12</v>
      </c>
      <c r="N33" s="606">
        <v>0.39</v>
      </c>
      <c r="O33" s="606">
        <v>0.12</v>
      </c>
    </row>
    <row r="34" spans="2:15" ht="12" customHeight="1">
      <c r="B34" s="818" t="s">
        <v>612</v>
      </c>
      <c r="C34" s="164"/>
      <c r="D34" s="819">
        <v>62</v>
      </c>
      <c r="E34" s="819">
        <v>177</v>
      </c>
      <c r="F34" s="819">
        <v>459</v>
      </c>
      <c r="G34" s="819"/>
      <c r="H34" s="133"/>
      <c r="I34" s="489">
        <v>0.05</v>
      </c>
      <c r="J34" s="489">
        <v>0.26</v>
      </c>
      <c r="K34" s="489">
        <v>0.22</v>
      </c>
      <c r="L34" s="489"/>
      <c r="M34" s="489">
        <v>-0.06</v>
      </c>
      <c r="N34" s="606">
        <v>0.25</v>
      </c>
      <c r="O34" s="606">
        <v>0.14000000000000001</v>
      </c>
    </row>
    <row r="35" spans="2:15" ht="12" customHeight="1">
      <c r="B35" s="818" t="s">
        <v>613</v>
      </c>
      <c r="C35" s="164"/>
      <c r="D35" s="819">
        <v>49</v>
      </c>
      <c r="E35" s="819">
        <v>192</v>
      </c>
      <c r="F35" s="819">
        <v>509</v>
      </c>
      <c r="G35" s="819"/>
      <c r="H35" s="133"/>
      <c r="I35" s="489">
        <v>-0.02</v>
      </c>
      <c r="J35" s="489">
        <v>0.23</v>
      </c>
      <c r="K35" s="489">
        <v>0.26</v>
      </c>
      <c r="L35" s="489"/>
      <c r="M35" s="489">
        <v>-0.06</v>
      </c>
      <c r="N35" s="606">
        <v>0.25</v>
      </c>
      <c r="O35" s="606">
        <v>0.16</v>
      </c>
    </row>
    <row r="36" spans="2:15" ht="12" customHeight="1">
      <c r="B36" s="818" t="s">
        <v>614</v>
      </c>
      <c r="C36" s="164"/>
      <c r="D36" s="819">
        <v>48</v>
      </c>
      <c r="E36" s="819">
        <v>224</v>
      </c>
      <c r="F36" s="819">
        <v>542</v>
      </c>
      <c r="G36" s="819"/>
      <c r="H36" s="133"/>
      <c r="I36" s="489">
        <v>-0.02</v>
      </c>
      <c r="J36" s="489">
        <v>0.11</v>
      </c>
      <c r="K36" s="489">
        <v>0.37</v>
      </c>
      <c r="L36" s="489"/>
      <c r="M36" s="489">
        <v>0.05</v>
      </c>
      <c r="N36" s="606">
        <v>0.21</v>
      </c>
      <c r="O36" s="606">
        <v>0.2</v>
      </c>
    </row>
    <row r="37" spans="2:15" ht="12" customHeight="1">
      <c r="B37" s="818" t="s">
        <v>617</v>
      </c>
      <c r="C37" s="164"/>
      <c r="D37" s="819">
        <v>42</v>
      </c>
      <c r="E37" s="819">
        <v>167</v>
      </c>
      <c r="F37" s="819">
        <v>499</v>
      </c>
      <c r="G37" s="819"/>
      <c r="H37" s="133"/>
      <c r="I37" s="489">
        <v>0.13</v>
      </c>
      <c r="J37" s="489">
        <v>0.14000000000000001</v>
      </c>
      <c r="K37" s="489">
        <v>0.27</v>
      </c>
      <c r="L37" s="489"/>
      <c r="M37" s="489">
        <v>0.09</v>
      </c>
      <c r="N37" s="606">
        <v>0.24</v>
      </c>
      <c r="O37" s="606">
        <v>0.12</v>
      </c>
    </row>
    <row r="38" spans="2:15" ht="12" customHeight="1">
      <c r="B38" s="818" t="s">
        <v>618</v>
      </c>
      <c r="C38" s="164"/>
      <c r="D38" s="819"/>
      <c r="E38" s="819"/>
      <c r="F38" s="819"/>
      <c r="G38" s="819"/>
      <c r="H38" s="133"/>
      <c r="I38" s="489">
        <v>-0.03</v>
      </c>
      <c r="J38" s="489">
        <v>0.26</v>
      </c>
      <c r="K38" s="489">
        <v>0.22</v>
      </c>
      <c r="L38" s="489"/>
      <c r="M38" s="489">
        <v>0.05</v>
      </c>
      <c r="N38" s="606">
        <v>0.28999999999999998</v>
      </c>
      <c r="O38" s="606">
        <v>0.14000000000000001</v>
      </c>
    </row>
    <row r="39" spans="2:15" ht="12" customHeight="1">
      <c r="B39" s="818" t="s">
        <v>619</v>
      </c>
      <c r="C39" s="164"/>
      <c r="D39" s="819"/>
      <c r="E39" s="819"/>
      <c r="F39" s="819"/>
      <c r="G39" s="819"/>
      <c r="H39" s="133"/>
      <c r="I39" s="489">
        <v>7.0000000000000007E-2</v>
      </c>
      <c r="J39" s="489">
        <v>0.21</v>
      </c>
      <c r="K39" s="489">
        <v>0.25</v>
      </c>
      <c r="L39" s="489"/>
      <c r="M39" s="489">
        <v>-0.01</v>
      </c>
      <c r="N39" s="606">
        <v>0.3</v>
      </c>
      <c r="O39" s="606">
        <v>0.27</v>
      </c>
    </row>
    <row r="40" spans="2:15" ht="12" customHeight="1">
      <c r="B40" s="818" t="s">
        <v>620</v>
      </c>
      <c r="C40" s="164"/>
      <c r="D40" s="819"/>
      <c r="E40" s="819"/>
      <c r="F40" s="819"/>
      <c r="G40" s="819"/>
      <c r="H40" s="133"/>
      <c r="I40" s="489">
        <v>0.04</v>
      </c>
      <c r="J40" s="489">
        <v>0.18</v>
      </c>
      <c r="K40" s="489">
        <v>0.2</v>
      </c>
      <c r="L40" s="489"/>
      <c r="M40" s="489">
        <v>0.01</v>
      </c>
      <c r="N40" s="606">
        <v>0.23</v>
      </c>
      <c r="O40" s="606">
        <v>0.17</v>
      </c>
    </row>
    <row r="41" spans="2:15" ht="12" customHeight="1">
      <c r="B41" s="818" t="s">
        <v>625</v>
      </c>
      <c r="C41" s="164"/>
      <c r="D41" s="819"/>
      <c r="E41" s="819"/>
      <c r="F41" s="819"/>
      <c r="G41" s="819"/>
      <c r="H41" s="133"/>
      <c r="I41" s="489">
        <v>0.21</v>
      </c>
      <c r="J41" s="489">
        <v>0.09</v>
      </c>
      <c r="K41" s="489">
        <v>0.64</v>
      </c>
      <c r="L41" s="489"/>
      <c r="M41" s="489">
        <v>0.01</v>
      </c>
      <c r="N41" s="606">
        <v>0.14000000000000001</v>
      </c>
      <c r="O41" s="606">
        <v>0.14000000000000001</v>
      </c>
    </row>
    <row r="42" spans="2:15" ht="12" customHeight="1">
      <c r="B42" s="818" t="s">
        <v>626</v>
      </c>
      <c r="C42" s="164"/>
      <c r="D42" s="819"/>
      <c r="E42" s="819"/>
      <c r="F42" s="819"/>
      <c r="G42" s="819"/>
      <c r="H42" s="133"/>
      <c r="I42" s="489">
        <v>0.16</v>
      </c>
      <c r="J42" s="489">
        <v>0.15</v>
      </c>
      <c r="K42" s="489">
        <v>0.33</v>
      </c>
      <c r="L42" s="489"/>
      <c r="M42" s="489">
        <v>7.0000000000000007E-2</v>
      </c>
      <c r="N42" s="606">
        <v>0.12</v>
      </c>
      <c r="O42" s="606">
        <v>0.1</v>
      </c>
    </row>
    <row r="43" spans="2:15" ht="12" customHeight="1">
      <c r="B43" s="818" t="s">
        <v>627</v>
      </c>
      <c r="C43" s="164"/>
      <c r="D43" s="819"/>
      <c r="E43" s="819"/>
      <c r="F43" s="819"/>
      <c r="G43" s="819"/>
      <c r="H43" s="133"/>
      <c r="I43" s="489">
        <v>0.2</v>
      </c>
      <c r="J43" s="489">
        <v>0.13</v>
      </c>
      <c r="K43" s="489">
        <v>0.09</v>
      </c>
      <c r="L43" s="489"/>
      <c r="M43" s="489">
        <v>0.14000000000000001</v>
      </c>
      <c r="N43" s="606">
        <v>0.09</v>
      </c>
      <c r="O43" s="606">
        <v>-0.08</v>
      </c>
    </row>
    <row r="44" spans="2:15" ht="12" customHeight="1">
      <c r="B44" s="818" t="s">
        <v>628</v>
      </c>
      <c r="C44" s="164"/>
      <c r="D44" s="819"/>
      <c r="E44" s="819"/>
      <c r="F44" s="819"/>
      <c r="G44" s="819"/>
      <c r="H44" s="133"/>
      <c r="I44" s="489">
        <v>0.08</v>
      </c>
      <c r="J44" s="489">
        <v>0.17</v>
      </c>
      <c r="K44" s="489">
        <v>0.31</v>
      </c>
      <c r="L44" s="489"/>
      <c r="M44" s="489">
        <v>0.13</v>
      </c>
      <c r="N44" s="606">
        <v>0.12</v>
      </c>
      <c r="O44" s="606">
        <v>-0.06</v>
      </c>
    </row>
    <row r="45" spans="2:15" ht="12" customHeight="1">
      <c r="B45" s="818" t="s">
        <v>642</v>
      </c>
      <c r="C45" s="164"/>
      <c r="D45" s="819"/>
      <c r="E45" s="819"/>
      <c r="F45" s="819"/>
      <c r="G45" s="819"/>
      <c r="H45" s="133"/>
      <c r="I45" s="489">
        <v>0.04</v>
      </c>
      <c r="J45" s="489">
        <v>0.28000000000000003</v>
      </c>
      <c r="K45" s="489">
        <v>0.03</v>
      </c>
      <c r="L45" s="489"/>
      <c r="M45" s="489">
        <v>0.1</v>
      </c>
      <c r="N45" s="606">
        <v>0.13</v>
      </c>
      <c r="O45" s="606">
        <v>0.02</v>
      </c>
    </row>
    <row r="46" spans="2:15" ht="12" customHeight="1">
      <c r="B46" s="818" t="s">
        <v>643</v>
      </c>
      <c r="C46" s="164"/>
      <c r="D46" s="819"/>
      <c r="E46" s="819"/>
      <c r="F46" s="819"/>
      <c r="G46" s="819"/>
      <c r="H46" s="133"/>
      <c r="I46" s="489">
        <v>0</v>
      </c>
      <c r="J46" s="489">
        <v>0.19</v>
      </c>
      <c r="K46" s="489">
        <v>0.15</v>
      </c>
      <c r="L46" s="489"/>
      <c r="M46" s="489">
        <v>0.11</v>
      </c>
      <c r="N46" s="606">
        <v>0.13</v>
      </c>
      <c r="O46" s="606">
        <v>0.01</v>
      </c>
    </row>
    <row r="47" spans="2:15" ht="12.75">
      <c r="B47" s="818" t="s">
        <v>644</v>
      </c>
      <c r="C47" s="164"/>
      <c r="D47" s="819"/>
      <c r="E47" s="819"/>
      <c r="F47" s="819"/>
      <c r="G47" s="819"/>
      <c r="H47" s="850"/>
      <c r="I47" s="489">
        <v>0.15</v>
      </c>
      <c r="J47" s="489">
        <v>0.05</v>
      </c>
      <c r="K47" s="489">
        <v>0.23</v>
      </c>
      <c r="L47" s="489"/>
      <c r="M47" s="489">
        <v>0.06</v>
      </c>
      <c r="N47" s="606">
        <v>0.13</v>
      </c>
      <c r="O47" s="606">
        <v>0.16</v>
      </c>
    </row>
  </sheetData>
  <mergeCells count="3">
    <mergeCell ref="D3:G3"/>
    <mergeCell ref="I3:K3"/>
    <mergeCell ref="M3:O3"/>
  </mergeCells>
  <printOptions horizontalCentered="1" verticalCentered="1"/>
  <pageMargins left="0.7" right="0.7" top="0.75" bottom="0.75" header="0.3" footer="0.3"/>
  <pageSetup orientation="landscape" r:id="rId1"/>
  <customProperties>
    <customPr name="Qube.Worksheet.Visibility" r:id="rId2"/>
  </customProperties>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61084405"><![CDATA[{"MGGT-GB^FE_VALUATION(EV_EBITDA,MEAN,ANNUAL_ROLL,+1,43487,,,'')":10.863651,"MTX-DE^FE_VALUATION(EV_EBITDA,MEAN,ANNUAL_ROLL,+1,43487,,,'')":13.0639925,"SAF^FE_VALUATION(EV_EBITDA,MEAN,ANNUAL_ROLL,+1,43487,,,'')":null,"TGI^FE_VALUATION(EV_EBITDA,MEAN,ANNUAL_ROLL,+1,43487,,,'')":10.572893,"TDG^FE_VALUATION(EV_EBITDA,MEAN,ANNUAL_ROLL,+1,43487,,,'')":13.554334,"SPR^FE_VALUATION(EV_EBITDA,MEAN,ANNUAL_ROLL,+1,43487,,,'')":8.773508,"HXL^FE_VALUATION(EV_EBITDA,MEAN,ANNUAL_ROLL,+1,43487,,,'')":12.253443,"SCHP-CH^FE_VALUATION(EV_EBITDA,MEAN,ANNUAL_ROLL,+1,43487,,,'')":13.9970255,"KNEBV-FI^FE_VALUATION(EV_EBITDA,MEAN,ANNUAL_ROLL,+1,43487,,,'')":17.75362,"LII^FE_VALUATION(EV_EBITDA,MEAN,ANNUAL_ROLL,+1,43487,,,'')":16.546486,"IR^FE_VALUATION(EV_EBITDA,MEAN,ANNUAL_ROLL,+1,43487,,,'')":10.714385,"JCI^FE_VALUATION(EV_EBITDA,MEAN,ANNUAL_ROLL,+1,43487,,,'')":8.734653,"MGGT-GB^FE_VALUATION(EV_EBITDA,MEAN,ANNUAL_ROLL,+1,43495,,,'')":10.907407,"MTX-DE^FE_VALUATION(EV_EBITDA,MEAN,ANNUAL_ROLL,+1,43495,,,'')":13.645547,"SAF^FE_VALUATION(EV_EBITDA,MEAN,ANNUAL_ROLL,+1,43495,,,'')":null,"TGI^FE_VALUATION(EV_EBITDA,MEAN,ANNUAL_ROLL,+1,43495,,,'')":10.576717,"TDG^FE_VALUATION(EV_EBITDA,MEAN,ANNUAL_ROLL,+1,43495,,,'')":14.608157,"SPR^FE_VALUATION(EV_EBITDA,MEAN,ANNUAL_ROLL,+1,43495,,,'')":9.251457,"HXL^FE_VALUATION(EV_EBITDA,MEAN,ANNUAL_ROLL,+1,43495,,,'')":11.721499,"SCHP-CH^FE_VALUATION(EV_EBITDA,MEAN,ANNUAL_ROLL,+1,43495,,,'')":14.2865925,"KNEBV-FI^FE_VALUATION(EV_EBITDA,MEAN,ANNUAL_ROLL,+1,43495,,,'')":15.340615,"LII^FE_VALUATION(EV_EBITDA,MEAN,ANNUAL_ROLL,+1,43495,,,'')":16.56714,"IR^FE_VALUATION(EV_EBITDA,MEAN,ANNUAL_ROLL,+1,43495,,,'')":11.476293,"JCI^FE_VALUATION(EV_EBITDA,MEAN,ANNUAL_ROLL,+1,43495,,,'')":8.761728,"MGGT-GB^FE_VALUATION(EV_EBITDA,MEAN,ANNUAL_ROLL,+1,43566,,,'')":10.127027,"MTX-DE^FE_VALUATION(EV_EBITDA,MEAN,ANNUAL_ROLL,+1,43566,,,'')":13.137187,"SAF^FE_VALUATION(EV_EBITDA,MEAN,ANNUAL_ROLL,+1,43566,,,'')":null,"TGI^FE_VALUATION(EV_EBITDA,MEAN,ANNUAL_ROLL,+1,43566,,,'')":11.031293,"TDG^FE_VALUATION(EV_EBITDA,MEAN,ANNUAL_ROLL,+1,43566,,,'')":16.091831,"SPR^FE_VALUATION(EV_EBITDA,MEAN,ANNUAL_ROLL,+1,43566,,,'')":8.002042,"HXL^FE_VALUATION(EV_EBITDA,MEAN,ANNUAL_ROLL,+1,43566,,,'')":11.666464,"SCHP-CH^FE_VALUATION(EV_EBITDA,MEAN,ANNUAL_ROLL,+1,43566,,,'')":13.658426,"KNEBV-FI^FE_VALUATION(EV_EBITDA,MEAN,ANNUAL_ROLL,+1,43566,,,'')":17.55214,"LII^FE_VALUATION(EV_EBITDA,MEAN,ANNUAL_ROLL,+1,43566,,,'')":15.948811,"IR^FE_VALUATION(EV_EBITDA,MEAN,ANNUAL_ROLL,+1,43566,,,'')":11.53839,"JCI^FE_VALUATION(EV_EBITDA,MEAN,ANNUAL_ROLL,+1,43566,,,'')":10.6966915,"MGGT-GB^FE_VALUATION(EV_EBITDA,MEAN,ANNUAL_ROLL,+1,43571,,,'')":10.211776,"MTX-DE^FE_VALUATION(EV_EBITDA,MEAN,ANNUAL_ROLL,+1,43571,,,'')":13.218004,"SAF^FE_VALUATION(EV_EBITDA,MEAN,ANNUAL_ROLL,+1,43571,,,'')":null,"TGI^FE_VALUATION(EV_EBITDA,MEAN,ANNUAL_ROLL,+1,43571,,,'')":11.2468,"TDG^FE_VALUATION(EV_EBITDA,MEAN,ANNUAL_ROLL,+1,43571,,,'')":16.012178,"SPR^FE_VALUATION(EV_EBITDA,MEAN,ANNUAL_ROLL,+1,43571,,,'')":8.184383,"HXL^FE_VALUATION(EV_EBITDA,MEAN,ANNUAL_ROLL,+1,43571,,,'')":11.732265,"SCHP-CH^FE_VALUATION(EV_EBITDA,MEAN,ANNUAL_ROLL,+1,43571,,,'')":13.919883,"KNEBV-FI^FE_VALUATION(EV_EBITDA,MEAN,ANNUAL_ROLL,+1,43571,,,'')":17.459673,"LII^FE_VALUATION(EV_EBITDA,MEAN,ANNUAL_ROLL,+1,43571,,,'')":16.009548,"IR^FE_VALUATION(EV_EBITDA,MEAN,ANNUAL_ROLL,+1,43571,,,'')":11.644699,"JCI^FE_VALUATION(EV_EBITDA,MEAN,ANNUAL_ROLL,+1,43571,,,'')":10.998114,"MGGT-GB^FE_VALUATION(EV_EBITDA,MEAN,ANNUAL_ROLL,+1,43577,,,'')":10.249443,"MTX-DE^FE_VALUATION(EV_EBITDA,MEAN,ANNUAL_ROLL,+1,43577,,,'')":13.193044,"SAF^FE_VALUATION(EV_EBITDA,MEAN,ANNUAL_ROLL,+1,43577,,,'')":null,"SAF-PA^FE_VALUATION(EV_EBITDA,MEAN,ANNUAL_ROLL,+1,43577,,,'')":null,"SAF-FR^FE_VALUATION(EV_EBITDA,MEAN,ANNUAL_ROLL,+1,43577,,,'')":12.718196,"TGI^FE_VALUATION(EV_EBITDA,MEAN,ANNUAL_ROLL,+1,43577,,,'')":12.001962,"TDG^FE_VALUATION(EV_EBITDA,MEAN,ANNUAL_ROLL,+1,43577,,,'')":16.355844,"HXL^FE_VALUATION(EV_EBITDA,MEAN,ANNUAL_ROLL,+1,43577,,,'')":11.66168,"SCHP-CH^FE_VALUATION(EV_EBITDA,MEAN,ANNUAL_ROLL,+1,43577,,,'')":13.984015,"KNEBV-FI^FE_VALUATION(EV_EBITDA,MEAN,ANNUAL_ROLL,+1,43577,,,'')":17.69534,"LII^FE_VALUATION(EV_EBITDA,MEAN,ANNUAL_ROLL,+1,43577,,,'')":15.578246,"IR^FE_VALUATION(EV_EBITDA,MEAN,ANNUAL_ROLL,+1,43577,,,'')":11.549426,"JCI^FE_VALUATION(EV_EBITDA,MEAN,ANNUAL_ROLL,+1,43577,,,'')":10.941776,"SPR^FE_VALUATION(EV_EBITDA,MEAN,ANNUAL_ROLL,+1,43577,,,'')":8.174183,"MGGT-GB^FE_VALUATION(EV_EBITDA,MEAN,ANNUAL_ROLL,+2,43577,,,'')":9.379948,"MTX-DE^FE_VALUATION(EV_EBITDA,MEAN,ANNUAL_ROLL,+2,43577,,,'')":11.881464,"SAF-FR^FE_VALUATION(EV_EBITDA,MEAN,ANNUAL_ROLL,+2,43577,,,'')":11.036676,"TGI^FE_VALUATION(EV_EBITDA,MEAN,ANNUAL_ROLL,+2,43577,,,'')":8.183677,"TDG^FE_VALUATION(EV_EBITDA,MEAN,ANNUAL_ROLL,+2,43577,,,'')":14.0340185,"SPR^FE_VALUATION(EV_EBITDA,MEAN,ANNUAL_ROLL,+2,43577,,,'')":7.4834576,"HXL^FE_VALUATION(EV_EBITDA,MEAN,ANNUAL_ROLL,+2,43577,,,'')":10.596782,"SCHP-CH^FE_VALUATION(EV_EBITDA,MEAN,ANNUAL_ROLL,+2,43577,,,'')":12.612082,"KNEBV-FI^FE_VALUATION(EV_EBITDA,MEAN,ANNUAL_ROLL,+2,43577,,,'')":16.139868,"LII^FE_VALUATION(EV_EBITDA,MEAN,ANNUAL_ROLL,+2,43577,,,'')":15.30422,"IR^FE_VALUATION(EV_EBITDA,MEAN,ANNUAL_ROLL,+2,43577,,,'')":10.581098,"JCI^FE_VALUATION(EV_EBITDA,MEAN,ANNUAL_ROLL,+2,43577,,,'')":11.188491,"LII^FE_ESTIMATE(EPS,MEAN,ANNUAL,2020,43577,,,'BKRF=')":12.774095,"IR^FE_ESTIMATE(EPS,MEAN,ANNUAL,2020,43577,,,'BKRF=')":7.0021462,"JCI^FE_ESTIMATE(EPS,MEAN,ANNUAL,2020,43577,,,'BKRF=')":2.5442476,"TDG^FG_FCF_YIELD_NTM(43933)":5.9896126,"TDG^FG_FCF_YIELD_FY2(43933)":6.18655571120242,"TDG^FG_FCF_YIELD_FY1(43933)":5.77342871807366,"HXL^FG_FCF_YIELD_NTM(43933)":9.926018,"HXL^FG_FCF_YIELD_FY1(43933)":9.51562246349189,"HXL^FG_FCF_YIELD_FY2(43933)":11.0286948995374,"WWD^FG_FCF_YIELD_NTM(43933)":8.620499,"WWD^FG_FCF_YIELD_FY1(43933)":9.2494864916337,"WWD^FG_FCF_YIELD_FY2(43933)":8.04749308519157,"SAF-FR^FG_FCF_YIELD_NTM(43933)":6.0168595,"SAF-FR^FG_FCF_YIELD_FY1(43933)":5.5653933158068,"SAF-FR^FG_FCF_YIELD_FY2(43933)":7.22989004277131,"NOC^FG_FCF_YIELD_NTM(43932)":6.0997844,"LMT^FG_FCF_YIELD_NTM(43932)":5.86601,"RR-GB^FG_FCF_YIELD_NTM(43932)":11.290123,"MGGT-GB^FG_FCF_YIELD_NTM(43932)":5.9406867,"MTX-DE^FG_FCF_YIELD_NTM(43932)":5.778094,"SAF-FR^FG_FCF_YIELD_NTM(43932)":6.0168595,"WWD^FG_FCF_YIELD_NTM(43932)":8.620499,"HXL^FG_FCF_YIELD_NTM(43932)":10.092804,"TDG^FG_FCF_YIELD_NTM(43932)":5.9896126,"BA^FG_FCF_YIELD_NTM(43932)":-5.2691245,"SAF-FR^FG_FCF_YIELD_FY1(43934)":5.5653933158068,"WWD^FG_FCF_YIELD_NTM(43934)":9.452539,"TDG^FG_FCF_YIELD_FY2(43934)":6.79692566895682,"SAF-FR^FG_FCF_YIELD_NTM(43934)":6.0168595,"HXL^FG_FCF_YIELD_FY2(43934)":11.4467200396698,"TDG^FG_FCF_YIELD_FY1(43934)":6.34303930407217,"WWD^FG_FCF_YIELD_FY2(43934)":8.8377329482792,"HXL^FG_FCF_YIELD_FY1(43934)":9.49425616490536,"TDG^FG_FCF_YIELD_NTM(43934)":6.5855265,"WWD^FG_FCF_YIELD_FY1(43934)":10.1577591414499,"HXL^FG_FCF_YIELD_NTM(43934)":10.045225,"JCI^FE_VALUATION(EV_EBITDA,MEAN,ANNUAL_ROLL,+2,43934,,,'')":8.631357,"NOC^FG_FCF_YIELD_FY2(43933)":6.67694515603988,"NOC^FG_FCF_YIELD_FY1(43933)":5.8849762558863,"NOC^FG_FCF_YIELD_NTM(43933)":6.0997844,"LMT^FG_FCF_YIELD_FY2(43933)":6.05631892090932,"LMT^FG_FCF_YIELD_FY1(43933)":5.79518047293077,"LMT^FG_FCF_YIELD_NTM(43933)":5.86601,"RR-GB^FG_FCF_YIELD_FY2(43933)":13.987935126195,"RR-GB^FG_FCF_YIELD_FY1(43933)":10.2860509628567,"RR-GB^FG_FCF_YIELD_NTM(43933)":11.290123,"MGGT-GB^FG_FCF_YIELD_FY2(43933)":6.92230844034299,"MGGT-GB^FG_FCF_YIELD_FY1(43933)":5.57534617603174,"MGGT-GB^FG_FCF_YIELD_NTM(43933)":5.9406867,"MTX-DE^FG_FCF_YIELD_FY2(43933)":7.31204105974289,"MTX-DE^FG_FCF_YIELD_FY1(43933)":5.20718829432403,"MTX-DE^FG_FCF_YIELD_NTM(43933)":5.778094,"JCI^FE_VALUATION(EV_EBITDA,MEAN,ANNUAL_ROLL,+2,43933,,,'')":8.921759,"TDG^FE_VALUATION(EV_EBITDA,MEAN,CALA,2020,NOW,,,'')":21.129034,"KNEBV-FI^FE_VALUATION(EV_EBITDA,MEAN,CALA,2020,NOW,,,'')":24.395174,"SCHP-CH^FE_VALUATION(EV_EBITDA,MEAN,CALA,2020,NOW,,,'')":18.117172,"SAF-FR^FE_VALUATION(EV_EBITDA,MEAN,CALA,2020,NOW,,,'')":19.76595,"HXL^FE_VALUATION(EV_EBITDA,MEAN,CALA,2020,NOW,,,'')":27.356224,"IR^FE_VALUATION(EV_EBITDA,MEAN,CALA,2020,NOW,,,'')":20.552053,"MGGT-GB^FE_VALUATION(EV_EBITDA,MEAN,CALA,2020,NOW,,,'')":13.747765,"MTX-DE^FE_VALUATION(EV_EBITDA,MEAN,CALA,2020,NOW,,,'')":18.905651,"SPR^FE_VALUATION(EV_EBITDA,MEAN,CALA,2020,NOW,,,'')":null,"TGI^FE_VALUATION(EV_EBITDA,MEAN,CALA,2020,NOW,,,'')":13.410627,"LII^FE_VALUATION(EV_EBITDA,MEAN,CALA,2020,NOW,,,'')":22.343218,"JCI^FE_VALUATION(EV_EBITDA,MEAN,CALA,2020,NOW,,,'')":12.053657,"NOC^FG_FCF_YIELD_FY2(43934)":6.63359465937254,"NOC^FG_FCF_YIELD_FY1(43934)":5.84676745090528,"NOC^FG_FCF_YIELD_NTM(43934)":6.0688033,"LMT^FG_FCF_YIELD_FY2(43934)":6.07367218593406,"LMT^FG_FCF_YIELD_FY1(43934)":5.81178589496999,"LMT^FG_FCF_YIELD_NTM(43934)":5.885688,"RR-GB^FG_FCF_YIELD_FY2(43934)":13.987935126195,"RR-GB^FG_FCF_YIELD_FY1(43934)":10.2860509628567,"RR-GB^FG_FCF_YIELD_NTM(43934)":11.290123,"MGGT-GB^FG_FCF_YIELD_FY2(43934)":7.0423442780988,"MGGT-GB^FG_FCF_YIELD_FY1(43934)":5.74176415703725,"MGGT-GB^FG_FCF_YIELD_NTM(43934)":6.094524,"MTX-DE^FG_FCF_YIELD_FY2(43934)":7.31204105974289,"MTX-DE^FG_FCF_YIELD_FY1(43934)":5.20718829432403,"MTX-DE^FG_FCF_YIELD_NTM(43934)":5.778094,"SAF-FR^FG_FCF_YIELD_FY2(43934)":7.22989004277131,"NOC^FG_FCF_YIELD_FY2(43935)":6.44454718484779,"NOC^FG_FCF_YIELD_FY1(43935)":5.68071657467788,"NOC^FG_FCF_YIELD_NTM(43935)":5.898356,"LMT^FG_FCF_YIELD_FY2(43935)":5.912413040229,"LMT^FG_FCF_YIELD_FY1(43935)":5.65748008821596,"LMT^FG_FCF_YIELD_NTM(43935)":5.7301183,"RR-GB^FG_FCF_YIELD_FY2(43935)":9.94252326724439,"RR-GB^FG_FCF_YIELD_FY1(43935)":11.2015398980929,"RR-GB^FG_FCF_YIELD_NTM(43935)":10.842806,"MGGT-GB^FG_FCF_YIELD_FY2(43935)":7.4949717171621,"MGGT-GB^FG_FCF_YIELD_FY1(43935)":6.1107997998102,"MGGT-GB^FG_FCF_YIELD_NTM(43935)":6.505194,"MTX-DE^FG_FCF_YIELD_FY2(43935)":7.89624211520744,"MTX-DE^FG_FCF_YIELD_FY1(43935)":5.32935465032559,"MTX-DE^FG_FCF_YIELD_NTM(43935)":6.060742,"SAF-FR^FG_FCF_YIELD_FY2(43935)":7.21538672560772,"SAF-FR^FG_FCF_YIELD_FY1(43935)":5.5542287120299,"SAF-FR^FG_FCF_YIELD_NTM(43935)":6.027545,"WWD^FG_FCF_YIELD_FY2(43935)":9.30035563629918,"WWD^FG_FCF_YIELD_FY1(43935)":10.6894800123827,"WWD^FG_FCF_YIELD_NTM(43935)":9.94354,"HXL^FG_FCF_YIELD_FY2(43935)":11.9564486358439,"HXL^FG_FCF_YIELD_FY1(43935)":9.91703999363723,"HXL^FG_FCF_YIELD_NTM(43935)":10.498131,"TDG^FG_FCF_YIELD_FY2(43935)":6.64450546905923,"TDG^FG_FCF_YIELD_FY1(43935)":6.22384042073161,"TDG^FG_FCF_YIELD_NTM(43935)":6.4497323,"JCI^FE_VALUATION(EV_EBITDA,MEAN,ANNUAL_ROLL,+2,43935,,,'')":8.968596,"NOC^FG_FCF_YIELD_FY2(43958)":6.89595486735458,"NOC^FG_FCF_YIELD_FY1(43958)":6.05225614794232,"NOC^FG_FCF_YIELD_NTM(43958)":6.3458166,"LMT^FG_FCF_YIELD_FY2(43958)":6.00584440730964,"LMT^FG_FCF_YIELD_FY1(43958)":5.68977190102733,"LMT^FG_FCF_YIELD_NTM(43958)":5.799748,"RR-GB^FG_FCF_YIELD_FY2(43958)":6.59925962906222,"RR-GB^FG_FCF_YIELD_FY1(43958)":null,"RR-GB^FG_FCF_YIELD_NTM(43958)":-0.7655412,"MGGT-GB^FG_FCF_YIELD_FY2(43958)":8.04986343004198,"MGGT-GB^FG_FCF_YIELD_FY1(43958)":8.35316165080192,"MGGT-GB^FG_FCF_YIELD_NTM(43958)":8.247631,"MTX-DE^FG_FCF_YIELD_FY2(43958)":5.95905793491469,"MTX-DE^FG_FCF_YIELD_FY1(43958)":2.98392853109225,"MTX-DE^FG_FCF_YIELD_NTM(43958)":4.01911,"SAF-FR^FG_FCF_YIELD_FY2(43958)":5.26350417790644,"SAF-FR^FG_FCF_YIELD_FY1(43958)":2.84852403727009,"SAF-FR^FG_FCF_YIELD_NTM(43958)":3.6888049,"WWD^FG_FCF_YIELD_FY2(43958)":6.79500390542849,"WWD^FG_FCF_YIELD_FY1(43958)":6.29655119001669,"WWD^FG_FCF_YIELD_NTM(43958)":6.5956225,"HXL^FG_FCF_YIELD_FY2(43958)":11.0445529534957,"HXL^FG_FCF_YIELD_FY1(43958)":9.0609593254442,"HXL^FG_FCF_YIELD_NTM(43958)":9.751142,"TDG^FG_FCF_YIELD_FY2(43958)":4.85121611255753,"TDG^FG_FCF_YIELD_FY1(43958)":4.82739410990335,"TDG^FG_FCF_YIELD_NTM(43958)":4.841687,"NOC^FG_FCF_YIELD_FY2(43959)":6.81999934800806,"NOC^FG_FCF_YIELD_FY1(43959)":5.98559351439395,"NOC^FG_FCF_YIELD_NTM(43959)":6.2782073,"LMT^FG_FCF_YIELD_FY2(43959)":5.95476427589233,"LMT^FG_FCF_YIELD_FY1(43959)":5.64137974609278,"LMT^FG_FCF_YIELD_NTM(43959)":5.751279,"RR-GB^FG_FCF_YIELD_FY2(43959)":6.59925962906222,"RR-GB^FG_FCF_YIELD_FY1(43959)":null,"RR-GB^FG_FCF_YIELD_NTM(43959)":-0.7655412,"MGGT-GB^FG_FCF_YIELD_FY2(43959)":8.04986343004198,"MGGT-GB^FG_FCF_YIELD_FY1(43959)":8.35316165080192,"MGGT-GB^FG_FCF_YIELD_NTM(43959)":8.247631,"MTX-DE^FG_FCF_YIELD_FY2(43959)":6.15817392900118,"MTX-DE^FG_FCF_YIELD_FY1(43959)":3.08363306246701,"MTX-DE^FG_FCF_YIELD_NTM(43959)":4.161828,"SAF-FR^FG_FCF_YIELD_FY2(43959)":5.26090871781501,"SAF-FR^FG_FCF_YIELD_FY1(43959)":2.84711937003498,"SAF-FR^FG_FCF_YIELD_NTM(43959)":3.693599,"WWD^FG_FCF_YIELD_FY2(43959)":6.41358407368541,"WWD^FG_FCF_YIELD_FY1(43959)":5.94311111406946,"WWD^FG_FCF_YIELD_NTM(43959)":6.2266836,"HXL^FG_FCF_YIELD_FY2(43959)":10.5413499737678,"HXL^FG_FCF_YIELD_FY1(43959)":8.64813181759257,"HXL^FG_FCF_YIELD_NTM(43959)":9.312056,"TDG^FG_FCF_YIELD_FY2(43959)":4.46998294701506,"TDG^FG_FCF_YIELD_FY1(43959)":4.44803252401381,"TDG^FG_FCF_YIELD_NTM(43959)":4.461263,"NOC^FG_FCF_YIELD_FY2(43994)":7.11521149681566,"NOC^FG_FCF_YIELD_FY1(43994)":6.25646840627354,"NOC^FG_FCF_YIELD_NTM(43994)":6.6399617,"LMT^FG_FCF_YIELD_FY2(43994)":5.97410036321335,"LMT^FG_FCF_YIELD_FY1(43994)":5.67132108206991,"LMT^FG_FCF_YIELD_NTM(43994)":5.8065352,"RR-GB^FG_FCF_YIELD_FY2(43994)":5.78518296624612,"RR-GB^FG_FCF_YIELD_FY1(43994)":null,"RR-GB^FG_FCF_YIELD_NTM(43994)":0.30547643,"MGGT-GB^FG_FCF_YIELD_FY2(43994)":6.66668044447292,"MGGT-GB^FG_FCF_YIELD_FY1(43994)":6.04123237757412,"MGGT-GB^FG_FCF_YIELD_NTM(43994)":6.3205423,"MTX-DE^FG_FCF_YIELD_FY2(43994)":4.77343465234789,"MTX-DE^FG_FCF_YIELD_FY1(43994)":2.39354659626065,"MTX-DE^FG_FCF_YIELD_NTM(43994)":3.456346,"SAF-FR^FG_FCF_YIELD_FY2(43994)":4.60901304484353,"SAF-FR^FG_FCF_YIELD_FY1(43994)":2.32044457861771,"SAF-FR^FG_FCF_YIELD_NTM(43994)":3.3424628,"WWD^FG_FCF_YIELD_FY2(43994)":4.95428532303873,"WWD^FG_FCF_YIELD_FY1(43994)":4.69756335509746,"WWD^FG_FCF_YIELD_NTM(43994)":4.8769174,"HXL^FG_FCF_YIELD_FY2(43994)":6.59411796105521,"HXL^FG_FCF_YIELD_FY1(43994)":4.84593770614922,"HXL^FG_FCF_YIELD_NTM(43994)":5.6266317,"TDG^FG_FCF_YIELD_FY2(43994)":3.28344014692475,"TDG^FG_FCF_YIELD_FY1(43994)":3.25314440805622,"TDG^FG_FCF_YIELD_NTM(43994)":3.27431,"NOC^FG_FCF_YIELD_FY2(44040)":7.09146479098368,"NOC^FG_FCF_YIELD_FY1(44040)":6.23558799724138,"NOC^FG_FCF_YIELD_NTM(44040)":6.725665,"LMT^FG_FCF_YIELD_FY2(44040)":5.82090574806875,"LMT^FG_FCF_YIELD_FY1(44040)":5.98765823883811,"LMT^FG_FCF_YIELD_NTM(44040)":5.8921757,"RR-GB^FG_FCF_YIELD_FY2(44040)":1.533333364,"RR-GB^FG_FCF_YIELD_FY1(44040)":null,"RR-GB^FG_FCF_YIELD_NTM(44040)":-15.255551,"MGGT-GB^FG_FCF_YIELD_FY2(44040)":5.83467915070177,"MGGT-GB^FG_FCF_YIELD_FY1(44040)":4.79143483109593,"MGGT-GB^FG_FCF_YIELD_NTM(44040)":5.3887997,"MTX-DE^FG_FCF_YIELD_FY2(44040)":5.12252306800201,"MTX-DE^FG_FCF_YIELD_FY1(44040)":1.98797059115586,"MTX-DE^FG_FCF_YIELD_NTM(44040)":3.782824,"SAF-FR^FG_FCF_YIELD_FY2(44040)":4.19455609537162,"SAF-FR^FG_FCF_YIELD_FY1(44040)":1.75602316384204,"SAF-FR^FG_FCF_YIELD_NTM(44040)":3.1523335,"WWD^FG_FCF_YIELD_FY2(44040)":4.01666982243026,"WWD^FG_FCF_YIELD_FY1(44040)":4.85853666025842,"WWD^FG_FCF_YIELD_NTM(44040)":4.1642847,"HXL^FG_FCF_YIELD_FY2(44040)":5.85884861906938,"HXL^FG_FCF_YIELD_FY1(44040)":5.75878300790451,"HXL^FG_FCF_YIELD_NTM(44040)":5.816081,"TDG^FG_FCF_YIELD_FY2(44040)":3.45618122112965,"TDG^FG_FCF_YIELD_FY1(44040)":3.14404564600926,"TDG^FG_FCF_YIELD_NTM(44040)":3.4014509,"JCI^FE_VALUATION(EV_EBITDA,MEAN,ANNUAL_ROLL,+2,44040,,,'')":10.706698,"NOC^FG_FCF_YIELD_FY2(44089)":6.89704450607643,"NOC^FG_FCF_YIELD_FY1(44089)":5.98733451231933,"NOC^FG_FCF_YIELD_NTM(44089)":6.6303625,"LMT^FG_FCF_YIELD_FY2(44089)":5.82342027059221,"LMT^FG_FCF_YIELD_FY1(44089)":5.97599538270693,"LMT^FG_FCF_YIELD_NTM(44089)":5.868148,"RR-GB^FG_FCF_YIELD_FY2(44089)":null,"MGGT-GB^FG_FCF_YIELD_FY2(44089)":5.41158953591236,"MGGT-GB^FG_FCF_YIELD_FY1(44089)":null,"MGGT-GB^FG_FCF_YIELD_NTM(44089)":3.6963005,"MTX-DE^FG_FCF_YIELD_FY2(44089)":4.11597178567196,"MTX-DE^FG_FCF_YIELD_FY1(44089)":1.85584177419661,"MTX-DE^FG_FCF_YIELD_NTM(44089)":3.4534125,"SAF-FR^FG_FCF_YIELD_FY2(44089)":4.04273723065061,"SAF-FR^FG_FCF_YIELD_FY1(44089)":3.23453636091112,"SAF-FR^FG_FCF_YIELD_NTM(44089)":3.8058124,"WWD^FG_FCF_YIELD_FY2(44089)":4.52852855246309,"WWD^FG_FCF_YIELD_FY1(44089)":4.8048048048048,"WWD^FG_FCF_YIELD_NTM(44089)":4.539882,"HXL^FG_FCF_YIELD_FY2(44089)":5.99436649436859,"HXL^FG_FCF_YIELD_FY1(44089)":4.57048961004308,"HXL^FG_FCF_YIELD_NTM(44089)":5.576956,"TDG^FG_FCF_YIELD_FY2(44089)":2.85978660729902,"TDG^FG_FCF_YIELD_FY1(44089)":3.5787522322467,"TDG^FG_FCF_YIELD_NTM(44089)":2.889333,"NOC^FG_FCF_YIELD_FY2(44131)":7.01562133324166,"NOC^FG_FCF_YIELD_FY1(44131)":6.81808497038394,"NOC^FG_FCF_YIELD_NTM(44131)":6.980444,"LMT^FG_FCF_YIELD_FY2(44131)":6.40794256791762,"LMT^FG_FCF_YIELD_FY1(44131)":6.32947105844611,"LMT^FG_FCF_YIELD_NTM(44131)":6.393968,"MGGT-GB^FG_FCF_YIELD_FY2(44131)":4.45589232496609,"MTX-DE^FG_FCF_YIELD_FY2(44131)":4.26552700884781,"MTX-DE^FG_FCF_YIELD_FY1(44131)":1.89610842706429,"SAF-FR^FG_FCF_YIELD_FY2(44131)":4.08853209268735,"SAF-FR^FG_FCF_YIELD_FY1(44131)":3.34522449132516,"WWD^FG_FCF_YIELD_FY2(44131)":4.79619320389975,"WWD^FG_FCF_YIELD_FY1(44131)":5.17517260623814,"HXL^FG_FCF_YIELD_FY2(44131)":4.76062098111352,"HXL^FG_FCF_YIELD_FY1(44131)":4.84490255689732,"TDG^FG_FCF_YIELD_FY2(44131)":3.12034386189358,"TDG^FG_FCF_YIELD_FY1(44131)":3.92726393020152,"MGGT-GB^FG_FCF_YIELD_NTM(44131)":3.5212803,"MTX-DE^FG_FCF_YIELD_NTM(44131)":3.8435757,"SAF-FR^FG_FCF_YIELD_NTM(44131)":3.9561625,"WWD^FG_FCF_YIELD_NTM(44131)":4.885279,"HXL^FG_FCF_YIELD_NTM(44131)":4.7756305,"TDG^FG_FCF_YIELD_NTM(44131)":3.197878,"JCI^FE_VALUATION(EV_EBITDA,MEAN,ANNUAL_ROLL,+2,44131,,,'')":11.190215,"NOC^FG_FCF_YIELD_FY2(44153)":6.86148621712679,"NOC^FG_FCF_YIELD_FY1(44153)":6.66828972838656,"NOC^FG_FCF_YIELD_NTM(44153)":6.838726,"LMT^FG_FCF_YIELD_FY2(44153)":6.14894327027981,"LMT^FG_FCF_YIELD_FY1(44153)":6.07364415004816,"LMT^FG_FCF_YIELD_NTM(44153)":6.1400723,"MGGT-GB^FG_FCF_YIELD_FY2(44153)":2.99531323338372,"MTX-DE^FG_FCF_YIELD_FY2(44153)":3.17027449187633,"MTX-DE^FG_FCF_YIELD_FY1(44153)":1.53759327136884,"SAF-FR^FG_FCF_YIELD_FY2(44153)":3.11651081931012,"SAF-FR^FG_FCF_YIELD_FY1(44153)":2.12232860111358,"WWD^FG_FCF_YIELD_FY2(44153)":3.46838411799165,"WWD^FG_FCF_YIELD_FY1(44153)":3.74244451910205,"HXL^FG_FCF_YIELD_FY2(44153)":2.81787099420265,"HXL^FG_FCF_YIELD_FY1(44153)":2.95793298696332,"TDG^FG_FCF_YIELD_FY2(44153)":3.12200482661946,"TDG^FG_FCF_YIELD_FY1(44153)":1.98961160115466,"MGGT-GB^FG_FCF_YIELD_NTM(44153)":2.5930178,"MTX-DE^FG_FCF_YIELD_NTM(44153)":2.977931,"SAF-FR^FG_FCF_YIELD_NTM(44153)":2.999388,"WWD^FG_FCF_YIELD_NTM(44153)":3.5853,"HXL^FG_FCF_YIELD_NTM(44153)":2.8343713,"TDG^FG_FCF_YIELD_NTM(44153)":2.1416314,"JCI^FE_VALUATION(EV_EBITDA,MEAN,ANNUAL_ROLL,+2,44153,,,'')":11.088622}]]></FdsFormulaCache>
</file>

<file path=customXml/itemProps1.xml><?xml version="1.0" encoding="utf-8"?>
<ds:datastoreItem xmlns:ds="http://schemas.openxmlformats.org/officeDocument/2006/customXml" ds:itemID="{35147F1B-74CE-4558-8B55-E7CA07C5AC48}">
  <ds:schemaRefs>
    <ds:schemaRef ds:uri="urn:fdsformulacache"/>
  </ds:schemaRefs>
</ds:datastoreItem>
</file>

<file path=docMetadata/LabelInfo.xml><?xml version="1.0" encoding="utf-8"?>
<clbl:labelList xmlns:clbl="http://schemas.microsoft.com/office/2020/mipLabelMetadata">
  <clbl:label id="{38ade803-c9f2-458b-bd92-85e1ed493d50}" enabled="1" method="Privileged" siteId="{38651f6f-836b-4bdf-9615-4e255c290f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326</vt:i4>
      </vt:variant>
    </vt:vector>
  </HeadingPairs>
  <TitlesOfParts>
    <vt:vector size="334" baseType="lpstr">
      <vt:lpstr>Cover</vt:lpstr>
      <vt:lpstr>Data</vt:lpstr>
      <vt:lpstr>SEG</vt:lpstr>
      <vt:lpstr>IS</vt:lpstr>
      <vt:lpstr>BS</vt:lpstr>
      <vt:lpstr>CFLO</vt:lpstr>
      <vt:lpstr>GTF Analysis</vt:lpstr>
      <vt:lpstr>Metrics tracker</vt:lpstr>
      <vt:lpstr>accumotherinc</vt:lpstr>
      <vt:lpstr>acq</vt:lpstr>
      <vt:lpstr>adjnetinc</vt:lpstr>
      <vt:lpstr>ap</vt:lpstr>
      <vt:lpstr>ar</vt:lpstr>
      <vt:lpstr>book</vt:lpstr>
      <vt:lpstr>by.00</vt:lpstr>
      <vt:lpstr>by.01</vt:lpstr>
      <vt:lpstr>by.02</vt:lpstr>
      <vt:lpstr>by.03</vt:lpstr>
      <vt:lpstr>by.04</vt:lpstr>
      <vt:lpstr>by.05</vt:lpstr>
      <vt:lpstr>by.06</vt:lpstr>
      <vt:lpstr>by.07</vt:lpstr>
      <vt:lpstr>by.08</vt:lpstr>
      <vt:lpstr>by.09</vt:lpstr>
      <vt:lpstr>by.10</vt:lpstr>
      <vt:lpstr>by.11</vt:lpstr>
      <vt:lpstr>by.12</vt:lpstr>
      <vt:lpstr>by.13</vt:lpstr>
      <vt:lpstr>by.14</vt:lpstr>
      <vt:lpstr>by.15</vt:lpstr>
      <vt:lpstr>by.16</vt:lpstr>
      <vt:lpstr>by.17</vt:lpstr>
      <vt:lpstr>by.18</vt:lpstr>
      <vt:lpstr>by.19</vt:lpstr>
      <vt:lpstr>by.1q04</vt:lpstr>
      <vt:lpstr>by.1q05</vt:lpstr>
      <vt:lpstr>by.1q06</vt:lpstr>
      <vt:lpstr>by.1q07</vt:lpstr>
      <vt:lpstr>by.1q08</vt:lpstr>
      <vt:lpstr>by.1q09</vt:lpstr>
      <vt:lpstr>by.1q10</vt:lpstr>
      <vt:lpstr>by.1q11</vt:lpstr>
      <vt:lpstr>by.1q12</vt:lpstr>
      <vt:lpstr>by.20</vt:lpstr>
      <vt:lpstr>by.21</vt:lpstr>
      <vt:lpstr>by.22</vt:lpstr>
      <vt:lpstr>by.23</vt:lpstr>
      <vt:lpstr>by.24</vt:lpstr>
      <vt:lpstr>by.25</vt:lpstr>
      <vt:lpstr>by.26</vt:lpstr>
      <vt:lpstr>by.27</vt:lpstr>
      <vt:lpstr>by.28</vt:lpstr>
      <vt:lpstr>by.2q04</vt:lpstr>
      <vt:lpstr>by.2q05</vt:lpstr>
      <vt:lpstr>by.2q06</vt:lpstr>
      <vt:lpstr>by.2q07</vt:lpstr>
      <vt:lpstr>by.2q08</vt:lpstr>
      <vt:lpstr>by.2q09</vt:lpstr>
      <vt:lpstr>by.2q10</vt:lpstr>
      <vt:lpstr>by.2q11</vt:lpstr>
      <vt:lpstr>by.2q12</vt:lpstr>
      <vt:lpstr>by.3q04</vt:lpstr>
      <vt:lpstr>by.3q05</vt:lpstr>
      <vt:lpstr>by.3q06</vt:lpstr>
      <vt:lpstr>by.3q07</vt:lpstr>
      <vt:lpstr>by.3q08</vt:lpstr>
      <vt:lpstr>by.3q09</vt:lpstr>
      <vt:lpstr>by.3q10</vt:lpstr>
      <vt:lpstr>by.3q11</vt:lpstr>
      <vt:lpstr>by.3q12</vt:lpstr>
      <vt:lpstr>by.4q04</vt:lpstr>
      <vt:lpstr>by.4q05</vt:lpstr>
      <vt:lpstr>by.4q06</vt:lpstr>
      <vt:lpstr>by.4q07</vt:lpstr>
      <vt:lpstr>by.4q08</vt:lpstr>
      <vt:lpstr>by.4q09</vt:lpstr>
      <vt:lpstr>by.4q10</vt:lpstr>
      <vt:lpstr>by.4q11</vt:lpstr>
      <vt:lpstr>by.4q12</vt:lpstr>
      <vt:lpstr>by.97</vt:lpstr>
      <vt:lpstr>by.98</vt:lpstr>
      <vt:lpstr>by.99</vt:lpstr>
      <vt:lpstr>ca</vt:lpstr>
      <vt:lpstr>capex</vt:lpstr>
      <vt:lpstr>cash</vt:lpstr>
      <vt:lpstr>cf.07</vt:lpstr>
      <vt:lpstr>cf.08</vt:lpstr>
      <vt:lpstr>cf.09</vt:lpstr>
      <vt:lpstr>cf.10</vt:lpstr>
      <vt:lpstr>cf.11</vt:lpstr>
      <vt:lpstr>cf.12</vt:lpstr>
      <vt:lpstr>cf.13</vt:lpstr>
      <vt:lpstr>cf.14</vt:lpstr>
      <vt:lpstr>cf.15</vt:lpstr>
      <vt:lpstr>cff</vt:lpstr>
      <vt:lpstr>cfi</vt:lpstr>
      <vt:lpstr>cfo</vt:lpstr>
      <vt:lpstr>cl</vt:lpstr>
      <vt:lpstr>cogs</vt:lpstr>
      <vt:lpstr>common</vt:lpstr>
      <vt:lpstr>cy.00</vt:lpstr>
      <vt:lpstr>cy.01</vt:lpstr>
      <vt:lpstr>cy.02</vt:lpstr>
      <vt:lpstr>cy.03</vt:lpstr>
      <vt:lpstr>cy.04</vt:lpstr>
      <vt:lpstr>cy.05</vt:lpstr>
      <vt:lpstr>cy.06</vt:lpstr>
      <vt:lpstr>cy.07</vt:lpstr>
      <vt:lpstr>cy.08</vt:lpstr>
      <vt:lpstr>cy.09</vt:lpstr>
      <vt:lpstr>cy.11</vt:lpstr>
      <vt:lpstr>cy.15</vt:lpstr>
      <vt:lpstr>cy.16</vt:lpstr>
      <vt:lpstr>cy.17</vt:lpstr>
      <vt:lpstr>cy.18</vt:lpstr>
      <vt:lpstr>cy.19</vt:lpstr>
      <vt:lpstr>cy.1q04</vt:lpstr>
      <vt:lpstr>cy.1q05</vt:lpstr>
      <vt:lpstr>cy.1q06</vt:lpstr>
      <vt:lpstr>cy.1q07</vt:lpstr>
      <vt:lpstr>cy.1q08</vt:lpstr>
      <vt:lpstr>cy.1q09</vt:lpstr>
      <vt:lpstr>cy.1q10</vt:lpstr>
      <vt:lpstr>cy.1q11</vt:lpstr>
      <vt:lpstr>cy.1q12</vt:lpstr>
      <vt:lpstr>cy.20</vt:lpstr>
      <vt:lpstr>cy.21</vt:lpstr>
      <vt:lpstr>cy.22</vt:lpstr>
      <vt:lpstr>cy.23</vt:lpstr>
      <vt:lpstr>cy.24</vt:lpstr>
      <vt:lpstr>cy.25</vt:lpstr>
      <vt:lpstr>cy.26</vt:lpstr>
      <vt:lpstr>cy.27</vt:lpstr>
      <vt:lpstr>cy.28</vt:lpstr>
      <vt:lpstr>cy.2q04</vt:lpstr>
      <vt:lpstr>cy.2q05</vt:lpstr>
      <vt:lpstr>cy.2q06</vt:lpstr>
      <vt:lpstr>cy.2q07</vt:lpstr>
      <vt:lpstr>cy.2q08</vt:lpstr>
      <vt:lpstr>cy.2q09</vt:lpstr>
      <vt:lpstr>cy.2q10</vt:lpstr>
      <vt:lpstr>cy.2q11</vt:lpstr>
      <vt:lpstr>cy.2q12</vt:lpstr>
      <vt:lpstr>cy.3q04</vt:lpstr>
      <vt:lpstr>cy.3q05</vt:lpstr>
      <vt:lpstr>cy.3q06</vt:lpstr>
      <vt:lpstr>cy.3q07</vt:lpstr>
      <vt:lpstr>cy.3q08</vt:lpstr>
      <vt:lpstr>cy.3q09</vt:lpstr>
      <vt:lpstr>cy.3q10</vt:lpstr>
      <vt:lpstr>cy.3q11</vt:lpstr>
      <vt:lpstr>cy.3q12</vt:lpstr>
      <vt:lpstr>cy.4q04</vt:lpstr>
      <vt:lpstr>cy.4q05</vt:lpstr>
      <vt:lpstr>cy.4q06</vt:lpstr>
      <vt:lpstr>cy.4q07</vt:lpstr>
      <vt:lpstr>cy.4q08</vt:lpstr>
      <vt:lpstr>cy.4q09</vt:lpstr>
      <vt:lpstr>cy.4q10</vt:lpstr>
      <vt:lpstr>cy.4q11</vt:lpstr>
      <vt:lpstr>cy.4q12</vt:lpstr>
      <vt:lpstr>cy.97</vt:lpstr>
      <vt:lpstr>cy.98</vt:lpstr>
      <vt:lpstr>cy.99</vt:lpstr>
      <vt:lpstr>da</vt:lpstr>
      <vt:lpstr>date</vt:lpstr>
      <vt:lpstr>debt</vt:lpstr>
      <vt:lpstr>debtocap</vt:lpstr>
      <vt:lpstr>div</vt:lpstr>
      <vt:lpstr>divcf</vt:lpstr>
      <vt:lpstr>ebitda</vt:lpstr>
      <vt:lpstr>epsadj</vt:lpstr>
      <vt:lpstr>epsbasop</vt:lpstr>
      <vt:lpstr>epsop</vt:lpstr>
      <vt:lpstr>fcf</vt:lpstr>
      <vt:lpstr>fcfni</vt:lpstr>
      <vt:lpstr>fcfsh</vt:lpstr>
      <vt:lpstr>fy.00</vt:lpstr>
      <vt:lpstr>fy.01</vt:lpstr>
      <vt:lpstr>fy.02</vt:lpstr>
      <vt:lpstr>fy.03</vt:lpstr>
      <vt:lpstr>fy.04</vt:lpstr>
      <vt:lpstr>fy.05</vt:lpstr>
      <vt:lpstr>fy.06</vt:lpstr>
      <vt:lpstr>fy.07</vt:lpstr>
      <vt:lpstr>fy.08</vt:lpstr>
      <vt:lpstr>fy.09</vt:lpstr>
      <vt:lpstr>fy.10</vt:lpstr>
      <vt:lpstr>fy.11</vt:lpstr>
      <vt:lpstr>fy.12</vt:lpstr>
      <vt:lpstr>fy.13</vt:lpstr>
      <vt:lpstr>fy.14</vt:lpstr>
      <vt:lpstr>fy.15</vt:lpstr>
      <vt:lpstr>fy.16</vt:lpstr>
      <vt:lpstr>fy.17</vt:lpstr>
      <vt:lpstr>fy.18</vt:lpstr>
      <vt:lpstr>fy.19</vt:lpstr>
      <vt:lpstr>fy.20</vt:lpstr>
      <vt:lpstr>fy.21</vt:lpstr>
      <vt:lpstr>fy.22</vt:lpstr>
      <vt:lpstr>fy.23</vt:lpstr>
      <vt:lpstr>fy.24</vt:lpstr>
      <vt:lpstr>fy.25</vt:lpstr>
      <vt:lpstr>fy.26</vt:lpstr>
      <vt:lpstr>fy.27</vt:lpstr>
      <vt:lpstr>fy.28</vt:lpstr>
      <vt:lpstr>fy.97</vt:lpstr>
      <vt:lpstr>fy.98</vt:lpstr>
      <vt:lpstr>fy.99</vt:lpstr>
      <vt:lpstr>goodwill</vt:lpstr>
      <vt:lpstr>grossprofit</vt:lpstr>
      <vt:lpstr>intangibles</vt:lpstr>
      <vt:lpstr>intexp</vt:lpstr>
      <vt:lpstr>inv</vt:lpstr>
      <vt:lpstr>lands</vt:lpstr>
      <vt:lpstr>ltdebt</vt:lpstr>
      <vt:lpstr>netdebt</vt:lpstr>
      <vt:lpstr>netdebttocap</vt:lpstr>
      <vt:lpstr>netinc</vt:lpstr>
      <vt:lpstr>opinc</vt:lpstr>
      <vt:lpstr>pension</vt:lpstr>
      <vt:lpstr>pensionadj</vt:lpstr>
      <vt:lpstr>pensiondebttocap</vt:lpstr>
      <vt:lpstr>pensionequity</vt:lpstr>
      <vt:lpstr>pensionexpense</vt:lpstr>
      <vt:lpstr>pensionnetdebttocap</vt:lpstr>
      <vt:lpstr>pensionshare</vt:lpstr>
      <vt:lpstr>pensionstatus</vt:lpstr>
      <vt:lpstr>pic</vt:lpstr>
      <vt:lpstr>ppe</vt:lpstr>
      <vt:lpstr>pretax</vt:lpstr>
      <vt:lpstr>BS!Print_Area</vt:lpstr>
      <vt:lpstr>CFLO!Print_Area</vt:lpstr>
      <vt:lpstr>Data!Print_Area</vt:lpstr>
      <vt:lpstr>IS!Print_Area</vt:lpstr>
      <vt:lpstr>SEG!Print_Area</vt:lpstr>
      <vt:lpstr>q1.04</vt:lpstr>
      <vt:lpstr>q1.05</vt:lpstr>
      <vt:lpstr>q1.06</vt:lpstr>
      <vt:lpstr>q1.07</vt:lpstr>
      <vt:lpstr>q1.08</vt:lpstr>
      <vt:lpstr>q1.09</vt:lpstr>
      <vt:lpstr>q1.10</vt:lpstr>
      <vt:lpstr>q1.11</vt:lpstr>
      <vt:lpstr>q1.12</vt:lpstr>
      <vt:lpstr>q1.13</vt:lpstr>
      <vt:lpstr>q1.14</vt:lpstr>
      <vt:lpstr>q1.15</vt:lpstr>
      <vt:lpstr>q1.16</vt:lpstr>
      <vt:lpstr>q1.17</vt:lpstr>
      <vt:lpstr>q1.18</vt:lpstr>
      <vt:lpstr>q1.19</vt:lpstr>
      <vt:lpstr>q1.20</vt:lpstr>
      <vt:lpstr>q1.21</vt:lpstr>
      <vt:lpstr>q1.22</vt:lpstr>
      <vt:lpstr>q1.23</vt:lpstr>
      <vt:lpstr>q1.24</vt:lpstr>
      <vt:lpstr>q1.25</vt:lpstr>
      <vt:lpstr>q2.04</vt:lpstr>
      <vt:lpstr>q2.05</vt:lpstr>
      <vt:lpstr>q2.06</vt:lpstr>
      <vt:lpstr>q2.07</vt:lpstr>
      <vt:lpstr>q2.08</vt:lpstr>
      <vt:lpstr>q2.09</vt:lpstr>
      <vt:lpstr>q2.10</vt:lpstr>
      <vt:lpstr>q2.11</vt:lpstr>
      <vt:lpstr>q2.12</vt:lpstr>
      <vt:lpstr>q2.13</vt:lpstr>
      <vt:lpstr>q2.14</vt:lpstr>
      <vt:lpstr>q2.15</vt:lpstr>
      <vt:lpstr>q2.16</vt:lpstr>
      <vt:lpstr>q2.17</vt:lpstr>
      <vt:lpstr>q2.18</vt:lpstr>
      <vt:lpstr>q2.19</vt:lpstr>
      <vt:lpstr>q2.20</vt:lpstr>
      <vt:lpstr>q2.21</vt:lpstr>
      <vt:lpstr>q2.22</vt:lpstr>
      <vt:lpstr>q2.23</vt:lpstr>
      <vt:lpstr>q2.24</vt:lpstr>
      <vt:lpstr>q2.25</vt:lpstr>
      <vt:lpstr>q3.04</vt:lpstr>
      <vt:lpstr>q3.05</vt:lpstr>
      <vt:lpstr>q3.06</vt:lpstr>
      <vt:lpstr>q3.07</vt:lpstr>
      <vt:lpstr>q3.08</vt:lpstr>
      <vt:lpstr>q3.09</vt:lpstr>
      <vt:lpstr>q3.10</vt:lpstr>
      <vt:lpstr>q3.11</vt:lpstr>
      <vt:lpstr>q3.12</vt:lpstr>
      <vt:lpstr>q3.13</vt:lpstr>
      <vt:lpstr>q3.14</vt:lpstr>
      <vt:lpstr>q3.15</vt:lpstr>
      <vt:lpstr>q3.16</vt:lpstr>
      <vt:lpstr>q3.17</vt:lpstr>
      <vt:lpstr>q3.18</vt:lpstr>
      <vt:lpstr>q3.19</vt:lpstr>
      <vt:lpstr>q3.20</vt:lpstr>
      <vt:lpstr>q3.21</vt:lpstr>
      <vt:lpstr>q3.22</vt:lpstr>
      <vt:lpstr>q3.23</vt:lpstr>
      <vt:lpstr>q3.24</vt:lpstr>
      <vt:lpstr>q3.25</vt:lpstr>
      <vt:lpstr>q4.04</vt:lpstr>
      <vt:lpstr>q4.05</vt:lpstr>
      <vt:lpstr>q4.06</vt:lpstr>
      <vt:lpstr>q4.07</vt:lpstr>
      <vt:lpstr>q4.08</vt:lpstr>
      <vt:lpstr>q4.09</vt:lpstr>
      <vt:lpstr>q4.10</vt:lpstr>
      <vt:lpstr>q4.11</vt:lpstr>
      <vt:lpstr>q4.12</vt:lpstr>
      <vt:lpstr>q4.13</vt:lpstr>
      <vt:lpstr>q4.14</vt:lpstr>
      <vt:lpstr>q4.15</vt:lpstr>
      <vt:lpstr>q4.16</vt:lpstr>
      <vt:lpstr>q4.17</vt:lpstr>
      <vt:lpstr>q4.18</vt:lpstr>
      <vt:lpstr>q4.19</vt:lpstr>
      <vt:lpstr>q4.20</vt:lpstr>
      <vt:lpstr>q4.21</vt:lpstr>
      <vt:lpstr>q4.22</vt:lpstr>
      <vt:lpstr>q4.23</vt:lpstr>
      <vt:lpstr>q4.24</vt:lpstr>
      <vt:lpstr>q4.25</vt:lpstr>
      <vt:lpstr>re</vt:lpstr>
      <vt:lpstr>ROIC</vt:lpstr>
      <vt:lpstr>sales</vt:lpstr>
      <vt:lpstr>sga</vt:lpstr>
      <vt:lpstr>shares</vt:lpstr>
      <vt:lpstr>sharesfd</vt:lpstr>
      <vt:lpstr>stdebt</vt:lpstr>
      <vt:lpstr>taxes</vt:lpstr>
      <vt:lpstr>taxrate</vt:lpstr>
      <vt:lpstr>totalassets</vt:lpstr>
    </vt:vector>
  </TitlesOfParts>
  <Company>Goldman Sachs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krissa</dc:creator>
  <cp:lastModifiedBy>Mesani, Nizar M [GIR]</cp:lastModifiedBy>
  <cp:lastPrinted>2025-10-21T18:11:55Z</cp:lastPrinted>
  <dcterms:created xsi:type="dcterms:W3CDTF">2009-09-10T10:26:17Z</dcterms:created>
  <dcterms:modified xsi:type="dcterms:W3CDTF">2025-10-22T07:02:08Z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db45b4cf-181a-42bb-bc24-aa37be253b08</vt:lpwstr>
  </property>
  <property fmtid="{D5CDD505-2E9C-101B-9397-08002B2CF9AE}" pid="3" name="Classification">
    <vt:lpwstr>EB</vt:lpwstr>
  </property>
  <property fmtid="{D5CDD505-2E9C-101B-9397-08002B2CF9AE}" pid="4" name="DocNoClass">
    <vt:lpwstr>Not In Use</vt:lpwstr>
  </property>
</Properties>
</file>